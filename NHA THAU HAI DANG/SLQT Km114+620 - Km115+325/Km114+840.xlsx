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AO TỐC HẬU GIANG- CÀ MAU\GÓI THẦU XL03\HẢI ĐĂNG XL03\ĐÁNH GIÁ CỐ KẾT\CẦU ĐẦU NAI\SLQT\"/>
    </mc:Choice>
  </mc:AlternateContent>
  <xr:revisionPtr revIDLastSave="0" documentId="13_ncr:1_{8EB9B2A5-29A2-4F4B-8A4E-CBB16C2F6B6B}" xr6:coauthVersionLast="47" xr6:coauthVersionMax="47" xr10:uidLastSave="{00000000-0000-0000-0000-000000000000}"/>
  <bookViews>
    <workbookView xWindow="-120" yWindow="-120" windowWidth="29040" windowHeight="15840" activeTab="2" xr2:uid="{EC7B9712-009B-484C-A58F-9F1BDC6AC84E}"/>
  </bookViews>
  <sheets>
    <sheet name="114+840" sheetId="2" r:id="rId1"/>
    <sheet name="BC.114+840" sheetId="3" r:id="rId2"/>
    <sheet name="SL.114+840" sheetId="4" r:id="rId3"/>
    <sheet name="Sheet1" sheetId="1" r:id="rId4"/>
  </sheets>
  <externalReferences>
    <externalReference r:id="rId5"/>
    <externalReference r:id="rId6"/>
    <externalReference r:id="rId7"/>
    <externalReference r:id="rId8"/>
  </externalReferences>
  <definedNames>
    <definedName name="_________________________________________________________________________________________________________tu4" hidden="1">{"'Sheet1'!$L$16"}</definedName>
    <definedName name="_______________________________________________________________________________________________________tu4" hidden="1">{"'Sheet1'!$L$16"}</definedName>
    <definedName name="_____________________________________________________________________________________________________tu4" hidden="1">{"'Sheet1'!$L$16"}</definedName>
    <definedName name="___________________________________________________________________________________________________tu4" hidden="1">{"'Sheet1'!$L$16"}</definedName>
    <definedName name="_________________________________________________________________________________________________tu4" hidden="1">{"'Sheet1'!$L$16"}</definedName>
    <definedName name="_______________________________________________________________________________________________tu4" hidden="1">{"'Sheet1'!$L$16"}</definedName>
    <definedName name="_____________________________________________________________________________________________tu4" hidden="1">{"'Sheet1'!$L$16"}</definedName>
    <definedName name="___________________________________________________________________________________________tu4" hidden="1">{"'Sheet1'!$L$16"}</definedName>
    <definedName name="_________________________________________________________________________________________tu4" hidden="1">{"'Sheet1'!$L$16"}</definedName>
    <definedName name="_______________________________________________________________________________________tu4" hidden="1">{"'Sheet1'!$L$16"}</definedName>
    <definedName name="_____________________________________________________________________________________tu4" hidden="1">{"'Sheet1'!$L$16"}</definedName>
    <definedName name="___________________________________________________________________________________tu4" hidden="1">{"'Sheet1'!$L$16"}</definedName>
    <definedName name="_________________________________________________________________________________tu4" hidden="1">{"'Sheet1'!$L$16"}</definedName>
    <definedName name="_______________________________________________________________________________tu4" hidden="1">{"'Sheet1'!$L$16"}</definedName>
    <definedName name="_____________________________________________________________________________tu4" hidden="1">{"'Sheet1'!$L$16"}</definedName>
    <definedName name="___________________________________________________________________________tu4" hidden="1">{"'Sheet1'!$L$16"}</definedName>
    <definedName name="_________________________________________________________________________tu4" hidden="1">{"'Sheet1'!$L$16"}</definedName>
    <definedName name="_______________________________________________________________________tu4" hidden="1">{"'Sheet1'!$L$16"}</definedName>
    <definedName name="_____________________________________________________________________tu4" hidden="1">{"'Sheet1'!$L$16"}</definedName>
    <definedName name="___________________________________________________________________tu4" hidden="1">{"'Sheet1'!$L$16"}</definedName>
    <definedName name="_________________________________________________________________tu4" hidden="1">{"'Sheet1'!$L$16"}</definedName>
    <definedName name="_______________________________________________________________tu4" hidden="1">{"'Sheet1'!$L$16"}</definedName>
    <definedName name="_____________________________________________________________tu4" hidden="1">{"'Sheet1'!$L$16"}</definedName>
    <definedName name="___________________________________________________________tu4" hidden="1">{"'Sheet1'!$L$16"}</definedName>
    <definedName name="_________________________________________________________tu4" hidden="1">{"'Sheet1'!$L$16"}</definedName>
    <definedName name="_______________________________________________________tu4" hidden="1">{"'Sheet1'!$L$16"}</definedName>
    <definedName name="_____________________________________________________tu4" hidden="1">{"'Sheet1'!$L$16"}</definedName>
    <definedName name="___________________________________________________tu4" hidden="1">{"'Sheet1'!$L$16"}</definedName>
    <definedName name="_________________________________________________tu4" hidden="1">{"'Sheet1'!$L$16"}</definedName>
    <definedName name="_______________________________________________tu4" hidden="1">{"'Sheet1'!$L$16"}</definedName>
    <definedName name="_____________________________________________tu4" hidden="1">{"'Sheet1'!$L$16"}</definedName>
    <definedName name="___________________________________________tu4" hidden="1">{"'Sheet1'!$L$16"}</definedName>
    <definedName name="_________________________________________tu4" hidden="1">{"'Sheet1'!$L$16"}</definedName>
    <definedName name="_______________________________________tu4" hidden="1">{"'Sheet1'!$L$16"}</definedName>
    <definedName name="_____________________________________tu4" hidden="1">{"'Sheet1'!$L$16"}</definedName>
    <definedName name="___________________________________tu4" hidden="1">{"'Sheet1'!$L$16"}</definedName>
    <definedName name="__________________________________tu4" hidden="1">{"'Sheet1'!$L$16"}</definedName>
    <definedName name="_________________________________tu4" hidden="1">{"'Sheet1'!$L$16"}</definedName>
    <definedName name="_______________________________tu4" hidden="1">{"'Sheet1'!$L$16"}</definedName>
    <definedName name="_____________________________tu4" hidden="1">{"'Sheet1'!$L$16"}</definedName>
    <definedName name="___________________________tu4" hidden="1">{"'Sheet1'!$L$16"}</definedName>
    <definedName name="_________________________tu4" hidden="1">{"'Sheet1'!$L$16"}</definedName>
    <definedName name="________________________tu" hidden="1">{"'Sheet1'!$L$16"}</definedName>
    <definedName name="_______________________tu4" hidden="1">{"'Sheet1'!$L$16"}</definedName>
    <definedName name="______________________a1" hidden="1">{"'Sheet1'!$L$16"}</definedName>
    <definedName name="_____________________a1" hidden="1">{"'Sheet1'!$L$16"}</definedName>
    <definedName name="_____________________CN1" hidden="1">{"'Sheet1'!$L$16"}</definedName>
    <definedName name="_____________________tt3" hidden="1">{"'Sheet1'!$L$16"}</definedName>
    <definedName name="_____________________tu4" hidden="1">{"'Sheet1'!$L$16"}</definedName>
    <definedName name="____________________a1" hidden="1">{"'Sheet1'!$L$16"}</definedName>
    <definedName name="____________________BG12" hidden="1">{"'Sheet1'!$L$16"}</definedName>
    <definedName name="____________________CN1" hidden="1">{"'Sheet1'!$L$16"}</definedName>
    <definedName name="____________________Goi8" hidden="1">{"'Sheet1'!$L$16"}</definedName>
    <definedName name="____________________SCL4" hidden="1">{"'Sheet1'!$L$16"}</definedName>
    <definedName name="____________________tt3" hidden="1">{"'Sheet1'!$L$16"}</definedName>
    <definedName name="___________________a1" hidden="1">{"'Sheet1'!$L$16"}</definedName>
    <definedName name="___________________BG12" hidden="1">{"'Sheet1'!$L$16"}</definedName>
    <definedName name="___________________cep1" hidden="1">{"'Sheet1'!$L$16"}</definedName>
    <definedName name="___________________CN1" hidden="1">{"'Sheet1'!$L$16"}</definedName>
    <definedName name="___________________Goi8" hidden="1">{"'Sheet1'!$L$16"}</definedName>
    <definedName name="___________________Lan1" hidden="1">{"'Sheet1'!$L$16"}</definedName>
    <definedName name="___________________LAN3" hidden="1">{"'Sheet1'!$L$16"}</definedName>
    <definedName name="___________________PA3" hidden="1">{"'Sheet1'!$L$16"}</definedName>
    <definedName name="___________________SCL4" hidden="1">{"'Sheet1'!$L$16"}</definedName>
    <definedName name="___________________tt3" hidden="1">{"'Sheet1'!$L$16"}</definedName>
    <definedName name="___________________tu4" hidden="1">{"'Sheet1'!$L$16"}</definedName>
    <definedName name="__________________a1" hidden="1">{"'Sheet1'!$L$16"}</definedName>
    <definedName name="__________________BG12" hidden="1">{"'Sheet1'!$L$16"}</definedName>
    <definedName name="__________________cep1" hidden="1">{"'Sheet1'!$L$16"}</definedName>
    <definedName name="__________________Goi8" hidden="1">{"'Sheet1'!$L$16"}</definedName>
    <definedName name="__________________h1" hidden="1">{"'Sheet1'!$L$16"}</definedName>
    <definedName name="__________________hu1" hidden="1">{"'Sheet1'!$L$16"}</definedName>
    <definedName name="__________________hu2" hidden="1">{"'Sheet1'!$L$16"}</definedName>
    <definedName name="__________________hu5" hidden="1">{"'Sheet1'!$L$16"}</definedName>
    <definedName name="__________________hu6" hidden="1">{"'Sheet1'!$L$16"}</definedName>
    <definedName name="__________________Lan1" hidden="1">{"'Sheet1'!$L$16"}</definedName>
    <definedName name="__________________LAN3" hidden="1">{"'Sheet1'!$L$16"}</definedName>
    <definedName name="__________________MN2" hidden="1">{"'Sheet1'!$L$16"}</definedName>
    <definedName name="__________________PA3" hidden="1">{"'Sheet1'!$L$16"}</definedName>
    <definedName name="__________________SCL4" hidden="1">{"'Sheet1'!$L$16"}</definedName>
    <definedName name="__________________tb2" hidden="1">{"'Sheet1'!$L$16"}</definedName>
    <definedName name="__________________tt3" hidden="1">{"'Sheet1'!$L$16"}</definedName>
    <definedName name="__________________tu4" hidden="1">{"'Sheet1'!$L$16"}</definedName>
    <definedName name="_________________a1" hidden="1">{"'Sheet1'!$L$16"}</definedName>
    <definedName name="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a2" hidden="1">{"'Sheet1'!$L$16"}</definedName>
    <definedName name="_________________cep1" hidden="1">{"'Sheet1'!$L$16"}</definedName>
    <definedName name="_________________CN1" hidden="1">{"'Sheet1'!$L$16"}</definedName>
    <definedName name="_________________Goi8" hidden="1">{"'Sheet1'!$L$16"}</definedName>
    <definedName name="_________________h1" hidden="1">{"'Sheet1'!$L$16"}</definedName>
    <definedName name="_________________hu1" hidden="1">{"'Sheet1'!$L$16"}</definedName>
    <definedName name="_________________hu2" hidden="1">{"'Sheet1'!$L$16"}</definedName>
    <definedName name="_________________hu5" hidden="1">{"'Sheet1'!$L$16"}</definedName>
    <definedName name="_________________hu6" hidden="1">{"'Sheet1'!$L$16"}</definedName>
    <definedName name="_________________Lan1" hidden="1">{"'Sheet1'!$L$16"}</definedName>
    <definedName name="_________________LAN3" hidden="1">{"'Sheet1'!$L$16"}</definedName>
    <definedName name="_________________MN2" hidden="1">{"'Sheet1'!$L$16"}</definedName>
    <definedName name="_________________PA3" hidden="1">{"'Sheet1'!$L$16"}</definedName>
    <definedName name="_________________SCL4" hidden="1">{"'Sheet1'!$L$16"}</definedName>
    <definedName name="_________________tb2" hidden="1">{"'Sheet1'!$L$16"}</definedName>
    <definedName name="_________________tt3" hidden="1">{"'Sheet1'!$L$16"}</definedName>
    <definedName name="________________a1" hidden="1">{"'Sheet1'!$L$16"}</definedName>
    <definedName name="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a2" hidden="1">{"'Sheet1'!$L$16"}</definedName>
    <definedName name="________________BG12" hidden="1">{"'Sheet1'!$L$16"}</definedName>
    <definedName name="________________cep1" hidden="1">{"'Sheet1'!$L$16"}</definedName>
    <definedName name="________________CN1" hidden="1">{"'Sheet1'!$L$16"}</definedName>
    <definedName name="________________Goi8" hidden="1">{"'Sheet1'!$L$16"}</definedName>
    <definedName name="________________h1" hidden="1">{"'Sheet1'!$L$16"}</definedName>
    <definedName name="________________hu1" hidden="1">{"'Sheet1'!$L$16"}</definedName>
    <definedName name="________________hu2" hidden="1">{"'Sheet1'!$L$16"}</definedName>
    <definedName name="________________hu5" hidden="1">{"'Sheet1'!$L$16"}</definedName>
    <definedName name="________________hu6" hidden="1">{"'Sheet1'!$L$16"}</definedName>
    <definedName name="________________Lan1" hidden="1">{"'Sheet1'!$L$16"}</definedName>
    <definedName name="________________LAN3" hidden="1">{"'Sheet1'!$L$16"}</definedName>
    <definedName name="________________MN2" hidden="1">{"'Sheet1'!$L$16"}</definedName>
    <definedName name="________________PA3" hidden="1">{"'Sheet1'!$L$16"}</definedName>
    <definedName name="________________SCL4" hidden="1">{"'Sheet1'!$L$16"}</definedName>
    <definedName name="________________tb2" hidden="1">{"'Sheet1'!$L$16"}</definedName>
    <definedName name="________________tt3" hidden="1">{"'Sheet1'!$L$16"}</definedName>
    <definedName name="________________tu4" hidden="1">{"'Sheet1'!$L$16"}</definedName>
    <definedName name="_______________a1" hidden="1">{"'Sheet1'!$L$16"}</definedName>
    <definedName name="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a2" hidden="1">{"'Sheet1'!$L$16"}</definedName>
    <definedName name="_______________BG12" hidden="1">{"'Sheet1'!$L$16"}</definedName>
    <definedName name="_______________cep1" hidden="1">{"'Sheet1'!$L$16"}</definedName>
    <definedName name="_______________CN1" hidden="1">{"'Sheet1'!$L$16"}</definedName>
    <definedName name="_______________Goi8" hidden="1">{"'Sheet1'!$L$16"}</definedName>
    <definedName name="_______________h1" hidden="1">{"'Sheet1'!$L$16"}</definedName>
    <definedName name="_______________hu1" hidden="1">{"'Sheet1'!$L$16"}</definedName>
    <definedName name="_______________hu2" hidden="1">{"'Sheet1'!$L$16"}</definedName>
    <definedName name="_______________hu5" hidden="1">{"'Sheet1'!$L$16"}</definedName>
    <definedName name="_______________hu6" hidden="1">{"'Sheet1'!$L$16"}</definedName>
    <definedName name="_______________Lan1" hidden="1">{"'Sheet1'!$L$16"}</definedName>
    <definedName name="_______________LAN3" hidden="1">{"'Sheet1'!$L$16"}</definedName>
    <definedName name="_______________MN2" hidden="1">{"'Sheet1'!$L$16"}</definedName>
    <definedName name="_______________PA3" hidden="1">{"'Sheet1'!$L$16"}</definedName>
    <definedName name="_______________SCL4" hidden="1">{"'Sheet1'!$L$16"}</definedName>
    <definedName name="_______________tb2" hidden="1">{"'Sheet1'!$L$16"}</definedName>
    <definedName name="_______________tt3" hidden="1">{"'Sheet1'!$L$16"}</definedName>
    <definedName name="_______________tu4" hidden="1">{"'Sheet1'!$L$16"}</definedName>
    <definedName name="_______________xlfn.BAHTTEXT" hidden="1">#NAME?</definedName>
    <definedName name="______________a1" hidden="1">{"'Sheet1'!$L$16"}</definedName>
    <definedName name="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a2" hidden="1">{"'Sheet1'!$L$16"}</definedName>
    <definedName name="______________BG12" hidden="1">{"'Sheet1'!$L$16"}</definedName>
    <definedName name="______________cep1" hidden="1">{"'Sheet1'!$L$16"}</definedName>
    <definedName name="______________CN1" hidden="1">{"'Sheet1'!$L$16"}</definedName>
    <definedName name="______________d1500" hidden="1">{"'Sheet1'!$L$16"}</definedName>
    <definedName name="______________Goi8" hidden="1">{"'Sheet1'!$L$16"}</definedName>
    <definedName name="______________h1" hidden="1">{"'Sheet1'!$L$16"}</definedName>
    <definedName name="______________hu1" hidden="1">{"'Sheet1'!$L$16"}</definedName>
    <definedName name="______________hu2" hidden="1">{"'Sheet1'!$L$16"}</definedName>
    <definedName name="______________hu5" hidden="1">{"'Sheet1'!$L$16"}</definedName>
    <definedName name="______________hu6" hidden="1">{"'Sheet1'!$L$16"}</definedName>
    <definedName name="______________huy1" hidden="1">{"'Sheet1'!$L$16"}</definedName>
    <definedName name="______________Lan1" hidden="1">{"'Sheet1'!$L$16"}</definedName>
    <definedName name="______________LAN3" hidden="1">{"'Sheet1'!$L$16"}</definedName>
    <definedName name="______________MN2" hidden="1">{"'Sheet1'!$L$16"}</definedName>
    <definedName name="______________NSO2" hidden="1">{"'Sheet1'!$L$16"}</definedName>
    <definedName name="______________PA3" hidden="1">{"'Sheet1'!$L$16"}</definedName>
    <definedName name="______________SCL4" hidden="1">{"'Sheet1'!$L$16"}</definedName>
    <definedName name="______________tb2" hidden="1">{"'Sheet1'!$L$16"}</definedName>
    <definedName name="______________tt3" hidden="1">{"'Sheet1'!$L$16"}</definedName>
    <definedName name="______________xlfn.BAHTTEXT" hidden="1">#NAME?</definedName>
    <definedName name="_____________a1" hidden="1">{"'Sheet1'!$L$16"}</definedName>
    <definedName name="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a2" hidden="1">{"'Sheet1'!$L$16"}</definedName>
    <definedName name="_____________BG12" hidden="1">{"'Sheet1'!$L$16"}</definedName>
    <definedName name="_____________CN1" hidden="1">{"'Sheet1'!$L$16"}</definedName>
    <definedName name="_____________d1500" hidden="1">{"'Sheet1'!$L$16"}</definedName>
    <definedName name="_____________Goi8" hidden="1">{"'Sheet1'!$L$16"}</definedName>
    <definedName name="_____________h1" hidden="1">{"'Sheet1'!$L$16"}</definedName>
    <definedName name="_____________hu1" hidden="1">{"'Sheet1'!$L$16"}</definedName>
    <definedName name="_____________hu2" hidden="1">{"'Sheet1'!$L$16"}</definedName>
    <definedName name="_____________hu5" hidden="1">{"'Sheet1'!$L$16"}</definedName>
    <definedName name="_____________hu6" hidden="1">{"'Sheet1'!$L$16"}</definedName>
    <definedName name="_____________huy1" hidden="1">{"'Sheet1'!$L$16"}</definedName>
    <definedName name="_____________KL1048" hidden="1">{"'Sheet1'!$L$16"}</definedName>
    <definedName name="_____________Lan1" hidden="1">{"'Sheet1'!$L$16"}</definedName>
    <definedName name="_____________LAN3" hidden="1">{"'Sheet1'!$L$16"}</definedName>
    <definedName name="_____________NSO2" hidden="1">{"'Sheet1'!$L$16"}</definedName>
    <definedName name="_____________PA3" hidden="1">{"'Sheet1'!$L$16"}</definedName>
    <definedName name="_____________SCL4" hidden="1">{"'Sheet1'!$L$16"}</definedName>
    <definedName name="_____________tb2" hidden="1">{"'Sheet1'!$L$16"}</definedName>
    <definedName name="_____________tt3" hidden="1">{"'Sheet1'!$L$16"}</definedName>
    <definedName name="_____________tu4" hidden="1">{"'Sheet1'!$L$16"}</definedName>
    <definedName name="_____________xlfn.BAHTTEXT" hidden="1">#NAME?</definedName>
    <definedName name="____________a1" hidden="1">{"'Sheet1'!$L$16"}</definedName>
    <definedName name="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a2" hidden="1">{"'Sheet1'!$L$16"}</definedName>
    <definedName name="____________BG12" hidden="1">{"'Sheet1'!$L$16"}</definedName>
    <definedName name="____________CN1" hidden="1">{"'Sheet1'!$L$16"}</definedName>
    <definedName name="____________d1500" hidden="1">{"'Sheet1'!$L$16"}</definedName>
    <definedName name="____________Goi8" hidden="1">{"'Sheet1'!$L$16"}</definedName>
    <definedName name="____________h1" hidden="1">{"'Sheet1'!$L$16"}</definedName>
    <definedName name="____________hu1" hidden="1">{"'Sheet1'!$L$16"}</definedName>
    <definedName name="____________hu2" hidden="1">{"'Sheet1'!$L$16"}</definedName>
    <definedName name="____________hu5" hidden="1">{"'Sheet1'!$L$16"}</definedName>
    <definedName name="____________hu6" hidden="1">{"'Sheet1'!$L$16"}</definedName>
    <definedName name="____________huy1" hidden="1">{"'Sheet1'!$L$16"}</definedName>
    <definedName name="____________K146" hidden="1">{"'Sheet1'!$L$16"}</definedName>
    <definedName name="____________Lan1" hidden="1">{"'Sheet1'!$L$16"}</definedName>
    <definedName name="____________LAN3" hidden="1">{"'Sheet1'!$L$16"}</definedName>
    <definedName name="____________MN2" hidden="1">{"'Sheet1'!$L$16"}</definedName>
    <definedName name="____________NK5" hidden="1">{"'Sheet1'!$L$16"}</definedName>
    <definedName name="____________NSO2" hidden="1">{"'Sheet1'!$L$16"}</definedName>
    <definedName name="____________PA3" hidden="1">{"'Sheet1'!$L$16"}</definedName>
    <definedName name="____________SCL4" hidden="1">{"'Sheet1'!$L$16"}</definedName>
    <definedName name="____________tt3" hidden="1">{"'Sheet1'!$L$16"}</definedName>
    <definedName name="____________VLP2" hidden="1">{"'Sheet1'!$L$16"}</definedName>
    <definedName name="____________xlfn.BAHTTEXT" hidden="1">#NAME?</definedName>
    <definedName name="___________a1" hidden="1">{"'Sheet1'!$L$16"}</definedName>
    <definedName name="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a2" hidden="1">{"'Sheet1'!$L$16"}</definedName>
    <definedName name="___________BG12" hidden="1">{"'Sheet1'!$L$16"}</definedName>
    <definedName name="___________CN1" hidden="1">{"'Sheet1'!$L$16"}</definedName>
    <definedName name="___________D1" hidden="1">{"'Sheet1'!$L$16"}</definedName>
    <definedName name="___________d1500" hidden="1">{"'Sheet1'!$L$16"}</definedName>
    <definedName name="___________D2" hidden="1">{"'Sheet1'!$L$16"}</definedName>
    <definedName name="___________GD1" hidden="1">{#N/A,#N/A,FALSE,"Chi tiÆt"}</definedName>
    <definedName name="___________GD2" hidden="1">{"'Sheet1'!$L$16"}</definedName>
    <definedName name="___________Goi8" hidden="1">{"'Sheet1'!$L$16"}</definedName>
    <definedName name="___________h1" hidden="1">{"'Sheet1'!$L$16"}</definedName>
    <definedName name="___________hu1" hidden="1">{"'Sheet1'!$L$16"}</definedName>
    <definedName name="___________hu2" hidden="1">{"'Sheet1'!$L$16"}</definedName>
    <definedName name="___________hu5" hidden="1">{"'Sheet1'!$L$16"}</definedName>
    <definedName name="___________hu6" hidden="1">{"'Sheet1'!$L$16"}</definedName>
    <definedName name="___________huy1" hidden="1">{"'Sheet1'!$L$16"}</definedName>
    <definedName name="___________K146" hidden="1">{"'Sheet1'!$L$16"}</definedName>
    <definedName name="___________KL1048" hidden="1">{"'Sheet1'!$L$16"}</definedName>
    <definedName name="___________Lan1" hidden="1">{"'Sheet1'!$L$16"}</definedName>
    <definedName name="___________LAN3" hidden="1">{"'Sheet1'!$L$16"}</definedName>
    <definedName name="___________NSO2" hidden="1">{"'Sheet1'!$L$16"}</definedName>
    <definedName name="___________PA3" hidden="1">{"'Sheet1'!$L$16"}</definedName>
    <definedName name="___________pa4" hidden="1">{"'Sheet1'!$L$16"}</definedName>
    <definedName name="___________SCL4" hidden="1">{"'Sheet1'!$L$16"}</definedName>
    <definedName name="___________tb2" hidden="1">{"'Sheet1'!$L$16"}</definedName>
    <definedName name="___________tt3" hidden="1">{"'Sheet1'!$L$16"}</definedName>
    <definedName name="___________tu4" hidden="1">{"'Sheet1'!$L$16"}</definedName>
    <definedName name="___________xlfn.BAHTTEXT" hidden="1">#NAME?</definedName>
    <definedName name="__________a1" hidden="1">{"'Sheet1'!$L$16"}</definedName>
    <definedName name="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a2" hidden="1">{"'Sheet1'!$L$16"}</definedName>
    <definedName name="__________a3" hidden="1">{"'Sheet1'!$L$16"}</definedName>
    <definedName name="__________BG12" hidden="1">{"'Sheet1'!$L$16"}</definedName>
    <definedName name="__________CN1" hidden="1">{"'Sheet1'!$L$16"}</definedName>
    <definedName name="__________D1" hidden="1">{"'Sheet1'!$L$16"}</definedName>
    <definedName name="__________d1500" hidden="1">{"'Sheet1'!$L$16"}</definedName>
    <definedName name="__________D2" hidden="1">{"'Sheet1'!$L$16"}</definedName>
    <definedName name="__________GD1" hidden="1">{#N/A,#N/A,FALSE,"Chi tiÆt"}</definedName>
    <definedName name="__________GD2" hidden="1">{"'Sheet1'!$L$16"}</definedName>
    <definedName name="__________Goi8" hidden="1">{"'Sheet1'!$L$16"}</definedName>
    <definedName name="__________h1" hidden="1">{"'Sheet1'!$L$16"}</definedName>
    <definedName name="__________hu1" hidden="1">{"'Sheet1'!$L$16"}</definedName>
    <definedName name="__________hu2" hidden="1">{"'Sheet1'!$L$16"}</definedName>
    <definedName name="__________hu5" hidden="1">{"'Sheet1'!$L$16"}</definedName>
    <definedName name="__________hu6" hidden="1">{"'Sheet1'!$L$16"}</definedName>
    <definedName name="__________huy1" hidden="1">{"'Sheet1'!$L$16"}</definedName>
    <definedName name="__________Lan1" hidden="1">{"'Sheet1'!$L$16"}</definedName>
    <definedName name="__________LAN3" hidden="1">{"'Sheet1'!$L$16"}</definedName>
    <definedName name="__________NSO2" hidden="1">{"'Sheet1'!$L$16"}</definedName>
    <definedName name="__________PA3" hidden="1">{"'Sheet1'!$L$16"}</definedName>
    <definedName name="__________pa4" hidden="1">{"'Sheet1'!$L$16"}</definedName>
    <definedName name="__________SCL4" hidden="1">{"'Sheet1'!$L$16"}</definedName>
    <definedName name="__________tb2" hidden="1">{"'Sheet1'!$L$16"}</definedName>
    <definedName name="__________tt3" hidden="1">{"'Sheet1'!$L$16"}</definedName>
    <definedName name="__________xlfn.BAHTTEXT" hidden="1">#NAME?</definedName>
    <definedName name="_________a1" hidden="1">{"'Sheet1'!$L$16"}</definedName>
    <definedName name="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a2" hidden="1">{"'Sheet1'!$L$16"}</definedName>
    <definedName name="_________a3" hidden="1">{"'Sheet1'!$L$16"}</definedName>
    <definedName name="_________BG12" hidden="1">{"'Sheet1'!$L$16"}</definedName>
    <definedName name="_________CN1" hidden="1">{"'Sheet1'!$L$16"}</definedName>
    <definedName name="_________d1500" hidden="1">{"'Sheet1'!$L$16"}</definedName>
    <definedName name="_________Goi8" hidden="1">{"'Sheet1'!$L$16"}</definedName>
    <definedName name="_________h1" hidden="1">{"'Sheet1'!$L$16"}</definedName>
    <definedName name="_________hu1" hidden="1">{"'Sheet1'!$L$16"}</definedName>
    <definedName name="_________hu2" hidden="1">{"'Sheet1'!$L$16"}</definedName>
    <definedName name="_________hu5" hidden="1">{"'Sheet1'!$L$16"}</definedName>
    <definedName name="_________hu6" hidden="1">{"'Sheet1'!$L$16"}</definedName>
    <definedName name="_________huy1" hidden="1">{"'Sheet1'!$L$16"}</definedName>
    <definedName name="_________K146" hidden="1">{"'Sheet1'!$L$16"}</definedName>
    <definedName name="_________KL1048" hidden="1">{"'Sheet1'!$L$16"}</definedName>
    <definedName name="_________Lan1" hidden="1">{"'Sheet1'!$L$16"}</definedName>
    <definedName name="_________LAN3" hidden="1">{"'Sheet1'!$L$16"}</definedName>
    <definedName name="_________M2" hidden="1">{"'Sheet1'!$L$16"}</definedName>
    <definedName name="_________MCC3" hidden="1">{#N/A,#N/A,FALSE,"CCTV"}</definedName>
    <definedName name="_________NSO2" hidden="1">{"'Sheet1'!$L$16"}</definedName>
    <definedName name="_________PA3" hidden="1">{"'Sheet1'!$L$16"}</definedName>
    <definedName name="_________pa4" hidden="1">{"'Sheet1'!$L$16"}</definedName>
    <definedName name="_________SCL4" hidden="1">{"'Sheet1'!$L$16"}</definedName>
    <definedName name="_________tb2" hidden="1">{"'Sheet1'!$L$16"}</definedName>
    <definedName name="_________tt3" hidden="1">{"'Sheet1'!$L$16"}</definedName>
    <definedName name="_________tu4" hidden="1">{"'Sheet1'!$L$16"}</definedName>
    <definedName name="_________xlfn.BAHTTEXT" hidden="1">#NAME?</definedName>
    <definedName name="________a1" hidden="1">{"'Sheet1'!$L$16"}</definedName>
    <definedName name="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a2" hidden="1">{"'Sheet1'!$L$16"}</definedName>
    <definedName name="________a3" hidden="1">{"'Sheet1'!$L$16"}</definedName>
    <definedName name="________BG12" hidden="1">{"'Sheet1'!$L$16"}</definedName>
    <definedName name="________CN1" hidden="1">{"'Sheet1'!$L$16"}</definedName>
    <definedName name="________D1" hidden="1">{"'Sheet1'!$L$16"}</definedName>
    <definedName name="________d1500" hidden="1">{"'Sheet1'!$L$16"}</definedName>
    <definedName name="________D2" hidden="1">{"'Sheet1'!$L$16"}</definedName>
    <definedName name="________GD1" hidden="1">{#N/A,#N/A,FALSE,"Chi tiÆt"}</definedName>
    <definedName name="________GD2" hidden="1">{"'Sheet1'!$L$16"}</definedName>
    <definedName name="________Goi8" hidden="1">{"'Sheet1'!$L$16"}</definedName>
    <definedName name="________h1" hidden="1">{"'Sheet1'!$L$16"}</definedName>
    <definedName name="________hu1" hidden="1">{"'Sheet1'!$L$16"}</definedName>
    <definedName name="________hu2" hidden="1">{"'Sheet1'!$L$16"}</definedName>
    <definedName name="________hu5" hidden="1">{"'Sheet1'!$L$16"}</definedName>
    <definedName name="________hu6" hidden="1">{"'Sheet1'!$L$16"}</definedName>
    <definedName name="________huy1" hidden="1">{"'Sheet1'!$L$16"}</definedName>
    <definedName name="________K146" hidden="1">{"'Sheet1'!$L$16"}</definedName>
    <definedName name="________key1" hidden="1">#REF!</definedName>
    <definedName name="________KL1048" hidden="1">{"'Sheet1'!$L$16"}</definedName>
    <definedName name="________Lan1" hidden="1">{"'Sheet1'!$L$16"}</definedName>
    <definedName name="________LAN3" hidden="1">{"'Sheet1'!$L$16"}</definedName>
    <definedName name="________MCC3" hidden="1">{#N/A,#N/A,FALSE,"CCTV"}</definedName>
    <definedName name="________NSO2" hidden="1">{"'Sheet1'!$L$16"}</definedName>
    <definedName name="________PA3" hidden="1">{"'Sheet1'!$L$16"}</definedName>
    <definedName name="________pa4" hidden="1">{"'Sheet1'!$L$16"}</definedName>
    <definedName name="________SCL4" hidden="1">{"'Sheet1'!$L$16"}</definedName>
    <definedName name="________tha1" hidden="1">{"'Sheet1'!$L$16"}</definedName>
    <definedName name="________tt3" hidden="1">{"'Sheet1'!$L$16"}</definedName>
    <definedName name="________tu4" hidden="1">{"'Sheet1'!$L$16"}</definedName>
    <definedName name="________xlfn.BAHTTEXT" hidden="1">#NAME?</definedName>
    <definedName name="_______a1" hidden="1">{"'Sheet1'!$L$16"}</definedName>
    <definedName name="_______a129" hidden="1">{"Offgrid",#N/A,FALSE,"OFFGRID";"Region",#N/A,FALSE,"REGION";"Offgrid -2",#N/A,FALSE,"OFFGRID";"WTP",#N/A,FALSE,"WTP";"WTP -2",#N/A,FALSE,"WTP";"Project",#N/A,FALSE,"PROJECT";"Summary -2",#N/A,FALSE,"SUMMARY"}</definedName>
    <definedName name="_______a130" hidden="1">{"Offgrid",#N/A,FALSE,"OFFGRID";"Region",#N/A,FALSE,"REGION";"Offgrid -2",#N/A,FALSE,"OFFGRID";"WTP",#N/A,FALSE,"WTP";"WTP -2",#N/A,FALSE,"WTP";"Project",#N/A,FALSE,"PROJECT";"Summary -2",#N/A,FALSE,"SUMMARY"}</definedName>
    <definedName name="_______a2" hidden="1">{"'Sheet1'!$L$16"}</definedName>
    <definedName name="_______a3" hidden="1">{"'Sheet1'!$L$16"}</definedName>
    <definedName name="_______BG12" hidden="1">{"'Sheet1'!$L$16"}</definedName>
    <definedName name="_______CN1" hidden="1">{"'Sheet1'!$L$16"}</definedName>
    <definedName name="_______d1500" hidden="1">{"'Sheet1'!$L$16"}</definedName>
    <definedName name="_______Goi8" hidden="1">{"'Sheet1'!$L$16"}</definedName>
    <definedName name="_______h1" hidden="1">{"'Sheet1'!$L$16"}</definedName>
    <definedName name="_______hu1" hidden="1">{"'Sheet1'!$L$16"}</definedName>
    <definedName name="_______hu2" hidden="1">{"'Sheet1'!$L$16"}</definedName>
    <definedName name="_______hu5" hidden="1">{"'Sheet1'!$L$16"}</definedName>
    <definedName name="_______hu6" hidden="1">{"'Sheet1'!$L$16"}</definedName>
    <definedName name="_______huy1" hidden="1">{"'Sheet1'!$L$16"}</definedName>
    <definedName name="_______K146" hidden="1">{"'Sheet1'!$L$16"}</definedName>
    <definedName name="_______key2" hidden="1">#REF!</definedName>
    <definedName name="_______KL1048" hidden="1">{"'Sheet1'!$L$16"}</definedName>
    <definedName name="_______Lan1" hidden="1">{"'Sheet1'!$L$16"}</definedName>
    <definedName name="_______LAN3" hidden="1">{"'Sheet1'!$L$16"}</definedName>
    <definedName name="_______M2" hidden="1">{"'Sheet1'!$L$16"}</definedName>
    <definedName name="_______MCC3" hidden="1">{#N/A,#N/A,FALSE,"CCTV"}</definedName>
    <definedName name="_______NSO2" hidden="1">{"'Sheet1'!$L$16"}</definedName>
    <definedName name="_______PA3" hidden="1">{"'Sheet1'!$L$16"}</definedName>
    <definedName name="_______pa4" hidden="1">{"'Sheet1'!$L$16"}</definedName>
    <definedName name="_______SCL4" hidden="1">{"'Sheet1'!$L$16"}</definedName>
    <definedName name="_______tb2" hidden="1">{"'Sheet1'!$L$16"}</definedName>
    <definedName name="_______tha1" hidden="1">{"'Sheet1'!$L$16"}</definedName>
    <definedName name="_______tt3" hidden="1">{"'Sheet1'!$L$16"}</definedName>
    <definedName name="_______tu4" hidden="1">{"'Sheet1'!$L$16"}</definedName>
    <definedName name="_______xlfn.BAHTTEXT" hidden="1">#NAME?</definedName>
    <definedName name="______a1" hidden="1">{"'Sheet1'!$L$16"}</definedName>
    <definedName name="______a100" hidden="1">{"'Sheet1'!$L$16"}</definedName>
    <definedName name="______a129" hidden="1">{"Offgrid",#N/A,FALSE,"OFFGRID";"Region",#N/A,FALSE,"REGION";"Offgrid -2",#N/A,FALSE,"OFFGRID";"WTP",#N/A,FALSE,"WTP";"WTP -2",#N/A,FALSE,"WTP";"Project",#N/A,FALSE,"PROJECT";"Summary -2",#N/A,FALSE,"SUMMARY"}</definedName>
    <definedName name="______a130" hidden="1">{"Offgrid",#N/A,FALSE,"OFFGRID";"Region",#N/A,FALSE,"REGION";"Offgrid -2",#N/A,FALSE,"OFFGRID";"WTP",#N/A,FALSE,"WTP";"WTP -2",#N/A,FALSE,"WTP";"Project",#N/A,FALSE,"PROJECT";"Summary -2",#N/A,FALSE,"SUMMARY"}</definedName>
    <definedName name="______a2" hidden="1">{"'Sheet1'!$L$16"}</definedName>
    <definedName name="______a3" hidden="1">{"'Sheet1'!$L$16"}</definedName>
    <definedName name="______BG12" hidden="1">{"'Sheet1'!$L$16"}</definedName>
    <definedName name="______CN1" hidden="1">{"'Sheet1'!$L$16"}</definedName>
    <definedName name="______D1" hidden="1">{"'Sheet1'!$L$16"}</definedName>
    <definedName name="______d1500" hidden="1">{"'Sheet1'!$L$16"}</definedName>
    <definedName name="______D2" hidden="1">{"'Sheet1'!$L$16"}</definedName>
    <definedName name="______GD1" hidden="1">{#N/A,#N/A,FALSE,"Chi tiÆt"}</definedName>
    <definedName name="______GD2" hidden="1">{"'Sheet1'!$L$16"}</definedName>
    <definedName name="______Goi8" hidden="1">{"'Sheet1'!$L$16"}</definedName>
    <definedName name="______h1" hidden="1">{"'Sheet1'!$L$16"}</definedName>
    <definedName name="______hu1" hidden="1">{"'Sheet1'!$L$16"}</definedName>
    <definedName name="______hu2" hidden="1">{"'Sheet1'!$L$16"}</definedName>
    <definedName name="______hu5" hidden="1">{"'Sheet1'!$L$16"}</definedName>
    <definedName name="______hu6" hidden="1">{"'Sheet1'!$L$16"}</definedName>
    <definedName name="______huy1" hidden="1">{"'Sheet1'!$L$16"}</definedName>
    <definedName name="______K146" hidden="1">{"'Sheet1'!$L$16"}</definedName>
    <definedName name="______key1" hidden="1">#REF!</definedName>
    <definedName name="______KL1048" hidden="1">{"'Sheet1'!$L$16"}</definedName>
    <definedName name="______Lan1" hidden="1">{"'Sheet1'!$L$16"}</definedName>
    <definedName name="______LAN3" hidden="1">{"'Sheet1'!$L$16"}</definedName>
    <definedName name="______lk2" hidden="1">{"'Sheet1'!$L$16"}</definedName>
    <definedName name="______m1233" hidden="1">{"'Sheet1'!$L$16"}</definedName>
    <definedName name="______MCC3" hidden="1">{#N/A,#N/A,FALSE,"CCTV"}</definedName>
    <definedName name="______NSO2" hidden="1">{"'Sheet1'!$L$16"}</definedName>
    <definedName name="______PA3" hidden="1">{"'Sheet1'!$L$16"}</definedName>
    <definedName name="______pa4" hidden="1">{"'Sheet1'!$L$16"}</definedName>
    <definedName name="______SCL4" hidden="1">{"'Sheet1'!$L$16"}</definedName>
    <definedName name="______tb2" hidden="1">{"'Sheet1'!$L$16"}</definedName>
    <definedName name="______tha1" hidden="1">{"'Sheet1'!$L$16"}</definedName>
    <definedName name="______TS2004" hidden="1">{"'Sheet1'!$L$16"}</definedName>
    <definedName name="______tt3" hidden="1">{"'Sheet1'!$L$16"}</definedName>
    <definedName name="______tu4" hidden="1">{"'Sheet1'!$L$16"}</definedName>
    <definedName name="______xlfn.BAHTTEXT" hidden="1">#NAME?</definedName>
    <definedName name="_____a1" hidden="1">{"'Sheet1'!$L$16"}</definedName>
    <definedName name="_____a100" hidden="1">{"'Sheet1'!$L$16"}</definedName>
    <definedName name="_____a129" hidden="1">{"Offgrid",#N/A,FALSE,"OFFGRID";"Region",#N/A,FALSE,"REGION";"Offgrid -2",#N/A,FALSE,"OFFGRID";"WTP",#N/A,FALSE,"WTP";"WTP -2",#N/A,FALSE,"WTP";"Project",#N/A,FALSE,"PROJECT";"Summary -2",#N/A,FALSE,"SUMMARY"}</definedName>
    <definedName name="_____a130" hidden="1">{"Offgrid",#N/A,FALSE,"OFFGRID";"Region",#N/A,FALSE,"REGION";"Offgrid -2",#N/A,FALSE,"OFFGRID";"WTP",#N/A,FALSE,"WTP";"WTP -2",#N/A,FALSE,"WTP";"Project",#N/A,FALSE,"PROJECT";"Summary -2",#N/A,FALSE,"SUMMARY"}</definedName>
    <definedName name="_____a2" hidden="1">{"'Sheet1'!$L$16"}</definedName>
    <definedName name="_____a3" hidden="1">{"'Sheet1'!$L$16"}</definedName>
    <definedName name="_____BG12" hidden="1">{"'Sheet1'!$L$16"}</definedName>
    <definedName name="_____CN1" hidden="1">{"'Sheet1'!$L$16"}</definedName>
    <definedName name="_____d1500" hidden="1">{"'Sheet1'!$L$16"}</definedName>
    <definedName name="_____DM24" hidden="1">{"'Sheet1'!$L$16"}</definedName>
    <definedName name="_____Goi8" hidden="1">{"'Sheet1'!$L$16"}</definedName>
    <definedName name="_____h1" hidden="1">{"'Sheet1'!$L$16"}</definedName>
    <definedName name="_____hu1" hidden="1">{"'Sheet1'!$L$16"}</definedName>
    <definedName name="_____hu2" hidden="1">{"'Sheet1'!$L$16"}</definedName>
    <definedName name="_____hu5" hidden="1">{"'Sheet1'!$L$16"}</definedName>
    <definedName name="_____hu6" hidden="1">{"'Sheet1'!$L$16"}</definedName>
    <definedName name="_____huy1" hidden="1">{"'Sheet1'!$L$16"}</definedName>
    <definedName name="_____key2" hidden="1">#REF!</definedName>
    <definedName name="_____KL1048" hidden="1">{"'Sheet1'!$L$16"}</definedName>
    <definedName name="_____Lan1" hidden="1">{"'Sheet1'!$L$16"}</definedName>
    <definedName name="_____LAN3" hidden="1">{"'Sheet1'!$L$16"}</definedName>
    <definedName name="_____lao2" hidden="1">{"'Sheet1'!$L$16"}</definedName>
    <definedName name="_____lk2" hidden="1">{"'Sheet1'!$L$16"}</definedName>
    <definedName name="_____m1233" hidden="1">{"'Sheet1'!$L$16"}</definedName>
    <definedName name="_____M2" hidden="1">{"'Sheet1'!$L$16"}</definedName>
    <definedName name="_____MCC3" hidden="1">{#N/A,#N/A,FALSE,"CCTV"}</definedName>
    <definedName name="_____NSO2" hidden="1">{"'Sheet1'!$L$16"}</definedName>
    <definedName name="_____PA3" hidden="1">{"'Sheet1'!$L$16"}</definedName>
    <definedName name="_____pa4" hidden="1">{"'Sheet1'!$L$16"}</definedName>
    <definedName name="_____SCL4" hidden="1">{"'Sheet1'!$L$16"}</definedName>
    <definedName name="_____tb2" hidden="1">{"'Sheet1'!$L$16"}</definedName>
    <definedName name="_____tha1" hidden="1">{"'Sheet1'!$L$16"}</definedName>
    <definedName name="_____TM2" hidden="1">{"'Sheet1'!$L$16"}</definedName>
    <definedName name="_____TS2004" hidden="1">{"'Sheet1'!$L$16"}</definedName>
    <definedName name="_____tt3" hidden="1">{"'Sheet1'!$L$16"}</definedName>
    <definedName name="_____tu4" hidden="1">{"'Sheet1'!$L$16"}</definedName>
    <definedName name="_____xlfn.BAHTTEXT" hidden="1">#NAME?</definedName>
    <definedName name="____a1" hidden="1">{"'Sheet1'!$L$16"}</definedName>
    <definedName name="____a100" hidden="1">{"'Sheet1'!$L$16"}</definedName>
    <definedName name="____a129" hidden="1">{"Offgrid",#N/A,FALSE,"OFFGRID";"Region",#N/A,FALSE,"REGION";"Offgrid -2",#N/A,FALSE,"OFFGRID";"WTP",#N/A,FALSE,"WTP";"WTP -2",#N/A,FALSE,"WTP";"Project",#N/A,FALSE,"PROJECT";"Summary -2",#N/A,FALSE,"SUMMARY"}</definedName>
    <definedName name="____a130" hidden="1">{"Offgrid",#N/A,FALSE,"OFFGRID";"Region",#N/A,FALSE,"REGION";"Offgrid -2",#N/A,FALSE,"OFFGRID";"WTP",#N/A,FALSE,"WTP";"WTP -2",#N/A,FALSE,"WTP";"Project",#N/A,FALSE,"PROJECT";"Summary -2",#N/A,FALSE,"SUMMARY"}</definedName>
    <definedName name="____a2" hidden="1">{"'Sheet1'!$L$16"}</definedName>
    <definedName name="____a3" hidden="1">{"'Sheet1'!$L$16"}</definedName>
    <definedName name="____A4" hidden="1">{"'Sheet1'!$L$16"}</definedName>
    <definedName name="____BG12" hidden="1">{"'Sheet1'!$L$16"}</definedName>
    <definedName name="____cep1" hidden="1">{"'Sheet1'!$L$16"}</definedName>
    <definedName name="____CN1" hidden="1">{"'Sheet1'!$L$16"}</definedName>
    <definedName name="____D1" hidden="1">{"'Sheet1'!$L$16"}</definedName>
    <definedName name="____d1500" hidden="1">{"'Sheet1'!$L$16"}</definedName>
    <definedName name="____D2" hidden="1">{"'Sheet1'!$L$16"}</definedName>
    <definedName name="____DM24" hidden="1">{"'Sheet1'!$L$16"}</definedName>
    <definedName name="____GD1" hidden="1">{#N/A,#N/A,FALSE,"Chi tiÆt"}</definedName>
    <definedName name="____GD2" hidden="1">{"'Sheet1'!$L$16"}</definedName>
    <definedName name="____Goi8" hidden="1">{"'Sheet1'!$L$16"}</definedName>
    <definedName name="____h1" hidden="1">{"'Sheet1'!$L$16"}</definedName>
    <definedName name="____hu1" hidden="1">{"'Sheet1'!$L$16"}</definedName>
    <definedName name="____hu2" hidden="1">{"'Sheet1'!$L$16"}</definedName>
    <definedName name="____hu5" hidden="1">{"'Sheet1'!$L$16"}</definedName>
    <definedName name="____hu6" hidden="1">{"'Sheet1'!$L$16"}</definedName>
    <definedName name="____hu7" hidden="1">{"'Sheet1'!$L$16"}</definedName>
    <definedName name="____huy1" hidden="1">{"'Sheet1'!$L$16"}</definedName>
    <definedName name="____key2" hidden="1">#REF!</definedName>
    <definedName name="____KL1048" hidden="1">{"'Sheet1'!$L$16"}</definedName>
    <definedName name="____Lan1" hidden="1">{"'Sheet1'!$L$16"}</definedName>
    <definedName name="____LAN3" hidden="1">{"'Sheet1'!$L$16"}</definedName>
    <definedName name="____lk2" hidden="1">{"'Sheet1'!$L$16"}</definedName>
    <definedName name="____m1233" hidden="1">{"'Sheet1'!$L$16"}</definedName>
    <definedName name="____M2" hidden="1">{"'Sheet1'!$L$16"}</definedName>
    <definedName name="____M36" hidden="1">{"'Sheet1'!$L$16"}</definedName>
    <definedName name="____m4" hidden="1">{"'Sheet1'!$L$16"}</definedName>
    <definedName name="____MCC3" hidden="1">{#N/A,#N/A,FALSE,"CCTV"}</definedName>
    <definedName name="____NSO2" hidden="1">{"'Sheet1'!$L$16"}</definedName>
    <definedName name="____PA3" hidden="1">{"'Sheet1'!$L$16"}</definedName>
    <definedName name="____pa4" hidden="1">{"'Sheet1'!$L$16"}</definedName>
    <definedName name="____PPP3" hidden="1">{#N/A,#N/A,FALSE,"特殊室（ＢＱ表）"}</definedName>
    <definedName name="____PPP33" hidden="1">{#N/A,#N/A,FALSE,"特殊室（ＢＱ表）"}</definedName>
    <definedName name="____ppp34" hidden="1">{#N/A,#N/A,FALSE,"特殊室（ＢＱ表）"}</definedName>
    <definedName name="____ppp3444" hidden="1">{#N/A,#N/A,FALSE,"特殊室（ＢＱ表）"}</definedName>
    <definedName name="____ql1" hidden="1">{"Offgrid",#N/A,FALSE,"OFFGRID";"Region",#N/A,FALSE,"REGION";"Offgrid -2",#N/A,FALSE,"OFFGRID";"WTP",#N/A,FALSE,"WTP";"WTP -2",#N/A,FALSE,"WTP";"Project",#N/A,FALSE,"PROJECT";"Summary -2",#N/A,FALSE,"SUMMARY"}</definedName>
    <definedName name="____SCL4" hidden="1">{"'Sheet1'!$L$16"}</definedName>
    <definedName name="____T10" hidden="1">{"'Sheet1'!$L$16"}</definedName>
    <definedName name="____tb2" hidden="1">{"'Sheet1'!$L$16"}</definedName>
    <definedName name="____tha1" hidden="1">{"'Sheet1'!$L$16"}</definedName>
    <definedName name="____tm1" hidden="1">{"'Sheet1'!$L$16"}</definedName>
    <definedName name="____TM2" hidden="1">{"'Sheet1'!$L$16"}</definedName>
    <definedName name="____TS2004" hidden="1">{"'Sheet1'!$L$16"}</definedName>
    <definedName name="____tt3" hidden="1">{"'Sheet1'!$L$16"}</definedName>
    <definedName name="____tu4" hidden="1">{"'Sheet1'!$L$16"}</definedName>
    <definedName name="____tu5" hidden="1">{"'Sheet1'!$L$16"}</definedName>
    <definedName name="____xlfn.BAHTTEXT" hidden="1">#NAME?</definedName>
    <definedName name="___a1" hidden="1">{"'Sheet1'!$L$16"}</definedName>
    <definedName name="___a100" hidden="1">{"'Sheet1'!$L$16"}</definedName>
    <definedName name="___a129" hidden="1">{"Offgrid",#N/A,FALSE,"OFFGRID";"Region",#N/A,FALSE,"REGION";"Offgrid -2",#N/A,FALSE,"OFFGRID";"WTP",#N/A,FALSE,"WTP";"WTP -2",#N/A,FALSE,"WTP";"Project",#N/A,FALSE,"PROJECT";"Summary -2",#N/A,FALSE,"SUMMARY"}</definedName>
    <definedName name="___a130" hidden="1">{"Offgrid",#N/A,FALSE,"OFFGRID";"Region",#N/A,FALSE,"REGION";"Offgrid -2",#N/A,FALSE,"OFFGRID";"WTP",#N/A,FALSE,"WTP";"WTP -2",#N/A,FALSE,"WTP";"Project",#N/A,FALSE,"PROJECT";"Summary -2",#N/A,FALSE,"SUMMARY"}</definedName>
    <definedName name="___a2" hidden="1">{"'Sheet1'!$L$16"}</definedName>
    <definedName name="___a3" hidden="1">{"'Sheet1'!$L$16"}</definedName>
    <definedName name="___A4" hidden="1">{"'Sheet1'!$L$16"}</definedName>
    <definedName name="___BG12" hidden="1">{"'Sheet1'!$L$16"}</definedName>
    <definedName name="___cep1" hidden="1">{"'Sheet1'!$L$16"}</definedName>
    <definedName name="___CN1" hidden="1">{"'Sheet1'!$L$16"}</definedName>
    <definedName name="___coc1000" hidden="1">{#N/A,#N/A,FALSE,"Chi tiÆt"}</definedName>
    <definedName name="___Coc39" hidden="1">{"'Sheet1'!$L$16"}</definedName>
    <definedName name="___Cty501" hidden="1">{"'Sheet1'!$L$16"}</definedName>
    <definedName name="___D1" hidden="1">{"'Sheet1'!$L$16"}</definedName>
    <definedName name="___d1500" hidden="1">{"'Sheet1'!$L$16"}</definedName>
    <definedName name="___D2" hidden="1">{"'Sheet1'!$L$16"}</definedName>
    <definedName name="___DM24" hidden="1">{"'Sheet1'!$L$16"}</definedName>
    <definedName name="___E1200" hidden="1">{"'Sheet1'!$L$16"}</definedName>
    <definedName name="___GD1" hidden="1">{#N/A,#N/A,FALSE,"Chi tiÆt"}</definedName>
    <definedName name="___GD2" hidden="1">{"'Sheet1'!$L$16"}</definedName>
    <definedName name="___Goi8" hidden="1">{"'Sheet1'!$L$16"}</definedName>
    <definedName name="___h1" hidden="1">{"'Sheet1'!$L$16"}</definedName>
    <definedName name="___hu1" hidden="1">{"'Sheet1'!$L$16"}</definedName>
    <definedName name="___hu2" hidden="1">{"'Sheet1'!$L$16"}</definedName>
    <definedName name="___hu5" hidden="1">{"'Sheet1'!$L$16"}</definedName>
    <definedName name="___hu6" hidden="1">{"'Sheet1'!$L$16"}</definedName>
    <definedName name="___huy1" hidden="1">{"'Sheet1'!$L$16"}</definedName>
    <definedName name="___K146" hidden="1">{"'Sheet1'!$L$16"}</definedName>
    <definedName name="___key1" hidden="1">#REF!</definedName>
    <definedName name="___key2" hidden="1">#REF!</definedName>
    <definedName name="___KL1048" hidden="1">{"'Sheet1'!$L$16"}</definedName>
    <definedName name="___KL3" hidden="1">{"'Sheet1'!$L$16"}</definedName>
    <definedName name="___KM22" hidden="1">{"'Sheet1'!$L$16"}</definedName>
    <definedName name="___KM34" hidden="1">{"'Sheet1'!$L$16"}</definedName>
    <definedName name="___km51" hidden="1">{"'Sheet1'!$L$16"}</definedName>
    <definedName name="___Lan1" hidden="1">{"'Sheet1'!$L$16"}</definedName>
    <definedName name="___LAN3" hidden="1">{"'Sheet1'!$L$16"}</definedName>
    <definedName name="___lao2" hidden="1">{"'Sheet1'!$L$16"}</definedName>
    <definedName name="___lk2" hidden="1">{"'Sheet1'!$L$16"}</definedName>
    <definedName name="___m1233" hidden="1">{"'Sheet1'!$L$16"}</definedName>
    <definedName name="___M2" hidden="1">{"'Sheet1'!$L$16"}</definedName>
    <definedName name="___M36" hidden="1">{"'Sheet1'!$L$16"}</definedName>
    <definedName name="___MCC3" hidden="1">{#N/A,#N/A,FALSE,"CCTV"}</definedName>
    <definedName name="___moi2" hidden="1">{"'Sheet1'!$L$16"}</definedName>
    <definedName name="___NK5" hidden="1">{"'Sheet1'!$L$16"}</definedName>
    <definedName name="___NSO2" hidden="1">{"'Sheet1'!$L$16"}</definedName>
    <definedName name="___P3" hidden="1">{#N/A,#N/A,FALSE,"特殊室（ＢＱ表）"}</definedName>
    <definedName name="___PA3" hidden="1">{"'Sheet1'!$L$16"}</definedName>
    <definedName name="___pa4" hidden="1">{"'Sheet1'!$L$16"}</definedName>
    <definedName name="___PPP3" hidden="1">{#N/A,#N/A,FALSE,"特殊室（ＢＱ表）"}</definedName>
    <definedName name="___PPP33" hidden="1">{#N/A,#N/A,FALSE,"特殊室（ＢＱ表）"}</definedName>
    <definedName name="___ppp34" hidden="1">{#N/A,#N/A,FALSE,"特殊室（ＢＱ表）"}</definedName>
    <definedName name="___ppp3444" hidden="1">{#N/A,#N/A,FALSE,"特殊室（ＢＱ表）"}</definedName>
    <definedName name="___ql1" hidden="1">{"Offgrid",#N/A,FALSE,"OFFGRID";"Region",#N/A,FALSE,"REGION";"Offgrid -2",#N/A,FALSE,"OFFGRID";"WTP",#N/A,FALSE,"WTP";"WTP -2",#N/A,FALSE,"WTP";"Project",#N/A,FALSE,"PROJECT";"Summary -2",#N/A,FALSE,"SUMMARY"}</definedName>
    <definedName name="___SCL4" hidden="1">{"'Sheet1'!$L$16"}</definedName>
    <definedName name="___sum1" hidden="1">#REF!</definedName>
    <definedName name="___tb2" hidden="1">{"'Sheet1'!$L$16"}</definedName>
    <definedName name="___td1" hidden="1">{"'Sheet1'!$L$16"}</definedName>
    <definedName name="___TD3" hidden="1">{"'Sheet1'!$L$16"}</definedName>
    <definedName name="___th1" hidden="1">{"Offgrid",#N/A,FALSE,"OFFGRID";"Region",#N/A,FALSE,"REGION";"Offgrid -2",#N/A,FALSE,"OFFGRID";"WTP",#N/A,FALSE,"WTP";"WTP -2",#N/A,FALSE,"WTP";"Project",#N/A,FALSE,"PROJECT";"Summary -2",#N/A,FALSE,"SUMMARY"}</definedName>
    <definedName name="___tha1" hidden="1">{"'Sheet1'!$L$16"}</definedName>
    <definedName name="___tm1" hidden="1">{"'Sheet1'!$L$16"}</definedName>
    <definedName name="___TM2" hidden="1">{"'Sheet1'!$L$16"}</definedName>
    <definedName name="___TS2004" hidden="1">{"'Sheet1'!$L$16"}</definedName>
    <definedName name="___tt3" hidden="1">{"'Sheet1'!$L$16"}</definedName>
    <definedName name="___tu4" hidden="1">{"'Sheet1'!$L$16"}</definedName>
    <definedName name="___tu5" hidden="1">{"'Sheet1'!$L$16"}</definedName>
    <definedName name="___VLP2" hidden="1">{"'Sheet1'!$L$16"}</definedName>
    <definedName name="___xlfn.BAHTTEXT" hidden="1">#NAME?</definedName>
    <definedName name="___z511" hidden="1">{"'Sheet1'!$L$16"}</definedName>
    <definedName name="__a1" hidden="1">{"'Sheet1'!$L$16"}</definedName>
    <definedName name="__a100" hidden="1">{"'Sheet1'!$L$16"}</definedName>
    <definedName name="__a129" hidden="1">{"Offgrid",#N/A,FALSE,"OFFGRID";"Region",#N/A,FALSE,"REGION";"Offgrid -2",#N/A,FALSE,"OFFGRID";"WTP",#N/A,FALSE,"WTP";"WTP -2",#N/A,FALSE,"WTP";"Project",#N/A,FALSE,"PROJECT";"Summary -2",#N/A,FALSE,"SUMMARY"}</definedName>
    <definedName name="__a130" hidden="1">{"Offgrid",#N/A,FALSE,"OFFGRID";"Region",#N/A,FALSE,"REGION";"Offgrid -2",#N/A,FALSE,"OFFGRID";"WTP",#N/A,FALSE,"WTP";"WTP -2",#N/A,FALSE,"WTP";"Project",#N/A,FALSE,"PROJECT";"Summary -2",#N/A,FALSE,"SUMMARY"}</definedName>
    <definedName name="__a2" hidden="1">{"'Sheet1'!$L$16"}</definedName>
    <definedName name="__a3" hidden="1">{"'Sheet1'!$L$16"}</definedName>
    <definedName name="__A4" hidden="1">{"'Sheet1'!$L$16"}</definedName>
    <definedName name="__a9" hidden="1">{"'Sheet1'!$L$16"}</definedName>
    <definedName name="__B19" hidden="1">{"'Sheet1'!$L$16"}</definedName>
    <definedName name="__BG12" hidden="1">{"'Sheet1'!$L$16"}</definedName>
    <definedName name="__CD2" hidden="1">{"'Sheet1'!$L$16"}</definedName>
    <definedName name="__cep1" hidden="1">{"'Sheet1'!$L$16"}</definedName>
    <definedName name="__CN1" hidden="1">{"'Sheet1'!$L$16"}</definedName>
    <definedName name="__coc1000" hidden="1">{#N/A,#N/A,FALSE,"Chi tiÆt"}</definedName>
    <definedName name="__Coc39" hidden="1">{"'Sheet1'!$L$16"}</definedName>
    <definedName name="__Cty501" hidden="1">{"'Sheet1'!$L$16"}</definedName>
    <definedName name="__D1" hidden="1">{"'Sheet1'!$L$16"}</definedName>
    <definedName name="__d1500" hidden="1">{"'Sheet1'!$L$16"}</definedName>
    <definedName name="__D2" hidden="1">{"'Sheet1'!$L$16"}</definedName>
    <definedName name="__D41" hidden="1">{"'Sheet1'!$L$16"}</definedName>
    <definedName name="__D42" hidden="1">{"'Sheet1'!$L$16"}</definedName>
    <definedName name="__D6" hidden="1">{#N/A,#N/A,FALSE,"Chi tiÆt"}</definedName>
    <definedName name="__dao2" hidden="1">{"'Sheet1'!$L$16"}</definedName>
    <definedName name="__DM24" hidden="1">{"'Sheet1'!$L$16"}</definedName>
    <definedName name="__dt3" hidden="1">{"'Sheet1'!$L$16"}</definedName>
    <definedName name="__E1200" hidden="1">{"'Sheet1'!$L$16"}</definedName>
    <definedName name="__f5" hidden="1">{"'Sheet1'!$L$16"}</definedName>
    <definedName name="__GD1" hidden="1">{#N/A,#N/A,FALSE,"Chi tiÆt"}</definedName>
    <definedName name="__GD2" hidden="1">{"'Sheet1'!$L$16"}</definedName>
    <definedName name="__Goi8" hidden="1">{"'Sheet1'!$L$16"}</definedName>
    <definedName name="__h1" hidden="1">{"'Sheet1'!$L$16"}</definedName>
    <definedName name="__hh1219" hidden="1">{"'Sheet1'!$L$16"}</definedName>
    <definedName name="__hu1" hidden="1">{"'Sheet1'!$L$16"}</definedName>
    <definedName name="__hu2" hidden="1">{"'Sheet1'!$L$16"}</definedName>
    <definedName name="__hu3" hidden="1">{"'Sheet1'!$L$16"}</definedName>
    <definedName name="__hu5" hidden="1">{"'Sheet1'!$L$16"}</definedName>
    <definedName name="__hu6" hidden="1">{"'Sheet1'!$L$16"}</definedName>
    <definedName name="__hu7" hidden="1">{"'Sheet1'!$L$16"}</definedName>
    <definedName name="__Huy1" hidden="1">{"'Sheet1'!$L$16"}</definedName>
    <definedName name="__Huy2" hidden="1">{"'Sheet1'!$L$16"}</definedName>
    <definedName name="__IntlFixup" hidden="1">TRUE</definedName>
    <definedName name="__K146" hidden="1">{"'Sheet1'!$L$16"}</definedName>
    <definedName name="__k27" hidden="1">{"'Sheet1'!$L$16"}</definedName>
    <definedName name="__key1" hidden="1">#REF!</definedName>
    <definedName name="__key2" hidden="1">#REF!</definedName>
    <definedName name="__KL1048" hidden="1">{"'Sheet1'!$L$16"}</definedName>
    <definedName name="__km03" hidden="1">{"'Sheet1'!$L$16"}</definedName>
    <definedName name="__KM22" hidden="1">{"'Sheet1'!$L$16"}</definedName>
    <definedName name="__KM34" hidden="1">{"'Sheet1'!$L$16"}</definedName>
    <definedName name="__km51" hidden="1">{"'Sheet1'!$L$16"}</definedName>
    <definedName name="__kom1" hidden="1">{"'Sheet1'!$L$16"}</definedName>
    <definedName name="__Lan1" hidden="1">{"'Sheet1'!$L$16"}</definedName>
    <definedName name="__LAN3" hidden="1">{"'Sheet1'!$L$16"}</definedName>
    <definedName name="__ld2" hidden="1">{"'Sheet1'!$L$16"}</definedName>
    <definedName name="__lk2" hidden="1">{"'Sheet1'!$L$16"}</definedName>
    <definedName name="__m1233" hidden="1">{"'Sheet1'!$L$16"}</definedName>
    <definedName name="__M2" hidden="1">{"'Sheet1'!$L$16"}</definedName>
    <definedName name="__M36" hidden="1">{"'Sheet1'!$L$16"}</definedName>
    <definedName name="__m4" hidden="1">{"'Sheet1'!$L$16"}</definedName>
    <definedName name="__MCC3" hidden="1">{#N/A,#N/A,FALSE,"CCTV"}</definedName>
    <definedName name="__moi2" hidden="1">{"'Sheet1'!$L$16"}</definedName>
    <definedName name="__MTL12" hidden="1">{"'Sheet1'!$L$16"}</definedName>
    <definedName name="__NCN15" hidden="1">{"'Sheet1'!$L$16"}</definedName>
    <definedName name="__NK5" hidden="1">{"'Sheet1'!$L$16"}</definedName>
    <definedName name="__NSO2" hidden="1">{"'Sheet1'!$L$16"}</definedName>
    <definedName name="__p06" hidden="1">{"'Sheet1'!$L$16"}</definedName>
    <definedName name="__PA3" hidden="1">{"'Sheet1'!$L$16"}</definedName>
    <definedName name="__pa4" hidden="1">{"'Sheet1'!$L$16"}</definedName>
    <definedName name="__PPP3" hidden="1">{#N/A,#N/A,FALSE,"特殊室（ＢＱ表）"}</definedName>
    <definedName name="__PPP33" hidden="1">{#N/A,#N/A,FALSE,"特殊室（ＢＱ表）"}</definedName>
    <definedName name="__ppp34" hidden="1">{#N/A,#N/A,FALSE,"特殊室（ＢＱ表）"}</definedName>
    <definedName name="__ppp3444" hidden="1">{#N/A,#N/A,FALSE,"特殊室（ＢＱ表）"}</definedName>
    <definedName name="__pq3" hidden="1">#REF!</definedName>
    <definedName name="__pq4" hidden="1">#REF!</definedName>
    <definedName name="__ql1" hidden="1">{"Offgrid",#N/A,FALSE,"OFFGRID";"Region",#N/A,FALSE,"REGION";"Offgrid -2",#N/A,FALSE,"OFFGRID";"WTP",#N/A,FALSE,"WTP";"WTP -2",#N/A,FALSE,"WTP";"Project",#N/A,FALSE,"PROJECT";"Summary -2",#N/A,FALSE,"SUMMARY"}</definedName>
    <definedName name="__QLO7" hidden="1">#REF!</definedName>
    <definedName name="__SB22" hidden="1">{"'Sheet1'!$L$16"}</definedName>
    <definedName name="__SCL4" hidden="1">{"'Sheet1'!$L$16"}</definedName>
    <definedName name="__SS2" hidden="1">{"'Sheet1'!$L$16"}</definedName>
    <definedName name="__sum1" hidden="1">#REF!</definedName>
    <definedName name="__t1" hidden="1">{"'Sheet1'!$L$16"}</definedName>
    <definedName name="__T10" hidden="1">{"'Sheet1'!$L$16"}</definedName>
    <definedName name="__T7" hidden="1">{"'Sheet1'!$L$16"}</definedName>
    <definedName name="__t9" hidden="1">{#N/A,#N/A,FALSE,"Chi tiÆt"}</definedName>
    <definedName name="__td1" hidden="1">{"'Sheet1'!$L$16"}</definedName>
    <definedName name="__TD3" hidden="1">{"'Sheet1'!$L$16"}</definedName>
    <definedName name="__th1" hidden="1">{"Offgrid",#N/A,FALSE,"OFFGRID";"Region",#N/A,FALSE,"REGION";"Offgrid -2",#N/A,FALSE,"OFFGRID";"WTP",#N/A,FALSE,"WTP";"WTP -2",#N/A,FALSE,"WTP";"Project",#N/A,FALSE,"PROJECT";"Summary -2",#N/A,FALSE,"SUMMARY"}</definedName>
    <definedName name="__tha1" hidden="1">{"'Sheet1'!$L$16"}</definedName>
    <definedName name="__tm1" hidden="1">{"'Sheet1'!$L$16"}</definedName>
    <definedName name="__TM2" hidden="1">{"'Sheet1'!$L$16"}</definedName>
    <definedName name="__TO14" hidden="1">{"'Sheet1'!$L$16"}</definedName>
    <definedName name="__TS2004" hidden="1">{"'Sheet1'!$L$16"}</definedName>
    <definedName name="__tt3" hidden="1">{"'Sheet1'!$L$16"}</definedName>
    <definedName name="__TT31" hidden="1">{"'Sheet1'!$L$16"}</definedName>
    <definedName name="__tu4" hidden="1">{"'Sheet1'!$L$16"}</definedName>
    <definedName name="__tu5" hidden="1">{"'Sheet1'!$L$16"}</definedName>
    <definedName name="__VLP2" hidden="1">{"'Sheet1'!$L$16"}</definedName>
    <definedName name="__VTQ1" hidden="1">{"'Sheet1'!$L$16"}</definedName>
    <definedName name="__xlfn.BAHTTEXT" hidden="1">#NAME?</definedName>
    <definedName name="__z511" hidden="1">{"'Sheet1'!$L$16"}</definedName>
    <definedName name="_1__123Graph_A????_1" hidden="1">#REF!</definedName>
    <definedName name="_1__123Graph_Aｸﾞﾗﾌ_1" hidden="1">#REF!</definedName>
    <definedName name="_1_0ten_" hidden="1">#REF!</definedName>
    <definedName name="_10__123Graph_Aｸﾞﾗﾌ_2" hidden="1">#REF!</definedName>
    <definedName name="_10__123Graph_Aｸﾞﾗﾌ_5" hidden="1">#REF!</definedName>
    <definedName name="_10__123Graph_Xｸﾞﾗﾌ_5" hidden="1">#REF!</definedName>
    <definedName name="_10_0ten_" hidden="1">#REF!</definedName>
    <definedName name="_100__123Graph_Xｸﾞﾗﾌ_3" hidden="1">#REF!</definedName>
    <definedName name="_103__123Graph_X????_4" hidden="1">#REF!</definedName>
    <definedName name="_103__123Graph_Xｸﾞﾗﾌ_5" hidden="1">#REF!</definedName>
    <definedName name="_106__123Graph_Xｸﾞﾗﾌ_4" hidden="1">#REF!</definedName>
    <definedName name="_108__123Graph_X????_5" hidden="1">#REF!</definedName>
    <definedName name="_11__123Graph_Aｸﾞﾗﾌ_3" hidden="1">#REF!</definedName>
    <definedName name="_11__123Graph_X????_1" hidden="1">#REF!</definedName>
    <definedName name="_112__123Graph_Xｸﾞﾗﾌ_5" hidden="1">#REF!</definedName>
    <definedName name="_116__123Graph_Xｸﾞﾗﾌ_1" hidden="1">#REF!</definedName>
    <definedName name="_11P3_" hidden="1">{#N/A,#N/A,FALSE,"特殊室（ＢＱ表）"}</definedName>
    <definedName name="_12__123Graph_A????_2" hidden="1">#REF!</definedName>
    <definedName name="_12__123Graph_Aｸﾞﾗﾌ_4" hidden="1">#REF!</definedName>
    <definedName name="_12__123Graph_X????_2" hidden="1">#REF!</definedName>
    <definedName name="_124__123Graph_Xｸﾞﾗﾌ_2" hidden="1">#REF!</definedName>
    <definedName name="_13__123Graph_Aｸﾞﾗﾌ_5" hidden="1">#REF!</definedName>
    <definedName name="_13__123Graph_X????_3" hidden="1">#REF!</definedName>
    <definedName name="_132__123Graph_Xｸﾞﾗﾌ_3" hidden="1">#REF!</definedName>
    <definedName name="_14__123Graph_X????_1" hidden="1">#REF!</definedName>
    <definedName name="_14__123Graph_X????_4" hidden="1">#REF!</definedName>
    <definedName name="_140__123Graph_Xｸﾞﾗﾌ_4" hidden="1">#REF!</definedName>
    <definedName name="_148__123Graph_Xｸﾞﾗﾌ_5" hidden="1">#REF!</definedName>
    <definedName name="_15__123Graph_X????_2" hidden="1">#REF!</definedName>
    <definedName name="_15__123Graph_X????_5" hidden="1">#REF!</definedName>
    <definedName name="_15_0xoa_" hidden="1">#REF!</definedName>
    <definedName name="_16__123Graph_X????_3" hidden="1">#REF!</definedName>
    <definedName name="_16__123Graph_Xｸﾞﾗﾌ_1" hidden="1">#REF!</definedName>
    <definedName name="_16_0xoa_" hidden="1">#REF!</definedName>
    <definedName name="_17__123Graph_A????_1" hidden="1">#REF!</definedName>
    <definedName name="_17__123Graph_A????_3" hidden="1">#REF!</definedName>
    <definedName name="_17__123Graph_X????_4" hidden="1">#REF!</definedName>
    <definedName name="_17__123Graph_Xｸﾞﾗﾌ_2" hidden="1">#REF!</definedName>
    <definedName name="_17a1_" hidden="1">{"'Sheet1'!$L$16"}</definedName>
    <definedName name="_18__123Graph_X????_5" hidden="1">#REF!</definedName>
    <definedName name="_18__123Graph_Xｸﾞﾗﾌ_3" hidden="1">#REF!</definedName>
    <definedName name="_19__123Graph_Xｸﾞﾗﾌ_1" hidden="1">#REF!</definedName>
    <definedName name="_19__123Graph_Xｸﾞﾗﾌ_4" hidden="1">#REF!</definedName>
    <definedName name="_1a1_" hidden="1">{"'Sheet1'!$L$16"}</definedName>
    <definedName name="_1P3_" hidden="1">{#N/A,#N/A,FALSE,"特殊室（ＢＱ表）"}</definedName>
    <definedName name="_2__123Graph_A????_2" hidden="1">#REF!</definedName>
    <definedName name="_2__123Graph_Aｸﾞﾗﾌ_2" hidden="1">#REF!</definedName>
    <definedName name="_2_0ten_" hidden="1">#REF!</definedName>
    <definedName name="_2_0xoa_" hidden="1">#REF!</definedName>
    <definedName name="_20__123Graph_Xｸﾞﾗﾌ_2" hidden="1">#REF!</definedName>
    <definedName name="_20__123Graph_Xｸﾞﾗﾌ_5" hidden="1">#REF!</definedName>
    <definedName name="_21__123Graph_A????_2" hidden="1">#REF!</definedName>
    <definedName name="_21__123Graph_Xｸﾞﾗﾌ_3" hidden="1">#REF!</definedName>
    <definedName name="_22__123Graph_A????_4" hidden="1">#REF!</definedName>
    <definedName name="_22__123Graph_Xｸﾞﾗﾌ_4" hidden="1">#REF!</definedName>
    <definedName name="_23__123Graph_A????_1" hidden="1">#REF!</definedName>
    <definedName name="_23__123Graph_Xｸﾞﾗﾌ_5" hidden="1">#REF!</definedName>
    <definedName name="_25__123Graph_A????_3" hidden="1">#REF!</definedName>
    <definedName name="_27__123Graph_A????_5" hidden="1">#REF!</definedName>
    <definedName name="_28__123Graph_A????_2" hidden="1">#REF!</definedName>
    <definedName name="_29__123Graph_A????_4" hidden="1">#REF!</definedName>
    <definedName name="_3__123Graph_A????_3" hidden="1">#REF!</definedName>
    <definedName name="_3__123Graph_Aｸﾞﾗﾌ_3" hidden="1">#REF!</definedName>
    <definedName name="_3_0ten_" hidden="1">#REF!</definedName>
    <definedName name="_33__123Graph_A????_3" hidden="1">#REF!</definedName>
    <definedName name="_33__123Graph_A????_5" hidden="1">#REF!</definedName>
    <definedName name="_33__123Graph_Aｸﾞﾗﾌ_1" hidden="1">#REF!</definedName>
    <definedName name="_38__123Graph_A????_4" hidden="1">#REF!</definedName>
    <definedName name="_38__123Graph_Aｸﾞﾗﾌ_1" hidden="1">#REF!</definedName>
    <definedName name="_39__123Graph_Aｸﾞﾗﾌ_2" hidden="1">#REF!</definedName>
    <definedName name="_4__123Graph_A????_1" hidden="1">#REF!</definedName>
    <definedName name="_4__123Graph_A????_4" hidden="1">#REF!</definedName>
    <definedName name="_4__123Graph_Aｸﾞﾗﾌ_4" hidden="1">#REF!</definedName>
    <definedName name="_4_0xoa_" hidden="1">#REF!</definedName>
    <definedName name="_43__123Graph_A????_5" hidden="1">#REF!</definedName>
    <definedName name="_43__123Graph_Aｸﾞﾗﾌ_2" hidden="1">#REF!</definedName>
    <definedName name="_45__123Graph_Aｸﾞﾗﾌ_3" hidden="1">#REF!</definedName>
    <definedName name="_48__123Graph_Aｸﾞﾗﾌ_3" hidden="1">#REF!</definedName>
    <definedName name="_5__123Graph_A????_2" hidden="1">#REF!</definedName>
    <definedName name="_5__123Graph_A????_5" hidden="1">#REF!</definedName>
    <definedName name="_5__123Graph_Aｸﾞﾗﾌ_5" hidden="1">#REF!</definedName>
    <definedName name="_51__123Graph_Aｸﾞﾗﾌ_1" hidden="1">#REF!</definedName>
    <definedName name="_51__123Graph_Aｸﾞﾗﾌ_4" hidden="1">#REF!</definedName>
    <definedName name="_53__123Graph_Aｸﾞﾗﾌ_4" hidden="1">#REF!</definedName>
    <definedName name="_57__123Graph_Aｸﾞﾗﾌ_5" hidden="1">#REF!</definedName>
    <definedName name="_58__123Graph_Aｸﾞﾗﾌ_5" hidden="1">#REF!</definedName>
    <definedName name="_59__123Graph_Aｸﾞﾗﾌ_2" hidden="1">#REF!</definedName>
    <definedName name="_6__123Graph_A????_3" hidden="1">#REF!</definedName>
    <definedName name="_6__123Graph_Aｸﾞﾗﾌ_1" hidden="1">#REF!</definedName>
    <definedName name="_6__123Graph_Xｸﾞﾗﾌ_1" hidden="1">#REF!</definedName>
    <definedName name="_6_0ten_" hidden="1">#REF!</definedName>
    <definedName name="_6_0xoa_" hidden="1">#REF!</definedName>
    <definedName name="_62__123Graph_X????_1" hidden="1">#REF!</definedName>
    <definedName name="_66__123Graph_X????_2" hidden="1">#REF!</definedName>
    <definedName name="_67__123Graph_Aｸﾞﾗﾌ_3" hidden="1">#REF!</definedName>
    <definedName name="_67__123Graph_X????_2" hidden="1">#REF!</definedName>
    <definedName name="_7__123Graph_A????_1" hidden="1">#REF!</definedName>
    <definedName name="_7__123Graph_A????_4" hidden="1">#REF!</definedName>
    <definedName name="_7__123Graph_Aｸﾞﾗﾌ_2" hidden="1">#REF!</definedName>
    <definedName name="_7__123Graph_Xｸﾞﾗﾌ_2" hidden="1">#REF!</definedName>
    <definedName name="_7_0xoa_" hidden="1">#REF!</definedName>
    <definedName name="_70__123Graph_X????_3" hidden="1">#REF!</definedName>
    <definedName name="_72__123Graph_X????_3" hidden="1">#REF!</definedName>
    <definedName name="_74__123Graph_X????_4" hidden="1">#REF!</definedName>
    <definedName name="_75__123Graph_Aｸﾞﾗﾌ_4" hidden="1">#REF!</definedName>
    <definedName name="_77__123Graph_X????_4" hidden="1">#REF!</definedName>
    <definedName name="_78__123Graph_X????_5" hidden="1">#REF!</definedName>
    <definedName name="_8__123Graph_A????_5" hidden="1">#REF!</definedName>
    <definedName name="_8__123Graph_Aｸﾞﾗﾌ_3" hidden="1">#REF!</definedName>
    <definedName name="_8__123Graph_Xｸﾞﾗﾌ_3" hidden="1">#REF!</definedName>
    <definedName name="_8_0ten_" hidden="1">#REF!</definedName>
    <definedName name="_82__123Graph_X????_5" hidden="1">#REF!</definedName>
    <definedName name="_83__123Graph_Aｸﾞﾗﾌ_5" hidden="1">#REF!</definedName>
    <definedName name="_83__123Graph_Xｸﾞﾗﾌ_1" hidden="1">#REF!</definedName>
    <definedName name="_84_0ten_" hidden="1">#REF!</definedName>
    <definedName name="_88__123Graph_X????_1" hidden="1">#REF!</definedName>
    <definedName name="_88__123Graph_Xｸﾞﾗﾌ_1" hidden="1">#REF!</definedName>
    <definedName name="_88__123Graph_Xｸﾞﾗﾌ_2" hidden="1">#REF!</definedName>
    <definedName name="_9__123Graph_Aｸﾞﾗﾌ_1" hidden="1">#REF!</definedName>
    <definedName name="_9__123Graph_Aｸﾞﾗﾌ_4" hidden="1">#REF!</definedName>
    <definedName name="_9__123Graph_Xｸﾞﾗﾌ_4" hidden="1">#REF!</definedName>
    <definedName name="_93__123Graph_X????_2" hidden="1">#REF!</definedName>
    <definedName name="_93__123Graph_Xｸﾞﾗﾌ_3" hidden="1">#REF!</definedName>
    <definedName name="_94__123Graph_Xｸﾞﾗﾌ_2" hidden="1">#REF!</definedName>
    <definedName name="_97_0xoa_" hidden="1">#REF!</definedName>
    <definedName name="_98__123Graph_X????_3" hidden="1">#REF!</definedName>
    <definedName name="_98__123Graph_Xｸﾞﾗﾌ_4" hidden="1">#REF!</definedName>
    <definedName name="_a1" hidden="1">{"'Sheet1'!$L$16"}</definedName>
    <definedName name="_a100" hidden="1">{"'Sheet1'!$L$16"}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291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1s" hidden="1">{"'Sheet1'!$L$16"}</definedName>
    <definedName name="_a2" hidden="1">{"'Sheet1'!$L$16"}</definedName>
    <definedName name="_a21" hidden="1">{"'Sheet1'!$L$16"}</definedName>
    <definedName name="_a3" hidden="1">{"'Sheet1'!$L$16"}</definedName>
    <definedName name="_A4" hidden="1">{"'Sheet1'!$L$16"}</definedName>
    <definedName name="_a9" hidden="1">{"'Sheet1'!$L$16"}</definedName>
    <definedName name="_B19" hidden="1">{"'Sheet1'!$L$16"}</definedName>
    <definedName name="_ban2" hidden="1">{"'Sheet1'!$L$16"}</definedName>
    <definedName name="_BG12" hidden="1">{"'Sheet1'!$L$16"}</definedName>
    <definedName name="_bht4" hidden="1">{#N/A,#N/A,FALSE,"Chi tiÆt"}</definedName>
    <definedName name="_bht5" hidden="1">{#N/A,#N/A,FALSE,"Chi tiÆt"}</definedName>
    <definedName name="_bht6" hidden="1">{"'Sheet1'!$L$16"}</definedName>
    <definedName name="_Builtin0" hidden="1">#REF!</definedName>
    <definedName name="_Builtin155" hidden="1">#N/A</definedName>
    <definedName name="_CD2" hidden="1">{"'Sheet1'!$L$16"}</definedName>
    <definedName name="_cd20" hidden="1">{"'Sheet1'!$L$16"}</definedName>
    <definedName name="_cep1" hidden="1">{"'Sheet1'!$L$16"}</definedName>
    <definedName name="_CN1" hidden="1">{"'Sheet1'!$L$16"}</definedName>
    <definedName name="_coc1000" hidden="1">{#N/A,#N/A,FALSE,"Chi tiÆt"}</definedName>
    <definedName name="_Coc39" hidden="1">{"'Sheet1'!$L$16"}</definedName>
    <definedName name="_CT2" hidden="1">{"'Sheet1'!$L$16"}</definedName>
    <definedName name="_CT4" hidden="1">{"'Sheet1'!$L$16"}</definedName>
    <definedName name="_Cty501" hidden="1">{"'Sheet1'!$L$16"}</definedName>
    <definedName name="_cuu1" hidden="1">{"'Sheet1'!$L$16"}</definedName>
    <definedName name="_D1" hidden="1">{"'Sheet1'!$L$16"}</definedName>
    <definedName name="_d1500" hidden="1">{"'Sheet1'!$L$16"}</definedName>
    <definedName name="_D2" hidden="1">{"'Sheet1'!$L$16"}</definedName>
    <definedName name="_D5" hidden="1">{"Offgrid",#N/A,FALSE,"OFFGRID";"Region",#N/A,FALSE,"REGION";"Offgrid -2",#N/A,FALSE,"OFFGRID";"WTP",#N/A,FALSE,"WTP";"WTP -2",#N/A,FALSE,"WTP";"Project",#N/A,FALSE,"PROJECT";"Summary -2",#N/A,FALSE,"SUMMARY"}</definedName>
    <definedName name="_Dist_Bin" hidden="1">#REF!</definedName>
    <definedName name="_Dist_Values" hidden="1">#REF!</definedName>
    <definedName name="_DM24" hidden="1">{"'Sheet1'!$L$16"}</definedName>
    <definedName name="_dt1" hidden="1">{"'Sheet1'!$L$16"}</definedName>
    <definedName name="_dt3" hidden="1">{"'Sheet1'!$L$16"}</definedName>
    <definedName name="_E1200" hidden="1">{"'Sheet1'!$L$16"}</definedName>
    <definedName name="_f5" hidden="1">{"'Sheet1'!$L$16"}</definedName>
    <definedName name="_Fill" hidden="1">#REF!</definedName>
    <definedName name="_Fill1" hidden="1">#REF!</definedName>
    <definedName name="_Fill2" hidden="1">#REF!</definedName>
    <definedName name="_xlnm._FilterDatabase" hidden="1">#REF!</definedName>
    <definedName name="_GD1" hidden="1">{#N/A,#N/A,FALSE,"Chi tiÆt"}</definedName>
    <definedName name="_GD2" hidden="1">{"'Sheet1'!$L$16"}</definedName>
    <definedName name="_Goi8" hidden="1">{"'Sheet1'!$L$16"}</definedName>
    <definedName name="_h1" hidden="1">{"'Sheet1'!$L$16"}</definedName>
    <definedName name="_h111" hidden="1">{"'Sheet1'!$L$16"}</definedName>
    <definedName name="_hh1219" hidden="1">{"'Sheet1'!$L$16"}</definedName>
    <definedName name="_hu1" hidden="1">{"'Sheet1'!$L$16"}</definedName>
    <definedName name="_hu2" hidden="1">{"'Sheet1'!$L$16"}</definedName>
    <definedName name="_hu3" hidden="1">{"'Sheet1'!$L$16"}</definedName>
    <definedName name="_hu5" hidden="1">{"'Sheet1'!$L$16"}</definedName>
    <definedName name="_hu6" hidden="1">{"'Sheet1'!$L$16"}</definedName>
    <definedName name="_hu7" hidden="1">{"'Sheet1'!$L$16"}</definedName>
    <definedName name="_huy1" hidden="1">{"'Sheet1'!$L$16"}</definedName>
    <definedName name="_huy2" hidden="1">{"'Sheet1'!$L$16"}</definedName>
    <definedName name="_K146" hidden="1">{"'Sheet1'!$L$16"}</definedName>
    <definedName name="_k27" hidden="1">{"'Sheet1'!$L$16"}</definedName>
    <definedName name="_k7" hidden="1">{"'Sheet1'!$L$16"}</definedName>
    <definedName name="_Key1" hidden="1">#REF!</definedName>
    <definedName name="_KEY11" hidden="1">#REF!</definedName>
    <definedName name="_KEY12" hidden="1">#REF!</definedName>
    <definedName name="_Key2" hidden="1">#REF!</definedName>
    <definedName name="_keydd" hidden="1">#REF!</definedName>
    <definedName name="_KH12" hidden="1">{#N/A,#N/A,FALSE,"Chi tiÆt"}</definedName>
    <definedName name="_kh41" hidden="1">{"'Sheet1'!$L$16"}</definedName>
    <definedName name="_KL1048" hidden="1">{"'Sheet1'!$L$16"}</definedName>
    <definedName name="_kl11" hidden="1">{"'Sheet1'!$L$16"}</definedName>
    <definedName name="_KL3" hidden="1">{"'Sheet1'!$L$16"}</definedName>
    <definedName name="_kl4" hidden="1">{"'Sheet1'!$L$16"}</definedName>
    <definedName name="_kl6" hidden="1">{"'Sheet1'!$L$16"}</definedName>
    <definedName name="_km03" hidden="1">{"'Sheet1'!$L$16"}</definedName>
    <definedName name="_km123" hidden="1">{"'Sheet1'!$L$16"}</definedName>
    <definedName name="_km124" hidden="1">{"'Sheet1'!$L$16"}</definedName>
    <definedName name="_KM22" hidden="1">{"'Sheet1'!$L$16"}</definedName>
    <definedName name="_kom1" hidden="1">{"'Sheet1'!$L$16"}</definedName>
    <definedName name="_Lan1" hidden="1">{"'Sheet1'!$L$16"}</definedName>
    <definedName name="_LAN3" hidden="1">{"'Sheet1'!$L$16"}</definedName>
    <definedName name="_lao2" hidden="1">{"'Sheet1'!$L$16"}</definedName>
    <definedName name="_lk2" hidden="1">{"'Sheet1'!$L$16"}</definedName>
    <definedName name="_m1233" hidden="1">{"'Sheet1'!$L$16"}</definedName>
    <definedName name="_M2" hidden="1">{"'Sheet1'!$L$16"}</definedName>
    <definedName name="_M36" hidden="1">{"'Sheet1'!$L$16"}</definedName>
    <definedName name="_m4" hidden="1">{"'Sheet1'!$L$16"}</definedName>
    <definedName name="_MatInverse_In" hidden="1">#REF!</definedName>
    <definedName name="_MCC3" hidden="1">{#N/A,#N/A,FALSE,"CCTV"}</definedName>
    <definedName name="_moi2" hidden="1">{"'Sheet1'!$L$16"}</definedName>
    <definedName name="_MTL12" hidden="1">{"'Sheet1'!$L$16"}</definedName>
    <definedName name="_NCN15" hidden="1">{"'Sheet1'!$L$16"}</definedName>
    <definedName name="_NK5" hidden="1">{"'Sheet1'!$L$16"}</definedName>
    <definedName name="_NO2" hidden="1">#REF!</definedName>
    <definedName name="_NSO2" hidden="1">{"'Sheet1'!$L$16"}</definedName>
    <definedName name="_NT2" hidden="1">{"'Sheet1'!$L$16"}</definedName>
    <definedName name="_Order1" hidden="1">255</definedName>
    <definedName name="_Order2" hidden="1">255</definedName>
    <definedName name="_p06" hidden="1">{"'Sheet1'!$L$16"}</definedName>
    <definedName name="_p1" hidden="1">{"'Sheet1'!$L$16"}</definedName>
    <definedName name="_P2" hidden="1">{"'Sheet1'!$L$16"}</definedName>
    <definedName name="_P3" hidden="1">{#N/A,#N/A,FALSE,"特殊室（ＢＱ表）"}</definedName>
    <definedName name="_PA1" hidden="1">{"'Sheet1'!$L$16"}</definedName>
    <definedName name="_PA3" hidden="1">{"'Sheet1'!$L$16"}</definedName>
    <definedName name="_pa4" hidden="1">{"'Sheet1'!$L$16"}</definedName>
    <definedName name="_Parse_In" hidden="1">#REF!</definedName>
    <definedName name="_Parse_Out" hidden="1">[1]Quantity!#REF!</definedName>
    <definedName name="_pl2" hidden="1">{"'Sheet1'!$L$16"}</definedName>
    <definedName name="_PPP3" hidden="1">{#N/A,#N/A,FALSE,"特殊室（ＢＱ表）"}</definedName>
    <definedName name="_PPP33" hidden="1">{#N/A,#N/A,FALSE,"特殊室（ＢＱ表）"}</definedName>
    <definedName name="_ppp34" hidden="1">{#N/A,#N/A,FALSE,"特殊室（ＢＱ表）"}</definedName>
    <definedName name="_ppp3444" hidden="1">{#N/A,#N/A,FALSE,"特殊室（ＢＱ表）"}</definedName>
    <definedName name="_pq3" hidden="1">#REF!</definedName>
    <definedName name="_pq4" hidden="1">#REF!</definedName>
    <definedName name="_PYC7" hidden="1">{"'Sheet1'!$L$16"}</definedName>
    <definedName name="_q1" hidden="1">{"'Sheet1'!$L$16"}</definedName>
    <definedName name="_q1300" hidden="1">{"Offgrid",#N/A,FALSE,"OFFGRID";"Region",#N/A,FALSE,"REGION";"Offgrid -2",#N/A,FALSE,"OFFGRID";"WTP",#N/A,FALSE,"WTP";"WTP -2",#N/A,FALSE,"WTP";"Project",#N/A,FALSE,"PROJECT";"Summary -2",#N/A,FALSE,"SUMMARY"}</definedName>
    <definedName name="_ql1" hidden="1">{"Offgrid",#N/A,FALSE,"OFFGRID";"Region",#N/A,FALSE,"REGION";"Offgrid -2",#N/A,FALSE,"OFFGRID";"WTP",#N/A,FALSE,"WTP";"WTP -2",#N/A,FALSE,"WTP";"Project",#N/A,FALSE,"PROJECT";"Summary -2",#N/A,FALSE,"SUMMARY"}</definedName>
    <definedName name="_QLO7" hidden="1">#REF!</definedName>
    <definedName name="_Regression_Int" hidden="1">1</definedName>
    <definedName name="_Regression_X" hidden="1">#REF!</definedName>
    <definedName name="_REV1" hidden="1">{#N/A,#N/A,TRUE,"Str.";#N/A,#N/A,TRUE,"Steel &amp; Roof";#N/A,#N/A,TRUE,"Arc.";#N/A,#N/A,TRUE,"Preliminary";#N/A,#N/A,TRUE,"Sum_Prelim"}</definedName>
    <definedName name="_SCL4" hidden="1">{"'Sheet1'!$L$16"}</definedName>
    <definedName name="_sd9" hidden="1">{"'Sheet1'!$L$16"}</definedName>
    <definedName name="_Sort" hidden="1">#REF!</definedName>
    <definedName name="_Sortmoi" hidden="1">#REF!</definedName>
    <definedName name="_sum1" hidden="1">#REF!</definedName>
    <definedName name="_SXT3" hidden="1">{#N/A,#N/A,FALSE,"Chi tiÆt"}</definedName>
    <definedName name="_sxt5" hidden="1">{"'Sheet1'!$L$16"}</definedName>
    <definedName name="_sxt6" hidden="1">{#N/A,#N/A,FALSE,"Chi tiÆt"}</definedName>
    <definedName name="_t1" hidden="1">{"'Sheet1'!$L$16"}</definedName>
    <definedName name="_T10" hidden="1">{"'Sheet1'!$L$16"}</definedName>
    <definedName name="_t11" hidden="1">{"'Sheet1'!$L$16"}</definedName>
    <definedName name="_t12" hidden="1">{#N/A,#N/A,FALSE,"Chi tiÆt"}</definedName>
    <definedName name="_T14" hidden="1">{"'Sheet1'!$L$16"}</definedName>
    <definedName name="_T17" hidden="1">{"'Sheet1'!$L$16"}</definedName>
    <definedName name="_T23" hidden="1">{"'Sheet1'!$L$16"}</definedName>
    <definedName name="_T3" hidden="1">{"'Sheet1'!$L$16"}</definedName>
    <definedName name="_T7" hidden="1">{"'Sheet1'!$L$16"}</definedName>
    <definedName name="_t9" hidden="1">{#N/A,#N/A,FALSE,"Chi tiÆt"}</definedName>
    <definedName name="_Table1_In1" hidden="1">#REF!</definedName>
    <definedName name="_Table1_Out" hidden="1">#REF!</definedName>
    <definedName name="_Table2_In1" hidden="1">#REF!</definedName>
    <definedName name="_Table2_Out" hidden="1">#REF!</definedName>
    <definedName name="_tb2" hidden="1">{"'Sheet1'!$L$16"}</definedName>
    <definedName name="_td1" hidden="1">{"'Sheet1'!$L$16"}</definedName>
    <definedName name="_TD3" hidden="1">{"'Sheet1'!$L$16"}</definedName>
    <definedName name="_TH02" hidden="1">{"'Sheet1'!$L$16"}</definedName>
    <definedName name="_TH20004" hidden="1">{"'Sheet1'!$L$16"}</definedName>
    <definedName name="_tha1" hidden="1">{"'Sheet1'!$L$16"}</definedName>
    <definedName name="_tm1" hidden="1">{"'Sheet1'!$L$16"}</definedName>
    <definedName name="_TM2" hidden="1">{"'Sheet1'!$L$16"}</definedName>
    <definedName name="_TO14" hidden="1">{"'Sheet1'!$L$16"}</definedName>
    <definedName name="_Tru21" hidden="1">{"'Sheet1'!$L$16"}</definedName>
    <definedName name="_TS2004" hidden="1">{"'Sheet1'!$L$16"}</definedName>
    <definedName name="_tt3" hidden="1">{"'Sheet1'!$L$16"}</definedName>
    <definedName name="_TT31" hidden="1">{"'Sheet1'!$L$16"}</definedName>
    <definedName name="_tu4" hidden="1">{"'Sheet1'!$L$16"}</definedName>
    <definedName name="_tu5" hidden="1">{"'Sheet1'!$L$16"}</definedName>
    <definedName name="_UI33" hidden="1">{"'Sheet1'!$L$16"}</definedName>
    <definedName name="_Unknown_User_Defined_Name_0" hidden="1">#REF!</definedName>
    <definedName name="_Unknown_User_Defined_Name_1" hidden="1">#REF!</definedName>
    <definedName name="_Unknown_User_Defined_Name_2" hidden="1">#REF!</definedName>
    <definedName name="_Unknown_User_Defined_Name_3" hidden="1">#REF!</definedName>
    <definedName name="_VLP2" hidden="1">{"'Sheet1'!$L$16"}</definedName>
    <definedName name="_vpt5" hidden="1">{"'Sheet1'!$L$16"}</definedName>
    <definedName name="_vpt6" hidden="1">{"'Sheet1'!$L$16"}</definedName>
    <definedName name="_VT675" hidden="1">{"Offgrid",#N/A,FALSE,"OFFGRID";"Region",#N/A,FALSE,"REGION";"Offgrid -2",#N/A,FALSE,"OFFGRID";"WTP",#N/A,FALSE,"WTP";"WTP -2",#N/A,FALSE,"WTP";"Project",#N/A,FALSE,"PROJECT";"Summary -2",#N/A,FALSE,"SUMMARY"}</definedName>
    <definedName name="_VT676" hidden="1">{"Offgrid",#N/A,FALSE,"OFFGRID";"Region",#N/A,FALSE,"REGION";"Offgrid -2",#N/A,FALSE,"OFFGRID";"WTP",#N/A,FALSE,"WTP";"WTP -2",#N/A,FALSE,"WTP";"Project",#N/A,FALSE,"PROJECT";"Summary -2",#N/A,FALSE,"SUMMARY"}</definedName>
    <definedName name="_VT677" hidden="1">{"Offgrid",#N/A,FALSE,"OFFGRID";"Region",#N/A,FALSE,"REGION";"Offgrid -2",#N/A,FALSE,"OFFGRID";"WTP",#N/A,FALSE,"WTP";"WTP -2",#N/A,FALSE,"WTP";"Project",#N/A,FALSE,"PROJECT";"Summary -2",#N/A,FALSE,"SUMMARY"}</definedName>
    <definedName name="_VT678" hidden="1">{"Offgrid",#N/A,FALSE,"OFFGRID";"Region",#N/A,FALSE,"REGION";"Offgrid -2",#N/A,FALSE,"OFFGRID";"WTP",#N/A,FALSE,"WTP";"WTP -2",#N/A,FALSE,"WTP";"Project",#N/A,FALSE,"PROJECT";"Summary -2",#N/A,FALSE,"SUMMARY"}</definedName>
    <definedName name="_VT679" hidden="1">{"Offgrid",#N/A,FALSE,"OFFGRID";"Region",#N/A,FALSE,"REGION";"Offgrid -2",#N/A,FALSE,"OFFGRID";"WTP",#N/A,FALSE,"WTP";"WTP -2",#N/A,FALSE,"WTP";"Project",#N/A,FALSE,"PROJECT";"Summary -2",#N/A,FALSE,"SUMMARY"}</definedName>
    <definedName name="_VTQ1" hidden="1">{"'Sheet1'!$L$16"}</definedName>
    <definedName name="_z511" hidden="1">{"'Sheet1'!$L$16"}</definedName>
    <definedName name="¸df" hidden="1">#REF!</definedName>
    <definedName name="¸dfsad" hidden="1">#REF!</definedName>
    <definedName name="¸DFSDFGKLJKL" hidden="1">#REF!</definedName>
    <definedName name="¼QRWERQWR" hidden="1">#REF!</definedName>
    <definedName name="­234w4q324q32" hidden="1">#REF!</definedName>
    <definedName name="â" hidden="1">{"'Sheet1'!$L$16"}</definedName>
    <definedName name="ầ" hidden="1">{"'Sheet1'!$L$16"}</definedName>
    <definedName name="ằ" hidden="1">{"'Sheet1'!$L$16"}</definedName>
    <definedName name="a129_xoa" hidden="1">{"Offgrid",#N/A,FALSE,"OFFGRID";"Region",#N/A,FALSE,"REGION";"Offgrid -2",#N/A,FALSE,"OFFGRID";"WTP",#N/A,FALSE,"WTP";"WTP -2",#N/A,FALSE,"WTP";"Project",#N/A,FALSE,"PROJECT";"Summary -2",#N/A,FALSE,"SUMMARY"}</definedName>
    <definedName name="a129_xoaxoa" hidden="1">{"Offgrid",#N/A,FALSE,"OFFGRID";"Region",#N/A,FALSE,"REGION";"Offgrid -2",#N/A,FALSE,"OFFGRID";"WTP",#N/A,FALSE,"WTP";"WTP -2",#N/A,FALSE,"WTP";"Project",#N/A,FALSE,"PROJECT";"Summary -2",#N/A,FALSE,"SUMMARY"}</definedName>
    <definedName name="a130_xoa" hidden="1">{"Offgrid",#N/A,FALSE,"OFFGRID";"Region",#N/A,FALSE,"REGION";"Offgrid -2",#N/A,FALSE,"OFFGRID";"WTP",#N/A,FALSE,"WTP";"WTP -2",#N/A,FALSE,"WTP";"Project",#N/A,FALSE,"PROJECT";"Summary -2",#N/A,FALSE,"SUMMARY"}</definedName>
    <definedName name="a130_xoaxoa" hidden="1">{"Offgrid",#N/A,FALSE,"OFFGRID";"Region",#N/A,FALSE,"REGION";"Offgrid -2",#N/A,FALSE,"OFFGRID";"WTP",#N/A,FALSE,"WTP";"WTP -2",#N/A,FALSE,"WTP";"Project",#N/A,FALSE,"PROJECT";"Summary -2",#N/A,FALSE,"SUMMARY"}</definedName>
    <definedName name="a1moi" hidden="1">{"'Sheet1'!$L$16"}</definedName>
    <definedName name="a3rt" hidden="1">{"'Sheet1'!$L$16"}</definedName>
    <definedName name="aa" hidden="1">{"'Sheet1'!$L$16"}</definedName>
    <definedName name="aaaa" hidden="1">{"Offgrid",#N/A,FALSE,"OFFGRID";"Region",#N/A,FALSE,"REGION";"Offgrid -2",#N/A,FALSE,"OFFGRID";"WTP",#N/A,FALSE,"WTP";"WTP -2",#N/A,FALSE,"WTP";"Project",#N/A,FALSE,"PROJECT";"Summary -2",#N/A,FALSE,"SUMMARY"}</definedName>
    <definedName name="AAAAA" hidden="1">{0}</definedName>
    <definedName name="aaaaaa" hidden="1">{"Offgrid",#N/A,FALSE,"OFFGRID";"Region",#N/A,FALSE,"REGION";"Offgrid -2",#N/A,FALSE,"OFFGRID";"WTP",#N/A,FALSE,"WTP";"WTP -2",#N/A,FALSE,"WTP";"Project",#N/A,FALSE,"PROJECT";"Summary -2",#N/A,FALSE,"SUMMARY"}</definedName>
    <definedName name="aaaaaaaaa" hidden="1">{"'Sheet1'!$L$16"}</definedName>
    <definedName name="aaaaaaaaaaaaaaaa" hidden="1">{#N/A,#N/A,FALSE,"CCTV"}</definedName>
    <definedName name="aaaaaaaaaaaaaaaattttttttttt" hidden="1">{"'Sheet1'!$L$16"}</definedName>
    <definedName name="aaag" hidden="1">{#N/A,#N/A,TRUE,"SUM";#N/A,#N/A,TRUE,"EE";#N/A,#N/A,TRUE,"AC";#N/A,#N/A,TRUE,"SN"}</definedName>
    <definedName name="ÀASA" hidden="1">{"'Sheet1'!$L$16"}</definedName>
    <definedName name="aassa" hidden="1">{"'Sheet1'!$L$16"}</definedName>
    <definedName name="ABAB" hidden="1">{#N/A,#N/A,FALSE,"CCTV"}</definedName>
    <definedName name="abc" hidden="1">{"'Sheet1'!$L$16"}</definedName>
    <definedName name="ABCD" hidden="1">{"'Sheet1'!$L$16"}</definedName>
    <definedName name="abcvd" hidden="1">{"'Sheet1'!$L$16"}</definedName>
    <definedName name="AccessDatabase" hidden="1">"C:\My Documents\LeBinh\Xls\VP Cong ty\FORM.mdb"</definedName>
    <definedName name="Acell" hidden="1">INDIRECT(ADDRESS(ROW(),COLUMN()))</definedName>
    <definedName name="ACMV" hidden="1">{"'Sheet1'!$L$16"}</definedName>
    <definedName name="AD" hidden="1">#REF!</definedName>
    <definedName name="adada" hidden="1">{"'Sheet1'!$L$16"}</definedName>
    <definedName name="ADADADD" hidden="1">{"'Sheet1'!$L$16"}</definedName>
    <definedName name="adadqadwd" hidden="1">#REF!</definedName>
    <definedName name="ÁDAF" hidden="1">{"'Sheet1'!$L$16"}</definedName>
    <definedName name="adasasdda" hidden="1">#REF!</definedName>
    <definedName name="adc" hidden="1">{#N/A,#N/A,FALSE,"CCTV"}</definedName>
    <definedName name="adcfgf" hidden="1">{"'Sheet1'!$L$16"}</definedName>
    <definedName name="adddfdgfg" hidden="1">#REF!</definedName>
    <definedName name="ade" hidden="1">{#N/A,#N/A,FALSE,"Chi tiÆt"}</definedName>
    <definedName name="adfg" hidden="1">{"'Sheet1'!$L$16"}</definedName>
    <definedName name="adfgghgjkcvbcvb" hidden="1">#REF!</definedName>
    <definedName name="adfgsdfÎyttuiuiopiop" hidden="1">#REF!</definedName>
    <definedName name="ádgewekt" hidden="1">{0,0,0,0;0,0,0,0;0,0,0,0;0,0,0,0;0,0,0,0;0,0,0,0;0,0,0,0}</definedName>
    <definedName name="adrytsd" hidden="1">{"'Sheet1'!$L$16"}</definedName>
    <definedName name="ádsấ" hidden="1">{#N/A,#N/A,FALSE,"Tabelle2";#N/A,#N/A,FALSE,"Tabelle1"}</definedName>
    <definedName name="adsadsa" hidden="1">{#N/A,#N/A,TRUE,"CS&amp;SS(AG)";#N/A,#N/A,TRUE,"CS(UG)";#N/A,#N/A,TRUE,"CSCL(UG)";#N/A,#N/A,TRUE,"KYNAR";#N/A,#N/A,TRUE,"ALLOY904";#N/A,#N/A,TRUE,"TITANIUM";#N/A,#N/A,TRUE,"STMTRACE"}</definedName>
    <definedName name="adsadsads" hidden="1">#REF!</definedName>
    <definedName name="adsafdsgfg" hidden="1">#REF!</definedName>
    <definedName name="adsdghtyyuiui" hidden="1">#REF!</definedName>
    <definedName name="adsdsad" hidden="1">#REF!</definedName>
    <definedName name="advass" hidden="1">{"'Sheet1'!$L$16"}</definedName>
    <definedName name="ae" hidden="1">{"'Sheet1'!$L$16"}</definedName>
    <definedName name="aesde" hidden="1">{#N/A,#N/A,FALSE,"CCTV"}</definedName>
    <definedName name="aewewew" hidden="1">#REF!</definedName>
    <definedName name="AEWWQAFDASF" hidden="1">{"'Sheet1'!$L$16"}</definedName>
    <definedName name="af" hidden="1">{#N/A,#N/A,FALSE,"Chi tiÆt"}</definedName>
    <definedName name="âfA" hidden="1">{"'Sheet1'!$L$16"}</definedName>
    <definedName name="afaf" hidden="1">{"'Sheet1'!$L$16"}</definedName>
    <definedName name="afasfsagfas" hidden="1">{#N/A,#N/A,FALSE,"Chi tiÆt"}</definedName>
    <definedName name="afdf" hidden="1">{"'Sheet1'!$L$16"}</definedName>
    <definedName name="AFDFD" hidden="1">{#N/A,#N/A,FALSE,"Chi tiÆt"}</definedName>
    <definedName name="afggdgfgf" hidden="1">{"'Sheet1'!$L$16"}</definedName>
    <definedName name="ĂFRSGDF" hidden="1">{"'Sheet1'!$L$16"}</definedName>
    <definedName name="ăg" hidden="1">{"'Sheet1'!$L$16"}</definedName>
    <definedName name="AGE" hidden="1">{"'Sheet1'!$L$16"}</definedName>
    <definedName name="ầgfabg" hidden="1">#REF!</definedName>
    <definedName name="ẩgg" hidden="1">{"'Sheet1'!$L$16"}</definedName>
    <definedName name="ầgga" hidden="1">{"'Sheet1'!$L$16"}</definedName>
    <definedName name="ahtjht" hidden="1">{"'Sheet1'!$L$16"}</definedName>
    <definedName name="AÎTUYUYIOPUIOP" hidden="1">#REF!</definedName>
    <definedName name="akp" hidden="1">{"'Sheet1'!$L$16"}</definedName>
    <definedName name="amoi" hidden="1">{"'Sheet1'!$L$16"}</definedName>
    <definedName name="AN" hidden="1">{"'Sheet1'!$L$16"}</definedName>
    <definedName name="anh" hidden="1">{"'Sheet1'!$L$16"}</definedName>
    <definedName name="anh\" hidden="1">{"'Sheet1'!$L$16"}</definedName>
    <definedName name="anhdai" hidden="1">#REF!</definedName>
    <definedName name="anscount" hidden="1">8</definedName>
    <definedName name="Antoan" hidden="1">{"'Sheet1'!$L$16"}</definedName>
    <definedName name="aq" hidden="1">{"'Sheet1'!$L$16"}</definedName>
    <definedName name="Aqpl" hidden="1">{"'Sheet1'!$L$16"}</definedName>
    <definedName name="as" hidden="1">{"'Sheet1'!$L$16"}</definedName>
    <definedName name="AS2DocOpenMode" hidden="1">"AS2DocumentEdit"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a" hidden="1">{"'Sheet1'!$L$16"}</definedName>
    <definedName name="asadasdasd" hidden="1">#REF!</definedName>
    <definedName name="asas" hidden="1">{#N/A,#N/A,FALSE,"Sheet2";#N/A,#N/A,FALSE,"Sheet4";#N/A,#N/A,FALSE,"Sheet6"}</definedName>
    <definedName name="ASD" hidden="1">{"'Sheet1'!$L$16"}</definedName>
    <definedName name="ASDAS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ASDF" hidden="1">{#N/A,#N/A,FALSE,"CCTV"}</definedName>
    <definedName name="asdfg" hidden="1">{"'Sheet1'!$L$16"}</definedName>
    <definedName name="aserasdea" hidden="1">{"'Sheet1'!$L$16"}</definedName>
    <definedName name="ASEW" hidden="1">{"'Sheet1'!$L$16"}</definedName>
    <definedName name="asf" hidden="1">{"'Sheet1'!$L$16"}</definedName>
    <definedName name="asfsf" hidden="1">{"'Sheet1'!$L$16"}</definedName>
    <definedName name="asGDBhsN" hidden="1">{"'Sheet1'!$L$16"}</definedName>
    <definedName name="asq" hidden="1">{"'Sheet1'!$L$16"}</definedName>
    <definedName name="ASSSS" hidden="1">{"'Sheet1'!$L$16"}</definedName>
    <definedName name="asssss" hidden="1">{"'Sheet1'!$L$16"}</definedName>
    <definedName name="aswd" hidden="1">{"'Sheet1'!$L$16"}</definedName>
    <definedName name="AT" hidden="1">#REF!</definedName>
    <definedName name="ATGT" hidden="1">{"'Sheet1'!$L$16"}</definedName>
    <definedName name="atw" hidden="1">{"'Sheet1'!$L$16"}</definedName>
    <definedName name="b" hidden="1">{"'Sheet1'!$L$16"}</definedName>
    <definedName name="B6a" hidden="1">{"'Sheet1'!$L$16"}</definedName>
    <definedName name="bang" hidden="1">{#N/A,#N/A,FALSE,"BN (2)"}</definedName>
    <definedName name="bảng" hidden="1">{"'Sheet1'!$L$16"}</definedName>
    <definedName name="BanGiaoThong" hidden="1">{"'Sheet1'!$L$16"}</definedName>
    <definedName name="banGT11" hidden="1">{"'Sheet1'!$L$16"}</definedName>
    <definedName name="bangt12" hidden="1">{"'Sheet1'!$L$16"}</definedName>
    <definedName name="bangt14" hidden="1">{"'Sheet1'!$L$16"}</definedName>
    <definedName name="bangt15" hidden="1">{"'Sheet1'!$L$16"}</definedName>
    <definedName name="banQL" hidden="1">{"'Sheet1'!$L$16"}</definedName>
    <definedName name="BAVF" hidden="1">{"'Sheet1'!$L$16"}</definedName>
    <definedName name="BBB" hidden="1">{"'Sheet1'!$L$16"}</definedName>
    <definedName name="ｂｂｂ" hidden="1">{"'Sheet1'!$L$16"}</definedName>
    <definedName name="bbbb" hidden="1">{"Offgrid",#N/A,FALSE,"OFFGRID";"Region",#N/A,FALSE,"REGION";"Offgrid -2",#N/A,FALSE,"OFFGRID";"WTP",#N/A,FALSE,"WTP";"WTP -2",#N/A,FALSE,"WTP";"Project",#N/A,FALSE,"PROJECT";"Summary -2",#N/A,FALSE,"SUMMARY"}</definedName>
    <definedName name="ｂｂｂｂ" hidden="1">{"'Sheet1'!$L$16"}</definedName>
    <definedName name="ｂｂｂｂｂ" hidden="1">{"'Sheet1'!$L$16"}</definedName>
    <definedName name="BBgach" hidden="1">{"'Sheet1'!$L$16"}</definedName>
    <definedName name="bbntttttt" hidden="1">{"'Sheet1'!$L$16"}</definedName>
    <definedName name="bc" hidden="1">{"'Sheet1'!$L$16"}</definedName>
    <definedName name="BCTQ" hidden="1">{"'Sheet1'!$L$16"}</definedName>
    <definedName name="BDFBDFBDF" hidden="1">{"'Sheet1'!$L$16"}</definedName>
    <definedName name="BDGNDNGB" hidden="1">{"'Sheet1'!$L$16"}</definedName>
    <definedName name="bdv" hidden="1">{"'Sheet1'!$L$16"}</definedName>
    <definedName name="BFDBRBSD" hidden="1">{"NGUYEN QUI THIEP - Personal View",#N/A,FALSE,"XDCB.HT.FUR."}</definedName>
    <definedName name="BFG" hidden="1">#REF!</definedName>
    <definedName name="BFGBSF" hidden="1">#REF!</definedName>
    <definedName name="BFSBFD" hidden="1">{"'Sheet1'!$L$16"}</definedName>
    <definedName name="BG_Del" hidden="1">15</definedName>
    <definedName name="BG_Ins" hidden="1">4</definedName>
    <definedName name="BG_Mod" hidden="1">6</definedName>
    <definedName name="BGFNC" hidden="1">{"'Sheet1'!$L$16"}</definedName>
    <definedName name="Bgiang" hidden="1">{"'Sheet1'!$L$16"}</definedName>
    <definedName name="BGSFGSD" hidden="1">{"'Sheet1'!$L$16"}</definedName>
    <definedName name="bhfh" hidden="1">{"'Sheet1'!$L$16"}</definedName>
    <definedName name="BHLD" hidden="1">{"'Sheet1'!$L$16"}</definedName>
    <definedName name="BHLDq3" hidden="1">{"'Sheet1'!$L$16"}</definedName>
    <definedName name="Bhthang4" hidden="1">{#N/A,#N/A,FALSE,"Chi tiÆt"}</definedName>
    <definedName name="bhthang5" hidden="1">{#N/A,#N/A,FALSE,"Chi tiÆt"}</definedName>
    <definedName name="bhthang6" hidden="1">{"'Sheet1'!$L$16"}</definedName>
    <definedName name="BHXH" hidden="1">{"'Sheet1'!$L$16"}</definedName>
    <definedName name="BHYTQ3" hidden="1">{"'Sheet1'!$L$16"}</definedName>
    <definedName name="Bien" hidden="1">#REF!</definedName>
    <definedName name="Bien1" hidden="1">#REF!</definedName>
    <definedName name="BIGC" hidden="1">{#N/A,#N/A,TRUE,"Str.";#N/A,#N/A,TRUE,"Steel &amp; Roof";#N/A,#N/A,TRUE,"Arc.";#N/A,#N/A,TRUE,"Preliminary";#N/A,#N/A,TRUE,"Sum_Prelim"}</definedName>
    <definedName name="bilsukagc.hi" hidden="1">{"'Sheet1'!$L$16"}</definedName>
    <definedName name="Bin" hidden="1">{"'Sheet1'!$L$16"}</definedName>
    <definedName name="binh" hidden="1">{"'Sheet1'!$L$16"}</definedName>
    <definedName name="BKDV03" hidden="1">{"'Sheet1'!$L$16"}</definedName>
    <definedName name="BMS" hidden="1">{"'Sheet1'!$L$16"}</definedName>
    <definedName name="BOQA2" hidden="1">{"'Sheet1'!$L$16"}</definedName>
    <definedName name="BOQCongtruong" hidden="1">#REF!</definedName>
    <definedName name="bosung" hidden="1">{"'Sheet1'!$L$16"}</definedName>
    <definedName name="BREAK" hidden="1">{#N/A,#N/A,FALSE,"CCTV"}</definedName>
    <definedName name="BSA" hidden="1">{"'Sheet1'!$L$16"}</definedName>
    <definedName name="BSFSDBVSD" hidden="1">{"'Sheet1'!$L$16"}</definedName>
    <definedName name="BTH" hidden="1">{"'Sheet1'!$L$16"}</definedName>
    <definedName name="btl" hidden="1">{"'Sheet1'!$L$16"}</definedName>
    <definedName name="bvh" hidden="1">#REF!</definedName>
    <definedName name="bvhjggj" hidden="1">#REF!</definedName>
    <definedName name="BXBXCBC" hidden="1">{"'Sheet1'!$L$16"}</definedName>
    <definedName name="C.1" hidden="1">{"'Sheet1'!$L$16"}</definedName>
    <definedName name="c.BaMuoi" hidden="1">{"'Sheet1'!$L$16"}</definedName>
    <definedName name="C.MocTom" hidden="1">{"'Sheet1'!$L$16"}</definedName>
    <definedName name="CA" hidden="1">{#N/A,#N/A,TRUE,"SUM";#N/A,#N/A,TRUE,"EE";#N/A,#N/A,TRUE,"AC";#N/A,#N/A,TRUE,"SN"}</definedName>
    <definedName name="CẪ" hidden="1">{"'Sheet1'!$L$16"}</definedName>
    <definedName name="Cable" hidden="1">{"'Sheet1'!$L$16"}</definedName>
    <definedName name="cald" hidden="1">{#N/A,#N/A,FALSE,"CCTV"}</definedName>
    <definedName name="CaododayGa" hidden="1">{"'Sheet1'!$L$16"}</definedName>
    <definedName name="CARL" hidden="1">{#N/A,#N/A,FALSE,"CCTV"}</definedName>
    <definedName name="CARL1" hidden="1">{#N/A,#N/A,FALSE,"CCTV"}</definedName>
    <definedName name="CARL2" hidden="1">{#N/A,#N/A,FALSE,"CCTV"}</definedName>
    <definedName name="cbnnbn" hidden="1">{"'Sheet1'!$L$16"}</definedName>
    <definedName name="CBWorkbookPriority" hidden="1">-1807836116</definedName>
    <definedName name="ccc" hidden="1">{"'Sheet1'!$L$16"}</definedName>
    <definedName name="cccc" hidden="1">{#N/A,#N/A,TRUE,"SUM";#N/A,#N/A,TRUE,"EE";#N/A,#N/A,TRUE,"AC";#N/A,#N/A,TRUE,"SN"}</definedName>
    <definedName name="cds" hidden="1">#REF!</definedName>
    <definedName name="Celling" hidden="1">{"'Sheet1'!$L$16"}</definedName>
    <definedName name="CF1_a129" hidden="1">{"Offgrid",#N/A,FALSE,"OFFGRID";"Region",#N/A,FALSE,"REGION";"Offgrid -2",#N/A,FALSE,"OFFGRID";"WTP",#N/A,FALSE,"WTP";"WTP -2",#N/A,FALSE,"WTP";"Project",#N/A,FALSE,"PROJECT";"Summary -2",#N/A,FALSE,"SUMMARY"}</definedName>
    <definedName name="cfggcvdr" hidden="1">#REF!</definedName>
    <definedName name="cg" hidden="1">{"'Sheet1'!$L$16"}</definedName>
    <definedName name="cgdrte" hidden="1">#REF!</definedName>
    <definedName name="cgghh" hidden="1">{"'Sheet1'!$L$16"}</definedName>
    <definedName name="CHAIN" hidden="1">#REF!</definedName>
    <definedName name="Chdate" hidden="1">#REF!</definedName>
    <definedName name="chi" hidden="1">{"'Sheet1'!$L$16"}</definedName>
    <definedName name="chien" hidden="1">{"'Sheet1'!$L$16"}</definedName>
    <definedName name="chien1" hidden="1">{"'Sheet1'!$L$16"}</definedName>
    <definedName name="chietchai2" hidden="1">{"'Sheet1'!$L$16"}</definedName>
    <definedName name="chilk" hidden="1">{"'Sheet1'!$L$16"}</definedName>
    <definedName name="Chiphi" hidden="1">{"'Sheet1'!$L$16"}</definedName>
    <definedName name="chitiet3" hidden="1">{"'Sheet1'!$L$16"}</definedName>
    <definedName name="chitietbgiang2" hidden="1">{"'Sheet1'!$L$16"}</definedName>
    <definedName name="chl" hidden="1">{"'Sheet1'!$L$16"}</definedName>
    <definedName name="CHO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.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s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t3" hidden="1">{"'Sheet1'!$L$16"}</definedName>
    <definedName name="chottda" hidden="1">{"'Sheet1'!$L$16"}</definedName>
    <definedName name="chuyen" hidden="1">{"'Sheet1'!$L$16"}</definedName>
    <definedName name="cjh" hidden="1">#REF!</definedName>
    <definedName name="CMC" hidden="1">{"'Sheet1'!$L$16"}</definedName>
    <definedName name="CN6G" hidden="1">{"'Sheet1'!$L$16"}</definedName>
    <definedName name="Coc_60" hidden="1">{"'Sheet1'!$L$16"}</definedName>
    <definedName name="coccat" hidden="1">{"'Sheet1'!$L$16"}</definedName>
    <definedName name="cocly" hidden="1">{"'Sheet1'!$L$16"}</definedName>
    <definedName name="Code" hidden="1">#REF!</definedName>
    <definedName name="colo" hidden="1">{"'Sheet1'!$L$16"}</definedName>
    <definedName name="colo1" hidden="1">{"'Sheet1'!$L$16"}</definedName>
    <definedName name="column" hidden="1">#REF!</definedName>
    <definedName name="Company2013" hidden="1">#REF!</definedName>
    <definedName name="congB" hidden="1">{"'Sheet1'!$L$16"}</definedName>
    <definedName name="congca" hidden="1">{"'Sheet1'!$L$16"}</definedName>
    <definedName name="CONGPA1" hidden="1">{"'Sheet1'!$L$16"}</definedName>
    <definedName name="control" hidden="1">{"'Sheet1'!$L$16"}</definedName>
    <definedName name="coping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COST.020" hidden="1">#REF!</definedName>
    <definedName name="COST.030" hidden="1">#REF!</definedName>
    <definedName name="COST.040" hidden="1">#REF!</definedName>
    <definedName name="COST.050" hidden="1">#REF!</definedName>
    <definedName name="COST.060" hidden="1">#REF!</definedName>
    <definedName name="COST.070" hidden="1">#REF!</definedName>
    <definedName name="COST.080" hidden="1">#REF!</definedName>
    <definedName name="COST.100" hidden="1">#REF!</definedName>
    <definedName name="COST.110" hidden="1">#REF!</definedName>
    <definedName name="COST.120" hidden="1">#REF!</definedName>
    <definedName name="COST.130" hidden="1">#REF!</definedName>
    <definedName name="COST.140" hidden="1">#REF!</definedName>
    <definedName name="COST.150" hidden="1">#REF!</definedName>
    <definedName name="COST.210" hidden="1">#REF!</definedName>
    <definedName name="COST.220" hidden="1">#REF!</definedName>
    <definedName name="COST.230" hidden="1">#REF!</definedName>
    <definedName name="COST.240" hidden="1">#REF!</definedName>
    <definedName name="COST.270" hidden="1">#REF!</definedName>
    <definedName name="COST.280" hidden="1">#REF!</definedName>
    <definedName name="COST.300" hidden="1">#REF!</definedName>
    <definedName name="COST.320" hidden="1">#REF!</definedName>
    <definedName name="COST.330" hidden="1">#REF!</definedName>
    <definedName name="COST.350" hidden="1">#REF!</definedName>
    <definedName name="COST.360" hidden="1">#REF!</definedName>
    <definedName name="COST.370" hidden="1">#REF!</definedName>
    <definedName name="COST.380" hidden="1">#REF!</definedName>
    <definedName name="COST.400" hidden="1">#REF!</definedName>
    <definedName name="COST290" hidden="1">#REF!</definedName>
    <definedName name="CP" hidden="1">#REF!</definedName>
    <definedName name="CPM" hidden="1">{#N/A,#N/A,FALSE,"Chi tiÆt"}</definedName>
    <definedName name="CPVL" hidden="1">{"'Sheet1'!$L$16"}</definedName>
    <definedName name="CPXD" hidden="1">{"'Sheet1'!$L$16"}</definedName>
    <definedName name="csacc" hidden="1">{"'Sheet1'!$L$16"}</definedName>
    <definedName name="CSODJWO" hidden="1">{#N/A,#N/A,TRUE,"SUM";#N/A,#N/A,TRUE,"EE";#N/A,#N/A,TRUE,"AC";#N/A,#N/A,TRUE,"SN"}</definedName>
    <definedName name="ct" hidden="1">{"'Sheet1'!$L$16"}</definedName>
    <definedName name="ctbbt" hidden="1">{"'Sheet1'!$L$16"}</definedName>
    <definedName name="ctct" hidden="1">{"'Sheet1'!$L$16"}</definedName>
    <definedName name="CTCT1" hidden="1">{"'Sheet1'!$L$16"}</definedName>
    <definedName name="ctctct" hidden="1">{"'Sheet1'!$L$16"}</definedName>
    <definedName name="CTGS" hidden="1">{"'Sheet1'!$L$16"}</definedName>
    <definedName name="ctieu" hidden="1">{"'Sheet1'!$L$16"}</definedName>
    <definedName name="CTsu" hidden="1">{"'Sheet1'!$L$16"}</definedName>
    <definedName name="CTTC10nam" hidden="1">{"'Sheet1'!$L$16"}</definedName>
    <definedName name="cung" hidden="1">{"'Sheet1'!$L$16"}</definedName>
    <definedName name="Cuong" hidden="1">{"'Sheet1'!$L$16"}</definedName>
    <definedName name="CurDate" hidden="1">#REF!</definedName>
    <definedName name="cuu" hidden="1">{"'Sheet1'!$L$16"}</definedName>
    <definedName name="cv" hidden="1">{"'Sheet1'!$L$16"}</definedName>
    <definedName name="CVBCXBCV" hidden="1">{"'Sheet1'!$L$16"}</definedName>
    <definedName name="cvbcxbncvxfwettuy567567" hidden="1">#REF!</definedName>
    <definedName name="cvf" hidden="1">{"'Sheet1'!$L$16"}</definedName>
    <definedName name="cvfr" hidden="1">{"'Sheet1'!$L$16"}</definedName>
    <definedName name="cxcxcxc" hidden="1">#REF!</definedName>
    <definedName name="czxc" hidden="1">#REF!</definedName>
    <definedName name="đ" hidden="1">{"'Sheet1'!$L$16"}</definedName>
    <definedName name="Ð" hidden="1">{"'Sheet1'!$L$16"}</definedName>
    <definedName name="dµgdfgjhsdfgÎt123" hidden="1">#REF!</definedName>
    <definedName name="D1D" hidden="1">{"'Sheet1'!$L$16"}</definedName>
    <definedName name="D1DUONG" hidden="1">{#N/A,#N/A,FALSE,"Chi tiÆt"}</definedName>
    <definedName name="D1DUONG1" hidden="1">{#N/A,#N/A,FALSE,"Chi tiÆt"}</definedName>
    <definedName name="D3D" hidden="1">{"'Sheet1'!$L$16"}</definedName>
    <definedName name="dá" hidden="1">{"'Sheet1'!$L$16"}</definedName>
    <definedName name="dà" hidden="1">{"'Sheet1'!$L$16"}</definedName>
    <definedName name="ĐÁ" hidden="1">#REF!</definedName>
    <definedName name="đấ" hidden="1">{"'Sheet1'!$L$16"}</definedName>
    <definedName name="daas" hidden="1">#REF!</definedName>
    <definedName name="Dad" hidden="1">{"'Sheet1'!$L$16"}</definedName>
    <definedName name="dada" hidden="1">#REF!</definedName>
    <definedName name="dadada" hidden="1">#REF!</definedName>
    <definedName name="dấdassaszx" hidden="1">#REF!</definedName>
    <definedName name="dấdsaa" hidden="1">#REF!</definedName>
    <definedName name="dadsadasdsd" hidden="1">#REF!</definedName>
    <definedName name="dadsws" hidden="1">{"'Sheet1'!$L$16"}</definedName>
    <definedName name="dai" hidden="1">#REF!</definedName>
    <definedName name="DAMBIEN" hidden="1">{"'Sheet1'!$L$16"}</definedName>
    <definedName name="daomuong" hidden="1">{"'Sheet1'!$L$16"}</definedName>
    <definedName name="daøy" hidden="1">#REF!</definedName>
    <definedName name="das" hidden="1">#REF!</definedName>
    <definedName name="dasasasa" hidden="1">{"'Sheet1'!$L$16"}</definedName>
    <definedName name="DASDASDSADAS" hidden="1">{"'Sheet1'!$L$16"}</definedName>
    <definedName name="dasdsadsa" hidden="1">#REF!</definedName>
    <definedName name="dase" hidden="1">{#N/A,#N/A,FALSE,"CCTV"}</definedName>
    <definedName name="data1" hidden="1">#REF!</definedName>
    <definedName name="data2" hidden="1">#REF!</definedName>
    <definedName name="data3" hidden="1">#REF!</definedName>
    <definedName name="davdacsa" hidden="1">{"'Sheet1'!$L$16"}</definedName>
    <definedName name="DBSDVSDVS" hidden="1">{"'Sheet1'!$L$16"}</definedName>
    <definedName name="dcszcxzc" hidden="1">#REF!</definedName>
    <definedName name="dda" hidden="1">{"'Sheet1'!$L$16"}</definedName>
    <definedName name="ddaf" hidden="1">{"'Sheet1'!$L$16"}</definedName>
    <definedName name="ddamlot" hidden="1">{"'Sheet1'!$L$16"}</definedName>
    <definedName name="ddång" hidden="1">{"'Sheet1'!$L$16"}</definedName>
    <definedName name="ddc" hidden="1">{"'Sheet1'!$L$16"}</definedName>
    <definedName name="ddd" hidden="1">{"'Sheet1'!$L$16"}</definedName>
    <definedName name="DDDD" hidden="1">{"'Sheet1'!$L$16"}</definedName>
    <definedName name="ddddd" hidden="1">{"'Sheet1'!$L$16"}</definedName>
    <definedName name="dddddd" hidden="1">{"Offgrid",#N/A,FALSE,"OFFGRID";"Region",#N/A,FALSE,"REGION";"Offgrid -2",#N/A,FALSE,"OFFGRID";"WTP",#N/A,FALSE,"WTP";"WTP -2",#N/A,FALSE,"WTP";"Project",#N/A,FALSE,"PROJECT";"Summary -2",#N/A,FALSE,"SUMMARY"}</definedName>
    <definedName name="DDDDDDDD" hidden="1">{#N/A,#N/A,TRUE,"SUM";#N/A,#N/A,TRUE,"EE";#N/A,#N/A,TRUE,"AC";#N/A,#N/A,TRUE,"SN"}</definedName>
    <definedName name="ddddddddddddddddd" hidden="1">{"'Sheet1'!$L$16"}</definedName>
    <definedName name="dddddddddddddddddddd" hidden="1">{"'Sheet1'!$L$16"}</definedName>
    <definedName name="DDDDDDDDDDDDDDDDDDDDDDDDDDDDDDDDDDDD" hidden="1">#REF!</definedName>
    <definedName name="ddffsfd" hidden="1">#REF!</definedName>
    <definedName name="ddghhjjjj" hidden="1">#REF!</definedName>
    <definedName name="dÊd" hidden="1">#REF!</definedName>
    <definedName name="dede" hidden="1">{"'Sheet1'!$L$16"}</definedName>
    <definedName name="deedfsd" hidden="1">{"'Sheet1'!$L$16"}</definedName>
    <definedName name="deí" hidden="1">{"'Sheet1'!$L$16"}</definedName>
    <definedName name="del_tab" hidden="1">[2]Control!#REF!</definedName>
    <definedName name="delcode" hidden="1">[2]Control!#REF!</definedName>
    <definedName name="DenDK" hidden="1">{"'Sheet1'!$L$16"}</definedName>
    <definedName name="deviation" hidden="1">{#N/A,#N/A,FALSE,"CCTV"}</definedName>
    <definedName name="deweeeeeeeee" hidden="1">{"'Sheet1'!$L$16"}</definedName>
    <definedName name="DEWSLDW" hidden="1">{#N/A,#N/A,TRUE,"SUM";#N/A,#N/A,TRUE,"EE";#N/A,#N/A,TRUE,"AC";#N/A,#N/A,TRUE,"SN"}</definedName>
    <definedName name="dfầd" hidden="1">#REF!</definedName>
    <definedName name="dfầdfadfdsà" hidden="1">#REF!</definedName>
    <definedName name="DFADFDA" hidden="1">{"'Sheet1'!$L$16"}</definedName>
    <definedName name="dfaffffffffffffffffffffffff" hidden="1">#REF!</definedName>
    <definedName name="DFD" hidden="1">{"'Sheet1'!$L$16"}</definedName>
    <definedName name="DFDF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dfdfd" hidden="1">{"'Sheet1'!$L$16"}</definedName>
    <definedName name="DFDFDS" hidden="1">{#N/A,#N/A,TRUE,"SUM";#N/A,#N/A,TRUE,"EE";#N/A,#N/A,TRUE,"AC";#N/A,#N/A,TRUE,"SN"}</definedName>
    <definedName name="DFDFSADFA" hidden="1">{"NGUYEN QUI THIEP - Personal View",#N/A,FALSE,"XDCB.HT.FUR."}</definedName>
    <definedName name="DFDFSDFSD" hidden="1">{#N/A,#N/A,TRUE,"SUM";#N/A,#N/A,TRUE,"EE";#N/A,#N/A,TRUE,"AC";#N/A,#N/A,TRUE,"SN"}</definedName>
    <definedName name="DFDSFA" hidden="1">{"'Sheet1'!$L$16"}</definedName>
    <definedName name="DFF" hidden="1">{#N/A,#N/A,TRUE,"SUM";#N/A,#N/A,TRUE,"EE";#N/A,#N/A,TRUE,"AC";#N/A,#N/A,TRUE,"SN"}</definedName>
    <definedName name="dfg" hidden="1">{"Offgrid",#N/A,FALSE,"OFFGRID";"Region",#N/A,FALSE,"REGION";"Offgrid -2",#N/A,FALSE,"OFFGRID";"WTP",#N/A,FALSE,"WTP";"WTP -2",#N/A,FALSE,"WTP";"Project",#N/A,FALSE,"PROJECT";"Summary -2",#N/A,FALSE,"SUMMARY"}</definedName>
    <definedName name="DFGASDFA" hidden="1">{"'Sheet1'!$L$16"}</definedName>
    <definedName name="dfgcvbxcv34467678" hidden="1">#REF!</definedName>
    <definedName name="dfgd" hidden="1">#REF!</definedName>
    <definedName name="dfgdfg" hidden="1">#REF!</definedName>
    <definedName name="dfgdfghgjghjxcvxcvb" hidden="1">#REF!</definedName>
    <definedName name="dfgdfs­ªrtruyûuiyi" hidden="1">#REF!</definedName>
    <definedName name="dfgfdg" hidden="1">{"'Sheet1'!$L$16"}</definedName>
    <definedName name="dfgfghghkhlvbcvbvn­3452345656876579" hidden="1">#REF!</definedName>
    <definedName name="dfgfjhq345568uyioôighj" hidden="1">#REF!</definedName>
    <definedName name="dfggfj" hidden="1">{0}</definedName>
    <definedName name="dfggg" hidden="1">{"'Sheet1'!$L$16"}</definedName>
    <definedName name="DFGHFSGFDS" hidden="1">{"'Sheet1'!$L$16"}</definedName>
    <definedName name="dfghrt" hidden="1">{"'Sheet1'!$L$16"}</definedName>
    <definedName name="dfgr" hidden="1">{"'Sheet1'!$L$16"}</definedName>
    <definedName name="dfgsÓtytyiyuouio" hidden="1">#REF!</definedName>
    <definedName name="dfh" hidden="1">{"'Sheet1'!$L$16"}</definedName>
    <definedName name="dfhf" hidden="1">{"'Sheet1'!$L$16"}</definedName>
    <definedName name="dfjsdhldfgkfd" hidden="1">{"'Sheet1'!$L$16"}</definedName>
    <definedName name="DFSDF" hidden="1">{"'Sheet1'!$L$16"}</definedName>
    <definedName name="dfsfsd" hidden="1">{"'Sheet1'!$L$16"}</definedName>
    <definedName name="dfsgsag" hidden="1">{"'Sheet1'!$L$16"}</definedName>
    <definedName name="dg" hidden="1">{"'Sheet1'!$L$16"}</definedName>
    <definedName name="DGCTmatcauviahe" hidden="1">{"'Sheet1'!$L$16"}</definedName>
    <definedName name="dgctp2" hidden="1">{"'Sheet1'!$L$16"}</definedName>
    <definedName name="dgdjdkgd" hidden="1">{#N/A,#N/A,FALSE,"CCTV"}</definedName>
    <definedName name="dgf" hidden="1">{"Offgrid",#N/A,FALSE,"OFFGRID";"Region",#N/A,FALSE,"REGION";"Offgrid -2",#N/A,FALSE,"OFFGRID";"WTP",#N/A,FALSE,"WTP";"WTP -2",#N/A,FALSE,"WTP";"Project",#N/A,FALSE,"PROJECT";"Summary -2",#N/A,FALSE,"SUMMARY"}</definedName>
    <definedName name="dgfdg" hidden="1">{"'Sheet1'!$L$16"}</definedName>
    <definedName name="dgfg" hidden="1">{"'Sheet1'!$L$16"}</definedName>
    <definedName name="dghdhdh" hidden="1">{"'Sheet1'!$L$16"}</definedName>
    <definedName name="dghgdf" hidden="1">{"'Sheet1'!$L$16"}</definedName>
    <definedName name="dghjyuk" hidden="1">{"'Sheet1'!$L$16"}</definedName>
    <definedName name="DGKL" hidden="1">#REF!</definedName>
    <definedName name="DGSEGWE" hidden="1">{"'Sheet1'!$L$16"}</definedName>
    <definedName name="đgsf" hidden="1">{"'Sheet1'!$L$16"}</definedName>
    <definedName name="dgsgsg" hidden="1">{"'Sheet1'!$L$16"}</definedName>
    <definedName name="dgvf" hidden="1">{"'Sheet1'!$L$16"}</definedName>
    <definedName name="DGWEHWR" hidden="1">{"'Sheet1'!$L$16"}</definedName>
    <definedName name="DHDFGSF" hidden="1">{"'Sheet1'!$L$16"}</definedName>
    <definedName name="đhf" hidden="1">{"'Sheet1'!$L$16"}</definedName>
    <definedName name="dhk" hidden="1">{"'Sheet1'!$L$16"}</definedName>
    <definedName name="DHSRHGR" hidden="1">{"'Sheet1'!$L$16"}</definedName>
    <definedName name="diengiai" hidden="1">{"'Sheet1'!$L$16"}</definedName>
    <definedName name="dim" hidden="1">{"'Sheet1'!$L$16"}</definedName>
    <definedName name="direct1" hidden="1">#REF!</definedName>
    <definedName name="Discount" hidden="1">#REF!</definedName>
    <definedName name="display_area_2" hidden="1">#REF!</definedName>
    <definedName name="djkgklsdfgj" hidden="1">{"'Sheet1'!$L$16"}</definedName>
    <definedName name="DMNB" hidden="1">{"'Sheet1'!$L$16"}</definedName>
    <definedName name="DN1_CT5" hidden="1">{"'Sheet1'!$L$16"}</definedName>
    <definedName name="DNTT" hidden="1">{"NGUYEN QUI THIEP - Personal View",#N/A,FALSE,"XDCB.HT.FUR."}</definedName>
    <definedName name="dntt10" hidden="1">{"'Sheet1'!$L$16"}</definedName>
    <definedName name="dntt9" hidden="1">{"'Sheet1'!$L$16"}</definedName>
    <definedName name="doll" hidden="1">{"'Sheet1'!$L$16"}</definedName>
    <definedName name="Domain" hidden="1">#REF!</definedName>
    <definedName name="dQlda_GdpVal" hidden="1">#N/A</definedName>
    <definedName name="dQlda_GtongVal" hidden="1">#N/A</definedName>
    <definedName name="dr" hidden="1">{"'Sheet1'!$L$16"}</definedName>
    <definedName name="dsa" hidden="1">{#N/A,#N/A,FALSE,"Chi tiÆt"}</definedName>
    <definedName name="dsadasdada" hidden="1">#REF!</definedName>
    <definedName name="dsadsadasdas" hidden="1">#REF!</definedName>
    <definedName name="dsafđgffd" hidden="1">#REF!</definedName>
    <definedName name="dsafefere" hidden="1">#REF!</definedName>
    <definedName name="dsasdasdasd" hidden="1">#REF!</definedName>
    <definedName name="dsd" hidden="1">{"'Sheet1'!$L$16"}</definedName>
    <definedName name="dsda" hidden="1">{"'Sheet1'!$L$16"}</definedName>
    <definedName name="dsds" hidden="1">{"'Sheet1'!$L$16"}</definedName>
    <definedName name="dse" hidden="1">{"'Sheet1'!$L$16"}</definedName>
    <definedName name="dsf" hidden="1">#REF!</definedName>
    <definedName name="dsfd" hidden="1">#REF!</definedName>
    <definedName name="dsfdd" hidden="1">#REF!</definedName>
    <definedName name="dsfdfgfgfg" hidden="1">#REF!</definedName>
    <definedName name="DSFDS" hidden="1">{"'Sheet1'!$L$16"}</definedName>
    <definedName name="dsfh" hidden="1">#REF!</definedName>
    <definedName name="dsfsdf" hidden="1">{"'Sheet1'!$L$16"}</definedName>
    <definedName name="dsgfhtyjjt" hidden="1">#REF!</definedName>
    <definedName name="DSGHJ" hidden="1">{"'Sheet1'!$L$16"}</definedName>
    <definedName name="dsgsdfgdfshfgh" hidden="1">{"'Sheet1'!$L$16"}</definedName>
    <definedName name="dsgsdg" hidden="1">{"'Sheet1'!$L$16"}</definedName>
    <definedName name="dsjk" hidden="1">{"'Sheet1'!$L$16"}</definedName>
    <definedName name="DSJKLDE" hidden="1">{#N/A,#N/A,TRUE,"SUM";#N/A,#N/A,TRUE,"EE";#N/A,#N/A,TRUE,"AC";#N/A,#N/A,TRUE,"SN"}</definedName>
    <definedName name="DTCamau" hidden="1">{"'Sheet1'!$L$16"}</definedName>
    <definedName name="DTCD" hidden="1">{"'Sheet1'!$L$16"}</definedName>
    <definedName name="DTCT" hidden="1">{"'Sheet1'!$L$16"}</definedName>
    <definedName name="dth" hidden="1">{"'Sheet1'!$L$16"}</definedName>
    <definedName name="dthft" hidden="1">{"'Sheet1'!$L$16"}</definedName>
    <definedName name="DTKT3" hidden="1">{"'Sheet1'!$L$16"}</definedName>
    <definedName name="DTMG_vumua" hidden="1">{#N/A,#N/A,FALSE,"Chi tiÆt"}</definedName>
    <definedName name="DTTK" hidden="1">{"'Sheet1'!$L$16"}</definedName>
    <definedName name="DTTVGM163" hidden="1">{"'Sheet1'!$L$16"}</definedName>
    <definedName name="Du" hidden="1">#REF!</definedName>
    <definedName name="duc" hidden="1">{"'Sheet1'!$L$16"}</definedName>
    <definedName name="duc0" hidden="1">{"'Sheet1'!$L$16"}</definedName>
    <definedName name="DucO" hidden="1">{"'Sheet1'!$L$16"}</definedName>
    <definedName name="DUCT" hidden="1">{#N/A,#N/A,FALSE,"Sheet1"}</definedName>
    <definedName name="dumbwaiter" hidden="1">{#N/A,#N/A,FALSE,"Sheet1";#N/A,#N/A,FALSE,"Sheet3";#N/A,#N/A,FALSE,"Sheet5"}</definedName>
    <definedName name="dung" hidden="1">{"'Sheet1'!$L$16"}</definedName>
    <definedName name="Duong1" hidden="1">{"'Sheet1'!$L$16"}</definedName>
    <definedName name="Duong10" hidden="1">{"'Sheet1'!$L$16"}</definedName>
    <definedName name="Duongnaco" hidden="1">{"'Sheet1'!$L$16"}</definedName>
    <definedName name="dutoanc2" hidden="1">{"'Sheet1'!$L$16"}</definedName>
    <definedName name="dutruchiphi" hidden="1">{"NGUYEN QUI THIEP - Personal View",#N/A,FALSE,"XDCB.HT.FUR."}</definedName>
    <definedName name="DUY" hidden="1">{"'Sheet1'!$L$16"}</definedName>
    <definedName name="DV" hidden="1">{"'Sheet1'!$L$16"}</definedName>
    <definedName name="DVGEWVBEW" hidden="1">{"'Sheet1'!$L$16"}</definedName>
    <definedName name="DWPRICE" hidden="1">'[3]114+220'!#REF!</definedName>
    <definedName name="dwqwq" hidden="1">#REF!</definedName>
    <definedName name="DX" hidden="1">{"'Sheet1'!$L$16"}</definedName>
    <definedName name="Dy" hidden="1">#REF!</definedName>
    <definedName name="dzfgdfg" hidden="1">{"'Sheet1'!$L$16"}</definedName>
    <definedName name="e" hidden="1">{"'Sheet1'!$L$16"}</definedName>
    <definedName name="Ẻ" hidden="1">#REF!</definedName>
    <definedName name="eaf" hidden="1">{"'Sheet1'!$L$16"}</definedName>
    <definedName name="EAWTKMSEKS" hidden="1">{"'Sheet1'!$L$16"}</definedName>
    <definedName name="ED" hidden="1">{#N/A,#N/A,FALSE,"CCTV"}</definedName>
    <definedName name="edds" hidden="1">#REF!</definedName>
    <definedName name="edwfrhjy" hidden="1">#REF!</definedName>
    <definedName name="edwtgfdsgf" hidden="1">{"'Sheet1'!$L$16"}</definedName>
    <definedName name="ee" hidden="1">{"'Sheet1'!$L$16"}</definedName>
    <definedName name="eee" hidden="1">#REF!</definedName>
    <definedName name="eeee" hidden="1">{"'Sheet1'!$L$16"}</definedName>
    <definedName name="eeeee" hidden="1">{#N/A,#N/A,TRUE,"SUM";#N/A,#N/A,TRUE,"EE";#N/A,#N/A,TRUE,"AC";#N/A,#N/A,TRUE,"SN"}</definedName>
    <definedName name="eef" hidden="1">{"'Sheet1'!$L$16"}</definedName>
    <definedName name="eerefdg" hidden="1">{#N/A,#N/A,FALSE,"CCTV"}</definedName>
    <definedName name="eïhd" hidden="1">{"'Sheet1'!$L$16"}</definedName>
    <definedName name="EK" hidden="1">#REF!</definedName>
    <definedName name="ELLEN1" hidden="1">{#N/A,#N/A,FALSE,"CCTV"}</definedName>
    <definedName name="ELLEN10" hidden="1">{#N/A,#N/A,FALSE,"CCTV"}</definedName>
    <definedName name="ELLEN11" hidden="1">{#N/A,#N/A,FALSE,"CCTV"}</definedName>
    <definedName name="ELLEN12" hidden="1">{#N/A,#N/A,FALSE,"CCTV"}</definedName>
    <definedName name="ELLEN13" hidden="1">{#N/A,#N/A,FALSE,"CCTV"}</definedName>
    <definedName name="ELLEN14" hidden="1">{#N/A,#N/A,FALSE,"CCTV"}</definedName>
    <definedName name="ELLEN15" hidden="1">{#N/A,#N/A,FALSE,"CCTV"}</definedName>
    <definedName name="ELLEN16" hidden="1">{#N/A,#N/A,FALSE,"CCTV"}</definedName>
    <definedName name="ELLEN17" hidden="1">{#N/A,#N/A,FALSE,"CCTV"}</definedName>
    <definedName name="ELLEN18" hidden="1">{#N/A,#N/A,FALSE,"CCTV"}</definedName>
    <definedName name="ELLEN19" hidden="1">{#N/A,#N/A,FALSE,"CCTV"}</definedName>
    <definedName name="ELLEN2" hidden="1">{#N/A,#N/A,FALSE,"CCTV"}</definedName>
    <definedName name="ELLEN3" hidden="1">{#N/A,#N/A,FALSE,"CCTV"}</definedName>
    <definedName name="ELLEN4" hidden="1">{#N/A,#N/A,FALSE,"CCTV"}</definedName>
    <definedName name="ELLEN5" hidden="1">{#N/A,#N/A,FALSE,"CCTV"}</definedName>
    <definedName name="ELLEN6" hidden="1">{#N/A,#N/A,FALSE,"CCTV"}</definedName>
    <definedName name="ELLEN7" hidden="1">{#N/A,#N/A,FALSE,"CCTV"}</definedName>
    <definedName name="ELLEN8" hidden="1">{#N/A,#N/A,FALSE,"CCTV"}</definedName>
    <definedName name="ELLEN9" hidden="1">{#N/A,#N/A,FALSE,"CCTV"}</definedName>
    <definedName name="eqewqeqweqw" hidden="1">{"'Sheet1'!$L$16"}</definedName>
    <definedName name="eqtrwy" hidden="1">{"'Sheet1'!$L$16"}</definedName>
    <definedName name="ÊR" hidden="1">{"'Sheet1'!$L$16"}</definedName>
    <definedName name="­erewarqewrqr" hidden="1">#REF!</definedName>
    <definedName name="errr" hidden="1">{"'Sheet1'!$L$16"}</definedName>
    <definedName name="ERT" hidden="1">{"'Sheet1'!$L$16"}</definedName>
    <definedName name="erw" hidden="1">{0,0,0,0;0,0,0,0;0,0,0,0;0,0,0,0;0,0,0,0;0,0,0,0;0,0,0,0}</definedName>
    <definedName name="ẺT" hidden="1">#REF!</definedName>
    <definedName name="etqgsg_đhs" hidden="1">{"'Sheet1'!$L$16"}</definedName>
    <definedName name="etuiuti" hidden="1">{"'Sheet1'!$L$16"}</definedName>
    <definedName name="ẺTWTW" hidden="1">{"'Sheet1'!$L$16"}</definedName>
    <definedName name="eûtheí" hidden="1">{"'Sheet1'!$L$16"}</definedName>
    <definedName name="ew" hidden="1">{"'Sheet1'!$L$16"}</definedName>
    <definedName name="EWEREWRE" hidden="1">{"'Sheet1'!$L$16"}</definedName>
    <definedName name="ẺWERWE" hidden="1">{"'Sheet1'!$L$16"}</definedName>
    <definedName name="ewewq" hidden="1">#REF!</definedName>
    <definedName name="ewrfqewrrefeqrftr" hidden="1">{"'Sheet1'!$L$16"}</definedName>
    <definedName name="ewrWRN" hidden="1">{"'Sheet1'!$L$16"}</definedName>
    <definedName name="ews" hidden="1">{0}</definedName>
    <definedName name="ExactAddinConnection" hidden="1">"200"</definedName>
    <definedName name="ExactAddinConnection.200" hidden="1">"MAYCHU2;200;yen;0"</definedName>
    <definedName name="ExactAddinReports" hidden="1">24</definedName>
    <definedName name="F15x30" hidden="1">{"'Sheet1'!$L$16"}</definedName>
    <definedName name="faaaaaf" hidden="1">{#N/A,#N/A,FALSE,"Sheet1"}</definedName>
    <definedName name="fáaafafaf" hidden="1">{"'Sheet1'!$L$16"}</definedName>
    <definedName name="FACTORY" hidden="1">{#N/A,#N/A,TRUE,"SUM";#N/A,#N/A,TRUE,"EE";#N/A,#N/A,TRUE,"AC";#N/A,#N/A,TRUE,"SN"}</definedName>
    <definedName name="faewewe" hidden="1">#REF!</definedName>
    <definedName name="FAFA" hidden="1">{"'Sheet1'!$L$16"}</definedName>
    <definedName name="FASFA" hidden="1">{"'Sheet1'!$L$16"}</definedName>
    <definedName name="fasfaga" hidden="1">{"'Sheet1'!$L$16"}</definedName>
    <definedName name="FBSEEBASD" hidden="1">{"'Sheet1'!$L$16"}</definedName>
    <definedName name="fÇ" hidden="1">{"'Sheet1'!$L$16"}</definedName>
    <definedName name="FCode" hidden="1">#REF!</definedName>
    <definedName name="fd" hidden="1">{"'Sheet1'!$L$16"}</definedName>
    <definedName name="fdf" hidden="1">{"'Sheet1'!$L$16"}</definedName>
    <definedName name="fdfd" hidden="1">{"'Sheet1'!$L$16"}</definedName>
    <definedName name="FDFDSF" hidden="1">{#N/A,#N/A,TRUE,"SUM";#N/A,#N/A,TRUE,"EE";#N/A,#N/A,TRUE,"AC";#N/A,#N/A,TRUE,"SN"}</definedName>
    <definedName name="fdfg" hidden="1">#REF!</definedName>
    <definedName name="fdfs" hidden="1">{#N/A,#N/A,TRUE,"SUM";#N/A,#N/A,TRUE,"EE";#N/A,#N/A,TRUE,"AC";#N/A,#N/A,TRUE,"SN"}</definedName>
    <definedName name="fdfs2" hidden="1">{#N/A,#N/A,TRUE,"SUM";#N/A,#N/A,TRUE,"EE";#N/A,#N/A,TRUE,"AC";#N/A,#N/A,TRUE,"SN"}</definedName>
    <definedName name="fdfsdfs" hidden="1">{#N/A,#N/A,TRUE,"SUM";#N/A,#N/A,TRUE,"EE";#N/A,#N/A,TRUE,"AC";#N/A,#N/A,TRUE,"SN"}</definedName>
    <definedName name="fdfsdfsdf" hidden="1">#REF!</definedName>
    <definedName name="fdfsf" hidden="1">{#N/A,#N/A,FALSE,"Chi tiÆt"}</definedName>
    <definedName name="fdg" hidden="1">{"'Sheet1'!$L$16"}</definedName>
    <definedName name="FDGDGDF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dgfg" hidden="1">{"'Sheet1'!$L$16"}</definedName>
    <definedName name="fdgfgjghhk" hidden="1">#REF!</definedName>
    <definedName name="fdgh" hidden="1">{"'Sheet1'!$L$16"}</definedName>
    <definedName name="fdgsdf" hidden="1">{"'Sheet1'!$L$16"}</definedName>
    <definedName name="fdhfg" hidden="1">{0}</definedName>
    <definedName name="fđhh" hidden="1">{"'Sheet1'!$L$16"}</definedName>
    <definedName name="fdsf" hidden="1">{"'Sheet1'!$L$16"}</definedName>
    <definedName name="fdsfds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dsfdsfsdf" hidden="1">#REF!</definedName>
    <definedName name="fdsff" hidden="1">{"'Sheet1'!$L$16"}</definedName>
    <definedName name="fdsfsdfd" hidden="1">{"'Sheet1'!$L$16"}</definedName>
    <definedName name="fdsgds" hidden="1">{"'Sheet1'!$L$16"}</definedName>
    <definedName name="FEDSBSD" hidden="1">{"'Sheet1'!$L$16"}</definedName>
    <definedName name="fefrefewfe" hidden="1">#REF!</definedName>
    <definedName name="FERQAA" hidden="1">{"'Sheet1'!$L$16"}</definedName>
    <definedName name="fewfef" hidden="1">{"'Sheet1'!$L$16"}</definedName>
    <definedName name="ff" hidden="1">{"'Sheet1'!$L$16"}</definedName>
    <definedName name="ffdfd" hidden="1">#REF!</definedName>
    <definedName name="fff" hidden="1">{"'Sheet1'!$L$16"}</definedName>
    <definedName name="FFFF" hidden="1">{"'Sheet1'!$L$16"}</definedName>
    <definedName name="ffffd" hidden="1">{#N/A,#N/A,TRUE,"SUM";#N/A,#N/A,TRUE,"EE";#N/A,#N/A,TRUE,"AC";#N/A,#N/A,TRUE,"SN"}</definedName>
    <definedName name="ffffffff" hidden="1">#REF!</definedName>
    <definedName name="fffffffffffffff" hidden="1">{"'Sheet1'!$L$16"}</definedName>
    <definedName name="ffgf" hidden="1">{"'Sheet1'!$L$16"}</definedName>
    <definedName name="ffggggggfgf" hidden="1">{"'Sheet1'!$L$16"}</definedName>
    <definedName name="ffwf" hidden="1">#REF!</definedName>
    <definedName name="fg" hidden="1">{"'Sheet1'!$L$16"}</definedName>
    <definedName name="fgd" hidden="1">{"'Sheet1'!$L$16"}</definedName>
    <definedName name="fgdag" hidden="1">{"'Sheet1'!$L$16"}</definedName>
    <definedName name="FGDFHG" hidden="1">{"'Sheet1'!$L$16"}</definedName>
    <definedName name="FGF" hidden="1">{#N/A,#N/A,FALSE,"Sheet2";#N/A,#N/A,FALSE,"Sheet4";#N/A,#N/A,FALSE,"Sheet6"}</definedName>
    <definedName name="fgff" hidden="1">{#N/A,#N/A,TRUE,"SUM";#N/A,#N/A,TRUE,"EE";#N/A,#N/A,TRUE,"AC";#N/A,#N/A,TRUE,"SN"}</definedName>
    <definedName name="fgfh" hidden="1">#REF!</definedName>
    <definedName name="fgg" hidden="1">{"'Sheet1'!$L$16"}</definedName>
    <definedName name="fgh" hidden="1">{"'Sheet1'!$L$16"}</definedName>
    <definedName name="fghbys" hidden="1">#REF!</definedName>
    <definedName name="FGHDGFHDF" hidden="1">{"'Sheet1'!$L$16"}</definedName>
    <definedName name="FGHDGHD" hidden="1">{"'Sheet1'!$L$16"}</definedName>
    <definedName name="fghfd" hidden="1">{"Offgrid",#N/A,FALSE,"OFFGRID";"Region",#N/A,FALSE,"REGION";"Offgrid -2",#N/A,FALSE,"OFFGRID";"WTP",#N/A,FALSE,"WTP";"WTP -2",#N/A,FALSE,"WTP";"Project",#N/A,FALSE,"PROJECT";"Summary -2",#N/A,FALSE,"SUMMARY"}</definedName>
    <definedName name="fghfgh­Óyuiuiuivbnbvn" hidden="1">#REF!</definedName>
    <definedName name="fghfjrtytyuuyi" hidden="1">#REF!</definedName>
    <definedName name="fghg" hidden="1">{"'Sheet1'!$L$16"}</definedName>
    <definedName name="fghhk" hidden="1">{0}</definedName>
    <definedName name="FGHRGS" hidden="1">{"NGUYEN QUI THIEP - Personal View",#N/A,FALSE,"XDCB.HT.FUR."}</definedName>
    <definedName name="FGJ" hidden="1">#REF!</definedName>
    <definedName name="FGJFGH" hidden="1">{"'Sheet1'!$L$16"}</definedName>
    <definedName name="fgjj" hidden="1">{"'Sheet1'!$L$16"}</definedName>
    <definedName name="fgn" hidden="1">{"'Sheet1'!$L$16"}</definedName>
    <definedName name="FGNFGNFGNF" hidden="1">{"NGUYEN QUI THIEP - Personal View",#N/A,FALSE,"XDCB.HT.FUR."}</definedName>
    <definedName name="fh" hidden="1">{"'Sheet1'!$L$16"}</definedName>
    <definedName name="fhf" hidden="1">{"'Sheet1'!$L$16"}</definedName>
    <definedName name="fhhh" hidden="1">{"'Sheet1'!$L$16"}</definedName>
    <definedName name="FHJHJHG" hidden="1">{"'Sheet1'!$L$16"}</definedName>
    <definedName name="fhjjh" hidden="1">{"'Sheet1'!$L$16"}</definedName>
    <definedName name="fhk" hidden="1">{0}</definedName>
    <definedName name="FiLL" hidden="1">#REF!</definedName>
    <definedName name="FILLL" hidden="1">#REF!</definedName>
    <definedName name="fjgdhjkhikcvb2345" hidden="1">#REF!</definedName>
    <definedName name="fkgjk" hidden="1">{"'Sheet1'!$L$16"}</definedName>
    <definedName name="fldfángonh" hidden="1">{"'Sheet1'!$L$16"}</definedName>
    <definedName name="FOR" hidden="1">{#N/A,#N/A,FALSE,"CCTV"}</definedName>
    <definedName name="FORMAT" hidden="1">{#N/A,#N/A,FALSE,"CCTV"}</definedName>
    <definedName name="fr" hidden="1">{"'Sheet1'!$L$16"}</definedName>
    <definedName name="fre" hidden="1">{"'Sheet1'!$L$16"}</definedName>
    <definedName name="FRWDS" hidden="1">{"'Sheet1'!$L$16"}</definedName>
    <definedName name="fsa" hidden="1">{"'Sheet1'!$L$16"}</definedName>
    <definedName name="fsafsdfsd" hidden="1">{"'Sheet1'!$L$16"}</definedName>
    <definedName name="fsd" hidden="1">#REF!</definedName>
    <definedName name="fsdf" hidden="1">#REF!</definedName>
    <definedName name="fsdfdsf" hidden="1">{"'Sheet1'!$L$16"}</definedName>
    <definedName name="fsdfdssdgfsd" hidden="1">#REF!</definedName>
    <definedName name="fsdfsd" hidden="1">{#N/A,#N/A,FALSE,"Chi tiÆt"}</definedName>
    <definedName name="FSDFSDF" hidden="1">{#N/A,#N/A,TRUE,"SUM";#N/A,#N/A,TRUE,"EE";#N/A,#N/A,TRUE,"AC";#N/A,#N/A,TRUE,"SN"}</definedName>
    <definedName name="fsdfsdfsdfs" hidden="1">{"'Sheet1'!$L$16"}</definedName>
    <definedName name="fsdfsf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sf" hidden="1">{"'Sheet1'!$L$16"}</definedName>
    <definedName name="fsfds" hidden="1">#REF!</definedName>
    <definedName name="fsfs" hidden="1">{"'Sheet1'!$L$16"}</definedName>
    <definedName name="fsssfds" hidden="1">#REF!</definedName>
    <definedName name="ft" hidden="1">{"'Sheet1'!$L$16"}</definedName>
    <definedName name="fþh" hidden="1">#REF!</definedName>
    <definedName name="ftrjk" hidden="1">{"'Sheet1'!$L$16"}</definedName>
    <definedName name="function" hidden="1">{"'Sheet1'!$L$16"}</definedName>
    <definedName name="fwef" hidden="1">#REF!</definedName>
    <definedName name="FXBFXB" hidden="1">{"'Sheet1'!$L$16"}</definedName>
    <definedName name="fxdfhxc" hidden="1">{"'Sheet1'!$L$16"}</definedName>
    <definedName name="g" hidden="1">{"'Sheet1'!$L$16"}</definedName>
    <definedName name="ga" hidden="1">{"'Sheet1'!$L$16"}</definedName>
    <definedName name="gbb" hidden="1">{"'Sheet1'!$L$16"}</definedName>
    <definedName name="gcm" hidden="1">{"'Sheet1'!$L$16"}</definedName>
    <definedName name="gdafg" hidden="1">#REF!</definedName>
    <definedName name="gdd" hidden="1">#REF!</definedName>
    <definedName name="gdfgdfgdf" hidden="1">{"'Sheet1'!$L$16"}</definedName>
    <definedName name="GDFHGDFHFG" hidden="1">#REF!</definedName>
    <definedName name="gdg" hidden="1">{"'Sheet1'!$L$16"}</definedName>
    <definedName name="gdgdkdfkghlf" hidden="1">{"'Sheet1'!$L$16"}</definedName>
    <definedName name="gdhgh" hidden="1">{"'Sheet1'!$L$16"}</definedName>
    <definedName name="gdhgj" hidden="1">{"'Sheet1'!$L$16"}</definedName>
    <definedName name="gdret" hidden="1">{"'Sheet1'!$L$16"}</definedName>
    <definedName name="GDRFHDF" hidden="1">{"'Sheet1'!$L$16"}</definedName>
    <definedName name="GÈGEWG" hidden="1">{"'Sheet1'!$L$16"}</definedName>
    <definedName name="GEWGEW" hidden="1">{"'Sheet1'!$L$16"}</definedName>
    <definedName name="gf" hidden="1">{"'Sheet1'!$L$16"}</definedName>
    <definedName name="gfbb" hidden="1">{"'Sheet1'!$L$16"}</definedName>
    <definedName name="GFBV" hidden="1">{"'Sheet1'!$L$16"}</definedName>
    <definedName name="gfd" hidden="1">{"'Sheet1'!$L$16"}</definedName>
    <definedName name="gfdg" hidden="1">{"'Sheet1'!$L$16"}</definedName>
    <definedName name="gfdgd" hidden="1">#REF!</definedName>
    <definedName name="GFDHG" hidden="1">{"NGUYEN QUI THIEP - Personal View",#N/A,FALSE,"XDCB.HT.FUR."}</definedName>
    <definedName name="gfg" hidden="1">{"'Sheet1'!$L$16"}</definedName>
    <definedName name="gfgf" hidden="1">#REF!</definedName>
    <definedName name="gfgfghfh" hidden="1">#REF!</definedName>
    <definedName name="gfh" hidden="1">{#N/A,#N/A,FALSE,"Chi tiÆt"}</definedName>
    <definedName name="gfhgj" hidden="1">{0}</definedName>
    <definedName name="GFJHJ" hidden="1">{"'Sheet1'!$L$16"}</definedName>
    <definedName name="GFSDFSF" hidden="1">{"'Sheet1'!$L$16"}</definedName>
    <definedName name="GG" hidden="1">{#N/A,#N/A,TRUE,"SUM";#N/A,#N/A,TRUE,"EE";#N/A,#N/A,TRUE,"AC";#N/A,#N/A,TRUE,"SN"}</definedName>
    <definedName name="ggag" hidden="1">#REF!</definedName>
    <definedName name="ggdf" hidden="1">{"'Sheet1'!$L$16"}</definedName>
    <definedName name="ggf" hidden="1">{"'Sheet1'!$L$16"}</definedName>
    <definedName name="ggg" hidden="1">{"'Sheet1'!$L$16"}</definedName>
    <definedName name="GGGG" hidden="1">#REF!</definedName>
    <definedName name="GGGGG" hidden="1">{#N/A,#N/A,TRUE,"SUM";#N/A,#N/A,TRUE,"EE";#N/A,#N/A,TRUE,"AC";#N/A,#N/A,TRUE,"SN"}</definedName>
    <definedName name="gggggg" hidden="1">#REF!</definedName>
    <definedName name="ggggggggggggg" hidden="1">{"'Sheet1'!$L$16"}</definedName>
    <definedName name="gggggggggggggg" hidden="1">{"'Sheet1'!$L$16"}</definedName>
    <definedName name="ggggggggggggggg" hidden="1">{"'Sheet1'!$L$16"}</definedName>
    <definedName name="gggggggggggggggg" hidden="1">#REF!</definedName>
    <definedName name="ggggggggggggggggg" hidden="1">#REF!</definedName>
    <definedName name="gghh" hidden="1">{"'Sheet1'!$L$16"}</definedName>
    <definedName name="gghjh" hidden="1">{"'Sheet1'!$L$16"}</definedName>
    <definedName name="ggsf" hidden="1">#REF!</definedName>
    <definedName name="ggss" hidden="1">{"'Sheet1'!$L$16"}</definedName>
    <definedName name="gh" hidden="1">{"'Sheet1'!$L$16"}</definedName>
    <definedName name="GHDF" hidden="1">{"'Sheet1'!$L$16"}</definedName>
    <definedName name="ghdfghdfg" hidden="1">{"'Sheet1'!$L$16"}</definedName>
    <definedName name="ghdzsf" hidden="1">{"'Sheet1'!$L$16"}</definedName>
    <definedName name="ghfdyds" hidden="1">#REF!</definedName>
    <definedName name="ghfhgfh" hidden="1">{"'Sheet1'!$L$16"}</definedName>
    <definedName name="ghg" hidden="1">{"'Sheet1'!$L$16"}</definedName>
    <definedName name="ghgh" hidden="1">{"'Sheet1'!$L$16"}</definedName>
    <definedName name="GHGHF" hidden="1">#REF!</definedName>
    <definedName name="ghgj" hidden="1">{0}</definedName>
    <definedName name="ghgk" hidden="1">{0}</definedName>
    <definedName name="ghhh" hidden="1">{"'Sheet1'!$L$16"}</definedName>
    <definedName name="ghj" hidden="1">{"'Sheet1'!$L$16"}</definedName>
    <definedName name="ghjghjgh" hidden="1">#REF!</definedName>
    <definedName name="ghjgjkhjk" hidden="1">#REF!</definedName>
    <definedName name="ghjhgj" hidden="1">{"'Sheet1'!$L$16"}</definedName>
    <definedName name="GHJK" hidden="1">{"'Sheet1'!$L$16"}</definedName>
    <definedName name="ghm" hidden="1">{#N/A,#N/A,FALSE,"Sheet1";#N/A,#N/A,FALSE,"Sheet1";#N/A,#N/A,FALSE,"Sheet1"}</definedName>
    <definedName name="GHTY" hidden="1">#REF!</definedName>
    <definedName name="ghû" hidden="1">{"'Sheet1'!$L$16"}</definedName>
    <definedName name="gÎ" hidden="1">#REF!</definedName>
    <definedName name="gjgh" hidden="1">{"'Sheet1'!$L$16"}</definedName>
    <definedName name="gjh" hidden="1">{"'Sheet1'!$L$16"}</definedName>
    <definedName name="gjhg" hidden="1">{"'Sheet1'!$L$16"}</definedName>
    <definedName name="gjhhn" hidden="1">{"'Sheet1'!$L$16"}</definedName>
    <definedName name="gjhlk" hidden="1">{0}</definedName>
    <definedName name="GJKHJFG" hidden="1">{"'Sheet1'!$L$16"}</definedName>
    <definedName name="GJKHK" hidden="1">{"'Sheet1'!$L$16"}</definedName>
    <definedName name="gjkj" hidden="1">{"'Sheet1'!$L$16"}</definedName>
    <definedName name="gjrđjsjs" hidden="1">{"'Sheet1'!$L$16"}</definedName>
    <definedName name="GKGHJH" hidden="1">{#N/A,#N/A,FALSE,"Chi tiÆt"}</definedName>
    <definedName name="GKH" hidden="1">{#N/A,#N/A,FALSE,"Chi tiÆt"}</definedName>
    <definedName name="glhlhl" hidden="1">{"'Sheet1'!$L$16"}</definedName>
    <definedName name="glllhlh" hidden="1">{"'Sheet1'!$L$16"}</definedName>
    <definedName name="GNCBN" hidden="1">{"NGUYEN QUI THIEP - Personal View",#N/A,FALSE,"XDCB.HT.FUR."}</definedName>
    <definedName name="gndfd" hidden="1">{"'Sheet1'!$L$16"}</definedName>
    <definedName name="GNFKD" hidden="1">{#N/A,#N/A,TRUE,"SUM";#N/A,#N/A,TRUE,"EE";#N/A,#N/A,TRUE,"AC";#N/A,#N/A,TRUE,"SN"}</definedName>
    <definedName name="GREG4E" hidden="1">{"'Sheet1'!$L$16"}</definedName>
    <definedName name="grew" hidden="1">#REF!</definedName>
    <definedName name="grgr" hidden="1">#REF!</definedName>
    <definedName name="GSGSD" hidden="1">{"'Sheet1'!$L$16"}</definedName>
    <definedName name="gteyhưez" hidden="1">{"'Sheet1'!$L$16"}</definedName>
    <definedName name="GTM" hidden="1">{"'Sheet1'!$L$16"}</definedName>
    <definedName name="GTOTAL" hidden="1">{"'Sheet1'!$L$16"}</definedName>
    <definedName name="gtrfxjmjl" hidden="1">{"'Sheet1'!$L$16"}</definedName>
    <definedName name="GƯEGWEGED" hidden="1">{"'Sheet1'!$L$16"}</definedName>
    <definedName name="GYG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" hidden="1">{"'Sheet1'!$L$16"}</definedName>
    <definedName name="h_xoa" hidden="1">{"'Sheet1'!$L$16"}</definedName>
    <definedName name="h_xoa2" hidden="1">{"'Sheet1'!$L$16"}</definedName>
    <definedName name="h_xoa3" hidden="1">{"'Sheet1'!$L$16"}</definedName>
    <definedName name="hah" hidden="1">{"'Sheet1'!$L$16"}</definedName>
    <definedName name="hai" hidden="1">{"'Sheet1'!$L$16"}</definedName>
    <definedName name="halong" hidden="1">{"'Sheet1'!$L$16"}</definedName>
    <definedName name="HAMTIEØN" hidden="1">{"'Sheet1'!$L$16"}</definedName>
    <definedName name="han" hidden="1">#REF!</definedName>
    <definedName name="Hanh" hidden="1">{"'Sheet1'!$L$16"}</definedName>
    <definedName name="HAO" hidden="1">{#N/A,#N/A,FALSE,"Sheet1"}</definedName>
    <definedName name="haq" hidden="1">{"'Sheet1'!$L$16"}</definedName>
    <definedName name="HCBA" hidden="1">{"'Sheet1'!$L$16"}</definedName>
    <definedName name="HCBE" hidden="1">{"'Sheet1'!$L$16"}</definedName>
    <definedName name="HCBN" hidden="1">{"'Sheet1'!$L$16"}</definedName>
    <definedName name="hchdsvf" hidden="1">{"'Sheet1'!$L$16"}</definedName>
    <definedName name="HCNA" hidden="1">{"'Sheet1'!$L$16"}</definedName>
    <definedName name="HDFGHFD" hidden="1">{"'Sheet1'!$L$16"}</definedName>
    <definedName name="hdfhf" hidden="1">{"'Sheet1'!$L$16"}</definedName>
    <definedName name="hee_opjg" hidden="1">{"'Sheet1'!$L$16"}</definedName>
    <definedName name="HEHA" hidden="1">{"'Sheet1'!$L$16"}</definedName>
    <definedName name="HẺHRE" hidden="1">{#N/A,#N/A,FALSE,"Chi tiÆt"}</definedName>
    <definedName name="HETH" hidden="1">{"'Sheet1'!$L$16"}</definedName>
    <definedName name="hethongthoatnuocngoainha" hidden="1">#REF!</definedName>
    <definedName name="hẻy" hidden="1">{"'Sheet1'!$L$16"}</definedName>
    <definedName name="hfgh" hidden="1">{"'Sheet1'!$L$16"}</definedName>
    <definedName name="HFGHFGHDG" hidden="1">{"'Sheet1'!$L$16"}</definedName>
    <definedName name="hfgsdf" hidden="1">{"'Sheet1'!$L$16"}</definedName>
    <definedName name="hfhrfhf" hidden="1">{"'Sheet1'!$L$16"}</definedName>
    <definedName name="hfjjgjgjg" hidden="1">{"'Sheet1'!$L$16"}</definedName>
    <definedName name="hfvg" hidden="1">{"'Sheet1'!$L$16"}</definedName>
    <definedName name="hg" hidden="1">{"'Sheet1'!$L$16"}</definedName>
    <definedName name="HGDHDFG" hidden="1">{"'Sheet1'!$L$16"}</definedName>
    <definedName name="hgfagl" hidden="1">#REF!</definedName>
    <definedName name="HGFGJHG" hidden="1">{"'Sheet1'!$L$16"}</definedName>
    <definedName name="HG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gg" hidden="1">{"'Sheet1'!$L$16"}</definedName>
    <definedName name="hggg" hidden="1">{"'Sheet1'!$L$16"}</definedName>
    <definedName name="hgggggggggggggg" hidden="1">{"'Sheet1'!$L$16"}</definedName>
    <definedName name="hggjgjh" hidden="1">#REF!</definedName>
    <definedName name="hgh" hidden="1">{"'Sheet1'!$L$16"}</definedName>
    <definedName name="hghg" hidden="1">#REF!</definedName>
    <definedName name="hght" hidden="1">{"'Sheet1'!$L$16"}</definedName>
    <definedName name="hgj" hidden="1">{#N/A,#N/A,FALSE,"Chi tiÆt"}</definedName>
    <definedName name="hgjhkh" hidden="1">{"'Sheet1'!$L$16"}</definedName>
    <definedName name="hgre_zdfhgfd" hidden="1">{"'Sheet1'!$L$16"}</definedName>
    <definedName name="hgtgftryt" hidden="1">{"'Sheet1'!$L$16"}</definedName>
    <definedName name="hhb" hidden="1">{"'Sheet1'!$L$16"}</definedName>
    <definedName name="hhgggggg" hidden="1">{"'Sheet1'!$L$16"}</definedName>
    <definedName name="hhh" hidden="1">{"'Sheet1'!$L$16"}</definedName>
    <definedName name="hhhhh" hidden="1">#REF!</definedName>
    <definedName name="HHHHHH" hidden="1">{#N/A,#N/A,TRUE,"SUM";#N/A,#N/A,TRUE,"EE";#N/A,#N/A,TRUE,"AC";#N/A,#N/A,TRUE,"SN"}</definedName>
    <definedName name="hhhhhhhhh" hidden="1">{"'Sheet1'!$L$16"}</definedName>
    <definedName name="hhhhhhhhhhhhhhhh" hidden="1">{"'Sheet1'!$L$16"}</definedName>
    <definedName name="hhhhhhhhhhhhhhhhhhhh" hidden="1">{"'Sheet1'!$L$16"}</definedName>
    <definedName name="hhhhhu" hidden="1">{"'Sheet1'!$L$16"}</definedName>
    <definedName name="hhhlll" hidden="1">{"'Sheet1'!$L$16"}</definedName>
    <definedName name="hhjj" hidden="1">{"'Sheet1'!$L$16"}</definedName>
    <definedName name="hhkl" hidden="1">{"'Sheet1'!$L$16"}</definedName>
    <definedName name="HiddenRows" hidden="1">#REF!</definedName>
    <definedName name="hiep" hidden="1">{"'Sheet1'!$L$16"}</definedName>
    <definedName name="hiept2" hidden="1">{"'Sheet1'!$L$16"}</definedName>
    <definedName name="hj" hidden="1">{"'Sheet1'!$L$16"}</definedName>
    <definedName name="HJFGHGDH" hidden="1">{"NGUYEN QUI THIEP - Personal View",#N/A,FALSE,"XDCB.HT.FUR."}</definedName>
    <definedName name="HJGH" hidden="1">#REF!</definedName>
    <definedName name="hjh" hidden="1">{"'Sheet1'!$L$16"}</definedName>
    <definedName name="HJHH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HJHHJHHHJ" hidden="1">{"'Sheet1'!$L$16"}</definedName>
    <definedName name="hjhj" hidden="1">{#N/A,#N/A,FALSE,"Chi tiÆt"}</definedName>
    <definedName name="HJJ" hidden="1">'[3]114+220'!#REF!</definedName>
    <definedName name="hjjkl" hidden="1">{"'Sheet1'!$L$16"}</definedName>
    <definedName name="hjjpu" hidden="1">{"'Sheet1'!$L$16"}</definedName>
    <definedName name="hjjþu" hidden="1">{"'Sheet1'!$L$16"}</definedName>
    <definedName name="hjk" hidden="1">{"'Sheet1'!$L$16"}</definedName>
    <definedName name="hjkfy" hidden="1">#REF!</definedName>
    <definedName name="hjkk" hidden="1">{"'Sheet1'!$L$16"}</definedName>
    <definedName name="hjkl" hidden="1">{"'Sheet1'!$L$16"}</definedName>
    <definedName name="hjkrtyyui" hidden="1">#REF!</definedName>
    <definedName name="HJTHE" hidden="1">{"'Sheet1'!$L$16"}</definedName>
    <definedName name="hjuk" hidden="1">{"'Sheet1'!$L$16"}</definedName>
    <definedName name="hkhkllkjkl" hidden="1">{"'Sheet1'!$L$16"}</definedName>
    <definedName name="HKJH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kkkfd" hidden="1">{"'Sheet1'!$L$16"}</definedName>
    <definedName name="hklhj" hidden="1">{"'Sheet1'!$L$16"}</definedName>
    <definedName name="hllgljl" hidden="1">{"'Sheet1'!$L$16"}</definedName>
    <definedName name="HMFDFG" hidden="1">{"'Sheet1'!$L$16"}</definedName>
    <definedName name="HMFGMFG" hidden="1">{"'Sheet1'!$L$16"}</definedName>
    <definedName name="hmy" hidden="1">{"'Sheet1'!$L$16"}</definedName>
    <definedName name="hoa" hidden="1">{"'Sheet1'!$L$16"}</definedName>
    <definedName name="hoan" hidden="1">{"'Sheet1'!$L$16"}</definedName>
    <definedName name="hoan1" hidden="1">{"'Sheet1'!$L$16"}</definedName>
    <definedName name="hodaoG11" hidden="1">{"'Sheet1'!$L$16"}</definedName>
    <definedName name="hong" hidden="1">{"'Sheet1'!$L$16"}</definedName>
    <definedName name="hp" hidden="1">{"'Sheet1'!$L$16"}</definedName>
    <definedName name="HREHRE" hidden="1">{"'Sheet1'!$L$16"}</definedName>
    <definedName name="hsfhfjh" hidden="1">#REF!</definedName>
    <definedName name="hsruj" hidden="1">{"'Sheet1'!$L$16"}</definedName>
    <definedName name="hsss" hidden="1">{"'Sheet1'!$L$16"}</definedName>
    <definedName name="hsu" hidden="1">{"'Sheet1'!$L$16"}</definedName>
    <definedName name="hte" hidden="1">{"'Sheet1'!$L$16"}</definedName>
    <definedName name="htfrju" hidden="1">{"'Sheet1'!$L$16"}</definedName>
    <definedName name="hþ" hidden="1">{"'Sheet1'!$L$16"}</definedName>
    <definedName name="HTHTR" hidden="1">{"'Sheet1'!$L$16"}</definedName>
    <definedName name="hþwr" hidden="1">{"'Sheet1'!$L$16"}</definedName>
    <definedName name="htlm" hidden="1">{"'Sheet1'!$L$16"}</definedName>
    <definedName name="htlm1" hidden="1">{"'Sheet1'!$L$16"}</definedName>
    <definedName name="html" hidden="1">{"'Sheet1'!$L$16"}</definedName>
    <definedName name="HTML_C" hidden="1">{"'Sheet1'!$L$16"}</definedName>
    <definedName name="HTML_CodePage" hidden="1">950</definedName>
    <definedName name="HTML_Control" hidden="1">{"'Sheet1'!$L$16"}</definedName>
    <definedName name="HTML_Control_1" hidden="1">{"'Sheet1'!$L$16"}</definedName>
    <definedName name="html_control_xoa2" hidden="1">{"'Sheet1'!$L$16"}</definedName>
    <definedName name="HTML_Control1" hidden="1">{"'Sheet1'!$L$16"}</definedName>
    <definedName name="HTML_Controlmoi" hidden="1">{"'Sheet1'!$L$16"}</definedName>
    <definedName name="HTML_D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PathFilemoi" hidden="1">"C:\2689\Q\國內\00q3961台化龍德PTA3建造\MyHTML.htm"</definedName>
    <definedName name="HTML_Title" hidden="1">"00Q3961-SUM"</definedName>
    <definedName name="html2" hidden="1">{"'Sheet1'!$L$16"}</definedName>
    <definedName name="HTMLcpnmtrol" hidden="1">{"'Sheet1'!$L$16"}</definedName>
    <definedName name="htmll" hidden="1">{"'Sheet1'!$L$16"}</definedName>
    <definedName name="HTMLmoi" hidden="1">{"'Sheet1'!$L$16"}</definedName>
    <definedName name="htrdi" hidden="1">{"'Sheet1'!$L$16"}</definedName>
    <definedName name="htrhrt" hidden="1">{"'Sheet1'!$L$16"}</definedName>
    <definedName name="hu" hidden="1">{"'Sheet1'!$L$16"}</definedName>
    <definedName name="hue" hidden="1">{"'Sheet1'!$L$16"}</definedName>
    <definedName name="HU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H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HU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i" hidden="1">{"'Sheet1'!$L$16"}</definedName>
    <definedName name="hung" hidden="1">{"'Sheet1'!$L$16"}</definedName>
    <definedName name="hung118" hidden="1">{"'Sheet1'!$L$16"}</definedName>
    <definedName name="hung3" hidden="1">{"'Sheet1'!$L$16"}</definedName>
    <definedName name="huong" hidden="1">{"'Sheet1'!$L$16"}</definedName>
    <definedName name="huu" hidden="1">{"'Sheet1'!$L$16"}</definedName>
    <definedName name="huuu" hidden="1">{"'Sheet1'!$L$16"}</definedName>
    <definedName name="huy" hidden="1">{"'Sheet1'!$L$16"}</definedName>
    <definedName name="huy_1" hidden="1">{"'Sheet1'!$L$16"}</definedName>
    <definedName name="huy_xoa" hidden="1">{"'Sheet1'!$L$16"}</definedName>
    <definedName name="huy_xoa2" hidden="1">{"'Sheet1'!$L$16"}</definedName>
    <definedName name="huy1moi" hidden="1">{"'Sheet1'!$L$16"}</definedName>
    <definedName name="huyen" hidden="1">{"'Sheet1'!$L$16"}</definedName>
    <definedName name="huyhu" hidden="1">{"'Sheet1'!$L$16"}</definedName>
    <definedName name="huymoi" hidden="1">{"'Sheet1'!$L$16"}</definedName>
    <definedName name="huynh76" hidden="1">{"'Sheet1'!$L$16"}</definedName>
    <definedName name="HUYØ" hidden="1">{"'Sheet1'!$L$16"}</definedName>
    <definedName name="hy" hidden="1">{"'Sheet1'!$L$16"}</definedName>
    <definedName name="hy." hidden="1">{"'Sheet1'!$L$16"}</definedName>
    <definedName name="I" hidden="1">#REF!</definedName>
    <definedName name="Ìag" hidden="1">{"'Sheet1'!$L$16"}</definedName>
    <definedName name="Îe" hidden="1">{"Offgrid",#N/A,FALSE,"OFFGRID";"Region",#N/A,FALSE,"REGION";"Offgrid -2",#N/A,FALSE,"OFFGRID";"WTP",#N/A,FALSE,"WTP";"WTP -2",#N/A,FALSE,"WTP";"Project",#N/A,FALSE,"PROJECT";"Summary -2",#N/A,FALSE,"SUMMARY"}</definedName>
    <definedName name="iEN" hidden="1">{"'Sheet1'!$L$16"}</definedName>
    <definedName name="ïgvghj" hidden="1">{"'Sheet1'!$L$16"}</definedName>
    <definedName name="III" hidden="1">{"'Sheet1'!$L$16"}</definedName>
    <definedName name="ijhgfddffth" hidden="1">{"'Sheet1'!$L$16"}</definedName>
    <definedName name="ik" hidden="1">{"'Sheet1'!$L$16"}</definedName>
    <definedName name="INDIRECT_COST" hidden="1">#REF!</definedName>
    <definedName name="ioi" hidden="1">{"'Sheet1'!$L$16"}</definedName>
    <definedName name="ipoi" hidden="1">{"'Sheet1'!$L$16"}</definedName>
    <definedName name="it" hidden="1">{"'Sheet1'!$L$16"}</definedName>
    <definedName name="­Îtfyuh678" hidden="1">#REF!</definedName>
    <definedName name="ịth" hidden="1">{"'Sheet1'!$L$16"}</definedName>
    <definedName name="iuliupoui" hidden="1">{"'Sheet1'!$L$16"}</definedName>
    <definedName name="iwer" hidden="1">{"'Sheet1'!$L$16"}</definedName>
    <definedName name="iylryi" hidden="1">{"'Sheet1'!$L$16"}</definedName>
    <definedName name="J" hidden="1">#REF!</definedName>
    <definedName name="jæít" hidden="1">{"'Sheet1'!$L$16"}</definedName>
    <definedName name="JDFHDH" hidden="1">{"'Sheet1'!$L$16"}</definedName>
    <definedName name="JDJDJ" hidden="1">{"Offgrid",#N/A,FALSE,"OFFGRID";"Region",#N/A,FALSE,"REGION";"Offgrid -2",#N/A,FALSE,"OFFGRID";"WTP",#N/A,FALSE,"WTP";"WTP -2",#N/A,FALSE,"WTP";"Project",#N/A,FALSE,"PROJECT";"Summary -2",#N/A,FALSE,"SUMMARY"}</definedName>
    <definedName name="jdk" hidden="1">{"'Sheet1'!$L$16"}</definedName>
    <definedName name="jfgsdf" hidden="1">{"'Sheet1'!$L$16"}</definedName>
    <definedName name="J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FJFGHG" hidden="1">{"'Sheet1'!$L$16"}</definedName>
    <definedName name="jgdhj" hidden="1">#REF!</definedName>
    <definedName name="jggui78" hidden="1">{"'Sheet1'!$L$16"}</definedName>
    <definedName name="JGHJFHJJ" hidden="1">{"'Sheet1'!$L$16"}</definedName>
    <definedName name="jght" hidden="1">{"'Sheet1'!$L$16"}</definedName>
    <definedName name="JH" hidden="1">{"'Sheet1'!$L$16"}</definedName>
    <definedName name="jh." hidden="1">{"'Sheet1'!$L$16"}</definedName>
    <definedName name="jhfgh" hidden="1">{0,0,0,0;0,0,0,0;0,0,0,0;0,0,0,0;0,0,0,0;0,0,0,0;0,0,0,0}</definedName>
    <definedName name="JH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G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J" hidden="1">{"'Sheet1'!$L$16"}</definedName>
    <definedName name="jhk" hidden="1">{"'Sheet1'!$L$16"}</definedName>
    <definedName name="jhkj" hidden="1">{#N/A,#N/A,FALSE,"Chi tiÆt"}</definedName>
    <definedName name="jhn" hidden="1">{"'Sheet1'!$L$16"}</definedName>
    <definedName name="jjj" hidden="1">{#N/A,#N/A,FALSE,"Sheet1"}</definedName>
    <definedName name="jjjjj" hidden="1">{"'Sheet1'!$L$16"}</definedName>
    <definedName name="jjjjjjj" hidden="1">{"'Sheet1'!$L$16"}</definedName>
    <definedName name="jjjjjjjjj" hidden="1">{0}</definedName>
    <definedName name="jjjjjjjjjjjjj" hidden="1">{"'Sheet1'!$L$16"}</definedName>
    <definedName name="JJJJJJJJJJJJJJJJJJJJ" hidden="1">#REF!</definedName>
    <definedName name="jjkk" hidden="1">{"'Sheet1'!$L$16"}</definedName>
    <definedName name="JKDFSJCSDKJ" hidden="1">{#N/A,#N/A,TRUE,"SUM";#N/A,#N/A,TRUE,"EE";#N/A,#N/A,TRUE,"AC";#N/A,#N/A,TRUE,"SN"}</definedName>
    <definedName name="jkgjkhk" hidden="1">{"'Sheet1'!$L$16"}</definedName>
    <definedName name="JK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kij7899" hidden="1">{"'Sheet1'!$L$16"}</definedName>
    <definedName name="jkjhk" hidden="1">{"'Sheet1'!$L$16"}</definedName>
    <definedName name="JKJK" hidden="1">{"'Sheet1'!$L$16"}</definedName>
    <definedName name="jkjkj" hidden="1">{"'Sheet1'!$L$16"}</definedName>
    <definedName name="jkkk" hidden="1">{"'Sheet1'!$L$16"}</definedName>
    <definedName name="jkl" hidden="1">{"'Sheet1'!$L$16"}</definedName>
    <definedName name="jkljk" hidden="1">{"'Sheet1'!$L$16"}</definedName>
    <definedName name="jkljkl" hidden="1">#REF!</definedName>
    <definedName name="JLJKL" hidden="1">{"'Sheet1'!$L$16"}</definedName>
    <definedName name="jljl" hidden="1">{"'Sheet1'!$L$16"}</definedName>
    <definedName name="jo" hidden="1">{"'Sheet1'!$L$16"}</definedName>
    <definedName name="jrd" hidden="1">{"'Sheet1'!$L$16"}</definedName>
    <definedName name="JRY" hidden="1">{"'Sheet1'!$L$16"}</definedName>
    <definedName name="jsdh" hidden="1">{"'Sheet1'!$L$16"}</definedName>
    <definedName name="jsdjs" hidden="1">{"'Sheet1'!$L$16"}</definedName>
    <definedName name="jsryj" hidden="1">{"'Sheet1'!$L$16"}</definedName>
    <definedName name="jt" hidden="1">{"'Sheet1'!$L$16"}</definedName>
    <definedName name="JTDEYW" hidden="1">{"'Sheet1'!$L$16"}</definedName>
    <definedName name="jtru" hidden="1">{"'Sheet1'!$L$16"}</definedName>
    <definedName name="jtyk" hidden="1">{"'Sheet1'!$L$16"}</definedName>
    <definedName name="jufyk" hidden="1">{"'Sheet1'!$L$16"}</definedName>
    <definedName name="JYJYTJYT" hidden="1">{"NGUYEN QUI THIEP - Personal View",#N/A,FALSE,"XDCB.HT.FUR."}</definedName>
    <definedName name="jyu" hidden="1">{"'Sheet1'!$L$16"}</definedName>
    <definedName name="jyuk" hidden="1">{"'Sheet1'!$L$16"}</definedName>
    <definedName name="jýỵy" hidden="1">{"'Sheet1'!$L$16"}</definedName>
    <definedName name="K.viecBAHUNG" hidden="1">{"'Sheet1'!$L$16"}</definedName>
    <definedName name="k_xoa" hidden="1">{"Offgrid",#N/A,FALSE,"OFFGRID";"Region",#N/A,FALSE,"REGION";"Offgrid -2",#N/A,FALSE,"OFFGRID";"WTP",#N/A,FALSE,"WTP";"WTP -2",#N/A,FALSE,"WTP";"Project",#N/A,FALSE,"PROJECT";"Summary -2",#N/A,FALSE,"SUMMARY"}</definedName>
    <definedName name="k_xoa2" hidden="1">{"Offgrid",#N/A,FALSE,"OFFGRID";"Region",#N/A,FALSE,"REGION";"Offgrid -2",#N/A,FALSE,"OFFGRID";"WTP",#N/A,FALSE,"WTP";"WTP -2",#N/A,FALSE,"WTP";"Project",#N/A,FALSE,"PROJECT";"Summary -2",#N/A,FALSE,"SUMMARY"}</definedName>
    <definedName name="kb" hidden="1">{"'Sheet1'!$L$16"}</definedName>
    <definedName name="KCThep" hidden="1">{"'Sheet1'!$L$16"}</definedName>
    <definedName name="kdkk" hidden="1">{"'Sheet1'!$L$16"}</definedName>
    <definedName name="ke" hidden="1">#REF!</definedName>
    <definedName name="kehoachkhoiluong05" hidden="1">{"'Sheet1'!$L$16"}</definedName>
    <definedName name="kfrl" hidden="1">{"'Sheet1'!$L$16"}</definedName>
    <definedName name="KFTCGN" hidden="1">{"'Sheet1'!$L$16"}</definedName>
    <definedName name="kg_m2" hidden="1">#REF!</definedName>
    <definedName name="khang" hidden="1">{"'Sheet1'!$L$16"}</definedName>
    <definedName name="khanh" hidden="1">{"'Sheet1'!$L$16"}</definedName>
    <definedName name="KHANHKHUNG" hidden="1">{"'Sheet1'!$L$16"}</definedName>
    <definedName name="KHBTsua" hidden="1">{"'Sheet1'!$L$16"}</definedName>
    <definedName name="khin" hidden="1">{"'Sheet1'!$L$16"}</definedName>
    <definedName name="KHJ" hidden="1">#REF!</definedName>
    <definedName name="khkh" hidden="1">{"'Sheet1'!$L$16"}</definedName>
    <definedName name="khkttt" hidden="1">{"'Sheet1'!$L$16"}</definedName>
    <definedName name="KhongCT" hidden="1">{"'Sheet1'!$L$16"}</definedName>
    <definedName name="khongtruotgia" hidden="1">{"'Sheet1'!$L$16"}</definedName>
    <definedName name="khuyen" hidden="1">{"'Sheet1'!$L$16"}</definedName>
    <definedName name="ki" hidden="1">{"'Sheet1'!$L$16"}</definedName>
    <definedName name="kiyddfdr" hidden="1">{"'Sheet1'!$L$16"}</definedName>
    <definedName name="kjhh2" hidden="1">{"'Sheet1'!$L$16"}</definedName>
    <definedName name="kjjkjgg" hidden="1">{"'Sheet1'!$L$16"}</definedName>
    <definedName name="kjjlll" hidden="1">{"'Sheet1'!$L$16"}</definedName>
    <definedName name="kjk" hidden="1">{"'Sheet1'!$L$16"}</definedName>
    <definedName name="KJYJ" hidden="1">#REF!</definedName>
    <definedName name="kkgdss" hidden="1">{"'Sheet1'!$L$16"}</definedName>
    <definedName name="kkk" hidden="1">{#N/A,#N/A,FALSE,"特殊室（ＢＱ表）"}</definedName>
    <definedName name="ｋｋｋ" hidden="1">{"'Sheet1'!$L$16"}</definedName>
    <definedName name="kkkk" hidden="1">{"'Sheet1'!$L$16"}</definedName>
    <definedName name="kkkkk" hidden="1">{"'Sheet1'!$L$16"}</definedName>
    <definedName name="kkkkkkkkkk" hidden="1">{0}</definedName>
    <definedName name="kkkl" hidden="1">{"'Sheet1'!$L$16"}</definedName>
    <definedName name="kkl" hidden="1">{"'Sheet1'!$L$16"}</definedName>
    <definedName name="kkll" hidden="1">{"'Sheet1'!$L$16"}</definedName>
    <definedName name="kklll" hidden="1">{"'Sheet1'!$L$16"}</definedName>
    <definedName name="kks.t10" hidden="1">{"'Sheet1'!$L$16"}</definedName>
    <definedName name="KKS.T12" hidden="1">{"'Sheet1'!$L$16"}</definedName>
    <definedName name="KL_Cong" hidden="1">{"'Sheet1'!$L$16"}</definedName>
    <definedName name="klcn2" hidden="1">{"'Sheet1'!$L$16"}</definedName>
    <definedName name="KLDDII" hidden="1">{#N/A,#N/A,FALSE,"Sheet1"}</definedName>
    <definedName name="KLduonggiaods" hidden="1">{"'Sheet1'!$L$16"}</definedName>
    <definedName name="klhkl" hidden="1">{#N/A,#N/A,FALSE,"CCTV"}</definedName>
    <definedName name="klkkj" hidden="1">{"'Sheet1'!$L$16"}</definedName>
    <definedName name="klkklk" hidden="1">{#N/A,#N/A,FALSE,"Sheet1";#N/A,#N/A,FALSE,"Sheet3";#N/A,#N/A,FALSE,"Sheet5"}</definedName>
    <definedName name="KLLT" hidden="1">#REF!</definedName>
    <definedName name="klm" hidden="1">{"'Sheet1'!$L$16"}</definedName>
    <definedName name="klmoithau" hidden="1">{"Offgrid",#N/A,FALSE,"OFFGRID";"Region",#N/A,FALSE,"REGION";"Offgrid -2",#N/A,FALSE,"OFFGRID";"WTP",#N/A,FALSE,"WTP";"WTP -2",#N/A,FALSE,"WTP";"Project",#N/A,FALSE,"PROJECT";"Summary -2",#N/A,FALSE,"SUMMARY"}</definedName>
    <definedName name="klmt" hidden="1">{"'Sheet1'!$L$16"}</definedName>
    <definedName name="kltn3" hidden="1">{"'Sheet1'!$L$16"}</definedName>
    <definedName name="Km" hidden="1">{"'Sheet1'!$L$16"}</definedName>
    <definedName name="KNDAT_CHUA_SU_DUNG" hidden="1">#REF!</definedName>
    <definedName name="KP_DBGT_Dang" hidden="1">{"'Sheet1'!$L$16"}</definedName>
    <definedName name="ks" hidden="1">{"'Sheet1'!$L$16"}</definedName>
    <definedName name="ksbn" hidden="1">{"'Sheet1'!$L$16"}</definedName>
    <definedName name="KSDA" hidden="1">{"'Sheet1'!$L$16"}</definedName>
    <definedName name="kshn" hidden="1">{"'Sheet1'!$L$16"}</definedName>
    <definedName name="ksls" hidden="1">{"'Sheet1'!$L$16"}</definedName>
    <definedName name="kstk2" hidden="1">{"'Sheet1'!$L$16"}</definedName>
    <definedName name="KUK" hidden="1">#REF!</definedName>
    <definedName name="kukek" hidden="1">{"'Sheet1'!$L$16"}</definedName>
    <definedName name="kuklk" hidden="1">{"'Sheet1'!$L$16"}</definedName>
    <definedName name="kutkuk" hidden="1">{"'Sheet1'!$L$16"}</definedName>
    <definedName name="Kye" hidden="1">#REF!</definedName>
    <definedName name="kyk" hidden="1">#REF!</definedName>
    <definedName name="KYUKGH" hidden="1">{"'Sheet1'!$L$16"}</definedName>
    <definedName name="Lai" hidden="1">{"'Sheet1'!$L$16"}</definedName>
    <definedName name="lam" hidden="1">{"'Sheet1'!$L$16"}</definedName>
    <definedName name="lamduong1" hidden="1">{"'Sheet1'!$L$16"}</definedName>
    <definedName name="langson" hidden="1">{"'Sheet1'!$L$16"}</definedName>
    <definedName name="latxay" hidden="1">{"'Sheet1'!$L$16"}</definedName>
    <definedName name="le" hidden="1">{"'Sheet1'!$L$16"}</definedName>
    <definedName name="LEEEE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lieu" hidden="1">{"'Sheet1'!$L$16"}</definedName>
    <definedName name="lïhïe" hidden="1">{"'Sheet1'!$L$16"}</definedName>
    <definedName name="limcount" hidden="1">13</definedName>
    <definedName name="linh" hidden="1">{"'Sheet1'!$L$16"}</definedName>
    <definedName name="LINHTINH" hidden="1">{"'Sheet1'!$L$16"}</definedName>
    <definedName name="ljh" hidden="1">{#N/A,#N/A,FALSE,"Chi tiÆt"}</definedName>
    <definedName name="ljhghg" hidden="1">{"'Sheet1'!$L$16"}</definedName>
    <definedName name="LJHMN" hidden="1">{"'Sheet1'!$L$16"}</definedName>
    <definedName name="ljj" hidden="1">{"'Sheet1'!$L$16"}</definedName>
    <definedName name="ljkhg" hidden="1">{"'Sheet1'!$L$16"}</definedName>
    <definedName name="ljkl" hidden="1">{"'Sheet1'!$L$16"}</definedName>
    <definedName name="ljklk" hidden="1">{"'Sheet1'!$L$16"}</definedName>
    <definedName name="LJL" hidden="1">{#N/A,#N/A,FALSE,"Chi tiÆt"}</definedName>
    <definedName name="lk" hidden="1">{"'Sheet1'!$L$16"}</definedName>
    <definedName name="lkjg" hidden="1">{"'Sheet1'!$L$16"}</definedName>
    <definedName name="lkklll" hidden="1">{"'Sheet1'!$L$16"}</definedName>
    <definedName name="lkl" hidden="1">{#N/A,#N/A,FALSE,"Chi tiÆt"}</definedName>
    <definedName name="lklkhh" hidden="1">{"'Sheet1'!$L$16"}</definedName>
    <definedName name="LLEE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llgk" hidden="1">{"Offgrid",#N/A,FALSE,"OFFGRID";"Region",#N/A,FALSE,"REGION";"Offgrid -2",#N/A,FALSE,"OFFGRID";"WTP",#N/A,FALSE,"WTP";"WTP -2",#N/A,FALSE,"WTP";"Project",#N/A,FALSE,"PROJECT";"Summary -2",#N/A,FALSE,"SUMMARY"}</definedName>
    <definedName name="lll" hidden="1">{#N/A,#N/A,FALSE,"特殊室（ＢＱ表）"}</definedName>
    <definedName name="lllj" hidden="1">{"'Sheet1'!$L$16"}</definedName>
    <definedName name="llllllllll" hidden="1">{0}</definedName>
    <definedName name="lllllllllllllllllllllllll" hidden="1">{0}</definedName>
    <definedName name="lmn" hidden="1">{"'Sheet1'!$L$16"}</definedName>
    <definedName name="lôa33BT5" hidden="1">{"'Sheet1'!$L$16"}</definedName>
    <definedName name="loan" hidden="1">{"Offgrid",#N/A,FALSE,"OFFGRID";"Region",#N/A,FALSE,"REGION";"Offgrid -2",#N/A,FALSE,"OFFGRID";"WTP",#N/A,FALSE,"WTP";"WTP -2",#N/A,FALSE,"WTP";"Project",#N/A,FALSE,"PROJECT";"Summary -2",#N/A,FALSE,"SUMMARY"}</definedName>
    <definedName name="LOCO" hidden="1">{"'Sheet1'!$L$16"}</definedName>
    <definedName name="LOCO2" hidden="1">{"'Sheet1'!$L$16"}</definedName>
    <definedName name="lon" hidden="1">{"'Sheet1'!$L$16"}</definedName>
    <definedName name="Long" hidden="1">{"'Sheet1'!$L$16"}</definedName>
    <definedName name="luan" hidden="1">{"'Sheet1'!$L$16"}</definedName>
    <definedName name="luc" hidden="1">{"'Sheet1'!$L$16"}</definedName>
    <definedName name="luong" hidden="1">{"'Sheet1'!$L$16"}</definedName>
    <definedName name="M" hidden="1">#REF!</definedName>
    <definedName name="M10." hidden="1">{"'Sheet1'!$L$16"}</definedName>
    <definedName name="mäc" hidden="1">{"'Sheet1'!$L$16"}</definedName>
    <definedName name="mai" hidden="1">{"'Sheet1'!$L$16"}</definedName>
    <definedName name="man_sched" hidden="1">{"'Sheet1'!$L$16"}</definedName>
    <definedName name="MANH" hidden="1">{"'Sheet1'!$L$16"}</definedName>
    <definedName name="matbang" hidden="1">{"'Sheet1'!$L$16"}</definedName>
    <definedName name="MAU" hidden="1">{"'Sheet1'!$L$16"}</definedName>
    <definedName name="mccb" hidden="1">{#N/A,#N/A,FALSE,"CCTV"}</definedName>
    <definedName name="MCCO" hidden="1">{#N/A,#N/A,FALSE,"CCTV"}</definedName>
    <definedName name="MCCO10" hidden="1">{#N/A,#N/A,FALSE,"CCTV"}</definedName>
    <definedName name="MCCO11" hidden="1">{#N/A,#N/A,FALSE,"CCTV"}</definedName>
    <definedName name="MCCO12" hidden="1">{#N/A,#N/A,FALSE,"CCTV"}</definedName>
    <definedName name="MCCO13" hidden="1">{#N/A,#N/A,FALSE,"CCTV"}</definedName>
    <definedName name="MCCO3" hidden="1">{#N/A,#N/A,FALSE,"CCTV"}</definedName>
    <definedName name="MCCO4" hidden="1">{#N/A,#N/A,FALSE,"CCTV"}</definedName>
    <definedName name="MCCO5" hidden="1">{#N/A,#N/A,FALSE,"CCTV"}</definedName>
    <definedName name="MCCO6" hidden="1">{#N/A,#N/A,FALSE,"CCTV"}</definedName>
    <definedName name="MCCO7" hidden="1">{#N/A,#N/A,FALSE,"CCTV"}</definedName>
    <definedName name="MCCO8" hidden="1">{#N/A,#N/A,FALSE,"CCTV"}</definedName>
    <definedName name="MCCO9" hidden="1">{#N/A,#N/A,FALSE,"CCTV"}</definedName>
    <definedName name="MCCOÙ" hidden="1">{#N/A,#N/A,FALSE,"CCTV"}</definedName>
    <definedName name="mck" hidden="1">{#N/A,#N/A,FALSE,"Chi tiÆt"}</definedName>
    <definedName name="MFGND" hidden="1">{"'Sheet1'!$L$16"}</definedName>
    <definedName name="MFHMFGNG" hidden="1">{"'Sheet1'!$L$16"}</definedName>
    <definedName name="mh" hidden="1">{"'Sheet1'!$L$16"}</definedName>
    <definedName name="minh" hidden="1">{"'Sheet1'!$L$16"}</definedName>
    <definedName name="miyu" hidden="1">{"'Sheet1'!$L$16"}</definedName>
    <definedName name="mjh" hidden="1">{"'Sheet1'!$L$16"}</definedName>
    <definedName name="ｍｍｍ" hidden="1">{"'Sheet1'!$L$16"}</definedName>
    <definedName name="ｍｍｍｍ" hidden="1">{"'Sheet1'!$L$16"}</definedName>
    <definedName name="mmmmmmmmm" hidden="1">{0}</definedName>
    <definedName name="mo" hidden="1">{"'Sheet1'!$L$16"}</definedName>
    <definedName name="moi" hidden="1">{"'Sheet1'!$L$16"}</definedName>
    <definedName name="MTYMYTMY" hidden="1">{"'Sheet1'!$L$16"}</definedName>
    <definedName name="MV" hidden="1">{#N/A,#N/A,FALSE,"Sheet1";#N/A,#N/A,FALSE,"Sheet3";#N/A,#N/A,FALSE,"Sheet5"}</definedName>
    <definedName name="mvac" hidden="1">{"'Sheet1'!$L$16"}</definedName>
    <definedName name="MVBNMVB" hidden="1">{"NGUYEN QUI THIEP - Personal View",#N/A,FALSE,"XDCB.HT.FUR."}</definedName>
    <definedName name="my" hidden="1">{"'Sheet1'!$L$16"}</definedName>
    <definedName name="n" hidden="1">{"'Sheet1'!$L$16"}</definedName>
    <definedName name="Na" hidden="1">{"'Sheet1'!$L$16"}</definedName>
    <definedName name="nam" hidden="1">{"'Sheet1'!$L$16"}</definedName>
    <definedName name="NAME" hidden="1">{#N/A,#N/A,TRUE,"SUM";#N/A,#N/A,TRUE,"EE";#N/A,#N/A,TRUE,"AC";#N/A,#N/A,TRUE,"SN"}</definedName>
    <definedName name="name_gia" hidden="1">[2]Control!#REF!</definedName>
    <definedName name="name3" hidden="1">#REF!</definedName>
    <definedName name="NB" hidden="1">{#N/A,#N/A,FALSE,"Sheet2";#N/A,#N/A,FALSE,"Sheet4";#N/A,#N/A,FALSE,"Sheet6"}</definedName>
    <definedName name="nbfđ" hidden="1">{"'Sheet1'!$L$16"}</definedName>
    <definedName name="nbv" hidden="1">{"'Sheet1'!$L$16"}</definedName>
    <definedName name="NCVBXVCB" hidden="1">{"'Sheet1'!$L$16"}</definedName>
    <definedName name="NDF" hidden="1">#REF!</definedName>
    <definedName name="NDFNDF" hidden="1">{"'Sheet1'!$L$16"}</definedName>
    <definedName name="NDFNDFB" hidden="1">{"'Sheet1'!$L$16"}</definedName>
    <definedName name="NDFNDN" hidden="1">{"'Sheet1'!$L$16"}</definedName>
    <definedName name="NDFNSF" hidden="1">{"'Sheet1'!$L$16"}</definedName>
    <definedName name="NDGFD" hidden="1">{"'Sheet1'!$L$16"}</definedName>
    <definedName name="NDGNFGNG" hidden="1">{"'Sheet1'!$L$16"}</definedName>
    <definedName name="NDNSBS" hidden="1">{"'Sheet1'!$L$16"}</definedName>
    <definedName name="Ne" hidden="1">{"'Sheet1'!$L$16"}</definedName>
    <definedName name="nego검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epcua" hidden="1">{#N/A,#N/A,FALSE,"Chi tiÆt"}</definedName>
    <definedName name="NEW" hidden="1">{#N/A,#N/A,FALSE,"Chi tiÆt"}</definedName>
    <definedName name="NEWNAME" hidden="1">{#N/A,#N/A,FALSE,"CCTV"}</definedName>
    <definedName name="NF" hidden="1">#REF!</definedName>
    <definedName name="NFDBDB" hidden="1">{"'Sheet1'!$L$16"}</definedName>
    <definedName name="NFDNDF" hidden="1">{"'Sheet1'!$L$16"}</definedName>
    <definedName name="NFGJH" hidden="1">{"'Sheet1'!$L$16"}</definedName>
    <definedName name="NFGMGF" hidden="1">{"'Sheet1'!$L$16"}</definedName>
    <definedName name="NFGNDBDF" hidden="1">{"'Sheet1'!$L$16"}</definedName>
    <definedName name="NFHJYFF" hidden="1">{"'Sheet1'!$L$16"}</definedName>
    <definedName name="NFNGFH" hidden="1">{"'Sheet1'!$L$16"}</definedName>
    <definedName name="ng" hidden="1">{"'Sheet1'!$L$16"}</definedName>
    <definedName name="ngan" hidden="1">{"'Sheet1'!$L$16"}</definedName>
    <definedName name="ngay14" hidden="1">{"'Sheet1'!$L$16"}</definedName>
    <definedName name="NGFN" hidden="1">{"'Sheet1'!$L$16"}</definedName>
    <definedName name="NGHETINH1" hidden="1">{"'Sheet1'!$L$16"}</definedName>
    <definedName name="nghgh" hidden="1">{"'Sheet1'!$L$16"}</definedName>
    <definedName name="ngljlj" hidden="1">{"'Sheet1'!$L$16"}</definedName>
    <definedName name="ngu" hidden="1">{"'Sheet1'!$L$16"}</definedName>
    <definedName name="NguyenDiep" hidden="1">{"'Sheet1'!$L$16"}</definedName>
    <definedName name="NHANH2_CG4" hidden="1">{"'Sheet1'!$L$16"}</definedName>
    <definedName name="nhanuoc" hidden="1">{"'Sheet1'!$L$16"}</definedName>
    <definedName name="nhappppppppp" hidden="1">{"'Sheet1'!$L$16"}</definedName>
    <definedName name="nharac" hidden="1">{#N/A,#N/A,FALSE,"Chi tiÆt"}</definedName>
    <definedName name="Nhiem" hidden="1">{"'Sheet1'!$L$16"}</definedName>
    <definedName name="NHTTCT" hidden="1">{"'Sheet1'!$L$16"}</definedName>
    <definedName name="NNL" hidden="1">{"'boi duong nang nhoc'!$A$1"}</definedName>
    <definedName name="nnn" hidden="1">{"'Sheet1'!$L$16"}</definedName>
    <definedName name="nnnnn" hidden="1">{"'Sheet1'!$L$16"}</definedName>
    <definedName name="nnnnnnnnnnnnnn" hidden="1">{0}</definedName>
    <definedName name="No.10" hidden="1">{"'Sheet1'!$L$16"}</definedName>
    <definedName name="No.9" hidden="1">{"'Sheet1'!$L$16"}</definedName>
    <definedName name="NRBFD" hidden="1">{"'Sheet1'!$L$16"}</definedName>
    <definedName name="NRMTYM" hidden="1">{"NGUYEN QUI THIEP - Personal View",#N/A,FALSE,"XDCB.HT.FUR."}</definedName>
    <definedName name="NRNRD" hidden="1">{"'Sheet1'!$L$16"}</definedName>
    <definedName name="NTB" hidden="1">{#N/A,#N/A,FALSE,"Chi tiÆt"}</definedName>
    <definedName name="NUOCHKHOAN" hidden="1">{"'Sheet1'!$L$16"}</definedName>
    <definedName name="NUOCHKHOANMOI" hidden="1">{"'Sheet1'!$L$16"}</definedName>
    <definedName name="NUTGIAOK22" hidden="1">{#N/A,#N/A,FALSE,"Sheet1";#N/A,#N/A,FALSE,"Sheet1";#N/A,#N/A,FALSE,"Sheet1"}</definedName>
    <definedName name="NVBNBNV" hidden="1">{#N/A,#N/A,FALSE,"Chi tiÆt"}</definedName>
    <definedName name="NVCB" hidden="1">{"'Sheet1'!$L$16"}</definedName>
    <definedName name="o" hidden="1">{"'Sheet1'!$L$16"}</definedName>
    <definedName name="oa" hidden="1">#REF!</definedName>
    <definedName name="oanh" hidden="1">{"'Sheet1'!$L$16"}</definedName>
    <definedName name="öªttyty568" hidden="1">#REF!</definedName>
    <definedName name="OC" hidden="1">{"'Sheet1'!$L$16"}</definedName>
    <definedName name="öe" hidden="1">{"'Sheet1'!$L$16"}</definedName>
    <definedName name="OIJYED" hidden="1">{"'Sheet1'!$L$16"}</definedName>
    <definedName name="ok" hidden="1">{"'Sheet1'!$L$16"}</definedName>
    <definedName name="okei" hidden="1">{"'Sheet1'!$L$16"}</definedName>
    <definedName name="opy3kl" hidden="1">{"'Sheet1'!$L$16"}</definedName>
    <definedName name="opykl" hidden="1">{"'Sheet1'!$L$16"}</definedName>
    <definedName name="öqw" hidden="1">{"'Sheet1'!$L$16"}</definedName>
    <definedName name="OrderTable" hidden="1">#REF!</definedName>
    <definedName name="ouioyoigoigyiyugi" hidden="1">#REF!</definedName>
    <definedName name="PA1.2" hidden="1">{"'Sheet1'!$L$16"}</definedName>
    <definedName name="PAIII_" hidden="1">{"'Sheet1'!$L$16"}</definedName>
    <definedName name="Panel" hidden="1">{#N/A,#N/A,TRUE,"SUM";#N/A,#N/A,TRUE,"EE";#N/A,#N/A,TRUE,"AC";#N/A,#N/A,TRUE,"SN"}</definedName>
    <definedName name="patrickk" hidden="1">{#N/A,#N/A,FALSE,"récap";#N/A,#N/A,FALSE,"hypothèses";#N/A,#N/A,FALSE,"Serv Génér";#N/A,#N/A,FALSE,"A-R paroi";#N/A,#N/A,FALSE,"paroi moulée";#N/A,#N/A,FALSE,"préfondés";#N/A,#N/A,FALSE,"A-R injection";#N/A,#N/A,FALSE,"forages";#N/A,#N/A,FALSE,"injection";#N/A,#N/A,FALSE,"pompage";#N/A,#N/A,FALSE,"comparatif";#N/A,#N/A,FALSE,"échéancier"}</definedName>
    <definedName name="ph" hidden="1">{"'Sheet1'!$L$16"}</definedName>
    <definedName name="phai" hidden="1">{"'Sheet1'!$L$16"}</definedName>
    <definedName name="phantich3" hidden="1">{"'Sheet1'!$L$16"}</definedName>
    <definedName name="phñto2" hidden="1">{"'Sheet1'!$L$16"}</definedName>
    <definedName name="phongve12KmTN" hidden="1">{"'Sheet1'!$L$16"}</definedName>
    <definedName name="phongve12KmTN1" hidden="1">{"'Sheet1'!$L$16"}</definedName>
    <definedName name="Phßng" hidden="1">{"'Sheet1'!$L$16"}</definedName>
    <definedName name="phuluc" hidden="1">{"'Sheet1'!$L$16"}</definedName>
    <definedName name="phuluc2" hidden="1">{"'Sheet1'!$L$16"}</definedName>
    <definedName name="phuoc" hidden="1">{"'Sheet1'!$L$16"}</definedName>
    <definedName name="Phuong" hidden="1">{"'Sheet1'!$L$16"}</definedName>
    <definedName name="Pipe" hidden="1">{#N/A,#N/A,FALSE,"CCTV"}</definedName>
    <definedName name="PKTN." hidden="1">{"'Sheet1'!$L$16"}</definedName>
    <definedName name="PL" hidden="1">{"'Sheet1'!$L$16"}</definedName>
    <definedName name="plkl" hidden="1">{"'Sheet1'!$L$16"}</definedName>
    <definedName name="PLL" hidden="1">{"'Sheet1'!$L$16"}</definedName>
    <definedName name="PlucBcaoTD" hidden="1">{"'Sheet1'!$L$16"}</definedName>
    <definedName name="PMS" hidden="1">{"'Sheet1'!$L$16"}</definedName>
    <definedName name="po" hidden="1">{"'Sheet1'!$L$16"}</definedName>
    <definedName name="pope" hidden="1">{"'Sheet1'!$L$16"}</definedName>
    <definedName name="Port1" hidden="1">{#N/A,#N/A,FALSE,"特殊室（ＢＱ表）"}</definedName>
    <definedName name="port11" hidden="1">{#N/A,#N/A,FALSE,"特殊室（ＢＱ表）"}</definedName>
    <definedName name="pp" hidden="1">{#N/A,#N/A,FALSE,"OUTPUT SHEET "}</definedName>
    <definedName name="PPPP" hidden="1">{"'Sheet1'!$L$16"}</definedName>
    <definedName name="ｐｐｐｐ" hidden="1">{"'Sheet1'!$L$16"}</definedName>
    <definedName name="preparation" hidden="1">{"'Sheet1'!$L$16"}</definedName>
    <definedName name="pri" hidden="1">{#N/A,#N/A,TRUE,"Str.";#N/A,#N/A,TRUE,"Steel &amp; Roof";#N/A,#N/A,TRUE,"Arc.";#N/A,#N/A,TRUE,"Preliminary";#N/A,#N/A,TRUE,"Sum_Prelim"}</definedName>
    <definedName name="_xlnm.Print_Area" localSheetId="0">'114+840'!$A$1:$AB$547</definedName>
    <definedName name="_xlnm.Print_Area" localSheetId="1">'BC.114+840'!$A$1:$AB$339</definedName>
    <definedName name="_xlnm.Print_Area" localSheetId="2">'SL.114+840'!$A$1:$O$401</definedName>
    <definedName name="_xlnm.Print_Titles" localSheetId="0">'114+840'!$12:$13</definedName>
    <definedName name="_xlnm.Print_Titles" localSheetId="1">'BC.114+840'!$1:$12</definedName>
    <definedName name="_xlnm.Print_Titles" localSheetId="2">'SL.114+840'!$12:$13</definedName>
    <definedName name="ProdForm" hidden="1">#REF!</definedName>
    <definedName name="prodForm1" hidden="1">#REF!</definedName>
    <definedName name="Product" hidden="1">#REF!</definedName>
    <definedName name="PS" hidden="1">{"'Sheet1'!$L$16"}</definedName>
    <definedName name="psm" hidden="1">{"'Sheet1'!$L$16"}</definedName>
    <definedName name="pst" hidden="1">{"'Sheet1'!$L$16"}</definedName>
    <definedName name="pth" hidden="1">{"'Sheet1'!$L$16"}</definedName>
    <definedName name="ptich3" hidden="1">{"'Sheet1'!$L$16"}</definedName>
    <definedName name="ptvtgiam" hidden="1">{"'Sheet1'!$L$16"}</definedName>
    <definedName name="q" hidden="1">{"'Sheet1'!$L$16"}</definedName>
    <definedName name="QA" hidden="1">{"'Sheet1'!$L$16"}</definedName>
    <definedName name="qd10_gt" hidden="1">{"'Sheet1'!$L$16"}</definedName>
    <definedName name="qd10_gt1" hidden="1">{"'Sheet1'!$L$16"}</definedName>
    <definedName name="qềqg" hidden="1">{"'Sheet1'!$L$16"}</definedName>
    <definedName name="q­ewrtti" hidden="1">#REF!</definedName>
    <definedName name="QGFADB" hidden="1">{"'Sheet1'!$L$16"}</definedName>
    <definedName name="qncjstkdehdwhrud" hidden="1">{#N/A,#N/A,TRUE,"1";#N/A,#N/A,TRUE,"2";#N/A,#N/A,TRUE,"3";#N/A,#N/A,TRUE,"4";#N/A,#N/A,TRUE,"5";#N/A,#N/A,TRUE,"6";#N/A,#N/A,TRUE,"7"}</definedName>
    <definedName name="qöeqwerqwereq" hidden="1">#REF!</definedName>
    <definedName name="qqq" hidden="1">{"'Sheet1'!$L$16"}</definedName>
    <definedName name="ｑｑｑ" hidden="1">{"'Sheet1'!$L$16"}</definedName>
    <definedName name="ｑｑｑｑ" hidden="1">{"'Sheet1'!$L$16"}</definedName>
    <definedName name="qqqqqqqq" hidden="1">{"'Sheet1'!$L$16"}</definedName>
    <definedName name="qrw" hidden="1">{#N/A,#N/A,FALSE,"Sheet2";#N/A,#N/A,FALSE,"Sheet4";#N/A,#N/A,FALSE,"Sheet6"}</definedName>
    <definedName name="qt" hidden="1">{"'Sheet1'!$L$16"}</definedName>
    <definedName name="qtrwey" hidden="1">{"'Sheet1'!$L$16"}</definedName>
    <definedName name="quan" hidden="1">{"'Sheet1'!$L$16"}</definedName>
    <definedName name="quan.P12" hidden="1">{"'Sheet1'!$L$16"}</definedName>
    <definedName name="quang" hidden="1">{"'Sheet1'!$L$16"}</definedName>
    <definedName name="quang03" hidden="1">{"'Sheet1'!$L$16"}</definedName>
    <definedName name="QUATANG" hidden="1">{"'Sheet1'!$L$16"}</definedName>
    <definedName name="qưdqưdqưd" hidden="1">{"'Sheet1'!$L$16"}</definedName>
    <definedName name="qưqw" hidden="1">#REF!</definedName>
    <definedName name="Quynh20" hidden="1">{"'Sheet1'!$L$16"}</definedName>
    <definedName name="qw" hidden="1">{#N/A,#N/A,FALSE,"단가표지"}</definedName>
    <definedName name="qwaz" hidden="1">{"'Sheet1'!$L$16"}</definedName>
    <definedName name="qwdd" hidden="1">{"'Sheet1'!$L$16"}</definedName>
    <definedName name="QWEQW" hidden="1">#REF!</definedName>
    <definedName name="qwer" hidden="1">{"'Sheet1'!$L$16"}</definedName>
    <definedName name="qwertet" hidden="1">{"'Sheet1'!$L$16"}</definedName>
    <definedName name="qwwqe" hidden="1">{"'Sheet1'!$L$16"}</definedName>
    <definedName name="ranh" hidden="1">{"'Sheet1'!$L$16"}</definedName>
    <definedName name="Ranhphancach" hidden="1">{"'Sheet1'!$L$16"}</definedName>
    <definedName name="ranhtrai" hidden="1">{"'Sheet1'!$L$16"}</definedName>
    <definedName name="Ranhxay" hidden="1">{"'Sheet1'!$L$16"}</definedName>
    <definedName name="rbsr" hidden="1">{"'Sheet1'!$L$16"}</definedName>
    <definedName name="RCArea" hidden="1">#REF!</definedName>
    <definedName name="rd" hidden="1">{"'Sheet1'!$L$16"}</definedName>
    <definedName name="_xlnm.Recorder" hidden="1">#REF!</definedName>
    <definedName name="report1" hidden="1">{#N/A,#N/A,FALSE,"特殊室（ＢＱ表）"}</definedName>
    <definedName name="report2" hidden="1">{#N/A,#N/A,FALSE,"特殊室（ＢＱ表）"}</definedName>
    <definedName name="rer" hidden="1">{"Offgrid",#N/A,FALSE,"OFFGRID";"Region",#N/A,FALSE,"REGION";"Offgrid -2",#N/A,FALSE,"OFFGRID";"WTP",#N/A,FALSE,"WTP";"WTP -2",#N/A,FALSE,"WTP";"Project",#N/A,FALSE,"PROJECT";"Summary -2",#N/A,FALSE,"SUMMARY"}</definedName>
    <definedName name="rertete" hidden="1">{"Offgrid",#N/A,FALSE,"OFFGRID";"Region",#N/A,FALSE,"REGION";"Offgrid -2",#N/A,FALSE,"OFFGRID";"WTP",#N/A,FALSE,"WTP";"WTP -2",#N/A,FALSE,"WTP";"Project",#N/A,FALSE,"PROJECT";"Summary -2",#N/A,FALSE,"SUMMARY"}</definedName>
    <definedName name="rêrwerrwererew" hidden="1">#REF!</definedName>
    <definedName name="Result21" hidden="1">{"'Sheet1'!$L$16"}</definedName>
    <definedName name="rett" hidden="1">{"'Sheet1'!$L$16"}</definedName>
    <definedName name="rewr" hidden="1">{"'Sheet1'!$L$16"}</definedName>
    <definedName name="rgdf" hidden="1">{"'Sheet1'!$L$16"}</definedName>
    <definedName name="rggsg" hidden="1">{"'Sheet1'!$L$16"}</definedName>
    <definedName name="rhgrs" hidden="1">{"'Sheet1'!$L$16"}</definedName>
    <definedName name="RHODIA" hidden="1">{"'DocTypeCode'!$A$142:$A$226"}</definedName>
    <definedName name="rits" hidden="1">{"'Sheet1'!$L$16"}</definedName>
    <definedName name="rkd" hidden="1">{#N/A,#N/A,FALSE,"CCTV"}</definedName>
    <definedName name="rnhum" hidden="1">{"'Sheet1'!$L$16"}</definedName>
    <definedName name="Road" hidden="1">{"'Sheet1'!$L$16"}</definedName>
    <definedName name="Roundabout2030" hidden="1">{"'Sheet1'!$L$16"}</definedName>
    <definedName name="row" hidden="1">#REF!</definedName>
    <definedName name="RPLA" hidden="1">{"'Sheet1'!$L$16"}</definedName>
    <definedName name="rr" hidden="1">{"'Sheet1'!$L$16"}</definedName>
    <definedName name="rrr" hidden="1">{"'Sheet1'!$L$16"}</definedName>
    <definedName name="rrrr" hidden="1">{"'Sheet1'!$L$16"}</definedName>
    <definedName name="ｒｒｒｒ" hidden="1">{"'Sheet1'!$L$16"}</definedName>
    <definedName name="rsls" hidden="1">{"'Sheet1'!$L$16"}</definedName>
    <definedName name="rtÎ" hidden="1">{#N/A,#N/A,FALSE,"Chi tiÆt"}</definedName>
    <definedName name="RTJR" hidden="1">{"'Sheet1'!$L$16"}</definedName>
    <definedName name="rtr" hidden="1">{"'Sheet1'!$L$16"}</definedName>
    <definedName name="RTWR" hidden="1">{"'Sheet1'!$L$16"}</definedName>
    <definedName name="rtyrtyt" hidden="1">#REF!</definedName>
    <definedName name="rtytiu×ghfgh" hidden="1">#REF!</definedName>
    <definedName name="rtytry" hidden="1">#REF!</definedName>
    <definedName name="rtytyïgh­345w567hj" hidden="1">#REF!</definedName>
    <definedName name="RỬ" hidden="1">#REF!</definedName>
    <definedName name="RƯET" hidden="1">{"'Sheet1'!$L$16"}</definedName>
    <definedName name="RƯT4WTW" hidden="1">{"'Sheet1'!$L$16"}</definedName>
    <definedName name="ruteyiuyui456467" hidden="1">#REF!</definedName>
    <definedName name="ry" hidden="1">{"'Sheet1'!$L$16"}</definedName>
    <definedName name="sa" hidden="1">{"'Sheet1'!$L$16"}</definedName>
    <definedName name="sa?fà" hidden="1">{"'Sheet1'!$L$16"}</definedName>
    <definedName name="saa" hidden="1">{#N/A,#N/A,FALSE,"Sheet2";#N/A,#N/A,FALSE,"Sheet4";#N/A,#N/A,FALSE,"Sheet6"}</definedName>
    <definedName name="saas" hidden="1">#REF!</definedName>
    <definedName name="sach" hidden="1">{"'Sheet1'!$L$16"}</definedName>
    <definedName name="sad" hidden="1">{"'Sheet1'!$L$16"}</definedName>
    <definedName name="sadasdadsad" hidden="1">#REF!</definedName>
    <definedName name="sadasdasda" hidden="1">#REF!</definedName>
    <definedName name="sadSa" hidden="1">{#N/A,#N/A,FALSE,"Chi tiÆt"}</definedName>
    <definedName name="sadsad" hidden="1">#REF!</definedName>
    <definedName name="sadsgfjhkhluiluil" hidden="1">#REF!</definedName>
    <definedName name="sagawa" hidden="1">#REF!</definedName>
    <definedName name="sahdfjdgjds" hidden="1">{"'Sheet1'!$L$16"}</definedName>
    <definedName name="SAPBEXrevision" hidden="1">1</definedName>
    <definedName name="SAPBEXsysID" hidden="1">"TA2"</definedName>
    <definedName name="SAPBEXwbID" hidden="1">"E9Q3LCWW911VAJ39BASH84PBR"</definedName>
    <definedName name="sas" hidden="1">{"'Sheet1'!$L$16"}</definedName>
    <definedName name="sasa" hidden="1">{#N/A,#N/A,FALSE,"Sheet1";#N/A,#N/A,FALSE,"Sheet3";#N/A,#N/A,FALSE,"Sheet5"}</definedName>
    <definedName name="sasas" hidden="1">{"'Sheet1'!$L$16"}</definedName>
    <definedName name="SBSDGBRS" hidden="1">{"'Sheet1'!$L$16"}</definedName>
    <definedName name="scẪ" hidden="1">{"'Sheet1'!$L$16"}</definedName>
    <definedName name="scÂC" hidden="1">{"'Sheet1'!$L$16"}</definedName>
    <definedName name="schedule" hidden="1">{"'Sheet1'!$L$16"}</definedName>
    <definedName name="sCol" hidden="1">zIsDgiaCTiet_Gia.VTu*2+3</definedName>
    <definedName name="SD" hidden="1">{"'ELEC'!$A$2:$H$216","'ELEC'!$C$2:$D$2"}</definedName>
    <definedName name="sdcsd" hidden="1">{"'Sheet1'!$L$16"}</definedName>
    <definedName name="sdd" hidden="1">{"'Sheet1'!$L$16"}</definedName>
    <definedName name="sdf" hidden="1">{"'Sheet1'!$L$16"}</definedName>
    <definedName name="sđfá" hidden="1">{"'Sheet1'!$L$16"}</definedName>
    <definedName name="sdfasd" hidden="1">{0}</definedName>
    <definedName name="SDFASFSA" hidden="1">{"'Sheet1'!$L$16"}</definedName>
    <definedName name="sdfastgawtwqetr" hidden="1">#REF!</definedName>
    <definedName name="sdfcvbkytw34576578" hidden="1">#REF!</definedName>
    <definedName name="sdfd" hidden="1">{"'Sheet1'!$L$16"}</definedName>
    <definedName name="sdfda" hidden="1">{"'Sheet1'!$L$16"}</definedName>
    <definedName name="sdfdf" hidden="1">#REF!</definedName>
    <definedName name="sdfdfghfjhghjkhjk" hidden="1">#REF!</definedName>
    <definedName name="sdfdsf" hidden="1">{#N/A,#N/A,FALSE,"Chi tiÆt"}</definedName>
    <definedName name="sdfdsfdsf" hidden="1">#REF!</definedName>
    <definedName name="sdfg­ªtyeutui" hidden="1">#REF!</definedName>
    <definedName name="SDFGRB" hidden="1">#REF!</definedName>
    <definedName name="sđfgs" hidden="1">{"'Sheet1'!$L$16"}</definedName>
    <definedName name="sdfÎge" hidden="1">{"'Sheet1'!$L$16"}</definedName>
    <definedName name="sdfsdf" hidden="1">{"'Sheet1'!$L$16"}</definedName>
    <definedName name="sdfsdfsd" hidden="1">{"'Sheet1'!$L$16"}</definedName>
    <definedName name="sdfsdfsfsd" hidden="1">{"'Sheet1'!$L$16"}</definedName>
    <definedName name="SDFSDGD" hidden="1">{"'Sheet1'!$L$16"}</definedName>
    <definedName name="SDFSDGF" hidden="1">{"'Sheet1'!$L$16"}</definedName>
    <definedName name="SDFSE" hidden="1">{"'Sheet1'!$L$16"}</definedName>
    <definedName name="SDG" hidden="1">{"'Sheet1'!$L$16"}</definedName>
    <definedName name="sdgdsg" hidden="1">{"'Sheet1'!$L$16"}</definedName>
    <definedName name="sdgfjhfj" hidden="1">{"'Sheet1'!$L$16"}</definedName>
    <definedName name="SDGSDG" hidden="1">{"'Sheet1'!$L$16"}</definedName>
    <definedName name="SDGSDHET" hidden="1">{"'Sheet1'!$L$16"}</definedName>
    <definedName name="SDGWRSRWG" hidden="1">{"'Sheet1'!$L$16"}</definedName>
    <definedName name="sds" hidden="1">{"'Sheet1'!$L$16"}</definedName>
    <definedName name="sdsad" hidden="1">#REF!</definedName>
    <definedName name="sdsadasdasd" hidden="1">{#N/A,#N/A,TRUE,"BT M200 da 10x20"}</definedName>
    <definedName name="SDSD" hidden="1">{#N/A,#N/A,FALSE,"Sheet1";#N/A,#N/A,FALSE,"Sheet3";#N/A,#N/A,FALSE,"Sheet5"}</definedName>
    <definedName name="SDSDS" hidden="1">#REF!</definedName>
    <definedName name="SDSDSD" hidden="1">#REF!</definedName>
    <definedName name="sdsdwdwdd" hidden="1">#REF!</definedName>
    <definedName name="sdsf" hidden="1">#REF!</definedName>
    <definedName name="SDTB" hidden="1">#REF!</definedName>
    <definedName name="sdvcxvcvxc" hidden="1">#REF!</definedName>
    <definedName name="sdz" hidden="1">{"'Sheet1'!$L$16"}</definedName>
    <definedName name="SEC.C1" hidden="1">#REF!</definedName>
    <definedName name="seet2" hidden="1">{"'Sheet1'!$L$16"}</definedName>
    <definedName name="sẻewr" hidden="1">#REF!</definedName>
    <definedName name="SEGSD" hidden="1">{"NGUYEN QUI THIEP - Personal View",#N/A,FALSE,"XDCB.HT.FUR."}</definedName>
    <definedName name="sencount" hidden="1">1</definedName>
    <definedName name="seytru" hidden="1">{"'Sheet1'!$L$16"}</definedName>
    <definedName name="sf" hidden="1">{"'Sheet1'!$L$16"}</definedName>
    <definedName name="SFA" hidden="1">#REF!</definedName>
    <definedName name="SFasfa" hidden="1">{"'Sheet1'!$L$16"}</definedName>
    <definedName name="SFBAS" hidden="1">{"'Sheet1'!$L$16"}</definedName>
    <definedName name="sfdgdfgfhgjgjgjghj" hidden="1">#REF!</definedName>
    <definedName name="sfdgnl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FEFSG" hidden="1">{"'Sheet1'!$L$16"}</definedName>
    <definedName name="sfgjh" hidden="1">#REF!</definedName>
    <definedName name="sfs" hidden="1">#REF!</definedName>
    <definedName name="sfsd" hidden="1">{"'Sheet1'!$L$16"}</definedName>
    <definedName name="sfsdg" hidden="1">{"'Sheet1'!$L$16"}</definedName>
    <definedName name="sgfg" hidden="1">{#N/A,#N/A,FALSE,"Chi tiÆt"}</definedName>
    <definedName name="sgfhsdhe" hidden="1">{"'Sheet1'!$L$16"}</definedName>
    <definedName name="SGG" hidden="1">{"'Sheet1'!$L$16"}</definedName>
    <definedName name="sgjhk" hidden="1">{"'Sheet1'!$L$16"}</definedName>
    <definedName name="sgsdg" hidden="1">{"'Sheet1'!$L$16"}</definedName>
    <definedName name="sgsr" hidden="1">{"'Sheet1'!$L$16"}</definedName>
    <definedName name="shdf" hidden="1">#REF!</definedName>
    <definedName name="sheet" hidden="1">{"'Sheet1'!$L$16"}</definedName>
    <definedName name="sheet2" hidden="1">{"'Sheet1'!$L$16"}</definedName>
    <definedName name="sheet3" hidden="1">{"NGUYEN QUI THIEP - Personal View",#N/A,FALSE,"XDCB.HT.FUR."}</definedName>
    <definedName name="sheet4" hidden="1">{"NGUYEN QUI THIEP - Personal View",#N/A,FALSE,"XDCB.HT.FUR."}</definedName>
    <definedName name="Sheûet" hidden="1">{"'Sheet1'!$L$16"}</definedName>
    <definedName name="Sheûet_1" hidden="1">{"'Sheet1'!$L$16"}</definedName>
    <definedName name="shfgskfj" hidden="1">{"'Sheet1'!$L$16"}</definedName>
    <definedName name="SHGREGER" hidden="1">{"NGUYEN QUI THIEP - Personal View",#N/A,FALSE,"XDCB.HT.FUR."}</definedName>
    <definedName name="shsrhtr" hidden="1">{"'Sheet1'!$L$16"}</definedName>
    <definedName name="sÎee" hidden="1">{"'Sheet1'!$L$16"}</definedName>
    <definedName name="sinh" hidden="1">{"'Sheet1'!$L$16"}</definedName>
    <definedName name="sinh1" hidden="1">{"'Sheet1'!$L$16"}</definedName>
    <definedName name="SITE_EXPENSE" hidden="1">#REF!</definedName>
    <definedName name="site1" hidden="1">#REF!</definedName>
    <definedName name="SLT" hidden="1">{"'Sheet1'!$L$16"}</definedName>
    <definedName name="sodu" hidden="1">{"'Sheet1'!$L$16"}</definedName>
    <definedName name="Sosanh2" hidden="1">{"'Sheet1'!$L$16"}</definedName>
    <definedName name="SpecialPrice" hidden="1">#REF!</definedName>
    <definedName name="SRTWER" hidden="1">{"'Sheet1'!$L$16"}</definedName>
    <definedName name="srtynetu6e7u" hidden="1">{"'Sheet1'!$L$16"}</definedName>
    <definedName name="SS" hidden="1">{"'Sheet1'!$L$16"}</definedName>
    <definedName name="sss" hidden="1">{"'Sheet1'!$L$16"}</definedName>
    <definedName name="ssss" hidden="1">#REF!</definedName>
    <definedName name="ssssssss" hidden="1">{"Offgrid",#N/A,FALSE,"OFFGRID";"Region",#N/A,FALSE,"REGION";"Offgrid -2",#N/A,FALSE,"OFFGRID";"WTP",#N/A,FALSE,"WTP";"WTP -2",#N/A,FALSE,"WTP";"Project",#N/A,FALSE,"PROJECT";"Summary -2",#N/A,FALSE,"SUMMARY"}</definedName>
    <definedName name="STHHHH" hidden="1">{"'Sheet1'!$L$16"}</definedName>
    <definedName name="styb5y57u" hidden="1">{"'Sheet1'!$L$16"}</definedName>
    <definedName name="sumimasenn" hidden="1">{"'Sheet1'!$L$16"}</definedName>
    <definedName name="summar" hidden="1">{#N/A,#N/A,TRUE,"SUM";#N/A,#N/A,TRUE,"EE";#N/A,#N/A,TRUE,"AC";#N/A,#N/A,TRUE,"SN"}</definedName>
    <definedName name="SumNo.5" hidden="1">{"'Sheet1'!$L$16"}</definedName>
    <definedName name="SUOIDOI2" hidden="1">{"'Sheet1'!$L$16"}</definedName>
    <definedName name="T" hidden="1">#REF!</definedName>
    <definedName name="T.3" hidden="1">{"'Sheet1'!$L$16"}</definedName>
    <definedName name="T18TL2" hidden="1">{"'Sheet1'!$L$16"}</definedName>
    <definedName name="T1PC" hidden="1">{"'Sheet1'!$L$16"}</definedName>
    <definedName name="T7Q3" hidden="1">{"'Sheet1'!$L$16"}</definedName>
    <definedName name="TamdanTB" hidden="1">{"'Sheet1'!$L$16"}</definedName>
    <definedName name="tamm" hidden="1">{"'Sheet1'!$L$16"}</definedName>
    <definedName name="tammm" hidden="1">{"'Sheet1'!$L$16"}</definedName>
    <definedName name="tammmm" hidden="1">{#N/A,#N/A,FALSE,"Chi tiÆt"}</definedName>
    <definedName name="tan" hidden="1">{"'Sheet1'!$L$16"}</definedName>
    <definedName name="Tang" hidden="1">{"'Sheet1'!$L$16"}</definedName>
    <definedName name="tbao" hidden="1">{"'Sheet1'!$L$16"}</definedName>
    <definedName name="TBC" hidden="1">{"'Sheet1'!$L$16"}</definedName>
    <definedName name="tbl_ProdInfo" hidden="1">#REF!</definedName>
    <definedName name="TBO장비기초단가" hidden="1">{"'Sheet1'!$L$16"}</definedName>
    <definedName name="TCC" hidden="1">{"'Sheet1'!$L$16"}</definedName>
    <definedName name="TCCQ" hidden="1">{"'Sheet1'!$L$16"}</definedName>
    <definedName name="TCCq3" hidden="1">{"'Sheet1'!$L$16"}</definedName>
    <definedName name="tecco" hidden="1">{"'Sheet1'!$L$16"}</definedName>
    <definedName name="technical" hidden="1">#REF!</definedName>
    <definedName name="ten_tab" hidden="1">[2]Control!#REF!</definedName>
    <definedName name="tetrwererw" hidden="1">#REF!</definedName>
    <definedName name="tfg" hidden="1">{"'Sheet1'!$L$16"}</definedName>
    <definedName name="tfgs" hidden="1">{"Offgrid",#N/A,FALSE,"OFFGRID";"Region",#N/A,FALSE,"REGION";"Offgrid -2",#N/A,FALSE,"OFFGRID";"WTP",#N/A,FALSE,"WTP";"WTP -2",#N/A,FALSE,"WTP";"Project",#N/A,FALSE,"PROJECT";"Summary -2",#N/A,FALSE,"SUMMARY"}</definedName>
    <definedName name="tghj" hidden="1">{"'Sheet1'!$L$16"}</definedName>
    <definedName name="tgưgz" hidden="1">{"'Sheet1'!$L$16"}</definedName>
    <definedName name="th.xls" hidden="1">{"'Sheet1'!$L$16"}</definedName>
    <definedName name="TH7SP" hidden="1">{"'Sheet1'!$L$16"}</definedName>
    <definedName name="tha" hidden="1">{"'Sheet1'!$L$16"}</definedName>
    <definedName name="THAERG" hidden="1">{"'Sheet1'!$L$16"}</definedName>
    <definedName name="thai" hidden="1">{"'Sheet1'!$L$16"}</definedName>
    <definedName name="Thang" hidden="1">{"'Sheet1'!$L$16"}</definedName>
    <definedName name="Thang1" hidden="1">{"'Sheet1'!$L$16"}</definedName>
    <definedName name="thang10" hidden="1">{"'Sheet1'!$L$16"}</definedName>
    <definedName name="thang10.d3" hidden="1">{"'Sheet1'!$L$16"}</definedName>
    <definedName name="Thang12" hidden="1">{"'Sheet1'!$L$16"}</definedName>
    <definedName name="Thang2" hidden="1">{"'Sheet1'!$L$16"}</definedName>
    <definedName name="THANH" hidden="1">{"'Sheet1'!$L$16"}</definedName>
    <definedName name="thao" hidden="1">{"'Sheet1'!$L$16"}</definedName>
    <definedName name="THC" hidden="1">{"'Sheet1'!$L$16"}</definedName>
    <definedName name="thcc" hidden="1">{"'Sheet1'!$L$16"}</definedName>
    <definedName name="THcong" hidden="1">{"'Sheet1'!$L$16"}</definedName>
    <definedName name="THCP2" hidden="1">{"'Sheet1'!$L$16"}</definedName>
    <definedName name="THCPCTD" hidden="1">{"'Sheet1'!$L$16"}</definedName>
    <definedName name="THCT" hidden="1">{"'Sheet1'!$L$16"}</definedName>
    <definedName name="them01" hidden="1">#REF!</definedName>
    <definedName name="Thepsan" hidden="1">{"'Sheet1'!$L$16"}</definedName>
    <definedName name="thepsan2" hidden="1">{"'Sheet1'!$L$16"}</definedName>
    <definedName name="THHD" hidden="1">{"'Sheet1'!$L$16"}</definedName>
    <definedName name="THHVT" hidden="1">{"'Sheet1'!$L$16"}</definedName>
    <definedName name="Thietbi" hidden="1">{"'Sheet1'!$L$16"}</definedName>
    <definedName name="thkl" hidden="1">#REF!</definedName>
    <definedName name="thkl2" hidden="1">{"'Sheet1'!$L$16"}</definedName>
    <definedName name="thkl3" hidden="1">{"'Sheet1'!$L$16"}</definedName>
    <definedName name="THKLPSM" hidden="1">{"'Sheet1'!$L$16"}</definedName>
    <definedName name="THKP" hidden="1">{"'Sheet1'!$L$16"}</definedName>
    <definedName name="THKP1" hidden="1">{"'Sheet1'!$L$16"}</definedName>
    <definedName name="THKP7YT" hidden="1">{"'Sheet1'!$L$16"}</definedName>
    <definedName name="THKPM8" hidden="1">{"'Sheet1'!$L$16"}</definedName>
    <definedName name="THLeloi" hidden="1">{"'Sheet1'!$L$16"}</definedName>
    <definedName name="THNgHue" hidden="1">{"'Sheet1'!$L$16"}</definedName>
    <definedName name="THNgThHoc" hidden="1">{"'Sheet1'!$L$16"}</definedName>
    <definedName name="THQT" hidden="1">{#N/A,#N/A,FALSE,"Chi tiÆt"}</definedName>
    <definedName name="thqtpsg" hidden="1">{"'Sheet1'!$L$16"}</definedName>
    <definedName name="THQuiCapChan" hidden="1">{"'Sheet1'!$L$16"}</definedName>
    <definedName name="thQuicaple" hidden="1">{"'Sheet1'!$L$16"}</definedName>
    <definedName name="THTranPhu" hidden="1">{"'Sheet1'!$L$16"}</definedName>
    <definedName name="thtyhyjyjyjyjjjyujyj" hidden="1">#REF!</definedName>
    <definedName name="thu" hidden="1">{"'Sheet1'!$L$16"}</definedName>
    <definedName name="Thuan" hidden="1">{"'Sheet1'!$L$16"}</definedName>
    <definedName name="thuû" hidden="1">{"'Sheet1'!$L$16"}</definedName>
    <definedName name="thuy" hidden="1">{"'Sheet1'!$L$16"}</definedName>
    <definedName name="thvlmoi" hidden="1">{"'Sheet1'!$L$16"}</definedName>
    <definedName name="thvlmoimoi" hidden="1">{"'Sheet1'!$L$16"}</definedName>
    <definedName name="THXD2" hidden="1">{"'Sheet1'!$L$16"}</definedName>
    <definedName name="TIENDOGIAINGAN" hidden="1">#REF!</definedName>
    <definedName name="tieude2" hidden="1">{"'Sheet1'!$L$16"}</definedName>
    <definedName name="TIM" hidden="1">{"'Sheet1'!$L$16"}</definedName>
    <definedName name="TINH" hidden="1">{#N/A,#N/A,FALSE,"CCTV"}</definedName>
    <definedName name="tinhlun" hidden="1">{"'Sheet1'!$L$16"}</definedName>
    <definedName name="tjhtrjntrsjnsr" hidden="1">{"'Sheet1'!$L$16"}</definedName>
    <definedName name="TKCT1" hidden="1">{"'Sheet1'!$L$16"}</definedName>
    <definedName name="TKHKIIKT30C1" hidden="1">{"'Sheet1'!$L$16"}</definedName>
    <definedName name="tlc" hidden="1">{"'Sheet1'!$L$16"}</definedName>
    <definedName name="TLP" hidden="1">{#N/A,#N/A,FALSE,"Chi tiÆt"}</definedName>
    <definedName name="TLPMG" hidden="1">{"'Sheet1'!$L$16"}</definedName>
    <definedName name="tLRANH1" hidden="1">{"'Sheet1'!$L$16"}</definedName>
    <definedName name="tls" hidden="1">{"'Sheet1'!$L$16"}</definedName>
    <definedName name="TLVL" hidden="1">{"'Sheet1'!$L$16"}</definedName>
    <definedName name="TM" hidden="1">{"'Sheet1'!$L$16"}</definedName>
    <definedName name="tnclt9.2" hidden="1">{"'Sheet1'!$L$16"}</definedName>
    <definedName name="to" hidden="1">{"'Sheet1'!$L$16"}</definedName>
    <definedName name="toan" hidden="1">{"'Sheet1'!$L$16"}</definedName>
    <definedName name="tong2" hidden="1">{"'Sheet1'!$L$16"}</definedName>
    <definedName name="tphuoc" hidden="1">{"'Sheet1'!$L$16"}</definedName>
    <definedName name="TR" hidden="1">#REF!</definedName>
    <definedName name="Tram" hidden="1">{"'Sheet1'!$L$16"}</definedName>
    <definedName name="trd" hidden="1">{"'Sheet1'!$L$16"}</definedName>
    <definedName name="TREIJ" hidden="1">#REF!</definedName>
    <definedName name="trgy" hidden="1">{"'Sheet1'!$L$16"}</definedName>
    <definedName name="TRHEH" hidden="1">{"'Sheet1'!$L$16"}</definedName>
    <definedName name="Trong" hidden="1">{"'Sheet1'!$L$16"}</definedName>
    <definedName name="trrh" hidden="1">{"'Sheet1'!$L$16"}</definedName>
    <definedName name="trtr" hidden="1">{"'Sheet1'!$L$16"}</definedName>
    <definedName name="TRUNGNGUYEN" hidden="1">{#N/A,#N/A,FALSE,"Chi tiÆt"}</definedName>
    <definedName name="Truong" hidden="1">{#N/A,#N/A,FALSE,"Chi tiÆt"}</definedName>
    <definedName name="TRY" hidden="1">#REF!</definedName>
    <definedName name="TTSC" hidden="1">{"'Sheet1'!$L$16"}</definedName>
    <definedName name="ttt" hidden="1">{"'Sheet1'!$L$16"}</definedName>
    <definedName name="ttttt" hidden="1">#REF!</definedName>
    <definedName name="ｔｔｔｔｔ" hidden="1">{"'Sheet1'!$L$16"}</definedName>
    <definedName name="TU" hidden="1">{"'Sheet1'!$L$16"}</definedName>
    <definedName name="tuam" hidden="1">{"'Sheet1'!$L$16"}</definedName>
    <definedName name="tuan" hidden="1">{"'Sheet1'!$L$16"}</definedName>
    <definedName name="tuan03" hidden="1">{"'Sheet1'!$L$16"}</definedName>
    <definedName name="tuan2" hidden="1">{"'Sheet1'!$L$16"}</definedName>
    <definedName name="tuan47" hidden="1">{"'Sheet1'!$L$16"}</definedName>
    <definedName name="tuan48" hidden="1">{"'Sheet1'!$L$16"}</definedName>
    <definedName name="Tuan49" hidden="1">{"'Sheet1'!$L$16"}</definedName>
    <definedName name="tuan52" hidden="1">{"'Sheet1'!$L$16"}</definedName>
    <definedName name="tuan53" hidden="1">{"'Sheet1'!$L$16"}</definedName>
    <definedName name="tuan55" hidden="1">{"'Sheet1'!$L$16"}</definedName>
    <definedName name="tuan57" hidden="1">{"'Sheet1'!$L$16"}</definedName>
    <definedName name="TUANKHANHTUYET45" hidden="1">{0}</definedName>
    <definedName name="TUKHKJT" hidden="1">{"'Sheet1'!$L$16"}</definedName>
    <definedName name="tuyen" hidden="1">{"'Sheet1'!$L$16"}</definedName>
    <definedName name="tuyennhanh" hidden="1">{"'Sheet1'!$L$16"}</definedName>
    <definedName name="tuyennhanh6" hidden="1">{"'Sheet1'!$L$16"}</definedName>
    <definedName name="tuynen" hidden="1">{"'Sheet1'!$L$16"}</definedName>
    <definedName name="ty" hidden="1">{"'Sheet1'!$L$16"}</definedName>
    <definedName name="tyu" hidden="1">{"'Sheet1'!$L$16"}</definedName>
    <definedName name="tyutuii" hidden="1">#REF!</definedName>
    <definedName name="tyututeyu" hidden="1">#REF!</definedName>
    <definedName name="ư" hidden="1">{"'Sheet1'!$L$16"}</definedName>
    <definedName name="ự" hidden="1">{"'Sheet1'!$L$16"}</definedName>
    <definedName name="ư3435" hidden="1">#REF!</definedName>
    <definedName name="uassw_sh" hidden="1">{"'Sheet1'!$L$16"}</definedName>
    <definedName name="UBDT" hidden="1">{"'Sheet1'!$L$16"}</definedName>
    <definedName name="Ud" hidden="1">#REF!</definedName>
    <definedName name="ừd" hidden="1">{"'Sheet1'!$L$16"}</definedName>
    <definedName name="úengg" hidden="1">{"'Sheet1'!$L$16"}</definedName>
    <definedName name="ƯERWER" hidden="1">{"'Sheet1'!$L$16"}</definedName>
    <definedName name="ưerwerewr" hidden="1">{"'Sheet1'!$L$16"}</definedName>
    <definedName name="ukluy" hidden="1">{"'Sheet1'!$L$16"}</definedName>
    <definedName name="UL" hidden="1">{"'Sheet1'!$L$16"}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T" hidden="1">#REF!</definedName>
    <definedName name="unk" hidden="1">{"'Sheet1'!$L$16"}</definedName>
    <definedName name="ủnt" hidden="1">{"'Sheet1'!$L$16"}</definedName>
    <definedName name="ưqwqewq" hidden="1">#REF!</definedName>
    <definedName name="UTWER" hidden="1">{"'Sheet1'!$L$16"}</definedName>
    <definedName name="UU" hidden="1">{"'Sheet1'!$L$16"}</definedName>
    <definedName name="Uy" hidden="1">#REF!</definedName>
    <definedName name="uyi" hidden="1">{"'Sheet1'!$L$16"}</definedName>
    <definedName name="ủytỉt" hidden="1">{"'Sheet1'!$L$16"}</definedName>
    <definedName name="uytjhtdjtj" hidden="1">{"'Sheet1'!$L$16"}</definedName>
    <definedName name="v" hidden="1">{"'Sheet1'!$L$16"}</definedName>
    <definedName name="V.clvl3" hidden="1">{"'Sheet1'!$L$16"}</definedName>
    <definedName name="V8.Refresh" hidden="1">{"NGUYEN QUI THIEP - Personal View",#N/A,FALSE,"XDCB.HT.FUR."}</definedName>
    <definedName name="VaDate" hidden="1">#REF!</definedName>
    <definedName name="vadvsa" hidden="1">{"'Sheet1'!$L$16"}</definedName>
    <definedName name="Valve" hidden="1">{"'Sheet1'!$L$16"}</definedName>
    <definedName name="van" hidden="1">{#N/A,#N/A,FALSE,"Chi tiÆt"}</definedName>
    <definedName name="Vanphong" hidden="1">{"'Sheet1'!$L$16"}</definedName>
    <definedName name="VarDate" hidden="1">#REF!</definedName>
    <definedName name="VATM" hidden="1">{"'Sheet1'!$L$16"}</definedName>
    <definedName name="vb" hidden="1">{"'Sheet1'!$L$16"}</definedName>
    <definedName name="vbc" hidden="1">{"'Sheet1'!$L$16"}</definedName>
    <definedName name="vc" hidden="1">{"'Sheet1'!$L$16"}</definedName>
    <definedName name="vcbo1" hidden="1">{"'Sheet1'!$L$16"}</definedName>
    <definedName name="vcoto" hidden="1">{"'Sheet1'!$L$16"}</definedName>
    <definedName name="VCVL" hidden="1">{"'Sheet1'!$L$16"}</definedName>
    <definedName name="vcxvxsdfd" hidden="1">#REF!</definedName>
    <definedName name="vdb" hidden="1">{"'Sheet1'!$L$16"}</definedName>
    <definedName name="VEN" hidden="1">{#N/A,#N/A,TRUE,"SUM";#N/A,#N/A,TRUE,"EE";#N/A,#N/A,TRUE,"AC";#N/A,#N/A,TRUE,"SN"}</definedName>
    <definedName name="vetbun" hidden="1">{"'Sheet1'!$L$16"}</definedName>
    <definedName name="vfdg" hidden="1">#REF!</definedName>
    <definedName name="vgb" hidden="1">{"'Sheet1'!$L$16"}</definedName>
    <definedName name="vgho" hidden="1">{"'Sheet1'!$L$16"}</definedName>
    <definedName name="vgxghhj" hidden="1">{"'Sheet1'!$L$16"}</definedName>
    <definedName name="viet" hidden="1">{"'Sheet1'!$L$16"}</definedName>
    <definedName name="vinavico" hidden="1">{"'Sheet1'!$L$16"}</definedName>
    <definedName name="vip" hidden="1">{"'Sheet1'!$L$16"}</definedName>
    <definedName name="vlct" hidden="1">{"'Sheet1'!$L$16"}</definedName>
    <definedName name="VLP" hidden="1">{"'Sheet1'!$L$16"}</definedName>
    <definedName name="vnd_list" hidden="1">{"một";"hai";"ba";"bốn";"năm";"sáu";"bảy";"tám";"chín";"mười";"mươi";"mốt";"lăm";"trăm";"nghìn";"triệu";"tỷ";"lẻ";"không trăm";"Bằng chử : "}</definedName>
    <definedName name="VOLTAGE" hidden="1">{#N/A,#N/A,FALSE,"Sheet1";#N/A,#N/A,FALSE,"Sheet3";#N/A,#N/A,FALSE,"Sheet5"}</definedName>
    <definedName name="VTPS_T" hidden="1">[2]THVATTU!#REF!</definedName>
    <definedName name="VTT" hidden="1">#REF!</definedName>
    <definedName name="vttc2" hidden="1">{#N/A,#N/A,FALSE,"Sheet1";#N/A,#N/A,FALSE,"Sheet1";#N/A,#N/A,FALSE,"Sheet1"}</definedName>
    <definedName name="vv" hidden="1">{"'Sheet1'!$L$16"}</definedName>
    <definedName name="vvb" hidden="1">#REF!</definedName>
    <definedName name="vvffg" hidden="1">#REF!</definedName>
    <definedName name="ｖｖｖ" hidden="1">{"'Sheet1'!$L$16"}</definedName>
    <definedName name="ｖｖｖｖｖ" hidden="1">{"'Sheet1'!$L$16"}</definedName>
    <definedName name="VVVVVV" hidden="1">{"'Sheet1'!$L$16"}</definedName>
    <definedName name="vvvvvvv" hidden="1">{#N/A,#N/A,FALSE,"Chi tiÆt"}</definedName>
    <definedName name="vvvvvvvvvvvvvv" hidden="1">{0}</definedName>
    <definedName name="vxfsđs" hidden="1">{"'Sheet1'!$L$16"}</definedName>
    <definedName name="VZDVA" hidden="1">{"'Sheet1'!$L$16"}</definedName>
    <definedName name="vzdxvd" hidden="1">{"'Sheet1'!$L$16"}</definedName>
    <definedName name="VZVZD" hidden="1">{"'Sheet1'!$L$16"}</definedName>
    <definedName name="VZVZXCZ" hidden="1">{"'Sheet1'!$L$16"}</definedName>
    <definedName name="waddwwqe" hidden="1">#REF!</definedName>
    <definedName name="wafef" hidden="1">{"'Sheet1'!$L$16"}</definedName>
    <definedName name="walkway" hidden="1">{"'Sheet1'!$L$16"}</definedName>
    <definedName name="wd" hidden="1">{"'Sheet1'!$L$16"}</definedName>
    <definedName name="werar" hidden="1">{"'Sheet1'!$L$16"}</definedName>
    <definedName name="werwer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wgyw" hidden="1">{"'Sheet1'!$L$16"}</definedName>
    <definedName name="window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ipoi" hidden="1">{"'Sheet1'!$L$16"}</definedName>
    <definedName name="wis" hidden="1">#REF!</definedName>
    <definedName name="wjsr" hidden="1">#REF!</definedName>
    <definedName name="wm.조골재1" hidden="1">{#N/A,#N/A,FALSE,"조골재"}</definedName>
    <definedName name="WQ" hidden="1">{"'Sheet1'!$L$16"}</definedName>
    <definedName name="WRITE" hidden="1">{#N/A,#N/A,FALSE,"CCTV"}</definedName>
    <definedName name="WRN" hidden="1">{#N/A,#N/A,FALSE,"CCTV"}</definedName>
    <definedName name="wrn.2번." hidden="1">{#N/A,#N/A,FALSE,"2~8번"}</definedName>
    <definedName name="wrn.97년._.사업계획._.및._.예산지침." hidden="1">{#N/A,#N/A,TRUE,"1";#N/A,#N/A,TRUE,"2";#N/A,#N/A,TRUE,"3";#N/A,#N/A,TRUE,"4";#N/A,#N/A,TRUE,"5";#N/A,#N/A,TRUE,"6";#N/A,#N/A,TRUE,"7"}</definedName>
    <definedName name="wrn.A." hidden="1">{#N/A,#N/A,TRUE,"SUM";#N/A,#N/A,TRUE,"EE";#N/A,#N/A,TRUE,"AC";#N/A,#N/A,TRUE,"SN"}</definedName>
    <definedName name="wrn.aaa" hidden="1">{#N/A,#N/A,FALSE,"Sheet1";#N/A,#N/A,FALSE,"Sheet1";#N/A,#N/A,FALSE,"Sheet1"}</definedName>
    <definedName name="wrn.aaa." hidden="1">{#N/A,#N/A,FALSE,"Sheet1";#N/A,#N/A,FALSE,"Sheet1";#N/A,#N/A,FALSE,"Sheet1"}</definedName>
    <definedName name="wrn.aaa.1" hidden="1">{#N/A,#N/A,FALSE,"Sheet1";#N/A,#N/A,FALSE,"Sheet1";#N/A,#N/A,FALSE,"Sheet1"}</definedName>
    <definedName name="wrn.Bang._.ke._.nhan._.hang." hidden="1">{#N/A,#N/A,FALSE,"Ke khai NH"}</definedName>
    <definedName name="wrn.BAOCAO." hidden="1">{#N/A,#N/A,FALSE,"sum";#N/A,#N/A,FALSE,"MARTV";#N/A,#N/A,FALSE,"APRTV"}</definedName>
    <definedName name="wrn.BIDSUM." hidden="1">{#N/A,#N/A,TRUE,"SUMMARY";#N/A,#N/A,TRUE,"ISBL";#N/A,#N/A,TRUE,"OSBL";#N/A,#N/A,TRUE,"OFFSITE";#N/A,#N/A,TRUE,"STEAM"}</definedName>
    <definedName name="wrn.BILLS._.OF._.QUANTITY." hidden="1">{#N/A,#N/A,TRUE,"Str.";#N/A,#N/A,TRUE,"Steel &amp; Roof";#N/A,#N/A,TRUE,"Arc.";#N/A,#N/A,TRUE,"Preliminary";#N/A,#N/A,TRUE,"Sum_Prelim"}</definedName>
    <definedName name="wrn.BM." hidden="1">{#N/A,#N/A,FALSE,"CCTV"}</definedName>
    <definedName name="wrn.Che._.do._.duoc._.huong." hidden="1">{#N/A,#N/A,FALSE,"BN (2)"}</definedName>
    <definedName name="wrn.chi._.tiÆt." hidden="1">{#N/A,#N/A,FALSE,"Chi tiÆt"}</definedName>
    <definedName name="wrn.chi._.tiÆt._1" hidden="1">{#N/A,#N/A,FALSE,"Chi tiÆt"}</definedName>
    <definedName name="wrn.cong." hidden="1">{#N/A,#N/A,FALSE,"Sheet1"}</definedName>
    <definedName name="wrn.DIRLABR." hidden="1">{#N/A,#N/A,TRUE,"CS&amp;SS(AG)";#N/A,#N/A,TRUE,"CS(UG)";#N/A,#N/A,TRUE,"CSCL(UG)";#N/A,#N/A,TRUE,"KYNAR";#N/A,#N/A,TRUE,"ALLOY904";#N/A,#N/A,TRUE,"TITANIUM";#N/A,#N/A,TRUE,"STMTRACE"}</definedName>
    <definedName name="wrn.Du._.toan." hidden="1">{#N/A,#N/A,TRUE,"B";#N/A,#N/A,TRUE,"ND"}</definedName>
    <definedName name="wrn.étude._.de._.coût." hidden="1">{#N/A,#N/A,FALSE,"récap";#N/A,#N/A,FALSE,"hypothèses";#N/A,#N/A,FALSE,"Serv Génér";#N/A,#N/A,FALSE,"A-R paroi";#N/A,#N/A,FALSE,"paroi moulée";#N/A,#N/A,FALSE,"préfondés";#N/A,#N/A,FALSE,"A-R injection";#N/A,#N/A,FALSE,"forages";#N/A,#N/A,FALSE,"injection";#N/A,#N/A,FALSE,"pompage";#N/A,#N/A,FALSE,"comparatif";#N/A,#N/A,FALSE,"échéancier"}</definedName>
    <definedName name="wrn.Giáy._.bao._.no." hidden="1">{#N/A,#N/A,FALSE,"BN"}</definedName>
    <definedName name="wrn.hgjh." hidden="1">{#N/A,#N/A,FALSE,"Sheet1"}</definedName>
    <definedName name="wrn.INDIRCOS." hidden="1">{#N/A,#N/A,TRUE,"FIELDOFF";#N/A,#N/A,TRUE,"SCAFF";#N/A,#N/A,TRUE,"CONSTEQP";#N/A,#N/A,TRUE,"FUELUBE";#N/A,#N/A,TRUE,"CONSUME";#N/A,#N/A,TRUE,"FIELDEXP";#N/A,#N/A,TRUE,"MANPLAN";#N/A,#N/A,TRUE,"EQPLAN"}</definedName>
    <definedName name="wrn.L." hidden="1">{#N/A,#N/A,FALSE,"Sheet2"}</definedName>
    <definedName name="wrn.mai._.khanh." hidden="1">{"NGUYEN QUI THIEP - Personal View",#N/A,FALSE,"XDCB.HT.FUR."}</definedName>
    <definedName name="wrn.Monthly._.Statement." hidden="1">{#N/A,#N/A,FALSE,"Tabelle2";#N/A,#N/A,FALSE,"Tabelle1"}</definedName>
    <definedName name="wrn.MTD1." hidden="1">{#N/A,#N/A,FALSE,"Sheet1";#N/A,#N/A,FALSE,"Sheet3";#N/A,#N/A,FALSE,"Sheet5"}</definedName>
    <definedName name="wrn.MTD2." hidden="1">{#N/A,#N/A,FALSE,"Sheet2";#N/A,#N/A,FALSE,"Sheet4";#N/A,#N/A,FALSE,"Sheet6"}</definedName>
    <definedName name="wrn.Print._.Output." hidden="1">{#N/A,#N/A,FALSE,"OUTPUT SHEET "}</definedName>
    <definedName name="wrn.re_xoa2" hidden="1">{"Offgrid",#N/A,FALSE,"OFFGRID";"Region",#N/A,FALSE,"REGION";"Offgrid -2",#N/A,FALSE,"OFFGRID";"WTP",#N/A,FALSE,"WTP";"WTP -2",#N/A,FALSE,"WTP";"Project",#N/A,FALSE,"PROJECT";"Summary -2",#N/A,FALSE,"SUMMARY"}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eport1." hidden="1">{#N/A,#N/A,FALSE,"特殊室（ＢＱ表）"}</definedName>
    <definedName name="wrn.Residential.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rn.Site._.expenses." hidden="1">{#N/A,#N/A,FALSE,"Expenses";#N/A,#N/A,FALSE,"Expenses"}</definedName>
    <definedName name="wrn.vd." hidden="1">{#N/A,#N/A,TRUE,"BT M200 da 10x20"}</definedName>
    <definedName name="WRN.VOLTAGE." hidden="1">{#N/A,#N/A,FALSE,"Sheet2";#N/A,#N/A,FALSE,"Sheet4";#N/A,#N/A,FALSE,"Sheet6"}</definedName>
    <definedName name="wrn.Work._.Report." hidden="1">{"accomplishment",#N/A,FALSE,"Summary Week 3"}</definedName>
    <definedName name="wrn.건설기계사업소._.상반기보고." hidden="1">{#N/A,#N/A,FALSE,"사업총괄";#N/A,#N/A,FALSE,"장비사업";#N/A,#N/A,FALSE,"철구사업";#N/A,#N/A,FALSE,"준설사업"}</definedName>
    <definedName name="wrn.골재소요량." hidden="1">{#N/A,#N/A,FALSE,"골재소요량";#N/A,#N/A,FALSE,"골재소요량"}</definedName>
    <definedName name="wrn.교육청." hidden="1">{#N/A,#N/A,FALSE,"전력간선"}</definedName>
    <definedName name="wrn.교육청.1" hidden="1">{#N/A,#N/A,FALSE,"전력간선"}</definedName>
    <definedName name="wrn.구조2." hidden="1">{#N/A,#N/A,FALSE,"구조2"}</definedName>
    <definedName name="wrn.단가표지." hidden="1">{#N/A,#N/A,FALSE,"단가표지"}</definedName>
    <definedName name="wrn.담배인삼공사._.실행품의." hidden="1">{#N/A,#N/A,FALSE,"품의서";#N/A,#N/A,FALSE,"견적실행대비분석표";#N/A,#N/A,FALSE,"공종별도급대비견적실행";#N/A,#N/A,FALSE,"외주공사 추정금액";#N/A,#N/A,FALSE,"공종별도급대비계약현황";#N/A,#N/A,FALSE,"공종별도급대비견적현황"}</definedName>
    <definedName name="wrn.배수1." hidden="1">{#N/A,#N/A,FALSE,"배수1"}</definedName>
    <definedName name="wrn.배수2." hidden="1">{#N/A,#N/A,FALSE,"배수2"}</definedName>
    <definedName name="wrn.변경예산." hidden="1">{#N/A,#N/A,FALSE,"변경관리예산";#N/A,#N/A,FALSE,"변경장비예산";#N/A,#N/A,FALSE,"변경준설예산";#N/A,#N/A,FALSE,"변경철구예산"}</definedName>
    <definedName name="wrn.부대1." hidden="1">{#N/A,#N/A,FALSE,"부대1"}</definedName>
    <definedName name="wrn.부대2." hidden="1">{#N/A,#N/A,FALSE,"부대2"}</definedName>
    <definedName name="wrn.부산주경기장.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사업현황.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속도." hidden="1">{#N/A,#N/A,FALSE,"속도"}</definedName>
    <definedName name="wrn.실행품의." hidden="1">{#N/A,#N/A,FALSE,"갑지";#N/A,#N/A,FALSE,"개요";#N/A,#N/A,FALSE,"비목별";#N/A,#N/A,FALSE,"건물별";#N/A,#N/A,FALSE,"기구표";#N/A,#N/A,FALSE,"직원투입"}</definedName>
    <definedName name="wrn.예상손익." hidden="1">{#N/A,#N/A,FALSE,"예상손익";#N/A,#N/A,FALSE,"관리분석";#N/A,#N/A,FALSE,"장비분석";#N/A,#N/A,FALSE,"준설분석";#N/A,#N/A,FALSE,"철구분석"}</definedName>
    <definedName name="wrn.운반시간." hidden="1">{#N/A,#N/A,FALSE,"운반시간"}</definedName>
    <definedName name="wrn.이정표." hidden="1">{#N/A,#N/A,FALSE,"이정표"}</definedName>
    <definedName name="wrn.조골재." hidden="1">{#N/A,#N/A,FALSE,"조골재"}</definedName>
    <definedName name="wrn.진각빌딩." hidden="1">{#N/A,#N/A,FALSE,"품의서";#N/A,#N/A,FALSE,"견적실행대비분석표";#N/A,#N/A,FALSE,"공종별도급대비견적실행";#N/A,#N/A,FALSE,"외주공사 추정금액";#N/A,#N/A,FALSE,"공종별도급대비계약현황"}</definedName>
    <definedName name="wrn.철골집계표._.5칸." hidden="1">{#N/A,#N/A,FALSE,"Sheet1"}</definedName>
    <definedName name="wrn.토공1." hidden="1">{#N/A,#N/A,FALSE,"구조1"}</definedName>
    <definedName name="wrn.토공2." hidden="1">{#N/A,#N/A,FALSE,"토공2"}</definedName>
    <definedName name="wrn.포장1." hidden="1">{#N/A,#N/A,FALSE,"포장1";#N/A,#N/A,FALSE,"포장1"}</definedName>
    <definedName name="wrn.포장2." hidden="1">{#N/A,#N/A,FALSE,"포장2"}</definedName>
    <definedName name="wrn.표지." hidden="1">{#N/A,#N/A,FALSE,"표지"}</definedName>
    <definedName name="wrn.표지목차." hidden="1">{#N/A,#N/A,FALSE,"표지목차"}</definedName>
    <definedName name="wrn.혼합골재." hidden="1">{#N/A,#N/A,FALSE,"혼합골재"}</definedName>
    <definedName name="wrn_xoa2" hidden="1">{#N/A,#N/A,FALSE,"Chi tiÆt"}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rnf_xoa2" hidden="1">{"Offgrid",#N/A,FALSE,"OFFGRID";"Region",#N/A,FALSE,"REGION";"Offgrid -2",#N/A,FALSE,"OFFGRID";"WTP",#N/A,FALSE,"WTP";"WTP -2",#N/A,FALSE,"WTP";"Project",#N/A,FALSE,"PROJECT";"Summary -2",#N/A,FALSE,"SUMMARY"}</definedName>
    <definedName name="WRTWE" hidden="1">{"'Sheet1'!$L$16"}</definedName>
    <definedName name="wvu.박경희.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ww" hidden="1">{#N/A,#N/A,FALSE,"Sheet2";#N/A,#N/A,FALSE,"Sheet4";#N/A,#N/A,FALSE,"Sheet6"}</definedName>
    <definedName name="ｗｗ" hidden="1">{"'Sheet1'!$L$16"}</definedName>
    <definedName name="wwhwhwrh" hidden="1">{"'Sheet1'!$L$16"}</definedName>
    <definedName name="www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ｗｗｗｗ" hidden="1">{"'Sheet1'!$L$16"}</definedName>
    <definedName name="wwwwwww" hidden="1">{"Offgrid",#N/A,FALSE,"OFFGRID";"Region",#N/A,FALSE,"REGION";"Offgrid -2",#N/A,FALSE,"OFFGRID";"WTP",#N/A,FALSE,"WTP";"WTP -2",#N/A,FALSE,"WTP";"Project",#N/A,FALSE,"PROJECT";"Summary -2",#N/A,FALSE,"SUMMARY"}</definedName>
    <definedName name="wwwwwwwwwwwwwwwwwwwwwwwwwwwww" hidden="1">{"'Sheet1'!$L$16"}</definedName>
    <definedName name="XAY" hidden="1">{"'Sheet1'!$L$16"}</definedName>
    <definedName name="XCB" hidden="1">#REF!</definedName>
    <definedName name="xcvbfyôtui" hidden="1">#REF!</definedName>
    <definedName name="xddddd" hidden="1">{"'Sheet1'!$L$16"}</definedName>
    <definedName name="XDKT" hidden="1">{"NGUYEN QUI THIEP - Personal View",#N/A,FALSE,"XDCB.HT.FUR."}</definedName>
    <definedName name="Xeduc" hidden="1">{"'Sheet1'!$L$16"}</definedName>
    <definedName name="xekaman" hidden="1">{"'Sheet1'!$L$16"}</definedName>
    <definedName name="XFBDSBSB" hidden="1">{"'Sheet1'!$L$16"}</definedName>
    <definedName name="XFHGHTD" hidden="1">{"'Sheet1'!$L$16"}</definedName>
    <definedName name="xls" hidden="1">{"'Sheet1'!$L$16"}</definedName>
    <definedName name="xlttbninh" hidden="1">{"'Sheet1'!$L$16"}</definedName>
    <definedName name="XN908nam2003" hidden="1">{"'Sheet1'!$L$16"}</definedName>
    <definedName name="XNDMCV" hidden="1">#REF!</definedName>
    <definedName name="xoa_tab" hidden="1">[2]Control!#REF!</definedName>
    <definedName name="xoa1" hidden="1">{"'Sheet1'!$L$16"}</definedName>
    <definedName name="xoa2" hidden="1">{#N/A,#N/A,FALSE,"Chi tiÆt"}</definedName>
    <definedName name="xoa3" hidden="1">{"Offgrid",#N/A,FALSE,"OFFGRID";"Region",#N/A,FALSE,"REGION";"Offgrid -2",#N/A,FALSE,"OFFGRID";"WTP",#N/A,FALSE,"WTP";"WTP -2",#N/A,FALSE,"WTP";"Project",#N/A,FALSE,"PROJECT";"Summary -2",#N/A,FALSE,"SUMMARY"}</definedName>
    <definedName name="xoa4" hidden="1">{"Offgrid",#N/A,FALSE,"OFFGRID";"Region",#N/A,FALSE,"REGION";"Offgrid -2",#N/A,FALSE,"OFFGRID";"WTP",#N/A,FALSE,"WTP";"WTP -2",#N/A,FALSE,"WTP";"Project",#N/A,FALSE,"PROJECT";"Summary -2",#N/A,FALSE,"SUMMARY"}</definedName>
    <definedName name="XUONG" hidden="1">{"'Sheet1'!$L$16"}</definedName>
    <definedName name="xvxcvxc" hidden="1">{"'Sheet1'!$L$16"}</definedName>
    <definedName name="xx" hidden="1">#REF!</definedName>
    <definedName name="xxx" hidden="1">#REF!</definedName>
    <definedName name="ｘｘｘ" hidden="1">{"'Sheet1'!$L$16"}</definedName>
    <definedName name="XXXAAAA" hidden="1">{"'Sheet1'!$L$16"}</definedName>
    <definedName name="ｘｘｘｘ" hidden="1">{"'Sheet1'!$L$16"}</definedName>
    <definedName name="ｘｘｘｘｘ" hidden="1">{"'Sheet1'!$L$16"}</definedName>
    <definedName name="xzfa" hidden="1">{"'Sheet1'!$L$16"}</definedName>
    <definedName name="Y" hidden="1">#REF!</definedName>
    <definedName name="Y5T45" hidden="1">{"'Sheet1'!$L$16"}</definedName>
    <definedName name="y6ytyjtyjytjtyj" hidden="1">#REF!</definedName>
    <definedName name="Yd" hidden="1">#REF!</definedName>
    <definedName name="ỳdhgg" hidden="1">{"'Sheet1'!$L$16"}</definedName>
    <definedName name="ỶE" hidden="1">#REF!</definedName>
    <definedName name="yen" hidden="1">{"'Sheet1'!$L$16"}</definedName>
    <definedName name="ýenda" hidden="1">{"'Sheet1'!$L$16"}</definedName>
    <definedName name="yeryt" hidden="1">{"'Sheet1'!$L$16"}</definedName>
    <definedName name="yeu" hidden="1">{"'Sheet1'!$L$16"}</definedName>
    <definedName name="yhhyhy" hidden="1">#REF!</definedName>
    <definedName name="YI7I" hidden="1">{"'Sheet1'!$L$16"}</definedName>
    <definedName name="yiuti" hidden="1">{"'Sheet1'!$L$16"}</definedName>
    <definedName name="YJ" hidden="1">#REF!</definedName>
    <definedName name="YSY" hidden="1">{#N/A,#N/A,FALSE,"Sheet2";#N/A,#N/A,FALSE,"Sheet4";#N/A,#N/A,FALSE,"Sheet6"}</definedName>
    <definedName name="ytri" hidden="1">{"'Sheet1'!$L$16"}</definedName>
    <definedName name="ytru" hidden="1">{"'Sheet1'!$L$16"}</definedName>
    <definedName name="Yu" hidden="1">#REF!</definedName>
    <definedName name="ỵu" hidden="1">{"'Sheet1'!$L$16"}</definedName>
    <definedName name="yuiyÎtdghgjkjgkl" hidden="1">#REF!</definedName>
    <definedName name="YUJYI" hidden="1">#REF!</definedName>
    <definedName name="yuo" hidden="1">#REF!</definedName>
    <definedName name="yyjy_ukyu" hidden="1">{"'Sheet1'!$L$16"}</definedName>
    <definedName name="ｙｙｙ" hidden="1">{"'Sheet1'!$L$16"}</definedName>
    <definedName name="yyyyy" hidden="1">{"'Sheet1'!$L$16"}</definedName>
    <definedName name="yyyyyyy" hidden="1">{"'Sheet1'!$L$16"}</definedName>
    <definedName name="Z_2BD578FA_E2CB_4B2F_9A88_B148DA6298A5_.wvu.Cols" hidden="1">#REF!</definedName>
    <definedName name="Z_2BD578FA_E2CB_4B2F_9A88_B148DA6298A5_.wvu.PrintArea" hidden="1">#REF!</definedName>
    <definedName name="Z_7D2E7434_5FC2_40F9_8019_5682C7C89786_.wvu.Rows" localSheetId="0" hidden="1">'114+840'!#REF!</definedName>
    <definedName name="Z_B6D82DE0_6701_11DA_9820_00304F1E4471_.wvu.Cols" hidden="1">#REF!</definedName>
    <definedName name="zcg" hidden="1">{"'Sheet1'!$L$16"}</definedName>
    <definedName name="zcgxf" hidden="1">{"'Sheet1'!$L$16"}</definedName>
    <definedName name="ZCZXC" hidden="1">{"'Sheet1'!$L$16"}</definedName>
    <definedName name="zdfer" hidden="1">{"'Sheet1'!$L$16"}</definedName>
    <definedName name="zDT_End" hidden="1">#REF!</definedName>
    <definedName name="zIsAnChuThich" hidden="1">FALSE</definedName>
    <definedName name="zIsAnDienGiai" hidden="1">FALSE</definedName>
    <definedName name="zIsBanTienLuong" hidden="1">FALSE</definedName>
    <definedName name="zIsCM_BuNLieu" hidden="1">TRUE</definedName>
    <definedName name="zIsDgiaCTiet_Gia.NcCm" hidden="1">1</definedName>
    <definedName name="zIsDgiaCTiet_Gia.VTu" hidden="1">2</definedName>
    <definedName name="zIsHThong_cDinhMuc" hidden="1">"DM#24#05#A|DM#33#05#A|DM#28#05#A"</definedName>
    <definedName name="zIsHThong_cDonGia" hidden="1">"DGia_0104XD|DGia_0104LD|DGia_0103KS|1"</definedName>
    <definedName name="zIsHThong_cGiaCmay" hidden="1">"GCM243305_HCM|GCM243305_HCM|GCM282005_HCM"</definedName>
    <definedName name="zIsHThong_cGiaNCong" hidden="1">"GNC243305_HCM|GNC243305_HCM|GNC282005_HCM"</definedName>
    <definedName name="zIsHThong_cGiaVLieu" hidden="1">"GVL243305_HCM|GVL243305_HCM|GVL282005_HCM"</definedName>
    <definedName name="zIsHThong_cMDB" hidden="1">"TP.HCM_Dgia|TP.HCM_Gia|ZZ_Dinh_Muc_ZZ|ZZ_PLuc_Vua_ZZ|ZZ_Danh_Muc_ZZ|ZZ_CuocVc_ZZ|ZZ_DMuc_MXD_ZZ"</definedName>
    <definedName name="zIsHThong_cPLVua" hidden="1">"PLV#2005#A|PLV#2005#A|None"</definedName>
    <definedName name="zIsHThong_cTDienCTac" hidden="1">"CVIEC#24#2005|CVIEC#33#2005|CVIEC#28#2005#A"</definedName>
    <definedName name="zIsHThong_cTDienHPhi" hidden="1">"HPHI#2433#05#A|HPHI#2433#05#A|HPHI#28#2005#A"</definedName>
    <definedName name="zIsHThong_cTThanh" hidden="1">"HCM"</definedName>
    <definedName name="zIsHThong_cVChuyen" hidden="1">"zVatGiaCP_89_00|zVatGiaCP_89_00|zVatGiaCP_89_00"</definedName>
    <definedName name="zIsHThong_ShChange" hidden="1">"True|False|False|False|False|False|False|True|True|True|True|True|True|True|True"</definedName>
    <definedName name="zIsPT_PTVua" hidden="1">TRUE</definedName>
    <definedName name="zIsPT_Vl.Nc.Cm" hidden="1">TRUE</definedName>
    <definedName name="zIsPT_VLieuKhac" hidden="1">1</definedName>
    <definedName name="zIsReDgia_Color" hidden="1">TRUE</definedName>
    <definedName name="zIsReDgia_DgiaVlNcCm" hidden="1">TRUE</definedName>
    <definedName name="zIsReDgia_RePhantich" hidden="1">TRUE</definedName>
    <definedName name="zIsReDgia_TenDvt" hidden="1">TRUE</definedName>
    <definedName name="zIsVC_BocXep" hidden="1">TRUE</definedName>
    <definedName name="zIsVC_HhBq" hidden="1">TRUE</definedName>
    <definedName name="zIsVC_HhVc" hidden="1">TRUE</definedName>
    <definedName name="zIsVC_VcBo" hidden="1">TRUE</definedName>
    <definedName name="zIsVC_VcNoiBo" hidden="1">TRUE</definedName>
    <definedName name="zIsVC_VcThuy" hidden="1">TRUE</definedName>
    <definedName name="zIsVTu_CLech.VTu" hidden="1">0</definedName>
    <definedName name="zIsVTu_GiaTBao" hidden="1">1</definedName>
    <definedName name="zKm2" hidden="1">{"'Sheet1'!$L$16"}</definedName>
    <definedName name="ZXzX" hidden="1">{"'Sheet1'!$L$16"}</definedName>
    <definedName name="ｚｚｚｚｚ" hidden="1">{"'Sheet1'!$L$16"}</definedName>
    <definedName name="ｚｚｚｚｚｚ" hidden="1">{"'Sheet1'!$L$16"}</definedName>
    <definedName name="zzzzzzzzzzz" hidden="1">{0,#N/A,FALSE,0;0,#N/A,FALSE,0;0,#N/A,FALSE,0;0,#N/A,FALSE,0;0,#N/A,FALSE,0;0,#N/A,FALSE,0;0,#N/A,FALSE,0}</definedName>
    <definedName name="あ" hidden="1">{"'Sheet1'!$L$16"}</definedName>
    <definedName name="ああ" hidden="1">{"'Sheet1'!$L$16"}</definedName>
    <definedName name="あああ" hidden="1">{"'Sheet1'!$L$16"}</definedName>
    <definedName name="ああああ" hidden="1">{"'Sheet1'!$L$16"}</definedName>
    <definedName name="あああああ" hidden="1">{"'Sheet1'!$L$16"}</definedName>
    <definedName name="ううう" hidden="1">{"'Sheet1'!$L$16"}</definedName>
    <definedName name="えええ" hidden="1">{"'Sheet1'!$L$16"}</definedName>
    <definedName name="っｋ" hidden="1">#REF!</definedName>
    <definedName name="んｎ" hidden="1">{"'Sheet1'!$L$16"}</definedName>
    <definedName name="んんｎ" hidden="1">{"'Sheet1'!$L$16"}</definedName>
    <definedName name="ㄱㅈㅎ" hidden="1">#REF!</definedName>
    <definedName name="간접비" hidden="1">{#N/A,#N/A,FALSE,"갑지";#N/A,#N/A,FALSE,"개요";#N/A,#N/A,FALSE,"비목별";#N/A,#N/A,FALSE,"건물별";#N/A,#N/A,FALSE,"기구표";#N/A,#N/A,FALSE,"직원투입"}</definedName>
    <definedName name="간접비1" hidden="1">{#N/A,#N/A,FALSE,"갑지";#N/A,#N/A,FALSE,"개요";#N/A,#N/A,FALSE,"비목별";#N/A,#N/A,FALSE,"건물별";#N/A,#N/A,FALSE,"기구표";#N/A,#N/A,FALSE,"직원투입"}</definedName>
    <definedName name="갑지" hidden="1">#REF!</definedName>
    <definedName name="건축비목집계" hidden="1">{#N/A,#N/A,FALSE,"표지"}</definedName>
    <definedName name="견적" hidden="1">{#N/A,#N/A,FALSE,"CCTV"}</definedName>
    <definedName name="견적2" hidden="1">{#N/A,#N/A,FALSE,"CCTV"}</definedName>
    <definedName name="견적SHEET" hidden="1">{#N/A,#N/A,FALSE,"CCTV"}</definedName>
    <definedName name="계측기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" hidden="1">{#N/A,#N/A,FALSE,"Sheet1"}</definedName>
    <definedName name="공공도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사비" hidden="1">{#N/A,#N/A,FALSE,"전력간선"}</definedName>
    <definedName name="공사비분석" hidden="1">#REF!</definedName>
    <definedName name="공종별집계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관리비2" hidden="1">{#N/A,#N/A,FALSE,"갑지";#N/A,#N/A,FALSE,"개요";#N/A,#N/A,FALSE,"비목별";#N/A,#N/A,FALSE,"건물별";#N/A,#N/A,FALSE,"기구표";#N/A,#N/A,FALSE,"직원투입"}</definedName>
    <definedName name="근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오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기계주차" hidden="1">{#N/A,#N/A,FALSE,"CCTV"}</definedName>
    <definedName name="ㄴㄱㄹ" hidden="1">#REF!</definedName>
    <definedName name="ㄴㄷㄹ" hidden="1">{#N/A,#N/A,FALSE,"Sheet1"}</definedName>
    <definedName name="ㄴㅁ" hidden="1">#REF!</definedName>
    <definedName name="내역산출근거" hidden="1">{#N/A,#N/A,TRUE,"1";#N/A,#N/A,TRUE,"2";#N/A,#N/A,TRUE,"3";#N/A,#N/A,TRUE,"4";#N/A,#N/A,TRUE,"5";#N/A,#N/A,TRUE,"6";#N/A,#N/A,TRUE,"7"}</definedName>
    <definedName name="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ㄳ" hidden="1">{#N/A,#N/A,FALSE,"Sheet1"}</definedName>
    <definedName name="단ㄱ" hidden="1">{#N/A,#N/A,FALSE,"전력간선"}</definedName>
    <definedName name="대구공항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동구연숩" hidden="1">{#N/A,#N/A,FALSE,"전력간선"}</definedName>
    <definedName name="동명공통가설관리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ㄹ" hidden="1">#REF!</definedName>
    <definedName name="ㄹ호" hidden="1">#REF!</definedName>
    <definedName name="래그" hidden="1">{#N/A,#N/A,FALSE,"CCTV"}</definedName>
    <definedName name="려ㅛ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" hidden="1">#REF!</definedName>
    <definedName name="ㅁㄴㄹ" hidden="1">{#N/A,#N/A,FALSE,"전력간선"}</definedName>
    <definedName name="ㅁㄻ" hidden="1">{#N/A,#N/A,FALSE,"Sheet1"}</definedName>
    <definedName name="ㅁㅁㅁ" hidden="1">#REF!</definedName>
    <definedName name="ㅁㅁㅁㅁㅁㅁ" hidden="1">#REF!</definedName>
    <definedName name="ㅁㅎㅁ" hidden="1">{#N/A,#N/A,FALSE,"Sheet1"}</definedName>
    <definedName name="모" hidden="1">{#N/A,#N/A,FALSE,"변경관리예산";#N/A,#N/A,FALSE,"변경장비예산";#N/A,#N/A,FALSE,"변경준설예산";#N/A,#N/A,FALSE,"변경철구예산"}</definedName>
    <definedName name="ㅂㅂ" hidden="1">{#N/A,#N/A,FALSE,"표지"}</definedName>
    <definedName name="ㅂㅈ" hidden="1">{#N/A,#N/A,TRUE,"1";#N/A,#N/A,TRUE,"2";#N/A,#N/A,TRUE,"3";#N/A,#N/A,TRUE,"4";#N/A,#N/A,TRUE,"5";#N/A,#N/A,TRUE,"6";#N/A,#N/A,TRUE,"7"}</definedName>
    <definedName name="바붕" hidden="1">{#N/A,#N/A,FALSE,"전력간선"}</definedName>
    <definedName name="배기덕트공사" hidden="1">{#N/A,#N/A,FALSE,"CCTV"}</definedName>
    <definedName name="보오링그라우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복지" hidden="1">#REF!</definedName>
    <definedName name="부대원본" hidden="1">{#N/A,#N/A,FALSE,"토공2"}</definedName>
    <definedName name="부천상동조경" hidden="1">{#N/A,#N/A,FALSE,"표지"}</definedName>
    <definedName name="분석변경" hidden="1">{#N/A,#N/A,FALSE,"변경관리예산";#N/A,#N/A,FALSE,"변경장비예산";#N/A,#N/A,FALSE,"변경준설예산";#N/A,#N/A,FALSE,"변경철구예산"}</definedName>
    <definedName name="사" hidden="1">#REF!</definedName>
    <definedName name="샘풀카피" hidden="1">{#N/A,#N/A,FALSE,"CCTV"}</definedName>
    <definedName name="샘플카피2" hidden="1">{#N/A,#N/A,FALSE,"CCTV"}</definedName>
    <definedName name="샘플카피3" hidden="1">{#N/A,#N/A,FALSE,"CCTV"}</definedName>
    <definedName name="석재받은의뢰업체" hidden="1">255</definedName>
    <definedName name="수" hidden="1">#REF!</definedName>
    <definedName name="수량산출근거" hidden="1">{#N/A,#N/A,FALSE,"표지"}</definedName>
    <definedName name="ㅇㄴㄹ" hidden="1">{#N/A,#N/A,FALSE,"Sheet1"}</definedName>
    <definedName name="ㅇㄴㄿ" hidden="1">{#N/A,#N/A,FALSE,"CCTV"}</definedName>
    <definedName name="ㅇㄹ" hidden="1">#REF!</definedName>
    <definedName name="ㅇㄹㄹ" hidden="1">#REF!</definedName>
    <definedName name="아싸" hidden="1">{#N/A,#N/A,FALSE,"CCTV"}</definedName>
    <definedName name="억이상" hidden="1">{#N/A,#N/A,FALSE,"2~8번"}</definedName>
    <definedName name="업체" hidden="1">#REF!</definedName>
    <definedName name="원가" hidden="1">{#N/A,#N/A,FALSE,"운반시간"}</definedName>
    <definedName name="의" hidden="1">{#N/A,#N/A,FALSE,"운반시간"}</definedName>
    <definedName name="이릉" hidden="1">#REF!</definedName>
    <definedName name="이천순복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자재단가근거" hidden="1">#REF!</definedName>
    <definedName name="장비TBO" hidden="1">{"'Sheet1'!$L$16"}</definedName>
    <definedName name="전기산출" hidden="1">#REF!</definedName>
    <definedName name="전기산출내역" hidden="1">#REF!</definedName>
    <definedName name="조경공사" hidden="1">{#N/A,#N/A,FALSE,"표지"}</definedName>
    <definedName name="조경사본" hidden="1">{#N/A,#N/A,FALSE,"표지"}</definedName>
    <definedName name="조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주차장" hidden="1">{#N/A,#N/A,FALSE,"표지"}</definedName>
    <definedName name="철근량" hidden="1">{#N/A,#N/A,FALSE,"전력간선"}</definedName>
    <definedName name="철콘부대외" hidden="1">{#N/A,#N/A,FALSE,"Sheet1"}</definedName>
    <definedName name="총공사비2" hidden="1">{#N/A,#N/A,FALSE,"전력간선"}</definedName>
    <definedName name="총괄제출2차" hidden="1">#REF!</definedName>
    <definedName name="추가옵션01" hidden="1">#REF!</definedName>
    <definedName name="켐온건축" hidden="1">{#N/A,#N/A,FALSE,"CCTV"}</definedName>
    <definedName name="토" hidden="1">#REF!</definedName>
    <definedName name="토목" hidden="1">{#N/A,#N/A,FALSE,"CCTV"}</definedName>
    <definedName name="토목설계" hidden="1">{#N/A,#N/A,FALSE,"골재소요량";#N/A,#N/A,FALSE,"골재소요량"}</definedName>
    <definedName name="팔" hidden="1">#REF!</definedName>
    <definedName name="평당견적" hidden="1">#REF!</definedName>
    <definedName name="표지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ㄹ오하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한" hidden="1">#REF!</definedName>
    <definedName name="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実行" hidden="1">{"'Sheet1'!$L$16"}</definedName>
    <definedName name="岡田" hidden="1">{#N/A,#N/A,TRUE,"SUM";#N/A,#N/A,TRUE,"EE";#N/A,#N/A,TRUE,"AC";#N/A,#N/A,TRUE,"SN"}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29" i="4" l="1"/>
  <c r="B529" i="4"/>
  <c r="A530" i="4"/>
  <c r="B530" i="4"/>
  <c r="A529" i="2" l="1"/>
  <c r="B529" i="2"/>
  <c r="C529" i="2"/>
  <c r="D529" i="2"/>
  <c r="K529" i="2"/>
  <c r="L529" i="2"/>
  <c r="L530" i="2" s="1"/>
  <c r="M529" i="2"/>
  <c r="A530" i="2"/>
  <c r="B530" i="2"/>
  <c r="D530" i="2"/>
  <c r="K530" i="2"/>
  <c r="M530" i="2"/>
  <c r="A517" i="4"/>
  <c r="B517" i="4"/>
  <c r="A518" i="4"/>
  <c r="B518" i="4"/>
  <c r="B519" i="4" s="1"/>
  <c r="B520" i="4" s="1"/>
  <c r="B521" i="4" s="1"/>
  <c r="B522" i="4" s="1"/>
  <c r="B523" i="4" s="1"/>
  <c r="B524" i="4" s="1"/>
  <c r="B525" i="4" s="1"/>
  <c r="B526" i="4" s="1"/>
  <c r="B527" i="4" s="1"/>
  <c r="B528" i="4" s="1"/>
  <c r="A519" i="4"/>
  <c r="A520" i="4"/>
  <c r="A521" i="4"/>
  <c r="A522" i="4"/>
  <c r="A523" i="4"/>
  <c r="A524" i="4"/>
  <c r="A525" i="4"/>
  <c r="A526" i="4"/>
  <c r="A527" i="4"/>
  <c r="A528" i="4"/>
  <c r="A492" i="4"/>
  <c r="B492" i="4"/>
  <c r="A493" i="4"/>
  <c r="B493" i="4"/>
  <c r="B494" i="4" s="1"/>
  <c r="B495" i="4" s="1"/>
  <c r="B496" i="4" s="1"/>
  <c r="B497" i="4" s="1"/>
  <c r="B498" i="4" s="1"/>
  <c r="B499" i="4" s="1"/>
  <c r="B500" i="4" s="1"/>
  <c r="B501" i="4" s="1"/>
  <c r="B502" i="4" s="1"/>
  <c r="B503" i="4" s="1"/>
  <c r="B504" i="4" s="1"/>
  <c r="B505" i="4" s="1"/>
  <c r="B506" i="4" s="1"/>
  <c r="B507" i="4" s="1"/>
  <c r="B508" i="4" s="1"/>
  <c r="B509" i="4" s="1"/>
  <c r="B510" i="4" s="1"/>
  <c r="B511" i="4" s="1"/>
  <c r="B512" i="4" s="1"/>
  <c r="B513" i="4" s="1"/>
  <c r="B514" i="4" s="1"/>
  <c r="B515" i="4" s="1"/>
  <c r="B516" i="4" s="1"/>
  <c r="A494" i="4"/>
  <c r="A495" i="4"/>
  <c r="A496" i="4"/>
  <c r="A497" i="4"/>
  <c r="A498" i="4"/>
  <c r="A499" i="4"/>
  <c r="A500" i="4"/>
  <c r="A501" i="4"/>
  <c r="A502" i="4"/>
  <c r="A503" i="4"/>
  <c r="A504" i="4"/>
  <c r="A505" i="4"/>
  <c r="A506" i="4"/>
  <c r="A507" i="4"/>
  <c r="A508" i="4"/>
  <c r="A509" i="4"/>
  <c r="A510" i="4"/>
  <c r="A511" i="4"/>
  <c r="A512" i="4"/>
  <c r="A513" i="4"/>
  <c r="A514" i="4"/>
  <c r="A515" i="4"/>
  <c r="A516" i="4"/>
  <c r="B521" i="3"/>
  <c r="C521" i="3" s="1"/>
  <c r="D521" i="3"/>
  <c r="K521" i="3"/>
  <c r="Q521" i="3"/>
  <c r="W521" i="3"/>
  <c r="B522" i="3"/>
  <c r="E522" i="3"/>
  <c r="K522" i="3"/>
  <c r="Q522" i="3"/>
  <c r="W522" i="3"/>
  <c r="B523" i="3"/>
  <c r="K523" i="3"/>
  <c r="Q523" i="3"/>
  <c r="W523" i="3"/>
  <c r="B524" i="3"/>
  <c r="C524" i="3"/>
  <c r="E524" i="3"/>
  <c r="K524" i="3"/>
  <c r="Q524" i="3"/>
  <c r="W524" i="3"/>
  <c r="B525" i="3"/>
  <c r="C525" i="3" s="1"/>
  <c r="K525" i="3"/>
  <c r="Q525" i="3"/>
  <c r="W525" i="3"/>
  <c r="B526" i="3"/>
  <c r="K526" i="3"/>
  <c r="Q526" i="3"/>
  <c r="W526" i="3"/>
  <c r="B527" i="3"/>
  <c r="E527" i="3"/>
  <c r="K527" i="3"/>
  <c r="Q527" i="3"/>
  <c r="W527" i="3"/>
  <c r="B528" i="3"/>
  <c r="E528" i="3"/>
  <c r="K528" i="3"/>
  <c r="Q528" i="3"/>
  <c r="W528" i="3"/>
  <c r="B529" i="3"/>
  <c r="C529" i="3" s="1"/>
  <c r="K529" i="3"/>
  <c r="Q529" i="3"/>
  <c r="W529" i="3"/>
  <c r="B530" i="3"/>
  <c r="M530" i="3" s="1"/>
  <c r="J530" i="3"/>
  <c r="K530" i="3"/>
  <c r="N530" i="3"/>
  <c r="Q530" i="3"/>
  <c r="V530" i="3"/>
  <c r="W530" i="3"/>
  <c r="B531" i="3"/>
  <c r="J531" i="3" s="1"/>
  <c r="E531" i="3"/>
  <c r="G531" i="3"/>
  <c r="H531" i="3"/>
  <c r="K531" i="3"/>
  <c r="N531" i="3"/>
  <c r="Q531" i="3"/>
  <c r="S531" i="3"/>
  <c r="T531" i="3"/>
  <c r="W531" i="3"/>
  <c r="B532" i="3"/>
  <c r="G532" i="3" s="1"/>
  <c r="E532" i="3"/>
  <c r="H532" i="3"/>
  <c r="P532" i="3"/>
  <c r="T532" i="3"/>
  <c r="B506" i="3"/>
  <c r="C506" i="3" s="1"/>
  <c r="D506" i="3"/>
  <c r="E506" i="3"/>
  <c r="J506" i="3"/>
  <c r="G507" i="4" s="1"/>
  <c r="K506" i="3"/>
  <c r="L506" i="3" s="1"/>
  <c r="N506" i="3"/>
  <c r="P506" i="3"/>
  <c r="I507" i="4" s="1"/>
  <c r="Q506" i="3"/>
  <c r="R506" i="3" s="1"/>
  <c r="T506" i="3"/>
  <c r="V506" i="3"/>
  <c r="K507" i="4" s="1"/>
  <c r="W506" i="3"/>
  <c r="X506" i="3" s="1"/>
  <c r="B507" i="3"/>
  <c r="D507" i="3"/>
  <c r="E507" i="3"/>
  <c r="J507" i="3"/>
  <c r="G508" i="4" s="1"/>
  <c r="K507" i="3"/>
  <c r="N507" i="3"/>
  <c r="P507" i="3"/>
  <c r="I508" i="4" s="1"/>
  <c r="Q507" i="3"/>
  <c r="R507" i="3" s="1"/>
  <c r="V507" i="3"/>
  <c r="W507" i="3"/>
  <c r="B508" i="3"/>
  <c r="H508" i="3" s="1"/>
  <c r="D508" i="3"/>
  <c r="K508" i="3"/>
  <c r="N508" i="3"/>
  <c r="P508" i="3"/>
  <c r="Q508" i="3"/>
  <c r="T508" i="3"/>
  <c r="W508" i="3"/>
  <c r="B509" i="3"/>
  <c r="D509" i="3"/>
  <c r="E509" i="3"/>
  <c r="H509" i="3"/>
  <c r="J509" i="3"/>
  <c r="K509" i="3"/>
  <c r="N509" i="3"/>
  <c r="P509" i="3"/>
  <c r="Q509" i="3"/>
  <c r="T509" i="3"/>
  <c r="V509" i="3"/>
  <c r="W509" i="3"/>
  <c r="B510" i="3"/>
  <c r="C510" i="3" s="1"/>
  <c r="J510" i="3"/>
  <c r="K510" i="3"/>
  <c r="N510" i="3"/>
  <c r="Q510" i="3"/>
  <c r="V510" i="3"/>
  <c r="W510" i="3"/>
  <c r="B511" i="3"/>
  <c r="E511" i="3"/>
  <c r="J511" i="3"/>
  <c r="K511" i="3"/>
  <c r="N511" i="3"/>
  <c r="P511" i="3"/>
  <c r="I512" i="4" s="1"/>
  <c r="Q511" i="3"/>
  <c r="V511" i="3"/>
  <c r="K512" i="4" s="1"/>
  <c r="W511" i="3"/>
  <c r="B512" i="3"/>
  <c r="K512" i="3"/>
  <c r="Q512" i="3"/>
  <c r="W512" i="3"/>
  <c r="B513" i="3"/>
  <c r="E513" i="3"/>
  <c r="K513" i="3"/>
  <c r="Q513" i="3"/>
  <c r="W513" i="3"/>
  <c r="B514" i="3"/>
  <c r="C514" i="3" s="1"/>
  <c r="K514" i="3"/>
  <c r="Q514" i="3"/>
  <c r="W514" i="3"/>
  <c r="B515" i="3"/>
  <c r="E515" i="3"/>
  <c r="K515" i="3"/>
  <c r="Q515" i="3"/>
  <c r="W515" i="3"/>
  <c r="B516" i="3"/>
  <c r="E516" i="3"/>
  <c r="K516" i="3"/>
  <c r="Q516" i="3"/>
  <c r="W516" i="3"/>
  <c r="B517" i="3"/>
  <c r="E517" i="3"/>
  <c r="K517" i="3"/>
  <c r="Q517" i="3"/>
  <c r="W517" i="3"/>
  <c r="B518" i="3"/>
  <c r="C518" i="3" s="1"/>
  <c r="K518" i="3"/>
  <c r="Q518" i="3"/>
  <c r="W518" i="3"/>
  <c r="B519" i="3"/>
  <c r="E519" i="3"/>
  <c r="K519" i="3"/>
  <c r="Q519" i="3"/>
  <c r="W519" i="3"/>
  <c r="B520" i="3"/>
  <c r="E520" i="3"/>
  <c r="K520" i="3"/>
  <c r="Q520" i="3"/>
  <c r="W520" i="3"/>
  <c r="B491" i="3"/>
  <c r="C491" i="3" s="1"/>
  <c r="D491" i="3"/>
  <c r="J491" i="3"/>
  <c r="K491" i="3"/>
  <c r="L491" i="3"/>
  <c r="N491" i="3"/>
  <c r="Q491" i="3"/>
  <c r="R491" i="3"/>
  <c r="V491" i="3"/>
  <c r="K492" i="4" s="1"/>
  <c r="W491" i="3"/>
  <c r="X491" i="3"/>
  <c r="B492" i="3"/>
  <c r="C492" i="3"/>
  <c r="D492" i="3"/>
  <c r="H492" i="3"/>
  <c r="J492" i="3"/>
  <c r="G493" i="4" s="1"/>
  <c r="K492" i="3"/>
  <c r="L492" i="3" s="1"/>
  <c r="N492" i="3"/>
  <c r="Q492" i="3"/>
  <c r="R492" i="3"/>
  <c r="T492" i="3"/>
  <c r="V492" i="3"/>
  <c r="K493" i="4" s="1"/>
  <c r="W492" i="3"/>
  <c r="X492" i="3" s="1"/>
  <c r="B493" i="3"/>
  <c r="J493" i="3" s="1"/>
  <c r="G494" i="4" s="1"/>
  <c r="C493" i="3"/>
  <c r="D493" i="3"/>
  <c r="F493" i="3" s="1"/>
  <c r="E493" i="3"/>
  <c r="H493" i="3"/>
  <c r="K493" i="3"/>
  <c r="L493" i="3" s="1"/>
  <c r="N493" i="3"/>
  <c r="P493" i="3"/>
  <c r="I494" i="4" s="1"/>
  <c r="Q493" i="3"/>
  <c r="R493" i="3" s="1"/>
  <c r="T493" i="3"/>
  <c r="V493" i="3"/>
  <c r="K494" i="4" s="1"/>
  <c r="W493" i="3"/>
  <c r="X493" i="3" s="1"/>
  <c r="B494" i="3"/>
  <c r="D494" i="3"/>
  <c r="E494" i="3"/>
  <c r="K494" i="3"/>
  <c r="N494" i="3"/>
  <c r="P494" i="3"/>
  <c r="I495" i="4" s="1"/>
  <c r="Q494" i="3"/>
  <c r="W494" i="3"/>
  <c r="X494" i="3" s="1"/>
  <c r="B495" i="3"/>
  <c r="C495" i="3" s="1"/>
  <c r="K495" i="3"/>
  <c r="N495" i="3"/>
  <c r="Q495" i="3"/>
  <c r="W495" i="3"/>
  <c r="B496" i="3"/>
  <c r="H496" i="3"/>
  <c r="J496" i="3"/>
  <c r="K496" i="3"/>
  <c r="N496" i="3"/>
  <c r="Q496" i="3"/>
  <c r="T496" i="3"/>
  <c r="V496" i="3"/>
  <c r="W496" i="3"/>
  <c r="B497" i="3"/>
  <c r="J497" i="3" s="1"/>
  <c r="E497" i="3"/>
  <c r="H497" i="3"/>
  <c r="K497" i="3"/>
  <c r="N497" i="3"/>
  <c r="P497" i="3"/>
  <c r="Q497" i="3"/>
  <c r="T497" i="3"/>
  <c r="W497" i="3"/>
  <c r="B498" i="3"/>
  <c r="E498" i="3"/>
  <c r="K498" i="3"/>
  <c r="N498" i="3"/>
  <c r="P498" i="3"/>
  <c r="I499" i="4" s="1"/>
  <c r="Q498" i="3"/>
  <c r="W498" i="3"/>
  <c r="B499" i="3"/>
  <c r="N499" i="3" s="1"/>
  <c r="K499" i="3"/>
  <c r="Q499" i="3"/>
  <c r="W499" i="3"/>
  <c r="B500" i="3"/>
  <c r="H500" i="3"/>
  <c r="J500" i="3"/>
  <c r="G501" i="4" s="1"/>
  <c r="K500" i="3"/>
  <c r="N500" i="3"/>
  <c r="Q500" i="3"/>
  <c r="T500" i="3"/>
  <c r="V500" i="3"/>
  <c r="K501" i="4" s="1"/>
  <c r="W500" i="3"/>
  <c r="B501" i="3"/>
  <c r="J501" i="3" s="1"/>
  <c r="G502" i="4" s="1"/>
  <c r="E501" i="3"/>
  <c r="H501" i="3"/>
  <c r="K501" i="3"/>
  <c r="N501" i="3"/>
  <c r="P501" i="3"/>
  <c r="I502" i="4" s="1"/>
  <c r="Q501" i="3"/>
  <c r="T501" i="3"/>
  <c r="W501" i="3"/>
  <c r="B502" i="3"/>
  <c r="E502" i="3"/>
  <c r="K502" i="3"/>
  <c r="N502" i="3"/>
  <c r="P502" i="3"/>
  <c r="Q502" i="3"/>
  <c r="W502" i="3"/>
  <c r="B503" i="3"/>
  <c r="C503" i="3" s="1"/>
  <c r="K503" i="3"/>
  <c r="N503" i="3"/>
  <c r="Q503" i="3"/>
  <c r="W503" i="3"/>
  <c r="B504" i="3"/>
  <c r="H504" i="3"/>
  <c r="J504" i="3"/>
  <c r="K504" i="3"/>
  <c r="N504" i="3"/>
  <c r="Q504" i="3"/>
  <c r="T504" i="3"/>
  <c r="V504" i="3"/>
  <c r="W504" i="3"/>
  <c r="B505" i="3"/>
  <c r="J505" i="3" s="1"/>
  <c r="G506" i="4" s="1"/>
  <c r="E505" i="3"/>
  <c r="H505" i="3"/>
  <c r="K505" i="3"/>
  <c r="P505" i="3"/>
  <c r="I506" i="4" s="1"/>
  <c r="Q505" i="3"/>
  <c r="T505" i="3"/>
  <c r="W505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F494" i="3" l="1"/>
  <c r="O494" i="3" s="1"/>
  <c r="H495" i="4" s="1"/>
  <c r="F509" i="3"/>
  <c r="F506" i="3"/>
  <c r="F507" i="3"/>
  <c r="O507" i="3" s="1"/>
  <c r="H508" i="4" s="1"/>
  <c r="C530" i="2"/>
  <c r="K505" i="4"/>
  <c r="G512" i="4"/>
  <c r="K510" i="4"/>
  <c r="G511" i="4"/>
  <c r="I510" i="4"/>
  <c r="G505" i="4"/>
  <c r="I498" i="4"/>
  <c r="K497" i="4"/>
  <c r="G510" i="4"/>
  <c r="I509" i="4"/>
  <c r="K508" i="4"/>
  <c r="I503" i="4"/>
  <c r="G498" i="4"/>
  <c r="G492" i="4"/>
  <c r="K511" i="4"/>
  <c r="G497" i="4"/>
  <c r="C532" i="3"/>
  <c r="C528" i="3"/>
  <c r="N532" i="3"/>
  <c r="H530" i="3"/>
  <c r="M532" i="3"/>
  <c r="P531" i="3"/>
  <c r="S530" i="3"/>
  <c r="Y531" i="3" s="1"/>
  <c r="Z531" i="3" s="1"/>
  <c r="G530" i="3"/>
  <c r="E523" i="3"/>
  <c r="C531" i="3"/>
  <c r="C527" i="3"/>
  <c r="C523" i="3"/>
  <c r="T530" i="3"/>
  <c r="E530" i="3"/>
  <c r="E526" i="3"/>
  <c r="V532" i="3"/>
  <c r="J532" i="3"/>
  <c r="M531" i="3"/>
  <c r="P530" i="3"/>
  <c r="D522" i="3"/>
  <c r="C530" i="3"/>
  <c r="C526" i="3"/>
  <c r="C522" i="3"/>
  <c r="E521" i="3"/>
  <c r="F521" i="3" s="1"/>
  <c r="S532" i="3"/>
  <c r="Y532" i="3" s="1"/>
  <c r="Z532" i="3" s="1"/>
  <c r="V531" i="3"/>
  <c r="E529" i="3"/>
  <c r="E525" i="3"/>
  <c r="X509" i="3"/>
  <c r="X510" i="3" s="1"/>
  <c r="X511" i="3" s="1"/>
  <c r="X512" i="3" s="1"/>
  <c r="X513" i="3" s="1"/>
  <c r="X514" i="3" s="1"/>
  <c r="X515" i="3" s="1"/>
  <c r="X516" i="3" s="1"/>
  <c r="X517" i="3" s="1"/>
  <c r="X518" i="3" s="1"/>
  <c r="X519" i="3" s="1"/>
  <c r="X520" i="3" s="1"/>
  <c r="X521" i="3" s="1"/>
  <c r="X522" i="3" s="1"/>
  <c r="X523" i="3" s="1"/>
  <c r="X524" i="3" s="1"/>
  <c r="X525" i="3" s="1"/>
  <c r="X526" i="3" s="1"/>
  <c r="X527" i="3" s="1"/>
  <c r="X528" i="3" s="1"/>
  <c r="X529" i="3" s="1"/>
  <c r="X530" i="3" s="1"/>
  <c r="X531" i="3" s="1"/>
  <c r="R508" i="3"/>
  <c r="R509" i="3" s="1"/>
  <c r="L507" i="3"/>
  <c r="L508" i="3"/>
  <c r="L509" i="3" s="1"/>
  <c r="L510" i="3" s="1"/>
  <c r="L511" i="3" s="1"/>
  <c r="L512" i="3" s="1"/>
  <c r="L513" i="3" s="1"/>
  <c r="L514" i="3" s="1"/>
  <c r="L515" i="3" s="1"/>
  <c r="L516" i="3" s="1"/>
  <c r="L517" i="3" s="1"/>
  <c r="L518" i="3" s="1"/>
  <c r="L519" i="3" s="1"/>
  <c r="L520" i="3" s="1"/>
  <c r="L521" i="3" s="1"/>
  <c r="L522" i="3" s="1"/>
  <c r="L523" i="3" s="1"/>
  <c r="L524" i="3" s="1"/>
  <c r="L525" i="3" s="1"/>
  <c r="L526" i="3" s="1"/>
  <c r="L527" i="3" s="1"/>
  <c r="L528" i="3" s="1"/>
  <c r="L529" i="3" s="1"/>
  <c r="L530" i="3" s="1"/>
  <c r="L531" i="3" s="1"/>
  <c r="I509" i="3"/>
  <c r="F510" i="4" s="1"/>
  <c r="U509" i="3"/>
  <c r="J510" i="4" s="1"/>
  <c r="O509" i="3"/>
  <c r="H510" i="4" s="1"/>
  <c r="X507" i="3"/>
  <c r="O506" i="3"/>
  <c r="H507" i="4" s="1"/>
  <c r="U506" i="3"/>
  <c r="J507" i="4" s="1"/>
  <c r="X508" i="3"/>
  <c r="C517" i="3"/>
  <c r="C513" i="3"/>
  <c r="C509" i="3"/>
  <c r="E512" i="3"/>
  <c r="T511" i="3"/>
  <c r="H511" i="3"/>
  <c r="E508" i="3"/>
  <c r="F508" i="3" s="1"/>
  <c r="T507" i="3"/>
  <c r="H507" i="3"/>
  <c r="C520" i="3"/>
  <c r="C516" i="3"/>
  <c r="C512" i="3"/>
  <c r="C508" i="3"/>
  <c r="T510" i="3"/>
  <c r="H510" i="3"/>
  <c r="H506" i="3"/>
  <c r="I506" i="3" s="1"/>
  <c r="F507" i="4" s="1"/>
  <c r="C519" i="3"/>
  <c r="C515" i="3"/>
  <c r="C511" i="3"/>
  <c r="C507" i="3"/>
  <c r="E514" i="3"/>
  <c r="E510" i="3"/>
  <c r="E518" i="3"/>
  <c r="P510" i="3"/>
  <c r="I511" i="4" s="1"/>
  <c r="D510" i="3"/>
  <c r="V508" i="3"/>
  <c r="K509" i="4" s="1"/>
  <c r="J508" i="3"/>
  <c r="G509" i="4" s="1"/>
  <c r="R494" i="3"/>
  <c r="L494" i="3"/>
  <c r="X495" i="3"/>
  <c r="X496" i="3"/>
  <c r="X497" i="3" s="1"/>
  <c r="X498" i="3" s="1"/>
  <c r="X499" i="3" s="1"/>
  <c r="X500" i="3" s="1"/>
  <c r="X501" i="3" s="1"/>
  <c r="X502" i="3" s="1"/>
  <c r="X503" i="3" s="1"/>
  <c r="X504" i="3" s="1"/>
  <c r="X505" i="3" s="1"/>
  <c r="R495" i="3"/>
  <c r="R496" i="3" s="1"/>
  <c r="I493" i="3"/>
  <c r="F494" i="4" s="1"/>
  <c r="U493" i="3"/>
  <c r="J494" i="4" s="1"/>
  <c r="O493" i="3"/>
  <c r="H494" i="4" s="1"/>
  <c r="L495" i="3"/>
  <c r="L496" i="3" s="1"/>
  <c r="L497" i="3" s="1"/>
  <c r="L498" i="3" s="1"/>
  <c r="L499" i="3" s="1"/>
  <c r="L500" i="3" s="1"/>
  <c r="L501" i="3" s="1"/>
  <c r="L502" i="3" s="1"/>
  <c r="L503" i="3" s="1"/>
  <c r="L504" i="3" s="1"/>
  <c r="L505" i="3" s="1"/>
  <c r="C502" i="3"/>
  <c r="C498" i="3"/>
  <c r="C494" i="3"/>
  <c r="V499" i="3"/>
  <c r="K500" i="4" s="1"/>
  <c r="J499" i="3"/>
  <c r="G500" i="4" s="1"/>
  <c r="C505" i="3"/>
  <c r="C501" i="3"/>
  <c r="C497" i="3"/>
  <c r="J495" i="3"/>
  <c r="G496" i="4" s="1"/>
  <c r="E492" i="3"/>
  <c r="F492" i="3" s="1"/>
  <c r="T491" i="3"/>
  <c r="H491" i="3"/>
  <c r="V495" i="3"/>
  <c r="K496" i="4" s="1"/>
  <c r="H503" i="3"/>
  <c r="T495" i="3"/>
  <c r="P504" i="3"/>
  <c r="I505" i="4" s="1"/>
  <c r="V502" i="3"/>
  <c r="K503" i="4" s="1"/>
  <c r="J502" i="3"/>
  <c r="G503" i="4" s="1"/>
  <c r="P500" i="3"/>
  <c r="I501" i="4" s="1"/>
  <c r="V498" i="3"/>
  <c r="K499" i="4" s="1"/>
  <c r="J498" i="3"/>
  <c r="G499" i="4" s="1"/>
  <c r="P496" i="3"/>
  <c r="I497" i="4" s="1"/>
  <c r="V494" i="3"/>
  <c r="K495" i="4" s="1"/>
  <c r="J494" i="3"/>
  <c r="G495" i="4" s="1"/>
  <c r="P492" i="3"/>
  <c r="I493" i="4" s="1"/>
  <c r="V503" i="3"/>
  <c r="K504" i="4" s="1"/>
  <c r="J503" i="3"/>
  <c r="G504" i="4" s="1"/>
  <c r="N505" i="3"/>
  <c r="E504" i="3"/>
  <c r="T503" i="3"/>
  <c r="E500" i="3"/>
  <c r="T499" i="3"/>
  <c r="H499" i="3"/>
  <c r="E496" i="3"/>
  <c r="H495" i="3"/>
  <c r="C504" i="3"/>
  <c r="C500" i="3"/>
  <c r="C496" i="3"/>
  <c r="E503" i="3"/>
  <c r="T502" i="3"/>
  <c r="H502" i="3"/>
  <c r="H498" i="3"/>
  <c r="E491" i="3"/>
  <c r="F491" i="3" s="1"/>
  <c r="P491" i="3"/>
  <c r="I492" i="4" s="1"/>
  <c r="E499" i="3"/>
  <c r="T498" i="3"/>
  <c r="E495" i="3"/>
  <c r="T494" i="3"/>
  <c r="U494" i="3" s="1"/>
  <c r="J495" i="4" s="1"/>
  <c r="H494" i="3"/>
  <c r="V505" i="3"/>
  <c r="K506" i="4" s="1"/>
  <c r="P503" i="3"/>
  <c r="I504" i="4" s="1"/>
  <c r="V501" i="3"/>
  <c r="K502" i="4" s="1"/>
  <c r="P499" i="3"/>
  <c r="I500" i="4" s="1"/>
  <c r="V497" i="3"/>
  <c r="K498" i="4" s="1"/>
  <c r="P495" i="3"/>
  <c r="I496" i="4" s="1"/>
  <c r="D495" i="3"/>
  <c r="C499" i="3"/>
  <c r="I494" i="3" l="1"/>
  <c r="F495" i="4" s="1"/>
  <c r="I507" i="3"/>
  <c r="F508" i="4" s="1"/>
  <c r="U507" i="3"/>
  <c r="J508" i="4" s="1"/>
  <c r="F522" i="3"/>
  <c r="D523" i="3"/>
  <c r="I508" i="3"/>
  <c r="F509" i="4" s="1"/>
  <c r="U508" i="3"/>
  <c r="J509" i="4" s="1"/>
  <c r="O508" i="3"/>
  <c r="H509" i="4" s="1"/>
  <c r="R510" i="3"/>
  <c r="F510" i="3"/>
  <c r="D511" i="3"/>
  <c r="R497" i="3"/>
  <c r="R498" i="3" s="1"/>
  <c r="R499" i="3" s="1"/>
  <c r="R500" i="3" s="1"/>
  <c r="O491" i="3"/>
  <c r="H492" i="4" s="1"/>
  <c r="I491" i="3"/>
  <c r="F492" i="4" s="1"/>
  <c r="U491" i="3"/>
  <c r="J492" i="4" s="1"/>
  <c r="F495" i="3"/>
  <c r="D496" i="3"/>
  <c r="O492" i="3"/>
  <c r="H493" i="4" s="1"/>
  <c r="I492" i="3"/>
  <c r="F493" i="4" s="1"/>
  <c r="U492" i="3"/>
  <c r="J493" i="4" s="1"/>
  <c r="D524" i="3" l="1"/>
  <c r="F523" i="3"/>
  <c r="F511" i="3"/>
  <c r="D512" i="3"/>
  <c r="R511" i="3"/>
  <c r="O510" i="3"/>
  <c r="H511" i="4" s="1"/>
  <c r="I510" i="3"/>
  <c r="F511" i="4" s="1"/>
  <c r="U510" i="3"/>
  <c r="J511" i="4" s="1"/>
  <c r="R501" i="3"/>
  <c r="D497" i="3"/>
  <c r="F496" i="3"/>
  <c r="O495" i="3"/>
  <c r="H496" i="4" s="1"/>
  <c r="I495" i="3"/>
  <c r="F496" i="4" s="1"/>
  <c r="U495" i="3"/>
  <c r="J496" i="4" s="1"/>
  <c r="F524" i="3" l="1"/>
  <c r="D525" i="3"/>
  <c r="R512" i="3"/>
  <c r="D513" i="3"/>
  <c r="F512" i="3"/>
  <c r="O511" i="3"/>
  <c r="H512" i="4" s="1"/>
  <c r="I511" i="3"/>
  <c r="F512" i="4" s="1"/>
  <c r="U511" i="3"/>
  <c r="J512" i="4" s="1"/>
  <c r="D498" i="3"/>
  <c r="F497" i="3"/>
  <c r="O496" i="3"/>
  <c r="H497" i="4" s="1"/>
  <c r="I496" i="3"/>
  <c r="F497" i="4" s="1"/>
  <c r="U496" i="3"/>
  <c r="J497" i="4" s="1"/>
  <c r="R502" i="3"/>
  <c r="F525" i="3" l="1"/>
  <c r="D526" i="3"/>
  <c r="R513" i="3"/>
  <c r="F513" i="3"/>
  <c r="D514" i="3"/>
  <c r="R503" i="3"/>
  <c r="I497" i="3"/>
  <c r="F498" i="4" s="1"/>
  <c r="U497" i="3"/>
  <c r="J498" i="4" s="1"/>
  <c r="O497" i="3"/>
  <c r="H498" i="4" s="1"/>
  <c r="F498" i="3"/>
  <c r="D499" i="3"/>
  <c r="F526" i="3" l="1"/>
  <c r="D527" i="3"/>
  <c r="D515" i="3"/>
  <c r="F514" i="3"/>
  <c r="R514" i="3"/>
  <c r="F499" i="3"/>
  <c r="D500" i="3"/>
  <c r="I498" i="3"/>
  <c r="F499" i="4" s="1"/>
  <c r="U498" i="3"/>
  <c r="J499" i="4" s="1"/>
  <c r="O498" i="3"/>
  <c r="H499" i="4" s="1"/>
  <c r="R504" i="3"/>
  <c r="D528" i="3" l="1"/>
  <c r="F527" i="3"/>
  <c r="R515" i="3"/>
  <c r="D516" i="3"/>
  <c r="F515" i="3"/>
  <c r="D501" i="3"/>
  <c r="F500" i="3"/>
  <c r="R505" i="3"/>
  <c r="O499" i="3"/>
  <c r="H500" i="4" s="1"/>
  <c r="I499" i="3"/>
  <c r="F500" i="4" s="1"/>
  <c r="U499" i="3"/>
  <c r="J500" i="4" s="1"/>
  <c r="F528" i="3" l="1"/>
  <c r="D529" i="3"/>
  <c r="D517" i="3"/>
  <c r="F516" i="3"/>
  <c r="R516" i="3"/>
  <c r="O500" i="3"/>
  <c r="H501" i="4" s="1"/>
  <c r="I500" i="3"/>
  <c r="F501" i="4" s="1"/>
  <c r="U500" i="3"/>
  <c r="J501" i="4" s="1"/>
  <c r="D502" i="3"/>
  <c r="F501" i="3"/>
  <c r="F529" i="3" l="1"/>
  <c r="D530" i="3"/>
  <c r="R517" i="3"/>
  <c r="F517" i="3"/>
  <c r="D518" i="3"/>
  <c r="I501" i="3"/>
  <c r="F502" i="4" s="1"/>
  <c r="U501" i="3"/>
  <c r="J502" i="4" s="1"/>
  <c r="O501" i="3"/>
  <c r="H502" i="4" s="1"/>
  <c r="F502" i="3"/>
  <c r="D503" i="3"/>
  <c r="F530" i="3" l="1"/>
  <c r="D531" i="3"/>
  <c r="R518" i="3"/>
  <c r="D519" i="3"/>
  <c r="F518" i="3"/>
  <c r="F503" i="3"/>
  <c r="D504" i="3"/>
  <c r="I502" i="3"/>
  <c r="F503" i="4" s="1"/>
  <c r="U502" i="3"/>
  <c r="J503" i="4" s="1"/>
  <c r="O502" i="3"/>
  <c r="H503" i="4" s="1"/>
  <c r="D532" i="3" l="1"/>
  <c r="F532" i="3" s="1"/>
  <c r="F531" i="3"/>
  <c r="O530" i="3"/>
  <c r="I530" i="3"/>
  <c r="U530" i="3"/>
  <c r="F519" i="3"/>
  <c r="D520" i="3"/>
  <c r="F520" i="3" s="1"/>
  <c r="R519" i="3"/>
  <c r="D505" i="3"/>
  <c r="F505" i="3" s="1"/>
  <c r="F504" i="3"/>
  <c r="O503" i="3"/>
  <c r="H504" i="4" s="1"/>
  <c r="I503" i="3"/>
  <c r="F504" i="4" s="1"/>
  <c r="U503" i="3"/>
  <c r="J504" i="4" s="1"/>
  <c r="I531" i="3" l="1"/>
  <c r="U531" i="3"/>
  <c r="O531" i="3"/>
  <c r="I532" i="3"/>
  <c r="U532" i="3"/>
  <c r="O532" i="3"/>
  <c r="R520" i="3"/>
  <c r="O504" i="3"/>
  <c r="H505" i="4" s="1"/>
  <c r="I504" i="3"/>
  <c r="F505" i="4" s="1"/>
  <c r="U504" i="3"/>
  <c r="J505" i="4" s="1"/>
  <c r="I505" i="3"/>
  <c r="F506" i="4" s="1"/>
  <c r="U505" i="3"/>
  <c r="J506" i="4" s="1"/>
  <c r="O505" i="3"/>
  <c r="H506" i="4" s="1"/>
  <c r="R521" i="3" l="1"/>
  <c r="R522" i="3" s="1"/>
  <c r="R523" i="3" s="1"/>
  <c r="R524" i="3" s="1"/>
  <c r="R525" i="3" s="1"/>
  <c r="R526" i="3" s="1"/>
  <c r="R527" i="3" s="1"/>
  <c r="R528" i="3" s="1"/>
  <c r="R529" i="3" s="1"/>
  <c r="R530" i="3" s="1"/>
  <c r="B522" i="2"/>
  <c r="B523" i="2" s="1"/>
  <c r="B524" i="2" s="1"/>
  <c r="B525" i="2" s="1"/>
  <c r="B526" i="2" s="1"/>
  <c r="B527" i="2" s="1"/>
  <c r="B528" i="2" s="1"/>
  <c r="B521" i="2"/>
  <c r="B517" i="2"/>
  <c r="B518" i="2" s="1"/>
  <c r="B519" i="2" s="1"/>
  <c r="B520" i="2" s="1"/>
  <c r="B515" i="2"/>
  <c r="B516" i="2" s="1"/>
  <c r="B514" i="2"/>
  <c r="B513" i="2"/>
  <c r="A517" i="2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C517" i="2"/>
  <c r="D517" i="2"/>
  <c r="K517" i="2"/>
  <c r="L517" i="2"/>
  <c r="L518" i="2" s="1"/>
  <c r="M517" i="2"/>
  <c r="M518" i="2" s="1"/>
  <c r="D518" i="2"/>
  <c r="K518" i="2"/>
  <c r="K519" i="2"/>
  <c r="K520" i="2" s="1"/>
  <c r="A501" i="2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B501" i="2"/>
  <c r="C501" i="2"/>
  <c r="D501" i="2"/>
  <c r="K501" i="2"/>
  <c r="H501" i="2" s="1"/>
  <c r="L501" i="2"/>
  <c r="L502" i="2" s="1"/>
  <c r="M501" i="2"/>
  <c r="M502" i="2" s="1"/>
  <c r="N501" i="2"/>
  <c r="P501" i="2"/>
  <c r="J501" i="2" s="1"/>
  <c r="B502" i="2"/>
  <c r="B503" i="2" s="1"/>
  <c r="B504" i="2" s="1"/>
  <c r="B505" i="2" s="1"/>
  <c r="B506" i="2" s="1"/>
  <c r="B507" i="2" s="1"/>
  <c r="B508" i="2" s="1"/>
  <c r="B509" i="2" s="1"/>
  <c r="B510" i="2" s="1"/>
  <c r="B511" i="2" s="1"/>
  <c r="B512" i="2" s="1"/>
  <c r="C502" i="2"/>
  <c r="D502" i="2"/>
  <c r="E502" i="2" s="1"/>
  <c r="H502" i="2"/>
  <c r="K502" i="2"/>
  <c r="K503" i="2" s="1"/>
  <c r="N502" i="2"/>
  <c r="N503" i="2" s="1"/>
  <c r="N504" i="2" s="1"/>
  <c r="N505" i="2" s="1"/>
  <c r="N506" i="2" s="1"/>
  <c r="N507" i="2" s="1"/>
  <c r="N508" i="2" s="1"/>
  <c r="N509" i="2" s="1"/>
  <c r="N510" i="2" s="1"/>
  <c r="N511" i="2" s="1"/>
  <c r="N512" i="2" s="1"/>
  <c r="N513" i="2" s="1"/>
  <c r="P502" i="2"/>
  <c r="P503" i="2" s="1"/>
  <c r="P504" i="2" s="1"/>
  <c r="P505" i="2" s="1"/>
  <c r="P506" i="2" s="1"/>
  <c r="P507" i="2" s="1"/>
  <c r="P508" i="2" s="1"/>
  <c r="P509" i="2" s="1"/>
  <c r="P510" i="2" s="1"/>
  <c r="P511" i="2" s="1"/>
  <c r="P512" i="2" s="1"/>
  <c r="P513" i="2" s="1"/>
  <c r="C503" i="2"/>
  <c r="C504" i="2" s="1"/>
  <c r="A492" i="2"/>
  <c r="A493" i="2" s="1"/>
  <c r="A494" i="2" s="1"/>
  <c r="A495" i="2" s="1"/>
  <c r="A496" i="2" s="1"/>
  <c r="A497" i="2" s="1"/>
  <c r="A498" i="2" s="1"/>
  <c r="A499" i="2" s="1"/>
  <c r="A500" i="2" s="1"/>
  <c r="B492" i="2"/>
  <c r="C492" i="2"/>
  <c r="D492" i="2"/>
  <c r="K492" i="2"/>
  <c r="L492" i="2"/>
  <c r="L493" i="2" s="1"/>
  <c r="M492" i="2"/>
  <c r="M493" i="2" s="1"/>
  <c r="N492" i="2"/>
  <c r="N493" i="2" s="1"/>
  <c r="O492" i="2"/>
  <c r="O493" i="2" s="1"/>
  <c r="O494" i="2" s="1"/>
  <c r="O495" i="2" s="1"/>
  <c r="O496" i="2" s="1"/>
  <c r="O497" i="2" s="1"/>
  <c r="O498" i="2" s="1"/>
  <c r="O499" i="2" s="1"/>
  <c r="O500" i="2" s="1"/>
  <c r="O501" i="2" s="1"/>
  <c r="O502" i="2" s="1"/>
  <c r="O503" i="2" s="1"/>
  <c r="O504" i="2" s="1"/>
  <c r="O505" i="2" s="1"/>
  <c r="O506" i="2" s="1"/>
  <c r="O507" i="2" s="1"/>
  <c r="O508" i="2" s="1"/>
  <c r="O509" i="2" s="1"/>
  <c r="O510" i="2" s="1"/>
  <c r="O511" i="2" s="1"/>
  <c r="O512" i="2" s="1"/>
  <c r="P492" i="2"/>
  <c r="P493" i="2" s="1"/>
  <c r="P494" i="2" s="1"/>
  <c r="P495" i="2" s="1"/>
  <c r="P496" i="2" s="1"/>
  <c r="P497" i="2" s="1"/>
  <c r="P498" i="2" s="1"/>
  <c r="P499" i="2" s="1"/>
  <c r="P500" i="2" s="1"/>
  <c r="B493" i="2"/>
  <c r="C493" i="2"/>
  <c r="D493" i="2"/>
  <c r="K493" i="2"/>
  <c r="K494" i="2" s="1"/>
  <c r="B494" i="2"/>
  <c r="B495" i="2" s="1"/>
  <c r="B496" i="2" s="1"/>
  <c r="B497" i="2" s="1"/>
  <c r="B498" i="2" s="1"/>
  <c r="B499" i="2" s="1"/>
  <c r="B500" i="2" s="1"/>
  <c r="C494" i="2"/>
  <c r="C495" i="2" s="1"/>
  <c r="A3" i="4"/>
  <c r="F5" i="4"/>
  <c r="B7" i="4"/>
  <c r="M7" i="4"/>
  <c r="B8" i="4"/>
  <c r="B9" i="4"/>
  <c r="E14" i="4"/>
  <c r="B255" i="4"/>
  <c r="B256" i="4"/>
  <c r="B257" i="4" s="1"/>
  <c r="B258" i="4" s="1"/>
  <c r="B259" i="4" s="1"/>
  <c r="B260" i="4" s="1"/>
  <c r="B261" i="4" s="1"/>
  <c r="B262" i="4" s="1"/>
  <c r="B263" i="4" s="1"/>
  <c r="B264" i="4" s="1"/>
  <c r="B265" i="4" s="1"/>
  <c r="B266" i="4" s="1"/>
  <c r="B267" i="4" s="1"/>
  <c r="B268" i="4" s="1"/>
  <c r="B269" i="4" s="1"/>
  <c r="B270" i="4" s="1"/>
  <c r="B271" i="4" s="1"/>
  <c r="B272" i="4" s="1"/>
  <c r="B273" i="4" s="1"/>
  <c r="B274" i="4" s="1"/>
  <c r="B275" i="4" s="1"/>
  <c r="B276" i="4" s="1"/>
  <c r="B277" i="4" s="1"/>
  <c r="B278" i="4" s="1"/>
  <c r="B279" i="4" s="1"/>
  <c r="B280" i="4" s="1"/>
  <c r="B281" i="4" s="1"/>
  <c r="B282" i="4" s="1"/>
  <c r="B283" i="4" s="1"/>
  <c r="B284" i="4" s="1"/>
  <c r="B285" i="4" s="1"/>
  <c r="B286" i="4" s="1"/>
  <c r="B287" i="4" s="1"/>
  <c r="B288" i="4" s="1"/>
  <c r="B289" i="4" s="1"/>
  <c r="B290" i="4" s="1"/>
  <c r="B291" i="4" s="1"/>
  <c r="B292" i="4" s="1"/>
  <c r="B293" i="4" s="1"/>
  <c r="B294" i="4" s="1"/>
  <c r="B295" i="4" s="1"/>
  <c r="B296" i="4" s="1"/>
  <c r="B297" i="4" s="1"/>
  <c r="B298" i="4" s="1"/>
  <c r="B299" i="4" s="1"/>
  <c r="B300" i="4" s="1"/>
  <c r="B301" i="4" s="1"/>
  <c r="B302" i="4" s="1"/>
  <c r="B303" i="4" s="1"/>
  <c r="B304" i="4" s="1"/>
  <c r="B305" i="4" s="1"/>
  <c r="B306" i="4" s="1"/>
  <c r="B307" i="4" s="1"/>
  <c r="B308" i="4" s="1"/>
  <c r="B309" i="4" s="1"/>
  <c r="B310" i="4" s="1"/>
  <c r="B311" i="4" s="1"/>
  <c r="B312" i="4" s="1"/>
  <c r="B313" i="4" s="1"/>
  <c r="B314" i="4" s="1"/>
  <c r="B315" i="4" s="1"/>
  <c r="B316" i="4" s="1"/>
  <c r="B317" i="4" s="1"/>
  <c r="B318" i="4" s="1"/>
  <c r="B319" i="4" s="1"/>
  <c r="B320" i="4" s="1"/>
  <c r="B321" i="4" s="1"/>
  <c r="B322" i="4" s="1"/>
  <c r="B323" i="4" s="1"/>
  <c r="B324" i="4" s="1"/>
  <c r="B325" i="4" s="1"/>
  <c r="B326" i="4" s="1"/>
  <c r="B327" i="4" s="1"/>
  <c r="B328" i="4" s="1"/>
  <c r="B329" i="4" s="1"/>
  <c r="B330" i="4" s="1"/>
  <c r="B331" i="4" s="1"/>
  <c r="B332" i="4" s="1"/>
  <c r="B333" i="4" s="1"/>
  <c r="B334" i="4" s="1"/>
  <c r="B335" i="4" s="1"/>
  <c r="B336" i="4" s="1"/>
  <c r="B337" i="4" s="1"/>
  <c r="B338" i="4" s="1"/>
  <c r="B339" i="4" s="1"/>
  <c r="B340" i="4" s="1"/>
  <c r="B341" i="4" s="1"/>
  <c r="B342" i="4" s="1"/>
  <c r="B343" i="4" s="1"/>
  <c r="B344" i="4" s="1"/>
  <c r="B345" i="4" s="1"/>
  <c r="B346" i="4" s="1"/>
  <c r="B347" i="4" s="1"/>
  <c r="B348" i="4" s="1"/>
  <c r="B349" i="4" s="1"/>
  <c r="B350" i="4" s="1"/>
  <c r="B351" i="4" s="1"/>
  <c r="B352" i="4" s="1"/>
  <c r="B353" i="4" s="1"/>
  <c r="B354" i="4" s="1"/>
  <c r="B355" i="4" s="1"/>
  <c r="B356" i="4" s="1"/>
  <c r="B357" i="4" s="1"/>
  <c r="B358" i="4" s="1"/>
  <c r="B359" i="4" s="1"/>
  <c r="B360" i="4" s="1"/>
  <c r="B361" i="4" s="1"/>
  <c r="B362" i="4" s="1"/>
  <c r="B363" i="4" s="1"/>
  <c r="B364" i="4" s="1"/>
  <c r="B365" i="4" s="1"/>
  <c r="B366" i="4" s="1"/>
  <c r="B367" i="4" s="1"/>
  <c r="B368" i="4" s="1"/>
  <c r="B369" i="4" s="1"/>
  <c r="B370" i="4" s="1"/>
  <c r="B371" i="4" s="1"/>
  <c r="B372" i="4" s="1"/>
  <c r="B373" i="4" s="1"/>
  <c r="B374" i="4" s="1"/>
  <c r="B375" i="4" s="1"/>
  <c r="B376" i="4" s="1"/>
  <c r="B377" i="4" s="1"/>
  <c r="B378" i="4" s="1"/>
  <c r="B379" i="4" s="1"/>
  <c r="B380" i="4" s="1"/>
  <c r="B381" i="4" s="1"/>
  <c r="B382" i="4" s="1"/>
  <c r="B383" i="4" s="1"/>
  <c r="B384" i="4" s="1"/>
  <c r="B385" i="4" s="1"/>
  <c r="B386" i="4" s="1"/>
  <c r="B387" i="4" s="1"/>
  <c r="B388" i="4" s="1"/>
  <c r="B389" i="4" s="1"/>
  <c r="B390" i="4" s="1"/>
  <c r="B391" i="4" s="1"/>
  <c r="B392" i="4" s="1"/>
  <c r="B393" i="4" s="1"/>
  <c r="B394" i="4" s="1"/>
  <c r="B395" i="4" s="1"/>
  <c r="B396" i="4" s="1"/>
  <c r="B397" i="4" s="1"/>
  <c r="B398" i="4" s="1"/>
  <c r="B399" i="4" s="1"/>
  <c r="B400" i="4" s="1"/>
  <c r="B401" i="4" s="1"/>
  <c r="B402" i="4" s="1"/>
  <c r="B403" i="4" s="1"/>
  <c r="B404" i="4" s="1"/>
  <c r="B405" i="4" s="1"/>
  <c r="B406" i="4" s="1"/>
  <c r="B407" i="4" s="1"/>
  <c r="B408" i="4" s="1"/>
  <c r="B409" i="4" s="1"/>
  <c r="B410" i="4" s="1"/>
  <c r="B411" i="4" s="1"/>
  <c r="B412" i="4" s="1"/>
  <c r="B413" i="4" s="1"/>
  <c r="B414" i="4" s="1"/>
  <c r="B415" i="4" s="1"/>
  <c r="B416" i="4" s="1"/>
  <c r="B417" i="4" s="1"/>
  <c r="B418" i="4" s="1"/>
  <c r="B419" i="4" s="1"/>
  <c r="B420" i="4" s="1"/>
  <c r="B421" i="4" s="1"/>
  <c r="B422" i="4" s="1"/>
  <c r="B423" i="4" s="1"/>
  <c r="B424" i="4" s="1"/>
  <c r="B425" i="4" s="1"/>
  <c r="B426" i="4" s="1"/>
  <c r="B427" i="4" s="1"/>
  <c r="B428" i="4" s="1"/>
  <c r="B429" i="4" s="1"/>
  <c r="B430" i="4" s="1"/>
  <c r="B431" i="4" s="1"/>
  <c r="B432" i="4" s="1"/>
  <c r="B433" i="4" s="1"/>
  <c r="B434" i="4" s="1"/>
  <c r="B435" i="4" s="1"/>
  <c r="B436" i="4" s="1"/>
  <c r="B437" i="4" s="1"/>
  <c r="B438" i="4" s="1"/>
  <c r="B439" i="4" s="1"/>
  <c r="B440" i="4" s="1"/>
  <c r="B441" i="4" s="1"/>
  <c r="B442" i="4" s="1"/>
  <c r="B443" i="4" s="1"/>
  <c r="B444" i="4" s="1"/>
  <c r="B445" i="4" s="1"/>
  <c r="B446" i="4" s="1"/>
  <c r="B447" i="4" s="1"/>
  <c r="B448" i="4" s="1"/>
  <c r="B449" i="4" s="1"/>
  <c r="B450" i="4" s="1"/>
  <c r="B451" i="4" s="1"/>
  <c r="B452" i="4" s="1"/>
  <c r="B453" i="4" s="1"/>
  <c r="B454" i="4" s="1"/>
  <c r="B455" i="4" s="1"/>
  <c r="B456" i="4" s="1"/>
  <c r="B457" i="4" s="1"/>
  <c r="B458" i="4" s="1"/>
  <c r="B459" i="4" s="1"/>
  <c r="B460" i="4" s="1"/>
  <c r="B461" i="4" s="1"/>
  <c r="B462" i="4" s="1"/>
  <c r="B463" i="4" s="1"/>
  <c r="B464" i="4" s="1"/>
  <c r="B465" i="4" s="1"/>
  <c r="B466" i="4" s="1"/>
  <c r="B467" i="4" s="1"/>
  <c r="B468" i="4" s="1"/>
  <c r="B469" i="4" s="1"/>
  <c r="B470" i="4" s="1"/>
  <c r="B471" i="4" s="1"/>
  <c r="B472" i="4" s="1"/>
  <c r="B473" i="4" s="1"/>
  <c r="B474" i="4" s="1"/>
  <c r="B475" i="4" s="1"/>
  <c r="B476" i="4" s="1"/>
  <c r="B477" i="4" s="1"/>
  <c r="B478" i="4" s="1"/>
  <c r="B479" i="4" s="1"/>
  <c r="B480" i="4" s="1"/>
  <c r="B481" i="4" s="1"/>
  <c r="B482" i="4" s="1"/>
  <c r="B483" i="4" s="1"/>
  <c r="B484" i="4" s="1"/>
  <c r="B485" i="4" s="1"/>
  <c r="B486" i="4" s="1"/>
  <c r="B487" i="4" s="1"/>
  <c r="B488" i="4" s="1"/>
  <c r="B489" i="4" s="1"/>
  <c r="B490" i="4" s="1"/>
  <c r="B491" i="4" s="1"/>
  <c r="B3" i="3"/>
  <c r="J5" i="3"/>
  <c r="C7" i="3"/>
  <c r="N7" i="3"/>
  <c r="C8" i="3"/>
  <c r="C9" i="3"/>
  <c r="B13" i="3"/>
  <c r="A14" i="4" s="1"/>
  <c r="D13" i="3"/>
  <c r="K13" i="3"/>
  <c r="P13" i="3"/>
  <c r="Q13" i="3"/>
  <c r="V13" i="3"/>
  <c r="W13" i="3"/>
  <c r="Z13" i="3"/>
  <c r="AA13" i="3"/>
  <c r="D14" i="4" s="1"/>
  <c r="D14" i="3"/>
  <c r="K14" i="3"/>
  <c r="L14" i="3" s="1"/>
  <c r="L15" i="3" s="1"/>
  <c r="Q14" i="3"/>
  <c r="R14" i="3"/>
  <c r="W14" i="3"/>
  <c r="X14" i="3" s="1"/>
  <c r="X15" i="3" s="1"/>
  <c r="K15" i="3"/>
  <c r="Q15" i="3"/>
  <c r="R15" i="3" s="1"/>
  <c r="R16" i="3" s="1"/>
  <c r="W15" i="3"/>
  <c r="A16" i="3"/>
  <c r="A17" i="3" s="1"/>
  <c r="A18" i="3" s="1"/>
  <c r="A19" i="3" s="1"/>
  <c r="A20" i="3" s="1"/>
  <c r="A21" i="3" s="1"/>
  <c r="K16" i="3"/>
  <c r="Q16" i="3"/>
  <c r="W16" i="3"/>
  <c r="X16" i="3" s="1"/>
  <c r="X17" i="3" s="1"/>
  <c r="X18" i="3" s="1"/>
  <c r="K17" i="3"/>
  <c r="Q17" i="3"/>
  <c r="R17" i="3" s="1"/>
  <c r="W17" i="3"/>
  <c r="K18" i="3"/>
  <c r="Q18" i="3"/>
  <c r="W18" i="3"/>
  <c r="K19" i="3"/>
  <c r="Q19" i="3"/>
  <c r="W19" i="3"/>
  <c r="X19" i="3" s="1"/>
  <c r="X20" i="3" s="1"/>
  <c r="X21" i="3" s="1"/>
  <c r="X22" i="3" s="1"/>
  <c r="X23" i="3" s="1"/>
  <c r="K20" i="3"/>
  <c r="Q20" i="3"/>
  <c r="W20" i="3"/>
  <c r="K21" i="3"/>
  <c r="Q21" i="3"/>
  <c r="W21" i="3"/>
  <c r="K22" i="3"/>
  <c r="Q22" i="3"/>
  <c r="W22" i="3"/>
  <c r="K23" i="3"/>
  <c r="Q23" i="3"/>
  <c r="W23" i="3"/>
  <c r="K24" i="3"/>
  <c r="Q24" i="3"/>
  <c r="W24" i="3"/>
  <c r="K25" i="3"/>
  <c r="Q25" i="3"/>
  <c r="W25" i="3"/>
  <c r="K26" i="3"/>
  <c r="Q26" i="3"/>
  <c r="W26" i="3"/>
  <c r="K27" i="3"/>
  <c r="Q27" i="3"/>
  <c r="W27" i="3"/>
  <c r="K28" i="3"/>
  <c r="Q28" i="3"/>
  <c r="W28" i="3"/>
  <c r="K29" i="3"/>
  <c r="Q29" i="3"/>
  <c r="W29" i="3"/>
  <c r="K30" i="3"/>
  <c r="Q30" i="3"/>
  <c r="W30" i="3"/>
  <c r="K31" i="3"/>
  <c r="Q31" i="3"/>
  <c r="W31" i="3"/>
  <c r="K32" i="3"/>
  <c r="Q32" i="3"/>
  <c r="W32" i="3"/>
  <c r="K33" i="3"/>
  <c r="Q33" i="3"/>
  <c r="W33" i="3"/>
  <c r="K34" i="3"/>
  <c r="Q34" i="3"/>
  <c r="W34" i="3"/>
  <c r="K35" i="3"/>
  <c r="Q35" i="3"/>
  <c r="W35" i="3"/>
  <c r="K36" i="3"/>
  <c r="Q36" i="3"/>
  <c r="W36" i="3"/>
  <c r="K37" i="3"/>
  <c r="Q37" i="3"/>
  <c r="W37" i="3"/>
  <c r="K38" i="3"/>
  <c r="Q38" i="3"/>
  <c r="W38" i="3"/>
  <c r="K39" i="3"/>
  <c r="Q39" i="3"/>
  <c r="W39" i="3"/>
  <c r="K40" i="3"/>
  <c r="Q40" i="3"/>
  <c r="W40" i="3"/>
  <c r="K41" i="3"/>
  <c r="Q41" i="3"/>
  <c r="W41" i="3"/>
  <c r="K42" i="3"/>
  <c r="Q42" i="3"/>
  <c r="W42" i="3"/>
  <c r="K43" i="3"/>
  <c r="Q43" i="3"/>
  <c r="W43" i="3"/>
  <c r="K44" i="3"/>
  <c r="Q44" i="3"/>
  <c r="W44" i="3"/>
  <c r="K45" i="3"/>
  <c r="Q45" i="3"/>
  <c r="W45" i="3"/>
  <c r="K46" i="3"/>
  <c r="Q46" i="3"/>
  <c r="W46" i="3"/>
  <c r="K47" i="3"/>
  <c r="Q47" i="3"/>
  <c r="W47" i="3"/>
  <c r="K48" i="3"/>
  <c r="Q48" i="3"/>
  <c r="W48" i="3"/>
  <c r="K49" i="3"/>
  <c r="Q49" i="3"/>
  <c r="W49" i="3"/>
  <c r="K50" i="3"/>
  <c r="Q50" i="3"/>
  <c r="W50" i="3"/>
  <c r="K51" i="3"/>
  <c r="Q51" i="3"/>
  <c r="W51" i="3"/>
  <c r="K52" i="3"/>
  <c r="Q52" i="3"/>
  <c r="W52" i="3"/>
  <c r="K53" i="3"/>
  <c r="Q53" i="3"/>
  <c r="W53" i="3"/>
  <c r="K54" i="3"/>
  <c r="Q54" i="3"/>
  <c r="W54" i="3"/>
  <c r="K55" i="3"/>
  <c r="Q55" i="3"/>
  <c r="W55" i="3"/>
  <c r="K56" i="3"/>
  <c r="Q56" i="3"/>
  <c r="W56" i="3"/>
  <c r="K57" i="3"/>
  <c r="Q57" i="3"/>
  <c r="W57" i="3"/>
  <c r="K58" i="3"/>
  <c r="Q58" i="3"/>
  <c r="W58" i="3"/>
  <c r="K59" i="3"/>
  <c r="Q59" i="3"/>
  <c r="W59" i="3"/>
  <c r="K60" i="3"/>
  <c r="Q60" i="3"/>
  <c r="W60" i="3"/>
  <c r="K61" i="3"/>
  <c r="Q61" i="3"/>
  <c r="W61" i="3"/>
  <c r="K62" i="3"/>
  <c r="Q62" i="3"/>
  <c r="W62" i="3"/>
  <c r="K63" i="3"/>
  <c r="Q63" i="3"/>
  <c r="W63" i="3"/>
  <c r="K64" i="3"/>
  <c r="Q64" i="3"/>
  <c r="W64" i="3"/>
  <c r="K65" i="3"/>
  <c r="Q65" i="3"/>
  <c r="W65" i="3"/>
  <c r="K66" i="3"/>
  <c r="Q66" i="3"/>
  <c r="W66" i="3"/>
  <c r="K67" i="3"/>
  <c r="Q67" i="3"/>
  <c r="W67" i="3"/>
  <c r="K68" i="3"/>
  <c r="Q68" i="3"/>
  <c r="W68" i="3"/>
  <c r="K69" i="3"/>
  <c r="Q69" i="3"/>
  <c r="W69" i="3"/>
  <c r="K70" i="3"/>
  <c r="Q70" i="3"/>
  <c r="W70" i="3"/>
  <c r="K71" i="3"/>
  <c r="Q71" i="3"/>
  <c r="W71" i="3"/>
  <c r="K72" i="3"/>
  <c r="Q72" i="3"/>
  <c r="W72" i="3"/>
  <c r="K73" i="3"/>
  <c r="Q73" i="3"/>
  <c r="W73" i="3"/>
  <c r="K74" i="3"/>
  <c r="Q74" i="3"/>
  <c r="W74" i="3"/>
  <c r="K75" i="3"/>
  <c r="Q75" i="3"/>
  <c r="W75" i="3"/>
  <c r="K76" i="3"/>
  <c r="Q76" i="3"/>
  <c r="W76" i="3"/>
  <c r="K77" i="3"/>
  <c r="Q77" i="3"/>
  <c r="W77" i="3"/>
  <c r="K78" i="3"/>
  <c r="Q78" i="3"/>
  <c r="W78" i="3"/>
  <c r="K79" i="3"/>
  <c r="Q79" i="3"/>
  <c r="W79" i="3"/>
  <c r="K80" i="3"/>
  <c r="Q80" i="3"/>
  <c r="W80" i="3"/>
  <c r="K81" i="3"/>
  <c r="Q81" i="3"/>
  <c r="W81" i="3"/>
  <c r="K82" i="3"/>
  <c r="Q82" i="3"/>
  <c r="W82" i="3"/>
  <c r="K83" i="3"/>
  <c r="Q83" i="3"/>
  <c r="W83" i="3"/>
  <c r="K84" i="3"/>
  <c r="Q84" i="3"/>
  <c r="W84" i="3"/>
  <c r="K85" i="3"/>
  <c r="Q85" i="3"/>
  <c r="W85" i="3"/>
  <c r="K86" i="3"/>
  <c r="Q86" i="3"/>
  <c r="W86" i="3"/>
  <c r="K87" i="3"/>
  <c r="Q87" i="3"/>
  <c r="W87" i="3"/>
  <c r="K88" i="3"/>
  <c r="Q88" i="3"/>
  <c r="W88" i="3"/>
  <c r="K89" i="3"/>
  <c r="Q89" i="3"/>
  <c r="W89" i="3"/>
  <c r="K90" i="3"/>
  <c r="Q90" i="3"/>
  <c r="W90" i="3"/>
  <c r="K91" i="3"/>
  <c r="Q91" i="3"/>
  <c r="W91" i="3"/>
  <c r="K92" i="3"/>
  <c r="Q92" i="3"/>
  <c r="W92" i="3"/>
  <c r="K93" i="3"/>
  <c r="Q93" i="3"/>
  <c r="W93" i="3"/>
  <c r="K94" i="3"/>
  <c r="Q94" i="3"/>
  <c r="W94" i="3"/>
  <c r="K95" i="3"/>
  <c r="Q95" i="3"/>
  <c r="W95" i="3"/>
  <c r="K96" i="3"/>
  <c r="Q96" i="3"/>
  <c r="W96" i="3"/>
  <c r="K97" i="3"/>
  <c r="Q97" i="3"/>
  <c r="W97" i="3"/>
  <c r="K98" i="3"/>
  <c r="Q98" i="3"/>
  <c r="W98" i="3"/>
  <c r="K99" i="3"/>
  <c r="Q99" i="3"/>
  <c r="W99" i="3"/>
  <c r="K100" i="3"/>
  <c r="Q100" i="3"/>
  <c r="W100" i="3"/>
  <c r="K101" i="3"/>
  <c r="Q101" i="3"/>
  <c r="W101" i="3"/>
  <c r="K102" i="3"/>
  <c r="Q102" i="3"/>
  <c r="W102" i="3"/>
  <c r="K103" i="3"/>
  <c r="Q103" i="3"/>
  <c r="W103" i="3"/>
  <c r="K104" i="3"/>
  <c r="Q104" i="3"/>
  <c r="W104" i="3"/>
  <c r="K105" i="3"/>
  <c r="Q105" i="3"/>
  <c r="W105" i="3"/>
  <c r="K106" i="3"/>
  <c r="Q106" i="3"/>
  <c r="W106" i="3"/>
  <c r="K107" i="3"/>
  <c r="Q107" i="3"/>
  <c r="W107" i="3"/>
  <c r="K108" i="3"/>
  <c r="Q108" i="3"/>
  <c r="W108" i="3"/>
  <c r="K109" i="3"/>
  <c r="Q109" i="3"/>
  <c r="W109" i="3"/>
  <c r="K110" i="3"/>
  <c r="Q110" i="3"/>
  <c r="W110" i="3"/>
  <c r="K111" i="3"/>
  <c r="Q111" i="3"/>
  <c r="W111" i="3"/>
  <c r="K112" i="3"/>
  <c r="Q112" i="3"/>
  <c r="W112" i="3"/>
  <c r="K113" i="3"/>
  <c r="Q113" i="3"/>
  <c r="W113" i="3"/>
  <c r="K114" i="3"/>
  <c r="Q114" i="3"/>
  <c r="W114" i="3"/>
  <c r="K115" i="3"/>
  <c r="Q115" i="3"/>
  <c r="W115" i="3"/>
  <c r="K116" i="3"/>
  <c r="Q116" i="3"/>
  <c r="W116" i="3"/>
  <c r="K117" i="3"/>
  <c r="Q117" i="3"/>
  <c r="W117" i="3"/>
  <c r="K118" i="3"/>
  <c r="Q118" i="3"/>
  <c r="W118" i="3"/>
  <c r="K119" i="3"/>
  <c r="Q119" i="3"/>
  <c r="W119" i="3"/>
  <c r="K120" i="3"/>
  <c r="Q120" i="3"/>
  <c r="W120" i="3"/>
  <c r="K121" i="3"/>
  <c r="Q121" i="3"/>
  <c r="W121" i="3"/>
  <c r="K122" i="3"/>
  <c r="Q122" i="3"/>
  <c r="W122" i="3"/>
  <c r="K123" i="3"/>
  <c r="Q123" i="3"/>
  <c r="W123" i="3"/>
  <c r="K124" i="3"/>
  <c r="Q124" i="3"/>
  <c r="W124" i="3"/>
  <c r="K125" i="3"/>
  <c r="Q125" i="3"/>
  <c r="W125" i="3"/>
  <c r="K126" i="3"/>
  <c r="Q126" i="3"/>
  <c r="W126" i="3"/>
  <c r="K127" i="3"/>
  <c r="Q127" i="3"/>
  <c r="W127" i="3"/>
  <c r="K128" i="3"/>
  <c r="Q128" i="3"/>
  <c r="W128" i="3"/>
  <c r="K129" i="3"/>
  <c r="Q129" i="3"/>
  <c r="W129" i="3"/>
  <c r="K130" i="3"/>
  <c r="Q130" i="3"/>
  <c r="W130" i="3"/>
  <c r="K131" i="3"/>
  <c r="Q131" i="3"/>
  <c r="W131" i="3"/>
  <c r="K132" i="3"/>
  <c r="Q132" i="3"/>
  <c r="W132" i="3"/>
  <c r="K133" i="3"/>
  <c r="Q133" i="3"/>
  <c r="W133" i="3"/>
  <c r="K134" i="3"/>
  <c r="Q134" i="3"/>
  <c r="W134" i="3"/>
  <c r="K135" i="3"/>
  <c r="Q135" i="3"/>
  <c r="W135" i="3"/>
  <c r="K136" i="3"/>
  <c r="Q136" i="3"/>
  <c r="W136" i="3"/>
  <c r="K137" i="3"/>
  <c r="Q137" i="3"/>
  <c r="W137" i="3"/>
  <c r="K138" i="3"/>
  <c r="Q138" i="3"/>
  <c r="W138" i="3"/>
  <c r="K139" i="3"/>
  <c r="Q139" i="3"/>
  <c r="W139" i="3"/>
  <c r="K140" i="3"/>
  <c r="Q140" i="3"/>
  <c r="W140" i="3"/>
  <c r="K141" i="3"/>
  <c r="Q141" i="3"/>
  <c r="W141" i="3"/>
  <c r="K142" i="3"/>
  <c r="Q142" i="3"/>
  <c r="W142" i="3"/>
  <c r="K143" i="3"/>
  <c r="Q143" i="3"/>
  <c r="W143" i="3"/>
  <c r="K144" i="3"/>
  <c r="Q144" i="3"/>
  <c r="W144" i="3"/>
  <c r="K145" i="3"/>
  <c r="Q145" i="3"/>
  <c r="W145" i="3"/>
  <c r="K146" i="3"/>
  <c r="Q146" i="3"/>
  <c r="W146" i="3"/>
  <c r="K147" i="3"/>
  <c r="Q147" i="3"/>
  <c r="W147" i="3"/>
  <c r="K148" i="3"/>
  <c r="Q148" i="3"/>
  <c r="W148" i="3"/>
  <c r="K149" i="3"/>
  <c r="Q149" i="3"/>
  <c r="W149" i="3"/>
  <c r="K150" i="3"/>
  <c r="Q150" i="3"/>
  <c r="W150" i="3"/>
  <c r="K151" i="3"/>
  <c r="Q151" i="3"/>
  <c r="W151" i="3"/>
  <c r="K152" i="3"/>
  <c r="Q152" i="3"/>
  <c r="W152" i="3"/>
  <c r="K153" i="3"/>
  <c r="Q153" i="3"/>
  <c r="W153" i="3"/>
  <c r="K154" i="3"/>
  <c r="Q154" i="3"/>
  <c r="W154" i="3"/>
  <c r="K155" i="3"/>
  <c r="Q155" i="3"/>
  <c r="W155" i="3"/>
  <c r="K156" i="3"/>
  <c r="Q156" i="3"/>
  <c r="W156" i="3"/>
  <c r="K157" i="3"/>
  <c r="Q157" i="3"/>
  <c r="W157" i="3"/>
  <c r="K158" i="3"/>
  <c r="Q158" i="3"/>
  <c r="W158" i="3"/>
  <c r="K159" i="3"/>
  <c r="Q159" i="3"/>
  <c r="W159" i="3"/>
  <c r="K160" i="3"/>
  <c r="Q160" i="3"/>
  <c r="W160" i="3"/>
  <c r="K161" i="3"/>
  <c r="Q161" i="3"/>
  <c r="W161" i="3"/>
  <c r="K162" i="3"/>
  <c r="Q162" i="3"/>
  <c r="W162" i="3"/>
  <c r="K163" i="3"/>
  <c r="Q163" i="3"/>
  <c r="W163" i="3"/>
  <c r="K164" i="3"/>
  <c r="Q164" i="3"/>
  <c r="W164" i="3"/>
  <c r="K165" i="3"/>
  <c r="Q165" i="3"/>
  <c r="W165" i="3"/>
  <c r="K166" i="3"/>
  <c r="Q166" i="3"/>
  <c r="W166" i="3"/>
  <c r="K167" i="3"/>
  <c r="Q167" i="3"/>
  <c r="W167" i="3"/>
  <c r="K168" i="3"/>
  <c r="Q168" i="3"/>
  <c r="W168" i="3"/>
  <c r="K169" i="3"/>
  <c r="Q169" i="3"/>
  <c r="W169" i="3"/>
  <c r="K170" i="3"/>
  <c r="Q170" i="3"/>
  <c r="W170" i="3"/>
  <c r="K171" i="3"/>
  <c r="Q171" i="3"/>
  <c r="W171" i="3"/>
  <c r="K172" i="3"/>
  <c r="Q172" i="3"/>
  <c r="W172" i="3"/>
  <c r="K173" i="3"/>
  <c r="Q173" i="3"/>
  <c r="W173" i="3"/>
  <c r="K174" i="3"/>
  <c r="Q174" i="3"/>
  <c r="W174" i="3"/>
  <c r="K175" i="3"/>
  <c r="Q175" i="3"/>
  <c r="W175" i="3"/>
  <c r="K176" i="3"/>
  <c r="Q176" i="3"/>
  <c r="W176" i="3"/>
  <c r="K177" i="3"/>
  <c r="Q177" i="3"/>
  <c r="W177" i="3"/>
  <c r="K178" i="3"/>
  <c r="Q178" i="3"/>
  <c r="W178" i="3"/>
  <c r="K179" i="3"/>
  <c r="Q179" i="3"/>
  <c r="W179" i="3"/>
  <c r="K180" i="3"/>
  <c r="Q180" i="3"/>
  <c r="W180" i="3"/>
  <c r="K181" i="3"/>
  <c r="Q181" i="3"/>
  <c r="W181" i="3"/>
  <c r="K182" i="3"/>
  <c r="Q182" i="3"/>
  <c r="W182" i="3"/>
  <c r="K183" i="3"/>
  <c r="Q183" i="3"/>
  <c r="W183" i="3"/>
  <c r="K184" i="3"/>
  <c r="Q184" i="3"/>
  <c r="W184" i="3"/>
  <c r="K185" i="3"/>
  <c r="Q185" i="3"/>
  <c r="W185" i="3"/>
  <c r="K186" i="3"/>
  <c r="Q186" i="3"/>
  <c r="W186" i="3"/>
  <c r="K187" i="3"/>
  <c r="Q187" i="3"/>
  <c r="W187" i="3"/>
  <c r="K188" i="3"/>
  <c r="Q188" i="3"/>
  <c r="W188" i="3"/>
  <c r="K189" i="3"/>
  <c r="Q189" i="3"/>
  <c r="W189" i="3"/>
  <c r="K190" i="3"/>
  <c r="Q190" i="3"/>
  <c r="W190" i="3"/>
  <c r="K191" i="3"/>
  <c r="Q191" i="3"/>
  <c r="W191" i="3"/>
  <c r="K192" i="3"/>
  <c r="Q192" i="3"/>
  <c r="W192" i="3"/>
  <c r="K193" i="3"/>
  <c r="Q193" i="3"/>
  <c r="W193" i="3"/>
  <c r="K194" i="3"/>
  <c r="Q194" i="3"/>
  <c r="W194" i="3"/>
  <c r="K195" i="3"/>
  <c r="Q195" i="3"/>
  <c r="W195" i="3"/>
  <c r="K196" i="3"/>
  <c r="Q196" i="3"/>
  <c r="W196" i="3"/>
  <c r="K197" i="3"/>
  <c r="Q197" i="3"/>
  <c r="W197" i="3"/>
  <c r="K198" i="3"/>
  <c r="Q198" i="3"/>
  <c r="W198" i="3"/>
  <c r="K199" i="3"/>
  <c r="Q199" i="3"/>
  <c r="W199" i="3"/>
  <c r="K200" i="3"/>
  <c r="Q200" i="3"/>
  <c r="W200" i="3"/>
  <c r="K201" i="3"/>
  <c r="Q201" i="3"/>
  <c r="W201" i="3"/>
  <c r="K202" i="3"/>
  <c r="Q202" i="3"/>
  <c r="W202" i="3"/>
  <c r="K203" i="3"/>
  <c r="Q203" i="3"/>
  <c r="W203" i="3"/>
  <c r="K204" i="3"/>
  <c r="Q204" i="3"/>
  <c r="W204" i="3"/>
  <c r="K205" i="3"/>
  <c r="Q205" i="3"/>
  <c r="W205" i="3"/>
  <c r="K206" i="3"/>
  <c r="Q206" i="3"/>
  <c r="W206" i="3"/>
  <c r="K207" i="3"/>
  <c r="Q207" i="3"/>
  <c r="W207" i="3"/>
  <c r="K208" i="3"/>
  <c r="Q208" i="3"/>
  <c r="W208" i="3"/>
  <c r="K209" i="3"/>
  <c r="Q209" i="3"/>
  <c r="W209" i="3"/>
  <c r="K210" i="3"/>
  <c r="Q210" i="3"/>
  <c r="W210" i="3"/>
  <c r="K211" i="3"/>
  <c r="Q211" i="3"/>
  <c r="W211" i="3"/>
  <c r="K212" i="3"/>
  <c r="Q212" i="3"/>
  <c r="W212" i="3"/>
  <c r="K213" i="3"/>
  <c r="Q213" i="3"/>
  <c r="W213" i="3"/>
  <c r="K214" i="3"/>
  <c r="Q214" i="3"/>
  <c r="W214" i="3"/>
  <c r="K215" i="3"/>
  <c r="Q215" i="3"/>
  <c r="W215" i="3"/>
  <c r="K216" i="3"/>
  <c r="Q216" i="3"/>
  <c r="W216" i="3"/>
  <c r="K217" i="3"/>
  <c r="Q217" i="3"/>
  <c r="W217" i="3"/>
  <c r="K218" i="3"/>
  <c r="Q218" i="3"/>
  <c r="W218" i="3"/>
  <c r="K219" i="3"/>
  <c r="Q219" i="3"/>
  <c r="W219" i="3"/>
  <c r="K220" i="3"/>
  <c r="Q220" i="3"/>
  <c r="W220" i="3"/>
  <c r="K221" i="3"/>
  <c r="Q221" i="3"/>
  <c r="W221" i="3"/>
  <c r="K222" i="3"/>
  <c r="Q222" i="3"/>
  <c r="W222" i="3"/>
  <c r="K223" i="3"/>
  <c r="Q223" i="3"/>
  <c r="W223" i="3"/>
  <c r="K224" i="3"/>
  <c r="Q224" i="3"/>
  <c r="W224" i="3"/>
  <c r="K225" i="3"/>
  <c r="Q225" i="3"/>
  <c r="W225" i="3"/>
  <c r="K226" i="3"/>
  <c r="Q226" i="3"/>
  <c r="W226" i="3"/>
  <c r="K227" i="3"/>
  <c r="Q227" i="3"/>
  <c r="W227" i="3"/>
  <c r="K228" i="3"/>
  <c r="Q228" i="3"/>
  <c r="W228" i="3"/>
  <c r="K229" i="3"/>
  <c r="Q229" i="3"/>
  <c r="W229" i="3"/>
  <c r="K230" i="3"/>
  <c r="Q230" i="3"/>
  <c r="W230" i="3"/>
  <c r="K231" i="3"/>
  <c r="Q231" i="3"/>
  <c r="W231" i="3"/>
  <c r="K232" i="3"/>
  <c r="Q232" i="3"/>
  <c r="W232" i="3"/>
  <c r="K233" i="3"/>
  <c r="Q233" i="3"/>
  <c r="W233" i="3"/>
  <c r="K234" i="3"/>
  <c r="Q234" i="3"/>
  <c r="W234" i="3"/>
  <c r="K235" i="3"/>
  <c r="Q235" i="3"/>
  <c r="W235" i="3"/>
  <c r="K236" i="3"/>
  <c r="Q236" i="3"/>
  <c r="W236" i="3"/>
  <c r="K237" i="3"/>
  <c r="Q237" i="3"/>
  <c r="W237" i="3"/>
  <c r="K238" i="3"/>
  <c r="Q238" i="3"/>
  <c r="W238" i="3"/>
  <c r="K239" i="3"/>
  <c r="Q239" i="3"/>
  <c r="W239" i="3"/>
  <c r="K240" i="3"/>
  <c r="Q240" i="3"/>
  <c r="W240" i="3"/>
  <c r="K241" i="3"/>
  <c r="Q241" i="3"/>
  <c r="W241" i="3"/>
  <c r="K242" i="3"/>
  <c r="Q242" i="3"/>
  <c r="W242" i="3"/>
  <c r="K243" i="3"/>
  <c r="Q243" i="3"/>
  <c r="W243" i="3"/>
  <c r="K244" i="3"/>
  <c r="Q244" i="3"/>
  <c r="W244" i="3"/>
  <c r="K245" i="3"/>
  <c r="Q245" i="3"/>
  <c r="W245" i="3"/>
  <c r="K246" i="3"/>
  <c r="Q246" i="3"/>
  <c r="W246" i="3"/>
  <c r="K247" i="3"/>
  <c r="Q247" i="3"/>
  <c r="W247" i="3"/>
  <c r="K248" i="3"/>
  <c r="Q248" i="3"/>
  <c r="W248" i="3"/>
  <c r="K249" i="3"/>
  <c r="Q249" i="3"/>
  <c r="W249" i="3"/>
  <c r="K250" i="3"/>
  <c r="Q250" i="3"/>
  <c r="W250" i="3"/>
  <c r="K251" i="3"/>
  <c r="Q251" i="3"/>
  <c r="W251" i="3"/>
  <c r="K252" i="3"/>
  <c r="Q252" i="3"/>
  <c r="W252" i="3"/>
  <c r="K253" i="3"/>
  <c r="Q253" i="3"/>
  <c r="W253" i="3"/>
  <c r="K254" i="3"/>
  <c r="Q254" i="3"/>
  <c r="W254" i="3"/>
  <c r="K255" i="3"/>
  <c r="Q255" i="3"/>
  <c r="W255" i="3"/>
  <c r="K256" i="3"/>
  <c r="Q256" i="3"/>
  <c r="W256" i="3"/>
  <c r="K257" i="3"/>
  <c r="Q257" i="3"/>
  <c r="W257" i="3"/>
  <c r="K258" i="3"/>
  <c r="Q258" i="3"/>
  <c r="W258" i="3"/>
  <c r="K259" i="3"/>
  <c r="Q259" i="3"/>
  <c r="W259" i="3"/>
  <c r="K260" i="3"/>
  <c r="Q260" i="3"/>
  <c r="W260" i="3"/>
  <c r="K261" i="3"/>
  <c r="Q261" i="3"/>
  <c r="W261" i="3"/>
  <c r="K262" i="3"/>
  <c r="Q262" i="3"/>
  <c r="W262" i="3"/>
  <c r="K263" i="3"/>
  <c r="Q263" i="3"/>
  <c r="W263" i="3"/>
  <c r="K264" i="3"/>
  <c r="Q264" i="3"/>
  <c r="W264" i="3"/>
  <c r="K265" i="3"/>
  <c r="Q265" i="3"/>
  <c r="W265" i="3"/>
  <c r="K266" i="3"/>
  <c r="Q266" i="3"/>
  <c r="W266" i="3"/>
  <c r="K267" i="3"/>
  <c r="Q267" i="3"/>
  <c r="W267" i="3"/>
  <c r="K268" i="3"/>
  <c r="Q268" i="3"/>
  <c r="W268" i="3"/>
  <c r="K269" i="3"/>
  <c r="Q269" i="3"/>
  <c r="W269" i="3"/>
  <c r="K270" i="3"/>
  <c r="Q270" i="3"/>
  <c r="W270" i="3"/>
  <c r="K271" i="3"/>
  <c r="Q271" i="3"/>
  <c r="W271" i="3"/>
  <c r="K272" i="3"/>
  <c r="Q272" i="3"/>
  <c r="W272" i="3"/>
  <c r="K273" i="3"/>
  <c r="Q273" i="3"/>
  <c r="W273" i="3"/>
  <c r="K274" i="3"/>
  <c r="Q274" i="3"/>
  <c r="W274" i="3"/>
  <c r="K275" i="3"/>
  <c r="Q275" i="3"/>
  <c r="W275" i="3"/>
  <c r="K276" i="3"/>
  <c r="Q276" i="3"/>
  <c r="W276" i="3"/>
  <c r="K277" i="3"/>
  <c r="Q277" i="3"/>
  <c r="W277" i="3"/>
  <c r="K278" i="3"/>
  <c r="Q278" i="3"/>
  <c r="W278" i="3"/>
  <c r="K279" i="3"/>
  <c r="Q279" i="3"/>
  <c r="W279" i="3"/>
  <c r="K280" i="3"/>
  <c r="Q280" i="3"/>
  <c r="W280" i="3"/>
  <c r="K281" i="3"/>
  <c r="Q281" i="3"/>
  <c r="W281" i="3"/>
  <c r="K282" i="3"/>
  <c r="Q282" i="3"/>
  <c r="W282" i="3"/>
  <c r="K283" i="3"/>
  <c r="Q283" i="3"/>
  <c r="W283" i="3"/>
  <c r="K284" i="3"/>
  <c r="Q284" i="3"/>
  <c r="W284" i="3"/>
  <c r="K285" i="3"/>
  <c r="Q285" i="3"/>
  <c r="W285" i="3"/>
  <c r="K286" i="3"/>
  <c r="Q286" i="3"/>
  <c r="W286" i="3"/>
  <c r="K287" i="3"/>
  <c r="Q287" i="3"/>
  <c r="W287" i="3"/>
  <c r="K288" i="3"/>
  <c r="Q288" i="3"/>
  <c r="W288" i="3"/>
  <c r="K289" i="3"/>
  <c r="Q289" i="3"/>
  <c r="W289" i="3"/>
  <c r="K290" i="3"/>
  <c r="Q290" i="3"/>
  <c r="W290" i="3"/>
  <c r="K291" i="3"/>
  <c r="Q291" i="3"/>
  <c r="W291" i="3"/>
  <c r="K292" i="3"/>
  <c r="Q292" i="3"/>
  <c r="W292" i="3"/>
  <c r="K293" i="3"/>
  <c r="Q293" i="3"/>
  <c r="W293" i="3"/>
  <c r="K294" i="3"/>
  <c r="Q294" i="3"/>
  <c r="W294" i="3"/>
  <c r="K295" i="3"/>
  <c r="Q295" i="3"/>
  <c r="W295" i="3"/>
  <c r="K296" i="3"/>
  <c r="Q296" i="3"/>
  <c r="W296" i="3"/>
  <c r="K297" i="3"/>
  <c r="Q297" i="3"/>
  <c r="W297" i="3"/>
  <c r="K298" i="3"/>
  <c r="Q298" i="3"/>
  <c r="W298" i="3"/>
  <c r="K299" i="3"/>
  <c r="Q299" i="3"/>
  <c r="W299" i="3"/>
  <c r="K300" i="3"/>
  <c r="Q300" i="3"/>
  <c r="W300" i="3"/>
  <c r="K301" i="3"/>
  <c r="Q301" i="3"/>
  <c r="W301" i="3"/>
  <c r="K302" i="3"/>
  <c r="Q302" i="3"/>
  <c r="W302" i="3"/>
  <c r="K303" i="3"/>
  <c r="Q303" i="3"/>
  <c r="W303" i="3"/>
  <c r="K304" i="3"/>
  <c r="Q304" i="3"/>
  <c r="W304" i="3"/>
  <c r="K305" i="3"/>
  <c r="Q305" i="3"/>
  <c r="W305" i="3"/>
  <c r="K306" i="3"/>
  <c r="Q306" i="3"/>
  <c r="W306" i="3"/>
  <c r="K307" i="3"/>
  <c r="Q307" i="3"/>
  <c r="W307" i="3"/>
  <c r="K308" i="3"/>
  <c r="Q308" i="3"/>
  <c r="W308" i="3"/>
  <c r="K309" i="3"/>
  <c r="Q309" i="3"/>
  <c r="W309" i="3"/>
  <c r="K310" i="3"/>
  <c r="Q310" i="3"/>
  <c r="W310" i="3"/>
  <c r="K311" i="3"/>
  <c r="Q311" i="3"/>
  <c r="W311" i="3"/>
  <c r="K312" i="3"/>
  <c r="Q312" i="3"/>
  <c r="W312" i="3"/>
  <c r="K313" i="3"/>
  <c r="Q313" i="3"/>
  <c r="W313" i="3"/>
  <c r="K314" i="3"/>
  <c r="Q314" i="3"/>
  <c r="W314" i="3"/>
  <c r="K315" i="3"/>
  <c r="Q315" i="3"/>
  <c r="W315" i="3"/>
  <c r="K316" i="3"/>
  <c r="Q316" i="3"/>
  <c r="W316" i="3"/>
  <c r="K317" i="3"/>
  <c r="Q317" i="3"/>
  <c r="W317" i="3"/>
  <c r="K318" i="3"/>
  <c r="Q318" i="3"/>
  <c r="W318" i="3"/>
  <c r="K319" i="3"/>
  <c r="Q319" i="3"/>
  <c r="W319" i="3"/>
  <c r="K320" i="3"/>
  <c r="Q320" i="3"/>
  <c r="W320" i="3"/>
  <c r="K321" i="3"/>
  <c r="Q321" i="3"/>
  <c r="W321" i="3"/>
  <c r="K322" i="3"/>
  <c r="Q322" i="3"/>
  <c r="W322" i="3"/>
  <c r="K323" i="3"/>
  <c r="Q323" i="3"/>
  <c r="W323" i="3"/>
  <c r="K324" i="3"/>
  <c r="Q324" i="3"/>
  <c r="W324" i="3"/>
  <c r="K325" i="3"/>
  <c r="Q325" i="3"/>
  <c r="W325" i="3"/>
  <c r="K326" i="3"/>
  <c r="Q326" i="3"/>
  <c r="W326" i="3"/>
  <c r="K327" i="3"/>
  <c r="Q327" i="3"/>
  <c r="W327" i="3"/>
  <c r="K328" i="3"/>
  <c r="Q328" i="3"/>
  <c r="W328" i="3"/>
  <c r="K329" i="3"/>
  <c r="Q329" i="3"/>
  <c r="W329" i="3"/>
  <c r="K330" i="3"/>
  <c r="Q330" i="3"/>
  <c r="W330" i="3"/>
  <c r="K331" i="3"/>
  <c r="Q331" i="3"/>
  <c r="W331" i="3"/>
  <c r="K332" i="3"/>
  <c r="Q332" i="3"/>
  <c r="W332" i="3"/>
  <c r="K333" i="3"/>
  <c r="Q333" i="3"/>
  <c r="W333" i="3"/>
  <c r="K334" i="3"/>
  <c r="Q334" i="3"/>
  <c r="W334" i="3"/>
  <c r="K335" i="3"/>
  <c r="Q335" i="3"/>
  <c r="W335" i="3"/>
  <c r="K336" i="3"/>
  <c r="Q336" i="3"/>
  <c r="W336" i="3"/>
  <c r="K337" i="3"/>
  <c r="Q337" i="3"/>
  <c r="W337" i="3"/>
  <c r="K338" i="3"/>
  <c r="Q338" i="3"/>
  <c r="W338" i="3"/>
  <c r="K339" i="3"/>
  <c r="Q339" i="3"/>
  <c r="W339" i="3"/>
  <c r="K340" i="3"/>
  <c r="Q340" i="3"/>
  <c r="W340" i="3"/>
  <c r="K341" i="3"/>
  <c r="Q341" i="3"/>
  <c r="W341" i="3"/>
  <c r="K342" i="3"/>
  <c r="Q342" i="3"/>
  <c r="W342" i="3"/>
  <c r="K343" i="3"/>
  <c r="Q343" i="3"/>
  <c r="W343" i="3"/>
  <c r="K344" i="3"/>
  <c r="Q344" i="3"/>
  <c r="W344" i="3"/>
  <c r="K345" i="3"/>
  <c r="Q345" i="3"/>
  <c r="W345" i="3"/>
  <c r="K346" i="3"/>
  <c r="Q346" i="3"/>
  <c r="W346" i="3"/>
  <c r="K347" i="3"/>
  <c r="Q347" i="3"/>
  <c r="W347" i="3"/>
  <c r="K348" i="3"/>
  <c r="Q348" i="3"/>
  <c r="W348" i="3"/>
  <c r="K349" i="3"/>
  <c r="Q349" i="3"/>
  <c r="W349" i="3"/>
  <c r="K350" i="3"/>
  <c r="Q350" i="3"/>
  <c r="W350" i="3"/>
  <c r="K351" i="3"/>
  <c r="Q351" i="3"/>
  <c r="W351" i="3"/>
  <c r="K352" i="3"/>
  <c r="Q352" i="3"/>
  <c r="W352" i="3"/>
  <c r="K353" i="3"/>
  <c r="Q353" i="3"/>
  <c r="W353" i="3"/>
  <c r="K354" i="3"/>
  <c r="Q354" i="3"/>
  <c r="W354" i="3"/>
  <c r="K355" i="3"/>
  <c r="Q355" i="3"/>
  <c r="W355" i="3"/>
  <c r="K356" i="3"/>
  <c r="Q356" i="3"/>
  <c r="W356" i="3"/>
  <c r="K357" i="3"/>
  <c r="Q357" i="3"/>
  <c r="W357" i="3"/>
  <c r="K358" i="3"/>
  <c r="Q358" i="3"/>
  <c r="W358" i="3"/>
  <c r="K359" i="3"/>
  <c r="Q359" i="3"/>
  <c r="W359" i="3"/>
  <c r="K360" i="3"/>
  <c r="Q360" i="3"/>
  <c r="W360" i="3"/>
  <c r="K361" i="3"/>
  <c r="Q361" i="3"/>
  <c r="W361" i="3"/>
  <c r="K362" i="3"/>
  <c r="Q362" i="3"/>
  <c r="W362" i="3"/>
  <c r="K363" i="3"/>
  <c r="Q363" i="3"/>
  <c r="W363" i="3"/>
  <c r="K364" i="3"/>
  <c r="Q364" i="3"/>
  <c r="W364" i="3"/>
  <c r="K365" i="3"/>
  <c r="Q365" i="3"/>
  <c r="W365" i="3"/>
  <c r="K366" i="3"/>
  <c r="Q366" i="3"/>
  <c r="W366" i="3"/>
  <c r="K367" i="3"/>
  <c r="Q367" i="3"/>
  <c r="W367" i="3"/>
  <c r="K368" i="3"/>
  <c r="Q368" i="3"/>
  <c r="W368" i="3"/>
  <c r="K369" i="3"/>
  <c r="Q369" i="3"/>
  <c r="W369" i="3"/>
  <c r="K370" i="3"/>
  <c r="Q370" i="3"/>
  <c r="W370" i="3"/>
  <c r="K371" i="3"/>
  <c r="Q371" i="3"/>
  <c r="W371" i="3"/>
  <c r="K372" i="3"/>
  <c r="Q372" i="3"/>
  <c r="W372" i="3"/>
  <c r="K373" i="3"/>
  <c r="Q373" i="3"/>
  <c r="W373" i="3"/>
  <c r="K374" i="3"/>
  <c r="Q374" i="3"/>
  <c r="W374" i="3"/>
  <c r="K375" i="3"/>
  <c r="Q375" i="3"/>
  <c r="W375" i="3"/>
  <c r="K376" i="3"/>
  <c r="Q376" i="3"/>
  <c r="W376" i="3"/>
  <c r="K377" i="3"/>
  <c r="Q377" i="3"/>
  <c r="W377" i="3"/>
  <c r="K378" i="3"/>
  <c r="Q378" i="3"/>
  <c r="W378" i="3"/>
  <c r="K379" i="3"/>
  <c r="Q379" i="3"/>
  <c r="W379" i="3"/>
  <c r="K380" i="3"/>
  <c r="Q380" i="3"/>
  <c r="W380" i="3"/>
  <c r="K381" i="3"/>
  <c r="Q381" i="3"/>
  <c r="W381" i="3"/>
  <c r="K382" i="3"/>
  <c r="Q382" i="3"/>
  <c r="W382" i="3"/>
  <c r="K383" i="3"/>
  <c r="Q383" i="3"/>
  <c r="W383" i="3"/>
  <c r="K384" i="3"/>
  <c r="Q384" i="3"/>
  <c r="W384" i="3"/>
  <c r="K385" i="3"/>
  <c r="Q385" i="3"/>
  <c r="W385" i="3"/>
  <c r="K386" i="3"/>
  <c r="Q386" i="3"/>
  <c r="W386" i="3"/>
  <c r="K387" i="3"/>
  <c r="Q387" i="3"/>
  <c r="W387" i="3"/>
  <c r="K388" i="3"/>
  <c r="Q388" i="3"/>
  <c r="W388" i="3"/>
  <c r="K389" i="3"/>
  <c r="Q389" i="3"/>
  <c r="W389" i="3"/>
  <c r="K390" i="3"/>
  <c r="Q390" i="3"/>
  <c r="W390" i="3"/>
  <c r="K391" i="3"/>
  <c r="Q391" i="3"/>
  <c r="W391" i="3"/>
  <c r="K392" i="3"/>
  <c r="Q392" i="3"/>
  <c r="W392" i="3"/>
  <c r="K393" i="3"/>
  <c r="Q393" i="3"/>
  <c r="W393" i="3"/>
  <c r="K394" i="3"/>
  <c r="Q394" i="3"/>
  <c r="W394" i="3"/>
  <c r="K395" i="3"/>
  <c r="Q395" i="3"/>
  <c r="W395" i="3"/>
  <c r="K396" i="3"/>
  <c r="Q396" i="3"/>
  <c r="W396" i="3"/>
  <c r="K397" i="3"/>
  <c r="Q397" i="3"/>
  <c r="W397" i="3"/>
  <c r="K398" i="3"/>
  <c r="Q398" i="3"/>
  <c r="W398" i="3"/>
  <c r="K399" i="3"/>
  <c r="Q399" i="3"/>
  <c r="W399" i="3"/>
  <c r="K400" i="3"/>
  <c r="Q400" i="3"/>
  <c r="W400" i="3"/>
  <c r="K401" i="3"/>
  <c r="Q401" i="3"/>
  <c r="W401" i="3"/>
  <c r="K402" i="3"/>
  <c r="Q402" i="3"/>
  <c r="W402" i="3"/>
  <c r="K403" i="3"/>
  <c r="Q403" i="3"/>
  <c r="W403" i="3"/>
  <c r="K404" i="3"/>
  <c r="Q404" i="3"/>
  <c r="W404" i="3"/>
  <c r="K405" i="3"/>
  <c r="Q405" i="3"/>
  <c r="W405" i="3"/>
  <c r="K406" i="3"/>
  <c r="Q406" i="3"/>
  <c r="W406" i="3"/>
  <c r="K407" i="3"/>
  <c r="Q407" i="3"/>
  <c r="W407" i="3"/>
  <c r="K408" i="3"/>
  <c r="Q408" i="3"/>
  <c r="W408" i="3"/>
  <c r="K409" i="3"/>
  <c r="Q409" i="3"/>
  <c r="W409" i="3"/>
  <c r="K410" i="3"/>
  <c r="Q410" i="3"/>
  <c r="W410" i="3"/>
  <c r="K411" i="3"/>
  <c r="Q411" i="3"/>
  <c r="W411" i="3"/>
  <c r="K412" i="3"/>
  <c r="Q412" i="3"/>
  <c r="W412" i="3"/>
  <c r="K413" i="3"/>
  <c r="Q413" i="3"/>
  <c r="W413" i="3"/>
  <c r="K414" i="3"/>
  <c r="Q414" i="3"/>
  <c r="W414" i="3"/>
  <c r="K415" i="3"/>
  <c r="Q415" i="3"/>
  <c r="W415" i="3"/>
  <c r="K416" i="3"/>
  <c r="Q416" i="3"/>
  <c r="W416" i="3"/>
  <c r="K417" i="3"/>
  <c r="Q417" i="3"/>
  <c r="W417" i="3"/>
  <c r="K418" i="3"/>
  <c r="Q418" i="3"/>
  <c r="W418" i="3"/>
  <c r="K419" i="3"/>
  <c r="Q419" i="3"/>
  <c r="W419" i="3"/>
  <c r="K420" i="3"/>
  <c r="Q420" i="3"/>
  <c r="W420" i="3"/>
  <c r="K421" i="3"/>
  <c r="Q421" i="3"/>
  <c r="W421" i="3"/>
  <c r="K422" i="3"/>
  <c r="Q422" i="3"/>
  <c r="W422" i="3"/>
  <c r="K423" i="3"/>
  <c r="Q423" i="3"/>
  <c r="W423" i="3"/>
  <c r="K424" i="3"/>
  <c r="Q424" i="3"/>
  <c r="W424" i="3"/>
  <c r="K425" i="3"/>
  <c r="Q425" i="3"/>
  <c r="W425" i="3"/>
  <c r="K426" i="3"/>
  <c r="Q426" i="3"/>
  <c r="W426" i="3"/>
  <c r="K427" i="3"/>
  <c r="Q427" i="3"/>
  <c r="W427" i="3"/>
  <c r="K428" i="3"/>
  <c r="Q428" i="3"/>
  <c r="W428" i="3"/>
  <c r="K429" i="3"/>
  <c r="Q429" i="3"/>
  <c r="W429" i="3"/>
  <c r="K430" i="3"/>
  <c r="Q430" i="3"/>
  <c r="W430" i="3"/>
  <c r="K431" i="3"/>
  <c r="Q431" i="3"/>
  <c r="W431" i="3"/>
  <c r="K432" i="3"/>
  <c r="Q432" i="3"/>
  <c r="W432" i="3"/>
  <c r="K433" i="3"/>
  <c r="Q433" i="3"/>
  <c r="W433" i="3"/>
  <c r="K434" i="3"/>
  <c r="Q434" i="3"/>
  <c r="W434" i="3"/>
  <c r="K435" i="3"/>
  <c r="Q435" i="3"/>
  <c r="W435" i="3"/>
  <c r="K436" i="3"/>
  <c r="Q436" i="3"/>
  <c r="W436" i="3"/>
  <c r="K437" i="3"/>
  <c r="Q437" i="3"/>
  <c r="W437" i="3"/>
  <c r="K438" i="3"/>
  <c r="Q438" i="3"/>
  <c r="W438" i="3"/>
  <c r="K439" i="3"/>
  <c r="Q439" i="3"/>
  <c r="W439" i="3"/>
  <c r="K440" i="3"/>
  <c r="Q440" i="3"/>
  <c r="W440" i="3"/>
  <c r="K441" i="3"/>
  <c r="Q441" i="3"/>
  <c r="W441" i="3"/>
  <c r="K442" i="3"/>
  <c r="Q442" i="3"/>
  <c r="W442" i="3"/>
  <c r="K443" i="3"/>
  <c r="Q443" i="3"/>
  <c r="W443" i="3"/>
  <c r="K444" i="3"/>
  <c r="Q444" i="3"/>
  <c r="W444" i="3"/>
  <c r="K445" i="3"/>
  <c r="Q445" i="3"/>
  <c r="W445" i="3"/>
  <c r="K446" i="3"/>
  <c r="Q446" i="3"/>
  <c r="W446" i="3"/>
  <c r="K447" i="3"/>
  <c r="Q447" i="3"/>
  <c r="W447" i="3"/>
  <c r="K448" i="3"/>
  <c r="Q448" i="3"/>
  <c r="W448" i="3"/>
  <c r="K449" i="3"/>
  <c r="Q449" i="3"/>
  <c r="W449" i="3"/>
  <c r="K450" i="3"/>
  <c r="Q450" i="3"/>
  <c r="W450" i="3"/>
  <c r="K451" i="3"/>
  <c r="Q451" i="3"/>
  <c r="W451" i="3"/>
  <c r="K452" i="3"/>
  <c r="Q452" i="3"/>
  <c r="W452" i="3"/>
  <c r="K453" i="3"/>
  <c r="Q453" i="3"/>
  <c r="W453" i="3"/>
  <c r="K454" i="3"/>
  <c r="Q454" i="3"/>
  <c r="W454" i="3"/>
  <c r="K455" i="3"/>
  <c r="Q455" i="3"/>
  <c r="W455" i="3"/>
  <c r="K456" i="3"/>
  <c r="Q456" i="3"/>
  <c r="W456" i="3"/>
  <c r="K457" i="3"/>
  <c r="Q457" i="3"/>
  <c r="W457" i="3"/>
  <c r="K458" i="3"/>
  <c r="Q458" i="3"/>
  <c r="W458" i="3"/>
  <c r="K459" i="3"/>
  <c r="Q459" i="3"/>
  <c r="W459" i="3"/>
  <c r="K460" i="3"/>
  <c r="Q460" i="3"/>
  <c r="W460" i="3"/>
  <c r="K461" i="3"/>
  <c r="Q461" i="3"/>
  <c r="W461" i="3"/>
  <c r="K462" i="3"/>
  <c r="Q462" i="3"/>
  <c r="W462" i="3"/>
  <c r="K463" i="3"/>
  <c r="Q463" i="3"/>
  <c r="W463" i="3"/>
  <c r="K464" i="3"/>
  <c r="Q464" i="3"/>
  <c r="W464" i="3"/>
  <c r="K465" i="3"/>
  <c r="Q465" i="3"/>
  <c r="W465" i="3"/>
  <c r="K466" i="3"/>
  <c r="Q466" i="3"/>
  <c r="W466" i="3"/>
  <c r="K467" i="3"/>
  <c r="Q467" i="3"/>
  <c r="W467" i="3"/>
  <c r="K468" i="3"/>
  <c r="Q468" i="3"/>
  <c r="W468" i="3"/>
  <c r="K469" i="3"/>
  <c r="Q469" i="3"/>
  <c r="W469" i="3"/>
  <c r="K470" i="3"/>
  <c r="Q470" i="3"/>
  <c r="W470" i="3"/>
  <c r="K471" i="3"/>
  <c r="Q471" i="3"/>
  <c r="W471" i="3"/>
  <c r="K472" i="3"/>
  <c r="Q472" i="3"/>
  <c r="W472" i="3"/>
  <c r="K473" i="3"/>
  <c r="Q473" i="3"/>
  <c r="W473" i="3"/>
  <c r="K474" i="3"/>
  <c r="Q474" i="3"/>
  <c r="W474" i="3"/>
  <c r="K475" i="3"/>
  <c r="Q475" i="3"/>
  <c r="W475" i="3"/>
  <c r="K476" i="3"/>
  <c r="Q476" i="3"/>
  <c r="W476" i="3"/>
  <c r="K477" i="3"/>
  <c r="Q477" i="3"/>
  <c r="W477" i="3"/>
  <c r="K478" i="3"/>
  <c r="Q478" i="3"/>
  <c r="W478" i="3"/>
  <c r="K479" i="3"/>
  <c r="Q479" i="3"/>
  <c r="W479" i="3"/>
  <c r="K480" i="3"/>
  <c r="Q480" i="3"/>
  <c r="W480" i="3"/>
  <c r="K481" i="3"/>
  <c r="Q481" i="3"/>
  <c r="W481" i="3"/>
  <c r="K482" i="3"/>
  <c r="Q482" i="3"/>
  <c r="W482" i="3"/>
  <c r="K483" i="3"/>
  <c r="Q483" i="3"/>
  <c r="W483" i="3"/>
  <c r="K484" i="3"/>
  <c r="Q484" i="3"/>
  <c r="W484" i="3"/>
  <c r="K485" i="3"/>
  <c r="Q485" i="3"/>
  <c r="W485" i="3"/>
  <c r="K486" i="3"/>
  <c r="Q486" i="3"/>
  <c r="W486" i="3"/>
  <c r="K487" i="3"/>
  <c r="Q487" i="3"/>
  <c r="W487" i="3"/>
  <c r="K488" i="3"/>
  <c r="Q488" i="3"/>
  <c r="W488" i="3"/>
  <c r="K489" i="3"/>
  <c r="Q489" i="3"/>
  <c r="W489" i="3"/>
  <c r="K490" i="3"/>
  <c r="Q490" i="3"/>
  <c r="W490" i="3"/>
  <c r="C1" i="2"/>
  <c r="D1" i="2"/>
  <c r="E1" i="2" s="1"/>
  <c r="F1" i="2" s="1"/>
  <c r="G1" i="2" s="1"/>
  <c r="H1" i="2" s="1"/>
  <c r="I1" i="2" s="1"/>
  <c r="J1" i="2"/>
  <c r="K1" i="2" s="1"/>
  <c r="L1" i="2"/>
  <c r="M1" i="2" s="1"/>
  <c r="N1" i="2" s="1"/>
  <c r="O1" i="2" s="1"/>
  <c r="P1" i="2" s="1"/>
  <c r="Q1" i="2" s="1"/>
  <c r="R1" i="2" s="1"/>
  <c r="S1" i="2" s="1"/>
  <c r="T1" i="2" s="1"/>
  <c r="U1" i="2" s="1"/>
  <c r="V1" i="2" s="1"/>
  <c r="W1" i="2" s="1"/>
  <c r="Y1" i="2"/>
  <c r="Z1" i="2" s="1"/>
  <c r="AA1" i="2" s="1"/>
  <c r="AB1" i="2" s="1"/>
  <c r="A4" i="2"/>
  <c r="I6" i="2"/>
  <c r="M9" i="2"/>
  <c r="M10" i="2"/>
  <c r="G14" i="2"/>
  <c r="T13" i="3" s="1"/>
  <c r="H14" i="2"/>
  <c r="E14" i="2" s="1"/>
  <c r="H13" i="3" s="1"/>
  <c r="I14" i="2"/>
  <c r="F14" i="2" s="1"/>
  <c r="J14" i="2"/>
  <c r="U14" i="2"/>
  <c r="G13" i="3" s="1"/>
  <c r="V14" i="2"/>
  <c r="T14" i="2" s="1"/>
  <c r="W14" i="2"/>
  <c r="B15" i="2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00" i="2" s="1"/>
  <c r="B101" i="2" s="1"/>
  <c r="B102" i="2" s="1"/>
  <c r="B103" i="2" s="1"/>
  <c r="B104" i="2" s="1"/>
  <c r="B105" i="2" s="1"/>
  <c r="B106" i="2" s="1"/>
  <c r="C15" i="2"/>
  <c r="C16" i="2" s="1"/>
  <c r="D15" i="2"/>
  <c r="H15" i="2"/>
  <c r="E15" i="2" s="1"/>
  <c r="K15" i="2"/>
  <c r="L15" i="2"/>
  <c r="L16" i="2" s="1"/>
  <c r="M15" i="2"/>
  <c r="J15" i="2" s="1"/>
  <c r="G15" i="2" s="1"/>
  <c r="N15" i="2"/>
  <c r="N16" i="2" s="1"/>
  <c r="O15" i="2"/>
  <c r="O16" i="2" s="1"/>
  <c r="P15" i="2"/>
  <c r="T15" i="2"/>
  <c r="U15" i="2"/>
  <c r="V15" i="2"/>
  <c r="W15" i="2"/>
  <c r="D16" i="2"/>
  <c r="K16" i="2"/>
  <c r="M16" i="2"/>
  <c r="P16" i="2"/>
  <c r="W16" i="2" s="1"/>
  <c r="D17" i="2"/>
  <c r="P17" i="2"/>
  <c r="B107" i="2"/>
  <c r="B108" i="2" s="1"/>
  <c r="B109" i="2" s="1"/>
  <c r="B110" i="2" s="1"/>
  <c r="B111" i="2" s="1"/>
  <c r="B112" i="2" s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s="1"/>
  <c r="B176" i="2" s="1"/>
  <c r="B177" i="2" s="1"/>
  <c r="B178" i="2" s="1"/>
  <c r="B179" i="2" s="1"/>
  <c r="B180" i="2" s="1"/>
  <c r="B181" i="2" s="1"/>
  <c r="B182" i="2" s="1"/>
  <c r="B183" i="2" s="1"/>
  <c r="B184" i="2" s="1"/>
  <c r="B185" i="2" s="1"/>
  <c r="B186" i="2" s="1"/>
  <c r="B187" i="2" s="1"/>
  <c r="B188" i="2" s="1"/>
  <c r="B189" i="2" s="1"/>
  <c r="B190" i="2" s="1"/>
  <c r="B191" i="2" s="1"/>
  <c r="B192" i="2" s="1"/>
  <c r="B193" i="2" s="1"/>
  <c r="B194" i="2" s="1"/>
  <c r="B195" i="2" s="1"/>
  <c r="B196" i="2" s="1"/>
  <c r="B197" i="2" s="1"/>
  <c r="B198" i="2" s="1"/>
  <c r="B199" i="2" s="1"/>
  <c r="B200" i="2" s="1"/>
  <c r="B201" i="2" s="1"/>
  <c r="B202" i="2" s="1"/>
  <c r="B203" i="2" s="1"/>
  <c r="B204" i="2" s="1"/>
  <c r="B205" i="2" s="1"/>
  <c r="B206" i="2" s="1"/>
  <c r="B207" i="2" s="1"/>
  <c r="B208" i="2" s="1"/>
  <c r="B209" i="2" s="1"/>
  <c r="B210" i="2" s="1"/>
  <c r="B211" i="2" s="1"/>
  <c r="B212" i="2" s="1"/>
  <c r="B213" i="2" s="1"/>
  <c r="B214" i="2" s="1"/>
  <c r="B215" i="2" s="1"/>
  <c r="B216" i="2" s="1"/>
  <c r="B217" i="2" s="1"/>
  <c r="B218" i="2" s="1"/>
  <c r="B219" i="2" s="1"/>
  <c r="B220" i="2" s="1"/>
  <c r="B221" i="2" s="1"/>
  <c r="B222" i="2" s="1"/>
  <c r="B223" i="2" s="1"/>
  <c r="B224" i="2" s="1"/>
  <c r="B225" i="2" s="1"/>
  <c r="B226" i="2" s="1"/>
  <c r="B227" i="2" s="1"/>
  <c r="B228" i="2" s="1"/>
  <c r="B229" i="2" s="1"/>
  <c r="B230" i="2" s="1"/>
  <c r="B231" i="2" s="1"/>
  <c r="B232" i="2" s="1"/>
  <c r="B233" i="2" s="1"/>
  <c r="B234" i="2" s="1"/>
  <c r="B235" i="2" s="1"/>
  <c r="B236" i="2" s="1"/>
  <c r="B237" i="2" s="1"/>
  <c r="B238" i="2" s="1"/>
  <c r="B239" i="2" s="1"/>
  <c r="B240" i="2" s="1"/>
  <c r="B241" i="2" s="1"/>
  <c r="B242" i="2" s="1"/>
  <c r="B243" i="2" s="1"/>
  <c r="B244" i="2" s="1"/>
  <c r="B245" i="2" s="1"/>
  <c r="B246" i="2" s="1"/>
  <c r="B247" i="2" s="1"/>
  <c r="B248" i="2" s="1"/>
  <c r="B249" i="2" s="1"/>
  <c r="B250" i="2" s="1"/>
  <c r="B251" i="2" s="1"/>
  <c r="B252" i="2" s="1"/>
  <c r="B253" i="2" s="1"/>
  <c r="B254" i="2" s="1"/>
  <c r="B255" i="2" s="1"/>
  <c r="B256" i="2" s="1"/>
  <c r="B257" i="2" s="1"/>
  <c r="B258" i="2" s="1"/>
  <c r="B259" i="2" s="1"/>
  <c r="B260" i="2" s="1"/>
  <c r="B261" i="2" s="1"/>
  <c r="B262" i="2" s="1"/>
  <c r="B263" i="2" s="1"/>
  <c r="B264" i="2" s="1"/>
  <c r="B265" i="2" s="1"/>
  <c r="B266" i="2" s="1"/>
  <c r="B267" i="2" s="1"/>
  <c r="B268" i="2" s="1"/>
  <c r="B269" i="2" s="1"/>
  <c r="B270" i="2" s="1"/>
  <c r="B271" i="2" s="1"/>
  <c r="B272" i="2" s="1"/>
  <c r="B273" i="2" s="1"/>
  <c r="B274" i="2" s="1"/>
  <c r="B275" i="2"/>
  <c r="B276" i="2" s="1"/>
  <c r="B277" i="2" s="1"/>
  <c r="B278" i="2" s="1"/>
  <c r="B279" i="2" s="1"/>
  <c r="B280" i="2" s="1"/>
  <c r="B281" i="2" s="1"/>
  <c r="B282" i="2" s="1"/>
  <c r="B283" i="2" s="1"/>
  <c r="B284" i="2" s="1"/>
  <c r="B285" i="2" s="1"/>
  <c r="B286" i="2" s="1"/>
  <c r="B287" i="2" s="1"/>
  <c r="B288" i="2" s="1"/>
  <c r="B289" i="2" s="1"/>
  <c r="B290" i="2" s="1"/>
  <c r="B291" i="2" s="1"/>
  <c r="B292" i="2" s="1"/>
  <c r="B293" i="2" s="1"/>
  <c r="B294" i="2" s="1"/>
  <c r="B295" i="2" s="1"/>
  <c r="B296" i="2" s="1"/>
  <c r="B297" i="2" s="1"/>
  <c r="B298" i="2" s="1"/>
  <c r="B299" i="2" s="1"/>
  <c r="B300" i="2" s="1"/>
  <c r="B301" i="2" s="1"/>
  <c r="B302" i="2" s="1"/>
  <c r="B303" i="2" s="1"/>
  <c r="B304" i="2" s="1"/>
  <c r="B305" i="2" s="1"/>
  <c r="B306" i="2" s="1"/>
  <c r="B307" i="2" s="1"/>
  <c r="B308" i="2" s="1"/>
  <c r="B309" i="2" s="1"/>
  <c r="B310" i="2" s="1"/>
  <c r="B311" i="2" s="1"/>
  <c r="B312" i="2" s="1"/>
  <c r="B313" i="2" s="1"/>
  <c r="B314" i="2" s="1"/>
  <c r="B315" i="2" s="1"/>
  <c r="B316" i="2" s="1"/>
  <c r="B317" i="2" s="1"/>
  <c r="B318" i="2" s="1"/>
  <c r="B319" i="2" s="1"/>
  <c r="B320" i="2" s="1"/>
  <c r="B321" i="2" s="1"/>
  <c r="B322" i="2" s="1"/>
  <c r="B323" i="2" s="1"/>
  <c r="B324" i="2" s="1"/>
  <c r="B325" i="2" s="1"/>
  <c r="B326" i="2" s="1"/>
  <c r="B327" i="2" s="1"/>
  <c r="B328" i="2" s="1"/>
  <c r="B329" i="2" s="1"/>
  <c r="B330" i="2" s="1"/>
  <c r="B331" i="2" s="1"/>
  <c r="B332" i="2" s="1"/>
  <c r="B333" i="2" s="1"/>
  <c r="B334" i="2" s="1"/>
  <c r="B335" i="2" s="1"/>
  <c r="B336" i="2" s="1"/>
  <c r="B337" i="2" s="1"/>
  <c r="B338" i="2" s="1"/>
  <c r="B339" i="2" s="1"/>
  <c r="B340" i="2" s="1"/>
  <c r="B341" i="2" s="1"/>
  <c r="B342" i="2" s="1"/>
  <c r="B343" i="2" s="1"/>
  <c r="B344" i="2" s="1"/>
  <c r="B345" i="2" s="1"/>
  <c r="B346" i="2" s="1"/>
  <c r="B347" i="2" s="1"/>
  <c r="B348" i="2" s="1"/>
  <c r="B349" i="2" s="1"/>
  <c r="B350" i="2" s="1"/>
  <c r="B351" i="2" s="1"/>
  <c r="B352" i="2" s="1"/>
  <c r="B353" i="2" s="1"/>
  <c r="B354" i="2" s="1"/>
  <c r="B355" i="2" s="1"/>
  <c r="B356" i="2" s="1"/>
  <c r="B357" i="2" s="1"/>
  <c r="B358" i="2" s="1"/>
  <c r="B359" i="2" s="1"/>
  <c r="B360" i="2" s="1"/>
  <c r="B361" i="2" s="1"/>
  <c r="B362" i="2" s="1"/>
  <c r="B363" i="2" s="1"/>
  <c r="B364" i="2" s="1"/>
  <c r="B365" i="2" s="1"/>
  <c r="B366" i="2" s="1"/>
  <c r="B367" i="2" s="1"/>
  <c r="B368" i="2" s="1"/>
  <c r="B369" i="2" s="1"/>
  <c r="B370" i="2" s="1"/>
  <c r="B371" i="2" s="1"/>
  <c r="B372" i="2" s="1"/>
  <c r="B373" i="2" s="1"/>
  <c r="B374" i="2" s="1"/>
  <c r="B375" i="2" s="1"/>
  <c r="B376" i="2" s="1"/>
  <c r="B377" i="2" s="1"/>
  <c r="B378" i="2" s="1"/>
  <c r="B379" i="2" s="1"/>
  <c r="B380" i="2" s="1"/>
  <c r="B381" i="2" s="1"/>
  <c r="B382" i="2" s="1"/>
  <c r="B383" i="2" s="1"/>
  <c r="B384" i="2" s="1"/>
  <c r="B385" i="2" s="1"/>
  <c r="B386" i="2" s="1"/>
  <c r="B387" i="2" s="1"/>
  <c r="B388" i="2" s="1"/>
  <c r="B389" i="2" s="1"/>
  <c r="B390" i="2" s="1"/>
  <c r="B391" i="2" s="1"/>
  <c r="B392" i="2" s="1"/>
  <c r="B393" i="2" s="1"/>
  <c r="B394" i="2" s="1"/>
  <c r="B395" i="2" s="1"/>
  <c r="B396" i="2" s="1"/>
  <c r="B397" i="2" s="1"/>
  <c r="B398" i="2" s="1"/>
  <c r="B399" i="2" s="1"/>
  <c r="B400" i="2" s="1"/>
  <c r="B401" i="2" s="1"/>
  <c r="B402" i="2" s="1"/>
  <c r="B403" i="2" s="1"/>
  <c r="B404" i="2" s="1"/>
  <c r="B405" i="2" s="1"/>
  <c r="B406" i="2" s="1"/>
  <c r="B407" i="2" s="1"/>
  <c r="B408" i="2" s="1"/>
  <c r="B409" i="2" s="1"/>
  <c r="B410" i="2" s="1"/>
  <c r="B411" i="2" s="1"/>
  <c r="B412" i="2" s="1"/>
  <c r="B413" i="2" s="1"/>
  <c r="B414" i="2" s="1"/>
  <c r="B415" i="2" s="1"/>
  <c r="B416" i="2" s="1"/>
  <c r="B417" i="2" s="1"/>
  <c r="B418" i="2" s="1"/>
  <c r="B419" i="2" s="1"/>
  <c r="B420" i="2" s="1"/>
  <c r="B421" i="2" s="1"/>
  <c r="B422" i="2" s="1"/>
  <c r="B423" i="2" s="1"/>
  <c r="B424" i="2" s="1"/>
  <c r="B425" i="2" s="1"/>
  <c r="B426" i="2" s="1"/>
  <c r="B427" i="2" s="1"/>
  <c r="B428" i="2" s="1"/>
  <c r="B429" i="2" s="1"/>
  <c r="B430" i="2" s="1"/>
  <c r="B431" i="2" s="1"/>
  <c r="B432" i="2" s="1"/>
  <c r="B433" i="2" s="1"/>
  <c r="B434" i="2" s="1"/>
  <c r="B435" i="2" s="1"/>
  <c r="B436" i="2" s="1"/>
  <c r="B437" i="2" s="1"/>
  <c r="B438" i="2" s="1"/>
  <c r="B439" i="2" s="1"/>
  <c r="B440" i="2" s="1"/>
  <c r="B441" i="2" s="1"/>
  <c r="B442" i="2" s="1"/>
  <c r="B443" i="2" s="1"/>
  <c r="B444" i="2" s="1"/>
  <c r="B445" i="2" s="1"/>
  <c r="B446" i="2" s="1"/>
  <c r="B447" i="2" s="1"/>
  <c r="B448" i="2" s="1"/>
  <c r="B449" i="2" s="1"/>
  <c r="B450" i="2" s="1"/>
  <c r="B451" i="2" s="1"/>
  <c r="B452" i="2" s="1"/>
  <c r="B453" i="2" s="1"/>
  <c r="B454" i="2" s="1"/>
  <c r="B455" i="2" s="1"/>
  <c r="B456" i="2" s="1"/>
  <c r="B457" i="2" s="1"/>
  <c r="B458" i="2" s="1"/>
  <c r="B459" i="2" s="1"/>
  <c r="B460" i="2" s="1"/>
  <c r="B461" i="2" s="1"/>
  <c r="B462" i="2" s="1"/>
  <c r="B463" i="2" s="1"/>
  <c r="B464" i="2" s="1"/>
  <c r="B465" i="2" s="1"/>
  <c r="B466" i="2" s="1"/>
  <c r="B467" i="2" s="1"/>
  <c r="B468" i="2" s="1"/>
  <c r="B469" i="2" s="1"/>
  <c r="B470" i="2" s="1"/>
  <c r="B471" i="2" s="1"/>
  <c r="B472" i="2" s="1"/>
  <c r="B473" i="2" s="1"/>
  <c r="B474" i="2" s="1"/>
  <c r="B475" i="2" s="1"/>
  <c r="B476" i="2" s="1"/>
  <c r="B477" i="2" s="1"/>
  <c r="B478" i="2" s="1"/>
  <c r="B479" i="2" s="1"/>
  <c r="B480" i="2" s="1"/>
  <c r="B481" i="2" s="1"/>
  <c r="B482" i="2" s="1"/>
  <c r="B483" i="2" s="1"/>
  <c r="B484" i="2" s="1"/>
  <c r="B485" i="2" s="1"/>
  <c r="B486" i="2" s="1"/>
  <c r="B487" i="2" s="1"/>
  <c r="B488" i="2" s="1"/>
  <c r="B489" i="2" s="1"/>
  <c r="B490" i="2" s="1"/>
  <c r="B491" i="2" s="1"/>
  <c r="A279" i="2"/>
  <c r="A280" i="2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B530" i="3" l="1"/>
  <c r="R531" i="3"/>
  <c r="AB531" i="3" s="1"/>
  <c r="P514" i="2"/>
  <c r="V512" i="3"/>
  <c r="K513" i="4" s="1"/>
  <c r="N514" i="2"/>
  <c r="J512" i="3"/>
  <c r="G513" i="4" s="1"/>
  <c r="O513" i="2"/>
  <c r="K521" i="2"/>
  <c r="M519" i="2"/>
  <c r="L519" i="2"/>
  <c r="C518" i="2"/>
  <c r="D519" i="2"/>
  <c r="M503" i="2"/>
  <c r="J502" i="2"/>
  <c r="H503" i="2"/>
  <c r="K504" i="2"/>
  <c r="L503" i="2"/>
  <c r="I502" i="2"/>
  <c r="F502" i="2" s="1"/>
  <c r="E501" i="2"/>
  <c r="C505" i="2"/>
  <c r="E503" i="2"/>
  <c r="I501" i="2"/>
  <c r="F501" i="2" s="1"/>
  <c r="D503" i="2"/>
  <c r="G501" i="2"/>
  <c r="G502" i="2"/>
  <c r="N494" i="2"/>
  <c r="N495" i="2" s="1"/>
  <c r="N496" i="2" s="1"/>
  <c r="N497" i="2" s="1"/>
  <c r="N498" i="2" s="1"/>
  <c r="N499" i="2" s="1"/>
  <c r="N500" i="2" s="1"/>
  <c r="H493" i="2"/>
  <c r="E493" i="2" s="1"/>
  <c r="H492" i="2"/>
  <c r="C496" i="2"/>
  <c r="M494" i="2"/>
  <c r="J493" i="2"/>
  <c r="G493" i="2" s="1"/>
  <c r="K495" i="2"/>
  <c r="L494" i="2"/>
  <c r="I493" i="2"/>
  <c r="F493" i="2" s="1"/>
  <c r="E492" i="2"/>
  <c r="J492" i="2"/>
  <c r="G492" i="2" s="1"/>
  <c r="I492" i="2"/>
  <c r="D494" i="2"/>
  <c r="F492" i="2"/>
  <c r="M17" i="2"/>
  <c r="J16" i="2"/>
  <c r="E16" i="2"/>
  <c r="T16" i="2"/>
  <c r="F16" i="2"/>
  <c r="G16" i="2"/>
  <c r="C17" i="2"/>
  <c r="W17" i="2"/>
  <c r="P18" i="2"/>
  <c r="V16" i="2"/>
  <c r="O17" i="2"/>
  <c r="U16" i="2"/>
  <c r="N17" i="2"/>
  <c r="D18" i="2"/>
  <c r="L17" i="2"/>
  <c r="I16" i="2"/>
  <c r="K17" i="2"/>
  <c r="H16" i="2"/>
  <c r="I15" i="2"/>
  <c r="F15" i="2" s="1"/>
  <c r="M9" i="4"/>
  <c r="N9" i="3"/>
  <c r="M8" i="4"/>
  <c r="N8" i="3"/>
  <c r="X27" i="3"/>
  <c r="R18" i="3"/>
  <c r="R19" i="3" s="1"/>
  <c r="R20" i="3"/>
  <c r="R21" i="3" s="1"/>
  <c r="R22" i="3"/>
  <c r="R23" i="3" s="1"/>
  <c r="R24" i="3" s="1"/>
  <c r="R25" i="3" s="1"/>
  <c r="R26" i="3" s="1"/>
  <c r="R27" i="3" s="1"/>
  <c r="R28" i="3" s="1"/>
  <c r="R29" i="3" s="1"/>
  <c r="R30" i="3" s="1"/>
  <c r="R31" i="3" s="1"/>
  <c r="R32" i="3" s="1"/>
  <c r="R33" i="3" s="1"/>
  <c r="R34" i="3" s="1"/>
  <c r="R35" i="3" s="1"/>
  <c r="R36" i="3" s="1"/>
  <c r="R37" i="3" s="1"/>
  <c r="R38" i="3" s="1"/>
  <c r="R39" i="3" s="1"/>
  <c r="R40" i="3" s="1"/>
  <c r="R41" i="3" s="1"/>
  <c r="R42" i="3" s="1"/>
  <c r="R43" i="3" s="1"/>
  <c r="R44" i="3" s="1"/>
  <c r="R45" i="3" s="1"/>
  <c r="R46" i="3" s="1"/>
  <c r="R47" i="3" s="1"/>
  <c r="R48" i="3" s="1"/>
  <c r="R49" i="3" s="1"/>
  <c r="R50" i="3" s="1"/>
  <c r="R51" i="3" s="1"/>
  <c r="R52" i="3" s="1"/>
  <c r="R53" i="3" s="1"/>
  <c r="R54" i="3" s="1"/>
  <c r="R55" i="3" s="1"/>
  <c r="R56" i="3" s="1"/>
  <c r="R57" i="3" s="1"/>
  <c r="R58" i="3" s="1"/>
  <c r="R59" i="3" s="1"/>
  <c r="R60" i="3" s="1"/>
  <c r="R61" i="3" s="1"/>
  <c r="R62" i="3" s="1"/>
  <c r="R63" i="3" s="1"/>
  <c r="R64" i="3" s="1"/>
  <c r="R65" i="3" s="1"/>
  <c r="R66" i="3" s="1"/>
  <c r="R67" i="3" s="1"/>
  <c r="R68" i="3" s="1"/>
  <c r="R69" i="3" s="1"/>
  <c r="R70" i="3" s="1"/>
  <c r="R71" i="3" s="1"/>
  <c r="R72" i="3" s="1"/>
  <c r="R73" i="3" s="1"/>
  <c r="R74" i="3" s="1"/>
  <c r="R75" i="3" s="1"/>
  <c r="R76" i="3" s="1"/>
  <c r="R77" i="3" s="1"/>
  <c r="R78" i="3" s="1"/>
  <c r="R79" i="3" s="1"/>
  <c r="R80" i="3" s="1"/>
  <c r="R81" i="3" s="1"/>
  <c r="R82" i="3" s="1"/>
  <c r="R83" i="3" s="1"/>
  <c r="R84" i="3" s="1"/>
  <c r="R85" i="3" s="1"/>
  <c r="R86" i="3" s="1"/>
  <c r="R87" i="3" s="1"/>
  <c r="R88" i="3" s="1"/>
  <c r="R89" i="3" s="1"/>
  <c r="R90" i="3" s="1"/>
  <c r="R91" i="3" s="1"/>
  <c r="R92" i="3" s="1"/>
  <c r="R93" i="3" s="1"/>
  <c r="R94" i="3" s="1"/>
  <c r="R95" i="3" s="1"/>
  <c r="R96" i="3" s="1"/>
  <c r="R97" i="3" s="1"/>
  <c r="R98" i="3" s="1"/>
  <c r="R99" i="3" s="1"/>
  <c r="R100" i="3" s="1"/>
  <c r="R101" i="3" s="1"/>
  <c r="R102" i="3" s="1"/>
  <c r="R103" i="3" s="1"/>
  <c r="R104" i="3" s="1"/>
  <c r="R105" i="3" s="1"/>
  <c r="R106" i="3" s="1"/>
  <c r="R107" i="3" s="1"/>
  <c r="R108" i="3" s="1"/>
  <c r="R109" i="3" s="1"/>
  <c r="R110" i="3" s="1"/>
  <c r="R111" i="3" s="1"/>
  <c r="R112" i="3" s="1"/>
  <c r="R113" i="3" s="1"/>
  <c r="R114" i="3" s="1"/>
  <c r="R115" i="3" s="1"/>
  <c r="R116" i="3" s="1"/>
  <c r="R117" i="3" s="1"/>
  <c r="R118" i="3" s="1"/>
  <c r="R119" i="3" s="1"/>
  <c r="R120" i="3" s="1"/>
  <c r="R121" i="3" s="1"/>
  <c r="R122" i="3" s="1"/>
  <c r="R123" i="3" s="1"/>
  <c r="R124" i="3" s="1"/>
  <c r="R125" i="3" s="1"/>
  <c r="R126" i="3" s="1"/>
  <c r="R127" i="3" s="1"/>
  <c r="R128" i="3" s="1"/>
  <c r="R129" i="3" s="1"/>
  <c r="R130" i="3" s="1"/>
  <c r="R131" i="3" s="1"/>
  <c r="R132" i="3" s="1"/>
  <c r="R133" i="3" s="1"/>
  <c r="R134" i="3" s="1"/>
  <c r="R135" i="3" s="1"/>
  <c r="R136" i="3" s="1"/>
  <c r="R137" i="3" s="1"/>
  <c r="R138" i="3" s="1"/>
  <c r="R139" i="3" s="1"/>
  <c r="R140" i="3" s="1"/>
  <c r="R141" i="3" s="1"/>
  <c r="R142" i="3" s="1"/>
  <c r="R143" i="3" s="1"/>
  <c r="R144" i="3" s="1"/>
  <c r="R145" i="3" s="1"/>
  <c r="R146" i="3" s="1"/>
  <c r="R147" i="3" s="1"/>
  <c r="R148" i="3" s="1"/>
  <c r="R149" i="3" s="1"/>
  <c r="R150" i="3" s="1"/>
  <c r="R151" i="3" s="1"/>
  <c r="R152" i="3" s="1"/>
  <c r="R153" i="3" s="1"/>
  <c r="R154" i="3" s="1"/>
  <c r="R155" i="3" s="1"/>
  <c r="R156" i="3" s="1"/>
  <c r="R157" i="3" s="1"/>
  <c r="R158" i="3" s="1"/>
  <c r="R159" i="3" s="1"/>
  <c r="R160" i="3" s="1"/>
  <c r="R161" i="3" s="1"/>
  <c r="R162" i="3" s="1"/>
  <c r="R163" i="3" s="1"/>
  <c r="R164" i="3" s="1"/>
  <c r="R165" i="3" s="1"/>
  <c r="R166" i="3" s="1"/>
  <c r="R167" i="3" s="1"/>
  <c r="R168" i="3" s="1"/>
  <c r="R169" i="3" s="1"/>
  <c r="R170" i="3" s="1"/>
  <c r="R171" i="3" s="1"/>
  <c r="R172" i="3" s="1"/>
  <c r="R173" i="3" s="1"/>
  <c r="R174" i="3" s="1"/>
  <c r="R175" i="3" s="1"/>
  <c r="R176" i="3" s="1"/>
  <c r="R177" i="3" s="1"/>
  <c r="R178" i="3" s="1"/>
  <c r="R179" i="3" s="1"/>
  <c r="R180" i="3" s="1"/>
  <c r="R181" i="3" s="1"/>
  <c r="R182" i="3" s="1"/>
  <c r="R183" i="3" s="1"/>
  <c r="R184" i="3" s="1"/>
  <c r="R185" i="3" s="1"/>
  <c r="R186" i="3" s="1"/>
  <c r="R187" i="3" s="1"/>
  <c r="R188" i="3" s="1"/>
  <c r="R189" i="3" s="1"/>
  <c r="R190" i="3" s="1"/>
  <c r="R191" i="3" s="1"/>
  <c r="R192" i="3" s="1"/>
  <c r="R193" i="3" s="1"/>
  <c r="R194" i="3" s="1"/>
  <c r="R195" i="3" s="1"/>
  <c r="R196" i="3" s="1"/>
  <c r="R197" i="3" s="1"/>
  <c r="R198" i="3" s="1"/>
  <c r="R199" i="3" s="1"/>
  <c r="R200" i="3" s="1"/>
  <c r="R201" i="3" s="1"/>
  <c r="R202" i="3" s="1"/>
  <c r="R203" i="3" s="1"/>
  <c r="R204" i="3" s="1"/>
  <c r="R205" i="3" s="1"/>
  <c r="R206" i="3" s="1"/>
  <c r="R207" i="3" s="1"/>
  <c r="R208" i="3" s="1"/>
  <c r="R209" i="3" s="1"/>
  <c r="R210" i="3" s="1"/>
  <c r="R211" i="3" s="1"/>
  <c r="R212" i="3" s="1"/>
  <c r="R213" i="3" s="1"/>
  <c r="R214" i="3" s="1"/>
  <c r="R215" i="3" s="1"/>
  <c r="R216" i="3" s="1"/>
  <c r="R217" i="3" s="1"/>
  <c r="R218" i="3" s="1"/>
  <c r="R219" i="3" s="1"/>
  <c r="R220" i="3" s="1"/>
  <c r="R221" i="3" s="1"/>
  <c r="R222" i="3" s="1"/>
  <c r="R223" i="3" s="1"/>
  <c r="R224" i="3" s="1"/>
  <c r="R225" i="3" s="1"/>
  <c r="R226" i="3" s="1"/>
  <c r="R227" i="3" s="1"/>
  <c r="R228" i="3" s="1"/>
  <c r="R229" i="3" s="1"/>
  <c r="R230" i="3" s="1"/>
  <c r="R231" i="3" s="1"/>
  <c r="R232" i="3" s="1"/>
  <c r="R233" i="3" s="1"/>
  <c r="R234" i="3" s="1"/>
  <c r="R235" i="3" s="1"/>
  <c r="R236" i="3" s="1"/>
  <c r="R237" i="3" s="1"/>
  <c r="R238" i="3" s="1"/>
  <c r="R239" i="3" s="1"/>
  <c r="R240" i="3" s="1"/>
  <c r="R241" i="3" s="1"/>
  <c r="R242" i="3" s="1"/>
  <c r="R243" i="3" s="1"/>
  <c r="R244" i="3" s="1"/>
  <c r="R245" i="3" s="1"/>
  <c r="R246" i="3" s="1"/>
  <c r="R247" i="3" s="1"/>
  <c r="R248" i="3" s="1"/>
  <c r="R249" i="3" s="1"/>
  <c r="R250" i="3" s="1"/>
  <c r="R251" i="3" s="1"/>
  <c r="R252" i="3" s="1"/>
  <c r="R253" i="3" s="1"/>
  <c r="R254" i="3" s="1"/>
  <c r="R255" i="3" s="1"/>
  <c r="R256" i="3" s="1"/>
  <c r="R257" i="3" s="1"/>
  <c r="R258" i="3" s="1"/>
  <c r="R259" i="3" s="1"/>
  <c r="R260" i="3" s="1"/>
  <c r="R261" i="3" s="1"/>
  <c r="R262" i="3" s="1"/>
  <c r="R263" i="3" s="1"/>
  <c r="R264" i="3" s="1"/>
  <c r="R265" i="3" s="1"/>
  <c r="R266" i="3" s="1"/>
  <c r="R267" i="3" s="1"/>
  <c r="R268" i="3" s="1"/>
  <c r="R269" i="3" s="1"/>
  <c r="R270" i="3" s="1"/>
  <c r="R271" i="3" s="1"/>
  <c r="R272" i="3" s="1"/>
  <c r="R273" i="3" s="1"/>
  <c r="R274" i="3" s="1"/>
  <c r="R275" i="3" s="1"/>
  <c r="R276" i="3" s="1"/>
  <c r="R277" i="3" s="1"/>
  <c r="R278" i="3" s="1"/>
  <c r="R279" i="3" s="1"/>
  <c r="R280" i="3" s="1"/>
  <c r="R281" i="3" s="1"/>
  <c r="R282" i="3" s="1"/>
  <c r="R283" i="3" s="1"/>
  <c r="R284" i="3" s="1"/>
  <c r="R285" i="3" s="1"/>
  <c r="R286" i="3" s="1"/>
  <c r="R287" i="3" s="1"/>
  <c r="R288" i="3" s="1"/>
  <c r="R289" i="3" s="1"/>
  <c r="R290" i="3" s="1"/>
  <c r="R291" i="3" s="1"/>
  <c r="R292" i="3" s="1"/>
  <c r="R293" i="3" s="1"/>
  <c r="R294" i="3" s="1"/>
  <c r="R295" i="3" s="1"/>
  <c r="R296" i="3" s="1"/>
  <c r="R297" i="3" s="1"/>
  <c r="R298" i="3" s="1"/>
  <c r="R299" i="3" s="1"/>
  <c r="R300" i="3" s="1"/>
  <c r="R301" i="3" s="1"/>
  <c r="R302" i="3" s="1"/>
  <c r="R303" i="3" s="1"/>
  <c r="R304" i="3" s="1"/>
  <c r="R305" i="3" s="1"/>
  <c r="R306" i="3" s="1"/>
  <c r="R307" i="3" s="1"/>
  <c r="R308" i="3" s="1"/>
  <c r="R309" i="3" s="1"/>
  <c r="R310" i="3" s="1"/>
  <c r="R311" i="3" s="1"/>
  <c r="R312" i="3" s="1"/>
  <c r="R313" i="3" s="1"/>
  <c r="R314" i="3" s="1"/>
  <c r="R315" i="3" s="1"/>
  <c r="R316" i="3" s="1"/>
  <c r="R317" i="3" s="1"/>
  <c r="R318" i="3" s="1"/>
  <c r="R319" i="3" s="1"/>
  <c r="R320" i="3" s="1"/>
  <c r="R321" i="3" s="1"/>
  <c r="R322" i="3" s="1"/>
  <c r="R323" i="3" s="1"/>
  <c r="R324" i="3" s="1"/>
  <c r="R325" i="3" s="1"/>
  <c r="R326" i="3" s="1"/>
  <c r="R327" i="3" s="1"/>
  <c r="R328" i="3" s="1"/>
  <c r="R329" i="3" s="1"/>
  <c r="R330" i="3" s="1"/>
  <c r="R331" i="3" s="1"/>
  <c r="R332" i="3" s="1"/>
  <c r="R333" i="3" s="1"/>
  <c r="R334" i="3" s="1"/>
  <c r="R335" i="3" s="1"/>
  <c r="R336" i="3" s="1"/>
  <c r="R337" i="3" s="1"/>
  <c r="R338" i="3" s="1"/>
  <c r="R339" i="3" s="1"/>
  <c r="R340" i="3" s="1"/>
  <c r="R341" i="3" s="1"/>
  <c r="R342" i="3" s="1"/>
  <c r="R343" i="3" s="1"/>
  <c r="R344" i="3" s="1"/>
  <c r="R345" i="3" s="1"/>
  <c r="R346" i="3" s="1"/>
  <c r="R347" i="3" s="1"/>
  <c r="R348" i="3" s="1"/>
  <c r="R349" i="3" s="1"/>
  <c r="R350" i="3" s="1"/>
  <c r="R351" i="3" s="1"/>
  <c r="R352" i="3" s="1"/>
  <c r="R353" i="3" s="1"/>
  <c r="R354" i="3" s="1"/>
  <c r="R355" i="3" s="1"/>
  <c r="R356" i="3" s="1"/>
  <c r="R357" i="3" s="1"/>
  <c r="R358" i="3" s="1"/>
  <c r="R359" i="3" s="1"/>
  <c r="R360" i="3" s="1"/>
  <c r="R361" i="3" s="1"/>
  <c r="R362" i="3" s="1"/>
  <c r="R363" i="3" s="1"/>
  <c r="R364" i="3" s="1"/>
  <c r="R365" i="3" s="1"/>
  <c r="R366" i="3" s="1"/>
  <c r="R367" i="3" s="1"/>
  <c r="R368" i="3" s="1"/>
  <c r="R369" i="3" s="1"/>
  <c r="R370" i="3" s="1"/>
  <c r="R371" i="3" s="1"/>
  <c r="R372" i="3" s="1"/>
  <c r="R373" i="3" s="1"/>
  <c r="R374" i="3" s="1"/>
  <c r="R375" i="3" s="1"/>
  <c r="R376" i="3" s="1"/>
  <c r="R377" i="3" s="1"/>
  <c r="R378" i="3" s="1"/>
  <c r="R379" i="3" s="1"/>
  <c r="R380" i="3" s="1"/>
  <c r="R381" i="3" s="1"/>
  <c r="R382" i="3" s="1"/>
  <c r="R383" i="3" s="1"/>
  <c r="R384" i="3" s="1"/>
  <c r="R385" i="3" s="1"/>
  <c r="R386" i="3" s="1"/>
  <c r="R387" i="3" s="1"/>
  <c r="R388" i="3" s="1"/>
  <c r="R389" i="3" s="1"/>
  <c r="R390" i="3" s="1"/>
  <c r="R391" i="3" s="1"/>
  <c r="R392" i="3" s="1"/>
  <c r="R393" i="3" s="1"/>
  <c r="R394" i="3" s="1"/>
  <c r="R395" i="3" s="1"/>
  <c r="R396" i="3" s="1"/>
  <c r="R397" i="3" s="1"/>
  <c r="R398" i="3" s="1"/>
  <c r="R399" i="3" s="1"/>
  <c r="R400" i="3" s="1"/>
  <c r="R401" i="3" s="1"/>
  <c r="R402" i="3" s="1"/>
  <c r="R403" i="3" s="1"/>
  <c r="R404" i="3" s="1"/>
  <c r="R405" i="3" s="1"/>
  <c r="R406" i="3" s="1"/>
  <c r="R407" i="3" s="1"/>
  <c r="R408" i="3" s="1"/>
  <c r="R409" i="3" s="1"/>
  <c r="R410" i="3" s="1"/>
  <c r="R411" i="3" s="1"/>
  <c r="R412" i="3" s="1"/>
  <c r="R413" i="3" s="1"/>
  <c r="R414" i="3" s="1"/>
  <c r="R415" i="3" s="1"/>
  <c r="R416" i="3" s="1"/>
  <c r="R417" i="3" s="1"/>
  <c r="R418" i="3" s="1"/>
  <c r="R419" i="3" s="1"/>
  <c r="R420" i="3" s="1"/>
  <c r="R421" i="3" s="1"/>
  <c r="R422" i="3" s="1"/>
  <c r="R423" i="3" s="1"/>
  <c r="R424" i="3" s="1"/>
  <c r="R425" i="3" s="1"/>
  <c r="R426" i="3" s="1"/>
  <c r="R427" i="3" s="1"/>
  <c r="R428" i="3" s="1"/>
  <c r="R429" i="3" s="1"/>
  <c r="R430" i="3" s="1"/>
  <c r="R431" i="3" s="1"/>
  <c r="R432" i="3" s="1"/>
  <c r="R433" i="3" s="1"/>
  <c r="R434" i="3" s="1"/>
  <c r="R435" i="3" s="1"/>
  <c r="R436" i="3" s="1"/>
  <c r="R437" i="3" s="1"/>
  <c r="R438" i="3" s="1"/>
  <c r="R439" i="3" s="1"/>
  <c r="R440" i="3" s="1"/>
  <c r="R441" i="3" s="1"/>
  <c r="R442" i="3" s="1"/>
  <c r="R443" i="3" s="1"/>
  <c r="R444" i="3" s="1"/>
  <c r="R445" i="3" s="1"/>
  <c r="R446" i="3" s="1"/>
  <c r="R447" i="3" s="1"/>
  <c r="R448" i="3" s="1"/>
  <c r="R449" i="3" s="1"/>
  <c r="R450" i="3" s="1"/>
  <c r="R451" i="3" s="1"/>
  <c r="R452" i="3" s="1"/>
  <c r="R453" i="3" s="1"/>
  <c r="R454" i="3" s="1"/>
  <c r="R455" i="3" s="1"/>
  <c r="R456" i="3" s="1"/>
  <c r="R457" i="3" s="1"/>
  <c r="R458" i="3" s="1"/>
  <c r="R459" i="3" s="1"/>
  <c r="R460" i="3" s="1"/>
  <c r="R461" i="3" s="1"/>
  <c r="R462" i="3" s="1"/>
  <c r="R463" i="3" s="1"/>
  <c r="R464" i="3" s="1"/>
  <c r="R465" i="3" s="1"/>
  <c r="R466" i="3" s="1"/>
  <c r="R467" i="3" s="1"/>
  <c r="R468" i="3" s="1"/>
  <c r="R469" i="3" s="1"/>
  <c r="R470" i="3" s="1"/>
  <c r="R471" i="3" s="1"/>
  <c r="R472" i="3" s="1"/>
  <c r="R473" i="3" s="1"/>
  <c r="R474" i="3" s="1"/>
  <c r="R475" i="3" s="1"/>
  <c r="R476" i="3" s="1"/>
  <c r="R477" i="3" s="1"/>
  <c r="R478" i="3" s="1"/>
  <c r="R479" i="3" s="1"/>
  <c r="R480" i="3" s="1"/>
  <c r="R481" i="3" s="1"/>
  <c r="R482" i="3" s="1"/>
  <c r="R483" i="3" s="1"/>
  <c r="R484" i="3" s="1"/>
  <c r="R485" i="3" s="1"/>
  <c r="R486" i="3" s="1"/>
  <c r="R487" i="3" s="1"/>
  <c r="R488" i="3" s="1"/>
  <c r="R489" i="3" s="1"/>
  <c r="R490" i="3" s="1"/>
  <c r="X24" i="3"/>
  <c r="X25" i="3" s="1"/>
  <c r="X26" i="3" s="1"/>
  <c r="L19" i="3"/>
  <c r="L20" i="3" s="1"/>
  <c r="L21" i="3" s="1"/>
  <c r="L22" i="3" s="1"/>
  <c r="L23" i="3" s="1"/>
  <c r="L24" i="3" s="1"/>
  <c r="L25" i="3" s="1"/>
  <c r="L26" i="3" s="1"/>
  <c r="L27" i="3" s="1"/>
  <c r="L28" i="3" s="1"/>
  <c r="L29" i="3" s="1"/>
  <c r="L30" i="3" s="1"/>
  <c r="L31" i="3" s="1"/>
  <c r="L32" i="3" s="1"/>
  <c r="L33" i="3" s="1"/>
  <c r="L34" i="3" s="1"/>
  <c r="L35" i="3" s="1"/>
  <c r="L36" i="3" s="1"/>
  <c r="L37" i="3" s="1"/>
  <c r="L38" i="3" s="1"/>
  <c r="L39" i="3" s="1"/>
  <c r="L40" i="3" s="1"/>
  <c r="L41" i="3" s="1"/>
  <c r="L42" i="3" s="1"/>
  <c r="L43" i="3" s="1"/>
  <c r="L44" i="3" s="1"/>
  <c r="L45" i="3" s="1"/>
  <c r="L46" i="3" s="1"/>
  <c r="L47" i="3" s="1"/>
  <c r="L48" i="3" s="1"/>
  <c r="L49" i="3" s="1"/>
  <c r="L50" i="3" s="1"/>
  <c r="L51" i="3" s="1"/>
  <c r="L52" i="3" s="1"/>
  <c r="L53" i="3" s="1"/>
  <c r="L54" i="3" s="1"/>
  <c r="L55" i="3" s="1"/>
  <c r="L56" i="3" s="1"/>
  <c r="L57" i="3" s="1"/>
  <c r="L58" i="3" s="1"/>
  <c r="L59" i="3" s="1"/>
  <c r="L60" i="3" s="1"/>
  <c r="L61" i="3" s="1"/>
  <c r="L62" i="3" s="1"/>
  <c r="L63" i="3" s="1"/>
  <c r="L64" i="3" s="1"/>
  <c r="L65" i="3" s="1"/>
  <c r="L66" i="3" s="1"/>
  <c r="L67" i="3" s="1"/>
  <c r="L68" i="3" s="1"/>
  <c r="L69" i="3" s="1"/>
  <c r="L70" i="3" s="1"/>
  <c r="L71" i="3" s="1"/>
  <c r="L72" i="3" s="1"/>
  <c r="L73" i="3" s="1"/>
  <c r="L74" i="3" s="1"/>
  <c r="L75" i="3" s="1"/>
  <c r="L76" i="3" s="1"/>
  <c r="L77" i="3" s="1"/>
  <c r="L78" i="3" s="1"/>
  <c r="L79" i="3" s="1"/>
  <c r="L80" i="3" s="1"/>
  <c r="L81" i="3" s="1"/>
  <c r="L82" i="3" s="1"/>
  <c r="L83" i="3" s="1"/>
  <c r="L84" i="3" s="1"/>
  <c r="L85" i="3" s="1"/>
  <c r="L86" i="3" s="1"/>
  <c r="L87" i="3" s="1"/>
  <c r="L88" i="3" s="1"/>
  <c r="L89" i="3" s="1"/>
  <c r="L90" i="3" s="1"/>
  <c r="L91" i="3" s="1"/>
  <c r="L92" i="3" s="1"/>
  <c r="L93" i="3" s="1"/>
  <c r="L94" i="3" s="1"/>
  <c r="L95" i="3" s="1"/>
  <c r="L96" i="3" s="1"/>
  <c r="L97" i="3" s="1"/>
  <c r="L98" i="3" s="1"/>
  <c r="L99" i="3" s="1"/>
  <c r="L100" i="3" s="1"/>
  <c r="L101" i="3" s="1"/>
  <c r="L102" i="3" s="1"/>
  <c r="L103" i="3" s="1"/>
  <c r="L104" i="3" s="1"/>
  <c r="L105" i="3" s="1"/>
  <c r="L106" i="3" s="1"/>
  <c r="L107" i="3" s="1"/>
  <c r="L108" i="3" s="1"/>
  <c r="L109" i="3" s="1"/>
  <c r="L110" i="3" s="1"/>
  <c r="L111" i="3" s="1"/>
  <c r="L112" i="3" s="1"/>
  <c r="L113" i="3" s="1"/>
  <c r="L114" i="3" s="1"/>
  <c r="L115" i="3" s="1"/>
  <c r="L116" i="3" s="1"/>
  <c r="L117" i="3" s="1"/>
  <c r="L118" i="3" s="1"/>
  <c r="L119" i="3" s="1"/>
  <c r="L120" i="3" s="1"/>
  <c r="L121" i="3" s="1"/>
  <c r="L122" i="3" s="1"/>
  <c r="L123" i="3" s="1"/>
  <c r="L124" i="3" s="1"/>
  <c r="L125" i="3" s="1"/>
  <c r="L126" i="3" s="1"/>
  <c r="L127" i="3" s="1"/>
  <c r="L128" i="3" s="1"/>
  <c r="L129" i="3" s="1"/>
  <c r="L130" i="3" s="1"/>
  <c r="L131" i="3" s="1"/>
  <c r="L132" i="3" s="1"/>
  <c r="L133" i="3" s="1"/>
  <c r="L134" i="3" s="1"/>
  <c r="L135" i="3" s="1"/>
  <c r="L136" i="3" s="1"/>
  <c r="L137" i="3" s="1"/>
  <c r="L138" i="3" s="1"/>
  <c r="L139" i="3" s="1"/>
  <c r="L140" i="3" s="1"/>
  <c r="L141" i="3" s="1"/>
  <c r="L142" i="3" s="1"/>
  <c r="L143" i="3" s="1"/>
  <c r="L144" i="3" s="1"/>
  <c r="L145" i="3" s="1"/>
  <c r="L146" i="3" s="1"/>
  <c r="L147" i="3" s="1"/>
  <c r="L148" i="3" s="1"/>
  <c r="L149" i="3" s="1"/>
  <c r="L150" i="3" s="1"/>
  <c r="L151" i="3" s="1"/>
  <c r="L152" i="3" s="1"/>
  <c r="L153" i="3" s="1"/>
  <c r="L154" i="3" s="1"/>
  <c r="L155" i="3" s="1"/>
  <c r="L156" i="3" s="1"/>
  <c r="L157" i="3" s="1"/>
  <c r="L158" i="3" s="1"/>
  <c r="L159" i="3" s="1"/>
  <c r="L160" i="3" s="1"/>
  <c r="L161" i="3" s="1"/>
  <c r="L162" i="3" s="1"/>
  <c r="L163" i="3" s="1"/>
  <c r="L164" i="3" s="1"/>
  <c r="L165" i="3" s="1"/>
  <c r="L166" i="3" s="1"/>
  <c r="L167" i="3" s="1"/>
  <c r="L168" i="3" s="1"/>
  <c r="L169" i="3" s="1"/>
  <c r="L170" i="3" s="1"/>
  <c r="L171" i="3" s="1"/>
  <c r="L172" i="3" s="1"/>
  <c r="L173" i="3" s="1"/>
  <c r="L174" i="3" s="1"/>
  <c r="L175" i="3" s="1"/>
  <c r="L176" i="3" s="1"/>
  <c r="L177" i="3" s="1"/>
  <c r="L178" i="3" s="1"/>
  <c r="L179" i="3" s="1"/>
  <c r="L180" i="3" s="1"/>
  <c r="L181" i="3" s="1"/>
  <c r="L182" i="3" s="1"/>
  <c r="L183" i="3" s="1"/>
  <c r="L184" i="3" s="1"/>
  <c r="L185" i="3" s="1"/>
  <c r="L186" i="3" s="1"/>
  <c r="L187" i="3" s="1"/>
  <c r="L188" i="3" s="1"/>
  <c r="L189" i="3" s="1"/>
  <c r="L190" i="3" s="1"/>
  <c r="L191" i="3" s="1"/>
  <c r="L192" i="3" s="1"/>
  <c r="L193" i="3" s="1"/>
  <c r="L194" i="3" s="1"/>
  <c r="L195" i="3" s="1"/>
  <c r="L196" i="3" s="1"/>
  <c r="L197" i="3" s="1"/>
  <c r="L198" i="3" s="1"/>
  <c r="L199" i="3" s="1"/>
  <c r="L200" i="3" s="1"/>
  <c r="L201" i="3" s="1"/>
  <c r="L202" i="3" s="1"/>
  <c r="L203" i="3" s="1"/>
  <c r="L204" i="3" s="1"/>
  <c r="L205" i="3" s="1"/>
  <c r="L206" i="3" s="1"/>
  <c r="L207" i="3" s="1"/>
  <c r="L208" i="3" s="1"/>
  <c r="L209" i="3" s="1"/>
  <c r="L210" i="3" s="1"/>
  <c r="L211" i="3" s="1"/>
  <c r="L212" i="3" s="1"/>
  <c r="L213" i="3" s="1"/>
  <c r="L214" i="3" s="1"/>
  <c r="L215" i="3" s="1"/>
  <c r="L216" i="3" s="1"/>
  <c r="L217" i="3" s="1"/>
  <c r="L218" i="3" s="1"/>
  <c r="L219" i="3" s="1"/>
  <c r="L220" i="3" s="1"/>
  <c r="L221" i="3" s="1"/>
  <c r="L222" i="3" s="1"/>
  <c r="L223" i="3" s="1"/>
  <c r="L224" i="3" s="1"/>
  <c r="L225" i="3" s="1"/>
  <c r="L226" i="3" s="1"/>
  <c r="L227" i="3" s="1"/>
  <c r="L228" i="3" s="1"/>
  <c r="L229" i="3" s="1"/>
  <c r="L230" i="3" s="1"/>
  <c r="L231" i="3" s="1"/>
  <c r="L232" i="3" s="1"/>
  <c r="L233" i="3" s="1"/>
  <c r="L234" i="3" s="1"/>
  <c r="L235" i="3" s="1"/>
  <c r="L236" i="3" s="1"/>
  <c r="L237" i="3" s="1"/>
  <c r="L238" i="3" s="1"/>
  <c r="L239" i="3" s="1"/>
  <c r="L240" i="3" s="1"/>
  <c r="L241" i="3" s="1"/>
  <c r="L242" i="3" s="1"/>
  <c r="L243" i="3" s="1"/>
  <c r="L244" i="3" s="1"/>
  <c r="L245" i="3" s="1"/>
  <c r="L246" i="3" s="1"/>
  <c r="L247" i="3" s="1"/>
  <c r="L248" i="3" s="1"/>
  <c r="L249" i="3" s="1"/>
  <c r="L250" i="3" s="1"/>
  <c r="L251" i="3" s="1"/>
  <c r="L252" i="3" s="1"/>
  <c r="L253" i="3" s="1"/>
  <c r="L254" i="3" s="1"/>
  <c r="L255" i="3" s="1"/>
  <c r="L256" i="3" s="1"/>
  <c r="L257" i="3" s="1"/>
  <c r="L258" i="3" s="1"/>
  <c r="L259" i="3" s="1"/>
  <c r="L260" i="3" s="1"/>
  <c r="L261" i="3" s="1"/>
  <c r="L262" i="3" s="1"/>
  <c r="L263" i="3" s="1"/>
  <c r="L264" i="3" s="1"/>
  <c r="L265" i="3" s="1"/>
  <c r="L266" i="3" s="1"/>
  <c r="L267" i="3" s="1"/>
  <c r="L268" i="3" s="1"/>
  <c r="L269" i="3" s="1"/>
  <c r="L270" i="3" s="1"/>
  <c r="L271" i="3" s="1"/>
  <c r="L272" i="3" s="1"/>
  <c r="L273" i="3" s="1"/>
  <c r="L274" i="3" s="1"/>
  <c r="L275" i="3" s="1"/>
  <c r="L276" i="3" s="1"/>
  <c r="L277" i="3" s="1"/>
  <c r="L278" i="3" s="1"/>
  <c r="L279" i="3" s="1"/>
  <c r="L280" i="3" s="1"/>
  <c r="L281" i="3" s="1"/>
  <c r="L282" i="3" s="1"/>
  <c r="L283" i="3" s="1"/>
  <c r="L284" i="3" s="1"/>
  <c r="L285" i="3" s="1"/>
  <c r="L286" i="3" s="1"/>
  <c r="L287" i="3" s="1"/>
  <c r="L288" i="3" s="1"/>
  <c r="L289" i="3" s="1"/>
  <c r="L290" i="3" s="1"/>
  <c r="L291" i="3" s="1"/>
  <c r="L292" i="3" s="1"/>
  <c r="L293" i="3" s="1"/>
  <c r="L294" i="3" s="1"/>
  <c r="L295" i="3" s="1"/>
  <c r="L296" i="3" s="1"/>
  <c r="L297" i="3" s="1"/>
  <c r="L298" i="3" s="1"/>
  <c r="L299" i="3" s="1"/>
  <c r="L300" i="3" s="1"/>
  <c r="L301" i="3" s="1"/>
  <c r="L302" i="3" s="1"/>
  <c r="L303" i="3" s="1"/>
  <c r="L304" i="3" s="1"/>
  <c r="L305" i="3" s="1"/>
  <c r="L306" i="3" s="1"/>
  <c r="L307" i="3" s="1"/>
  <c r="L308" i="3" s="1"/>
  <c r="L309" i="3" s="1"/>
  <c r="L310" i="3" s="1"/>
  <c r="L311" i="3" s="1"/>
  <c r="L312" i="3" s="1"/>
  <c r="L313" i="3" s="1"/>
  <c r="L314" i="3" s="1"/>
  <c r="L315" i="3" s="1"/>
  <c r="L316" i="3" s="1"/>
  <c r="L317" i="3" s="1"/>
  <c r="L318" i="3" s="1"/>
  <c r="L319" i="3" s="1"/>
  <c r="L320" i="3" s="1"/>
  <c r="L321" i="3" s="1"/>
  <c r="L322" i="3" s="1"/>
  <c r="L323" i="3" s="1"/>
  <c r="L324" i="3" s="1"/>
  <c r="L325" i="3" s="1"/>
  <c r="L326" i="3" s="1"/>
  <c r="L327" i="3" s="1"/>
  <c r="L328" i="3" s="1"/>
  <c r="L329" i="3" s="1"/>
  <c r="L330" i="3" s="1"/>
  <c r="L331" i="3" s="1"/>
  <c r="L332" i="3" s="1"/>
  <c r="L333" i="3" s="1"/>
  <c r="L334" i="3" s="1"/>
  <c r="L335" i="3" s="1"/>
  <c r="L336" i="3" s="1"/>
  <c r="L337" i="3" s="1"/>
  <c r="L338" i="3" s="1"/>
  <c r="L339" i="3" s="1"/>
  <c r="L340" i="3" s="1"/>
  <c r="L341" i="3" s="1"/>
  <c r="L342" i="3" s="1"/>
  <c r="L343" i="3" s="1"/>
  <c r="L344" i="3" s="1"/>
  <c r="L345" i="3" s="1"/>
  <c r="L346" i="3" s="1"/>
  <c r="L347" i="3" s="1"/>
  <c r="L348" i="3" s="1"/>
  <c r="L349" i="3" s="1"/>
  <c r="L350" i="3" s="1"/>
  <c r="L351" i="3" s="1"/>
  <c r="L352" i="3" s="1"/>
  <c r="L353" i="3" s="1"/>
  <c r="L354" i="3" s="1"/>
  <c r="L355" i="3" s="1"/>
  <c r="L356" i="3" s="1"/>
  <c r="L357" i="3" s="1"/>
  <c r="L358" i="3" s="1"/>
  <c r="L359" i="3" s="1"/>
  <c r="L360" i="3" s="1"/>
  <c r="L361" i="3" s="1"/>
  <c r="L362" i="3" s="1"/>
  <c r="L363" i="3" s="1"/>
  <c r="L364" i="3" s="1"/>
  <c r="L365" i="3" s="1"/>
  <c r="L366" i="3" s="1"/>
  <c r="L367" i="3" s="1"/>
  <c r="L368" i="3" s="1"/>
  <c r="L369" i="3" s="1"/>
  <c r="L370" i="3" s="1"/>
  <c r="L371" i="3" s="1"/>
  <c r="L372" i="3" s="1"/>
  <c r="L373" i="3" s="1"/>
  <c r="L374" i="3" s="1"/>
  <c r="L375" i="3" s="1"/>
  <c r="L376" i="3" s="1"/>
  <c r="L377" i="3" s="1"/>
  <c r="L378" i="3" s="1"/>
  <c r="L379" i="3" s="1"/>
  <c r="L380" i="3" s="1"/>
  <c r="L381" i="3" s="1"/>
  <c r="L382" i="3" s="1"/>
  <c r="L383" i="3" s="1"/>
  <c r="L384" i="3" s="1"/>
  <c r="L385" i="3" s="1"/>
  <c r="L386" i="3" s="1"/>
  <c r="L387" i="3" s="1"/>
  <c r="L388" i="3" s="1"/>
  <c r="L389" i="3" s="1"/>
  <c r="L390" i="3" s="1"/>
  <c r="L391" i="3" s="1"/>
  <c r="L392" i="3" s="1"/>
  <c r="L393" i="3" s="1"/>
  <c r="L394" i="3" s="1"/>
  <c r="L395" i="3" s="1"/>
  <c r="L396" i="3" s="1"/>
  <c r="L397" i="3" s="1"/>
  <c r="L398" i="3" s="1"/>
  <c r="L399" i="3" s="1"/>
  <c r="L400" i="3" s="1"/>
  <c r="L401" i="3" s="1"/>
  <c r="L402" i="3" s="1"/>
  <c r="L403" i="3" s="1"/>
  <c r="L404" i="3" s="1"/>
  <c r="L405" i="3" s="1"/>
  <c r="L406" i="3" s="1"/>
  <c r="L407" i="3" s="1"/>
  <c r="L408" i="3" s="1"/>
  <c r="L409" i="3" s="1"/>
  <c r="L410" i="3" s="1"/>
  <c r="L411" i="3" s="1"/>
  <c r="L412" i="3" s="1"/>
  <c r="L413" i="3" s="1"/>
  <c r="L414" i="3" s="1"/>
  <c r="L415" i="3" s="1"/>
  <c r="L416" i="3" s="1"/>
  <c r="L417" i="3" s="1"/>
  <c r="L418" i="3" s="1"/>
  <c r="L419" i="3" s="1"/>
  <c r="L420" i="3" s="1"/>
  <c r="L421" i="3" s="1"/>
  <c r="L422" i="3" s="1"/>
  <c r="L423" i="3" s="1"/>
  <c r="L424" i="3" s="1"/>
  <c r="L425" i="3" s="1"/>
  <c r="L426" i="3" s="1"/>
  <c r="L427" i="3" s="1"/>
  <c r="L428" i="3" s="1"/>
  <c r="L429" i="3" s="1"/>
  <c r="L430" i="3" s="1"/>
  <c r="L431" i="3" s="1"/>
  <c r="L432" i="3" s="1"/>
  <c r="L433" i="3" s="1"/>
  <c r="L434" i="3" s="1"/>
  <c r="L435" i="3" s="1"/>
  <c r="L436" i="3" s="1"/>
  <c r="L437" i="3" s="1"/>
  <c r="L438" i="3" s="1"/>
  <c r="L439" i="3" s="1"/>
  <c r="L440" i="3" s="1"/>
  <c r="L441" i="3" s="1"/>
  <c r="L442" i="3" s="1"/>
  <c r="L443" i="3" s="1"/>
  <c r="L444" i="3" s="1"/>
  <c r="L445" i="3" s="1"/>
  <c r="L446" i="3" s="1"/>
  <c r="L447" i="3" s="1"/>
  <c r="L448" i="3" s="1"/>
  <c r="L449" i="3" s="1"/>
  <c r="L450" i="3" s="1"/>
  <c r="L451" i="3" s="1"/>
  <c r="L452" i="3" s="1"/>
  <c r="L453" i="3" s="1"/>
  <c r="L454" i="3" s="1"/>
  <c r="L455" i="3" s="1"/>
  <c r="L456" i="3" s="1"/>
  <c r="L457" i="3" s="1"/>
  <c r="L458" i="3" s="1"/>
  <c r="L459" i="3" s="1"/>
  <c r="L460" i="3" s="1"/>
  <c r="L461" i="3" s="1"/>
  <c r="L462" i="3" s="1"/>
  <c r="L463" i="3" s="1"/>
  <c r="L464" i="3" s="1"/>
  <c r="L465" i="3" s="1"/>
  <c r="L466" i="3" s="1"/>
  <c r="L467" i="3" s="1"/>
  <c r="L468" i="3" s="1"/>
  <c r="L469" i="3" s="1"/>
  <c r="L470" i="3" s="1"/>
  <c r="L471" i="3" s="1"/>
  <c r="L472" i="3" s="1"/>
  <c r="L473" i="3" s="1"/>
  <c r="L474" i="3" s="1"/>
  <c r="L475" i="3" s="1"/>
  <c r="L476" i="3" s="1"/>
  <c r="L477" i="3" s="1"/>
  <c r="L478" i="3" s="1"/>
  <c r="L479" i="3" s="1"/>
  <c r="L480" i="3" s="1"/>
  <c r="L481" i="3" s="1"/>
  <c r="L482" i="3" s="1"/>
  <c r="L483" i="3" s="1"/>
  <c r="L484" i="3" s="1"/>
  <c r="L485" i="3" s="1"/>
  <c r="L486" i="3" s="1"/>
  <c r="L487" i="3" s="1"/>
  <c r="L488" i="3" s="1"/>
  <c r="L489" i="3" s="1"/>
  <c r="L490" i="3" s="1"/>
  <c r="L16" i="3"/>
  <c r="L17" i="3" s="1"/>
  <c r="L18" i="3" s="1"/>
  <c r="X28" i="3"/>
  <c r="X29" i="3" s="1"/>
  <c r="X30" i="3" s="1"/>
  <c r="X31" i="3" s="1"/>
  <c r="X32" i="3" s="1"/>
  <c r="X33" i="3" s="1"/>
  <c r="X34" i="3" s="1"/>
  <c r="X35" i="3" s="1"/>
  <c r="X36" i="3" s="1"/>
  <c r="X37" i="3" s="1"/>
  <c r="X38" i="3" s="1"/>
  <c r="X39" i="3" s="1"/>
  <c r="X40" i="3" s="1"/>
  <c r="X41" i="3" s="1"/>
  <c r="X42" i="3" s="1"/>
  <c r="X43" i="3" s="1"/>
  <c r="X44" i="3" s="1"/>
  <c r="X45" i="3" s="1"/>
  <c r="X46" i="3" s="1"/>
  <c r="X47" i="3" s="1"/>
  <c r="X48" i="3" s="1"/>
  <c r="X49" i="3" s="1"/>
  <c r="X50" i="3" s="1"/>
  <c r="X51" i="3" s="1"/>
  <c r="X52" i="3" s="1"/>
  <c r="X53" i="3" s="1"/>
  <c r="X54" i="3" s="1"/>
  <c r="X55" i="3" s="1"/>
  <c r="X56" i="3" s="1"/>
  <c r="X57" i="3" s="1"/>
  <c r="X58" i="3" s="1"/>
  <c r="X59" i="3" s="1"/>
  <c r="X60" i="3" s="1"/>
  <c r="X61" i="3" s="1"/>
  <c r="X62" i="3" s="1"/>
  <c r="X63" i="3" s="1"/>
  <c r="X64" i="3" s="1"/>
  <c r="X65" i="3" s="1"/>
  <c r="X66" i="3" s="1"/>
  <c r="X67" i="3" s="1"/>
  <c r="X68" i="3" s="1"/>
  <c r="X69" i="3" s="1"/>
  <c r="X70" i="3" s="1"/>
  <c r="X71" i="3" s="1"/>
  <c r="X72" i="3" s="1"/>
  <c r="X73" i="3" s="1"/>
  <c r="X74" i="3" s="1"/>
  <c r="X75" i="3" s="1"/>
  <c r="X76" i="3" s="1"/>
  <c r="X77" i="3" s="1"/>
  <c r="X78" i="3" s="1"/>
  <c r="X79" i="3" s="1"/>
  <c r="X80" i="3" s="1"/>
  <c r="X81" i="3" s="1"/>
  <c r="X82" i="3" s="1"/>
  <c r="X83" i="3" s="1"/>
  <c r="X84" i="3" s="1"/>
  <c r="X85" i="3" s="1"/>
  <c r="X86" i="3" s="1"/>
  <c r="X87" i="3" s="1"/>
  <c r="X88" i="3" s="1"/>
  <c r="X89" i="3" s="1"/>
  <c r="X90" i="3" s="1"/>
  <c r="X91" i="3" s="1"/>
  <c r="X92" i="3" s="1"/>
  <c r="X93" i="3" s="1"/>
  <c r="X94" i="3" s="1"/>
  <c r="X95" i="3" s="1"/>
  <c r="X96" i="3" s="1"/>
  <c r="X97" i="3" s="1"/>
  <c r="X98" i="3" s="1"/>
  <c r="X99" i="3" s="1"/>
  <c r="X100" i="3" s="1"/>
  <c r="X101" i="3" s="1"/>
  <c r="X102" i="3" s="1"/>
  <c r="X103" i="3" s="1"/>
  <c r="X104" i="3" s="1"/>
  <c r="X105" i="3" s="1"/>
  <c r="X106" i="3" s="1"/>
  <c r="X107" i="3" s="1"/>
  <c r="X108" i="3" s="1"/>
  <c r="X109" i="3" s="1"/>
  <c r="X110" i="3" s="1"/>
  <c r="X111" i="3" s="1"/>
  <c r="X112" i="3" s="1"/>
  <c r="X113" i="3" s="1"/>
  <c r="X114" i="3" s="1"/>
  <c r="X115" i="3" s="1"/>
  <c r="X116" i="3" s="1"/>
  <c r="X117" i="3" s="1"/>
  <c r="X118" i="3" s="1"/>
  <c r="X119" i="3" s="1"/>
  <c r="X120" i="3" s="1"/>
  <c r="X121" i="3" s="1"/>
  <c r="X122" i="3" s="1"/>
  <c r="X123" i="3" s="1"/>
  <c r="X124" i="3" s="1"/>
  <c r="X125" i="3" s="1"/>
  <c r="X126" i="3" s="1"/>
  <c r="X127" i="3" s="1"/>
  <c r="X128" i="3" s="1"/>
  <c r="X129" i="3" s="1"/>
  <c r="X130" i="3" s="1"/>
  <c r="X131" i="3" s="1"/>
  <c r="X132" i="3" s="1"/>
  <c r="X133" i="3" s="1"/>
  <c r="X134" i="3" s="1"/>
  <c r="X135" i="3" s="1"/>
  <c r="X136" i="3" s="1"/>
  <c r="X137" i="3" s="1"/>
  <c r="X138" i="3" s="1"/>
  <c r="X139" i="3" s="1"/>
  <c r="X140" i="3" s="1"/>
  <c r="X141" i="3" s="1"/>
  <c r="X142" i="3" s="1"/>
  <c r="X143" i="3" s="1"/>
  <c r="X144" i="3" s="1"/>
  <c r="X145" i="3" s="1"/>
  <c r="X146" i="3" s="1"/>
  <c r="X147" i="3" s="1"/>
  <c r="X148" i="3" s="1"/>
  <c r="X149" i="3" s="1"/>
  <c r="X150" i="3" s="1"/>
  <c r="X151" i="3" s="1"/>
  <c r="X152" i="3" s="1"/>
  <c r="X153" i="3" s="1"/>
  <c r="X154" i="3" s="1"/>
  <c r="X155" i="3" s="1"/>
  <c r="X156" i="3" s="1"/>
  <c r="X157" i="3" s="1"/>
  <c r="X158" i="3" s="1"/>
  <c r="X159" i="3" s="1"/>
  <c r="X160" i="3" s="1"/>
  <c r="X161" i="3" s="1"/>
  <c r="X162" i="3" s="1"/>
  <c r="X163" i="3" s="1"/>
  <c r="X164" i="3" s="1"/>
  <c r="X165" i="3" s="1"/>
  <c r="X166" i="3" s="1"/>
  <c r="X167" i="3" s="1"/>
  <c r="X168" i="3" s="1"/>
  <c r="X169" i="3" s="1"/>
  <c r="X170" i="3" s="1"/>
  <c r="X171" i="3" s="1"/>
  <c r="X172" i="3" s="1"/>
  <c r="X173" i="3" s="1"/>
  <c r="X174" i="3" s="1"/>
  <c r="X175" i="3" s="1"/>
  <c r="X176" i="3" s="1"/>
  <c r="X177" i="3" s="1"/>
  <c r="X178" i="3" s="1"/>
  <c r="X179" i="3" s="1"/>
  <c r="X180" i="3" s="1"/>
  <c r="X181" i="3" s="1"/>
  <c r="X182" i="3" s="1"/>
  <c r="X183" i="3" s="1"/>
  <c r="X184" i="3" s="1"/>
  <c r="X185" i="3" s="1"/>
  <c r="X186" i="3" s="1"/>
  <c r="X187" i="3" s="1"/>
  <c r="X188" i="3" s="1"/>
  <c r="X189" i="3" s="1"/>
  <c r="X190" i="3" s="1"/>
  <c r="X191" i="3" s="1"/>
  <c r="X192" i="3" s="1"/>
  <c r="X193" i="3" s="1"/>
  <c r="X194" i="3" s="1"/>
  <c r="X195" i="3" s="1"/>
  <c r="X196" i="3" s="1"/>
  <c r="X197" i="3" s="1"/>
  <c r="X198" i="3" s="1"/>
  <c r="X199" i="3" s="1"/>
  <c r="X200" i="3" s="1"/>
  <c r="X201" i="3" s="1"/>
  <c r="X202" i="3" s="1"/>
  <c r="X203" i="3" s="1"/>
  <c r="X204" i="3" s="1"/>
  <c r="X205" i="3" s="1"/>
  <c r="X206" i="3" s="1"/>
  <c r="X207" i="3" s="1"/>
  <c r="X208" i="3" s="1"/>
  <c r="X209" i="3" s="1"/>
  <c r="X210" i="3" s="1"/>
  <c r="X211" i="3" s="1"/>
  <c r="X212" i="3" s="1"/>
  <c r="X213" i="3" s="1"/>
  <c r="X214" i="3" s="1"/>
  <c r="X215" i="3" s="1"/>
  <c r="X216" i="3" s="1"/>
  <c r="X217" i="3" s="1"/>
  <c r="X218" i="3" s="1"/>
  <c r="X219" i="3" s="1"/>
  <c r="X220" i="3" s="1"/>
  <c r="X221" i="3" s="1"/>
  <c r="X222" i="3" s="1"/>
  <c r="X223" i="3" s="1"/>
  <c r="X224" i="3" s="1"/>
  <c r="X225" i="3" s="1"/>
  <c r="X226" i="3" s="1"/>
  <c r="X227" i="3" s="1"/>
  <c r="X228" i="3" s="1"/>
  <c r="X229" i="3" s="1"/>
  <c r="X230" i="3" s="1"/>
  <c r="X231" i="3" s="1"/>
  <c r="X232" i="3" s="1"/>
  <c r="X233" i="3" s="1"/>
  <c r="X234" i="3" s="1"/>
  <c r="X235" i="3" s="1"/>
  <c r="X236" i="3" s="1"/>
  <c r="X237" i="3" s="1"/>
  <c r="X238" i="3" s="1"/>
  <c r="X239" i="3" s="1"/>
  <c r="X240" i="3" s="1"/>
  <c r="X241" i="3" s="1"/>
  <c r="X242" i="3" s="1"/>
  <c r="X243" i="3" s="1"/>
  <c r="X244" i="3" s="1"/>
  <c r="X245" i="3" s="1"/>
  <c r="X246" i="3" s="1"/>
  <c r="X247" i="3" s="1"/>
  <c r="X248" i="3" s="1"/>
  <c r="X249" i="3" s="1"/>
  <c r="X250" i="3" s="1"/>
  <c r="X251" i="3" s="1"/>
  <c r="X252" i="3" s="1"/>
  <c r="X253" i="3" s="1"/>
  <c r="X254" i="3" s="1"/>
  <c r="X255" i="3" s="1"/>
  <c r="X256" i="3" s="1"/>
  <c r="X257" i="3" s="1"/>
  <c r="X258" i="3" s="1"/>
  <c r="X259" i="3" s="1"/>
  <c r="X260" i="3" s="1"/>
  <c r="X261" i="3" s="1"/>
  <c r="X262" i="3" s="1"/>
  <c r="X263" i="3" s="1"/>
  <c r="X264" i="3" s="1"/>
  <c r="X265" i="3" s="1"/>
  <c r="X266" i="3" s="1"/>
  <c r="X267" i="3" s="1"/>
  <c r="X268" i="3" s="1"/>
  <c r="X269" i="3" s="1"/>
  <c r="X270" i="3" s="1"/>
  <c r="X271" i="3" s="1"/>
  <c r="X272" i="3" s="1"/>
  <c r="X273" i="3" s="1"/>
  <c r="X274" i="3" s="1"/>
  <c r="X275" i="3" s="1"/>
  <c r="X276" i="3" s="1"/>
  <c r="X277" i="3" s="1"/>
  <c r="X278" i="3" s="1"/>
  <c r="X279" i="3" s="1"/>
  <c r="X280" i="3" s="1"/>
  <c r="X281" i="3" s="1"/>
  <c r="X282" i="3" s="1"/>
  <c r="X283" i="3" s="1"/>
  <c r="X284" i="3" s="1"/>
  <c r="X285" i="3" s="1"/>
  <c r="X286" i="3" s="1"/>
  <c r="X287" i="3" s="1"/>
  <c r="X288" i="3" s="1"/>
  <c r="X289" i="3" s="1"/>
  <c r="X290" i="3" s="1"/>
  <c r="X291" i="3" s="1"/>
  <c r="X292" i="3" s="1"/>
  <c r="X293" i="3" s="1"/>
  <c r="X294" i="3" s="1"/>
  <c r="X295" i="3" s="1"/>
  <c r="X296" i="3" s="1"/>
  <c r="X297" i="3" s="1"/>
  <c r="X298" i="3" s="1"/>
  <c r="X299" i="3" s="1"/>
  <c r="X300" i="3" s="1"/>
  <c r="X301" i="3" s="1"/>
  <c r="X302" i="3" s="1"/>
  <c r="X303" i="3" s="1"/>
  <c r="X304" i="3" s="1"/>
  <c r="X305" i="3" s="1"/>
  <c r="X306" i="3" s="1"/>
  <c r="X307" i="3" s="1"/>
  <c r="X308" i="3" s="1"/>
  <c r="X309" i="3" s="1"/>
  <c r="X310" i="3" s="1"/>
  <c r="X311" i="3" s="1"/>
  <c r="X312" i="3" s="1"/>
  <c r="X313" i="3" s="1"/>
  <c r="X314" i="3" s="1"/>
  <c r="X315" i="3" s="1"/>
  <c r="X316" i="3" s="1"/>
  <c r="X317" i="3" s="1"/>
  <c r="X318" i="3" s="1"/>
  <c r="X319" i="3" s="1"/>
  <c r="X320" i="3" s="1"/>
  <c r="X321" i="3" s="1"/>
  <c r="X322" i="3" s="1"/>
  <c r="X323" i="3" s="1"/>
  <c r="X324" i="3" s="1"/>
  <c r="X325" i="3" s="1"/>
  <c r="X326" i="3" s="1"/>
  <c r="X327" i="3" s="1"/>
  <c r="X328" i="3" s="1"/>
  <c r="X329" i="3" s="1"/>
  <c r="X330" i="3" s="1"/>
  <c r="X331" i="3" s="1"/>
  <c r="X332" i="3" s="1"/>
  <c r="X333" i="3" s="1"/>
  <c r="X334" i="3" s="1"/>
  <c r="X335" i="3" s="1"/>
  <c r="X336" i="3" s="1"/>
  <c r="X337" i="3" s="1"/>
  <c r="X338" i="3" s="1"/>
  <c r="X339" i="3" s="1"/>
  <c r="X340" i="3" s="1"/>
  <c r="X341" i="3" s="1"/>
  <c r="X342" i="3" s="1"/>
  <c r="X343" i="3" s="1"/>
  <c r="X344" i="3" s="1"/>
  <c r="X345" i="3" s="1"/>
  <c r="X346" i="3" s="1"/>
  <c r="X347" i="3" s="1"/>
  <c r="X348" i="3" s="1"/>
  <c r="X349" i="3" s="1"/>
  <c r="X350" i="3" s="1"/>
  <c r="X351" i="3" s="1"/>
  <c r="X352" i="3" s="1"/>
  <c r="X353" i="3" s="1"/>
  <c r="X354" i="3" s="1"/>
  <c r="X355" i="3" s="1"/>
  <c r="X356" i="3" s="1"/>
  <c r="X357" i="3" s="1"/>
  <c r="X358" i="3" s="1"/>
  <c r="X359" i="3" s="1"/>
  <c r="X360" i="3" s="1"/>
  <c r="X361" i="3" s="1"/>
  <c r="X362" i="3" s="1"/>
  <c r="X363" i="3" s="1"/>
  <c r="X364" i="3" s="1"/>
  <c r="X365" i="3" s="1"/>
  <c r="X366" i="3" s="1"/>
  <c r="X367" i="3" s="1"/>
  <c r="X368" i="3" s="1"/>
  <c r="X369" i="3" s="1"/>
  <c r="X370" i="3" s="1"/>
  <c r="X371" i="3" s="1"/>
  <c r="X372" i="3" s="1"/>
  <c r="X373" i="3" s="1"/>
  <c r="X374" i="3" s="1"/>
  <c r="X375" i="3" s="1"/>
  <c r="X376" i="3" s="1"/>
  <c r="X377" i="3" s="1"/>
  <c r="X378" i="3" s="1"/>
  <c r="X379" i="3" s="1"/>
  <c r="X380" i="3" s="1"/>
  <c r="X381" i="3" s="1"/>
  <c r="X382" i="3" s="1"/>
  <c r="X383" i="3" s="1"/>
  <c r="X384" i="3" s="1"/>
  <c r="X385" i="3" s="1"/>
  <c r="X386" i="3" s="1"/>
  <c r="X387" i="3" s="1"/>
  <c r="X388" i="3" s="1"/>
  <c r="X389" i="3" s="1"/>
  <c r="X390" i="3" s="1"/>
  <c r="X391" i="3" s="1"/>
  <c r="X392" i="3" s="1"/>
  <c r="X393" i="3" s="1"/>
  <c r="X394" i="3" s="1"/>
  <c r="X395" i="3" s="1"/>
  <c r="X396" i="3" s="1"/>
  <c r="X397" i="3" s="1"/>
  <c r="X398" i="3" s="1"/>
  <c r="X399" i="3" s="1"/>
  <c r="X400" i="3" s="1"/>
  <c r="X401" i="3" s="1"/>
  <c r="X402" i="3" s="1"/>
  <c r="X403" i="3" s="1"/>
  <c r="X404" i="3" s="1"/>
  <c r="X405" i="3" s="1"/>
  <c r="X406" i="3" s="1"/>
  <c r="X407" i="3" s="1"/>
  <c r="X408" i="3" s="1"/>
  <c r="X409" i="3" s="1"/>
  <c r="X410" i="3" s="1"/>
  <c r="X411" i="3" s="1"/>
  <c r="X412" i="3" s="1"/>
  <c r="X413" i="3" s="1"/>
  <c r="X414" i="3" s="1"/>
  <c r="X415" i="3" s="1"/>
  <c r="X416" i="3" s="1"/>
  <c r="X417" i="3" s="1"/>
  <c r="X418" i="3" s="1"/>
  <c r="X419" i="3" s="1"/>
  <c r="X420" i="3" s="1"/>
  <c r="X421" i="3" s="1"/>
  <c r="X422" i="3" s="1"/>
  <c r="X423" i="3" s="1"/>
  <c r="X424" i="3" s="1"/>
  <c r="X425" i="3" s="1"/>
  <c r="X426" i="3" s="1"/>
  <c r="X427" i="3" s="1"/>
  <c r="X428" i="3" s="1"/>
  <c r="X429" i="3" s="1"/>
  <c r="X430" i="3" s="1"/>
  <c r="X431" i="3" s="1"/>
  <c r="X432" i="3" s="1"/>
  <c r="X433" i="3" s="1"/>
  <c r="X434" i="3" s="1"/>
  <c r="X435" i="3" s="1"/>
  <c r="X436" i="3" s="1"/>
  <c r="X437" i="3" s="1"/>
  <c r="X438" i="3" s="1"/>
  <c r="X439" i="3" s="1"/>
  <c r="X440" i="3" s="1"/>
  <c r="X441" i="3" s="1"/>
  <c r="X442" i="3" s="1"/>
  <c r="X443" i="3" s="1"/>
  <c r="X444" i="3" s="1"/>
  <c r="X445" i="3" s="1"/>
  <c r="X446" i="3" s="1"/>
  <c r="X447" i="3" s="1"/>
  <c r="X448" i="3" s="1"/>
  <c r="X449" i="3" s="1"/>
  <c r="X450" i="3" s="1"/>
  <c r="X451" i="3" s="1"/>
  <c r="X452" i="3" s="1"/>
  <c r="X453" i="3" s="1"/>
  <c r="X454" i="3" s="1"/>
  <c r="X455" i="3" s="1"/>
  <c r="X456" i="3" s="1"/>
  <c r="X457" i="3" s="1"/>
  <c r="X458" i="3" s="1"/>
  <c r="X459" i="3" s="1"/>
  <c r="X460" i="3" s="1"/>
  <c r="X461" i="3" s="1"/>
  <c r="X462" i="3" s="1"/>
  <c r="X463" i="3" s="1"/>
  <c r="X464" i="3" s="1"/>
  <c r="X465" i="3" s="1"/>
  <c r="X466" i="3" s="1"/>
  <c r="X467" i="3" s="1"/>
  <c r="X468" i="3" s="1"/>
  <c r="X469" i="3" s="1"/>
  <c r="X470" i="3" s="1"/>
  <c r="X471" i="3" s="1"/>
  <c r="X472" i="3" s="1"/>
  <c r="X473" i="3" s="1"/>
  <c r="X474" i="3" s="1"/>
  <c r="X475" i="3" s="1"/>
  <c r="X476" i="3" s="1"/>
  <c r="X477" i="3" s="1"/>
  <c r="X478" i="3" s="1"/>
  <c r="X479" i="3" s="1"/>
  <c r="X480" i="3" s="1"/>
  <c r="X481" i="3" s="1"/>
  <c r="X482" i="3" s="1"/>
  <c r="X483" i="3" s="1"/>
  <c r="X484" i="3" s="1"/>
  <c r="X485" i="3" s="1"/>
  <c r="X486" i="3" s="1"/>
  <c r="X487" i="3" s="1"/>
  <c r="X488" i="3" s="1"/>
  <c r="X489" i="3" s="1"/>
  <c r="X490" i="3" s="1"/>
  <c r="D15" i="3"/>
  <c r="S13" i="3"/>
  <c r="E13" i="3"/>
  <c r="F13" i="3" s="1"/>
  <c r="I14" i="4"/>
  <c r="K14" i="4"/>
  <c r="N13" i="3"/>
  <c r="M13" i="3"/>
  <c r="C14" i="4" s="1"/>
  <c r="J13" i="3"/>
  <c r="G14" i="4" s="1"/>
  <c r="O514" i="2" l="1"/>
  <c r="P512" i="3"/>
  <c r="I513" i="4" s="1"/>
  <c r="M513" i="4" s="1"/>
  <c r="P515" i="2"/>
  <c r="V513" i="3"/>
  <c r="K514" i="4" s="1"/>
  <c r="N514" i="4" s="1"/>
  <c r="N515" i="2"/>
  <c r="J513" i="3"/>
  <c r="G514" i="4" s="1"/>
  <c r="L514" i="4" s="1"/>
  <c r="L14" i="4"/>
  <c r="L501" i="4"/>
  <c r="L508" i="4"/>
  <c r="L494" i="4"/>
  <c r="L493" i="4"/>
  <c r="L513" i="4"/>
  <c r="L506" i="4"/>
  <c r="L502" i="4"/>
  <c r="L507" i="4"/>
  <c r="L499" i="4"/>
  <c r="L510" i="4"/>
  <c r="L498" i="4"/>
  <c r="L495" i="4"/>
  <c r="L511" i="4"/>
  <c r="L512" i="4"/>
  <c r="L505" i="4"/>
  <c r="L500" i="4"/>
  <c r="L504" i="4"/>
  <c r="L492" i="4"/>
  <c r="L497" i="4"/>
  <c r="L509" i="4"/>
  <c r="L496" i="4"/>
  <c r="L503" i="4"/>
  <c r="N512" i="4"/>
  <c r="N493" i="4"/>
  <c r="N494" i="4"/>
  <c r="N492" i="4"/>
  <c r="N501" i="4"/>
  <c r="N507" i="4"/>
  <c r="N508" i="4"/>
  <c r="N510" i="4"/>
  <c r="N506" i="4"/>
  <c r="N497" i="4"/>
  <c r="N496" i="4"/>
  <c r="N504" i="4"/>
  <c r="N499" i="4"/>
  <c r="N502" i="4"/>
  <c r="N511" i="4"/>
  <c r="N509" i="4"/>
  <c r="N513" i="4"/>
  <c r="N498" i="4"/>
  <c r="N505" i="4"/>
  <c r="N495" i="4"/>
  <c r="N500" i="4"/>
  <c r="N503" i="4"/>
  <c r="M14" i="4"/>
  <c r="M506" i="4"/>
  <c r="M494" i="4"/>
  <c r="M495" i="4"/>
  <c r="M508" i="4"/>
  <c r="M512" i="4"/>
  <c r="M502" i="4"/>
  <c r="M499" i="4"/>
  <c r="M507" i="4"/>
  <c r="M510" i="4"/>
  <c r="M511" i="4"/>
  <c r="M492" i="4"/>
  <c r="M504" i="4"/>
  <c r="M493" i="4"/>
  <c r="M497" i="4"/>
  <c r="M496" i="4"/>
  <c r="M509" i="4"/>
  <c r="M501" i="4"/>
  <c r="M503" i="4"/>
  <c r="M498" i="4"/>
  <c r="M500" i="4"/>
  <c r="M505" i="4"/>
  <c r="M520" i="2"/>
  <c r="K522" i="2"/>
  <c r="C519" i="2"/>
  <c r="D520" i="2"/>
  <c r="L520" i="2"/>
  <c r="C506" i="2"/>
  <c r="I503" i="2"/>
  <c r="F503" i="2" s="1"/>
  <c r="L504" i="2"/>
  <c r="K505" i="2"/>
  <c r="H504" i="2"/>
  <c r="M504" i="2"/>
  <c r="J503" i="2"/>
  <c r="G503" i="2" s="1"/>
  <c r="D504" i="2"/>
  <c r="H494" i="2"/>
  <c r="E494" i="2" s="1"/>
  <c r="I494" i="2"/>
  <c r="F494" i="2" s="1"/>
  <c r="L495" i="2"/>
  <c r="D495" i="2"/>
  <c r="C497" i="2"/>
  <c r="K496" i="2"/>
  <c r="H495" i="2"/>
  <c r="M495" i="2"/>
  <c r="J494" i="2"/>
  <c r="G494" i="2" s="1"/>
  <c r="C18" i="2"/>
  <c r="I13" i="3"/>
  <c r="F14" i="4" s="1"/>
  <c r="O13" i="3"/>
  <c r="H14" i="4" s="1"/>
  <c r="U13" i="3"/>
  <c r="J14" i="4" s="1"/>
  <c r="D19" i="2"/>
  <c r="O18" i="2"/>
  <c r="V17" i="2"/>
  <c r="T17" i="2" s="1"/>
  <c r="N18" i="2"/>
  <c r="U17" i="2"/>
  <c r="D16" i="3"/>
  <c r="A15" i="4"/>
  <c r="J14" i="3"/>
  <c r="V14" i="3"/>
  <c r="M14" i="3"/>
  <c r="N14" i="3"/>
  <c r="C14" i="3"/>
  <c r="P14" i="3"/>
  <c r="E14" i="3"/>
  <c r="F14" i="3" s="1"/>
  <c r="G14" i="3"/>
  <c r="S14" i="3"/>
  <c r="Y14" i="3" s="1"/>
  <c r="Z14" i="3" s="1"/>
  <c r="AA14" i="3" s="1"/>
  <c r="T14" i="3"/>
  <c r="H14" i="3"/>
  <c r="W18" i="2"/>
  <c r="P19" i="2"/>
  <c r="M18" i="2"/>
  <c r="J17" i="2"/>
  <c r="G17" i="2" s="1"/>
  <c r="I17" i="2"/>
  <c r="F17" i="2" s="1"/>
  <c r="L18" i="2"/>
  <c r="H17" i="2"/>
  <c r="E17" i="2" s="1"/>
  <c r="K18" i="2"/>
  <c r="O515" i="2" l="1"/>
  <c r="P513" i="3"/>
  <c r="I514" i="4" s="1"/>
  <c r="M514" i="4" s="1"/>
  <c r="P516" i="2"/>
  <c r="V514" i="3"/>
  <c r="K515" i="4" s="1"/>
  <c r="N515" i="4" s="1"/>
  <c r="N516" i="2"/>
  <c r="J514" i="3"/>
  <c r="G515" i="4" s="1"/>
  <c r="L515" i="4" s="1"/>
  <c r="K523" i="2"/>
  <c r="M521" i="2"/>
  <c r="D521" i="2"/>
  <c r="L521" i="2"/>
  <c r="C520" i="2"/>
  <c r="D505" i="2"/>
  <c r="E504" i="2"/>
  <c r="M505" i="2"/>
  <c r="J504" i="2"/>
  <c r="G504" i="2" s="1"/>
  <c r="L505" i="2"/>
  <c r="I504" i="2"/>
  <c r="F504" i="2" s="1"/>
  <c r="K506" i="2"/>
  <c r="H505" i="2"/>
  <c r="C507" i="2"/>
  <c r="K497" i="2"/>
  <c r="H496" i="2"/>
  <c r="D496" i="2"/>
  <c r="E495" i="2"/>
  <c r="L496" i="2"/>
  <c r="I495" i="2"/>
  <c r="F495" i="2" s="1"/>
  <c r="M496" i="2"/>
  <c r="J495" i="2"/>
  <c r="G495" i="2" s="1"/>
  <c r="C498" i="2"/>
  <c r="V18" i="2"/>
  <c r="T18" i="2" s="1"/>
  <c r="O19" i="2"/>
  <c r="D20" i="2"/>
  <c r="U18" i="2"/>
  <c r="N19" i="2"/>
  <c r="M19" i="2"/>
  <c r="J18" i="2"/>
  <c r="G18" i="2" s="1"/>
  <c r="C15" i="4"/>
  <c r="AB14" i="3"/>
  <c r="E15" i="4" s="1"/>
  <c r="L19" i="2"/>
  <c r="I18" i="2"/>
  <c r="I15" i="4"/>
  <c r="M15" i="4" s="1"/>
  <c r="K15" i="4"/>
  <c r="N15" i="4" s="1"/>
  <c r="G15" i="4"/>
  <c r="L15" i="4" s="1"/>
  <c r="K19" i="2"/>
  <c r="H18" i="2"/>
  <c r="O14" i="3"/>
  <c r="H15" i="4" s="1"/>
  <c r="U14" i="3"/>
  <c r="J15" i="4" s="1"/>
  <c r="I14" i="3"/>
  <c r="F15" i="4" s="1"/>
  <c r="D15" i="4"/>
  <c r="D17" i="3"/>
  <c r="A16" i="4"/>
  <c r="G15" i="3"/>
  <c r="S15" i="3"/>
  <c r="Y15" i="3" s="1"/>
  <c r="Z15" i="3" s="1"/>
  <c r="AA15" i="3" s="1"/>
  <c r="H15" i="3"/>
  <c r="T15" i="3"/>
  <c r="J15" i="3"/>
  <c r="V15" i="3"/>
  <c r="M15" i="3"/>
  <c r="N15" i="3"/>
  <c r="C15" i="3"/>
  <c r="P15" i="3"/>
  <c r="E15" i="3"/>
  <c r="F15" i="3" s="1"/>
  <c r="W19" i="2"/>
  <c r="P20" i="2"/>
  <c r="E18" i="2"/>
  <c r="F18" i="2"/>
  <c r="C19" i="2"/>
  <c r="O516" i="2" l="1"/>
  <c r="P514" i="3"/>
  <c r="I515" i="4" s="1"/>
  <c r="M515" i="4" s="1"/>
  <c r="V515" i="3"/>
  <c r="K516" i="4" s="1"/>
  <c r="N516" i="4" s="1"/>
  <c r="P517" i="2"/>
  <c r="J515" i="3"/>
  <c r="G516" i="4" s="1"/>
  <c r="L516" i="4" s="1"/>
  <c r="N517" i="2"/>
  <c r="C521" i="2"/>
  <c r="L522" i="2"/>
  <c r="D522" i="2"/>
  <c r="M522" i="2"/>
  <c r="K524" i="2"/>
  <c r="C508" i="2"/>
  <c r="H506" i="2"/>
  <c r="K507" i="2"/>
  <c r="M506" i="2"/>
  <c r="J505" i="2"/>
  <c r="L506" i="2"/>
  <c r="I505" i="2"/>
  <c r="F505" i="2" s="1"/>
  <c r="G505" i="2"/>
  <c r="D506" i="2"/>
  <c r="E505" i="2"/>
  <c r="C499" i="2"/>
  <c r="M497" i="2"/>
  <c r="J496" i="2"/>
  <c r="G496" i="2" s="1"/>
  <c r="D497" i="2"/>
  <c r="E496" i="2"/>
  <c r="L497" i="2"/>
  <c r="I496" i="2"/>
  <c r="F496" i="2" s="1"/>
  <c r="H497" i="2"/>
  <c r="K498" i="2"/>
  <c r="D16" i="4"/>
  <c r="L20" i="2"/>
  <c r="I19" i="2"/>
  <c r="F19" i="2"/>
  <c r="C20" i="2"/>
  <c r="C16" i="4"/>
  <c r="AB15" i="3"/>
  <c r="E16" i="4" s="1"/>
  <c r="K20" i="2"/>
  <c r="H19" i="2"/>
  <c r="E19" i="2" s="1"/>
  <c r="M20" i="2"/>
  <c r="J19" i="2"/>
  <c r="P21" i="2"/>
  <c r="W20" i="2"/>
  <c r="U19" i="2"/>
  <c r="N20" i="2"/>
  <c r="I15" i="3"/>
  <c r="U15" i="3"/>
  <c r="O15" i="3"/>
  <c r="H16" i="4"/>
  <c r="J16" i="4"/>
  <c r="K16" i="4"/>
  <c r="N16" i="4" s="1"/>
  <c r="F16" i="4"/>
  <c r="G16" i="4"/>
  <c r="L16" i="4" s="1"/>
  <c r="I16" i="4"/>
  <c r="M16" i="4" s="1"/>
  <c r="A17" i="4"/>
  <c r="C16" i="3"/>
  <c r="P16" i="3"/>
  <c r="E16" i="3"/>
  <c r="F16" i="3" s="1"/>
  <c r="G16" i="3"/>
  <c r="S16" i="3"/>
  <c r="Y16" i="3" s="1"/>
  <c r="Z16" i="3" s="1"/>
  <c r="AA16" i="3" s="1"/>
  <c r="H16" i="3"/>
  <c r="T16" i="3"/>
  <c r="J16" i="3"/>
  <c r="V16" i="3"/>
  <c r="M16" i="3"/>
  <c r="N16" i="3"/>
  <c r="D18" i="3"/>
  <c r="D21" i="2"/>
  <c r="G19" i="2"/>
  <c r="V19" i="2"/>
  <c r="T19" i="2" s="1"/>
  <c r="O20" i="2"/>
  <c r="O517" i="2" l="1"/>
  <c r="P515" i="3"/>
  <c r="I516" i="4" s="1"/>
  <c r="M516" i="4" s="1"/>
  <c r="V516" i="3"/>
  <c r="K517" i="4" s="1"/>
  <c r="N517" i="4" s="1"/>
  <c r="P518" i="2"/>
  <c r="J517" i="2"/>
  <c r="G517" i="2" s="1"/>
  <c r="T516" i="3" s="1"/>
  <c r="U516" i="3" s="1"/>
  <c r="J517" i="4" s="1"/>
  <c r="J516" i="3"/>
  <c r="G517" i="4" s="1"/>
  <c r="L517" i="4" s="1"/>
  <c r="N518" i="2"/>
  <c r="H517" i="2"/>
  <c r="E517" i="2" s="1"/>
  <c r="H516" i="3" s="1"/>
  <c r="I516" i="3" s="1"/>
  <c r="F517" i="4" s="1"/>
  <c r="M523" i="2"/>
  <c r="D523" i="2"/>
  <c r="L523" i="2"/>
  <c r="C522" i="2"/>
  <c r="K525" i="2"/>
  <c r="D507" i="2"/>
  <c r="E506" i="2"/>
  <c r="M507" i="2"/>
  <c r="J506" i="2"/>
  <c r="G506" i="2" s="1"/>
  <c r="I506" i="2"/>
  <c r="F506" i="2" s="1"/>
  <c r="L507" i="2"/>
  <c r="K508" i="2"/>
  <c r="H507" i="2"/>
  <c r="C509" i="2"/>
  <c r="I497" i="2"/>
  <c r="F497" i="2" s="1"/>
  <c r="L498" i="2"/>
  <c r="M498" i="2"/>
  <c r="J497" i="2"/>
  <c r="G497" i="2" s="1"/>
  <c r="D498" i="2"/>
  <c r="E497" i="2"/>
  <c r="C500" i="2"/>
  <c r="K499" i="2"/>
  <c r="H498" i="2"/>
  <c r="D17" i="4"/>
  <c r="K21" i="2"/>
  <c r="H20" i="2"/>
  <c r="M21" i="2"/>
  <c r="J20" i="2"/>
  <c r="G20" i="2" s="1"/>
  <c r="A18" i="4"/>
  <c r="M17" i="3"/>
  <c r="N17" i="3"/>
  <c r="C17" i="3"/>
  <c r="P17" i="3"/>
  <c r="E17" i="3"/>
  <c r="F17" i="3" s="1"/>
  <c r="G17" i="3"/>
  <c r="S17" i="3"/>
  <c r="Y17" i="3" s="1"/>
  <c r="Z17" i="3" s="1"/>
  <c r="AA17" i="3" s="1"/>
  <c r="H17" i="3"/>
  <c r="T17" i="3"/>
  <c r="V17" i="3"/>
  <c r="J17" i="3"/>
  <c r="O21" i="2"/>
  <c r="V20" i="2"/>
  <c r="T20" i="2" s="1"/>
  <c r="D22" i="2"/>
  <c r="O16" i="3"/>
  <c r="I16" i="3"/>
  <c r="F17" i="4" s="1"/>
  <c r="U16" i="3"/>
  <c r="J17" i="4" s="1"/>
  <c r="D19" i="3"/>
  <c r="E20" i="2"/>
  <c r="C21" i="2"/>
  <c r="U20" i="2"/>
  <c r="N21" i="2"/>
  <c r="G17" i="4"/>
  <c r="L17" i="4" s="1"/>
  <c r="I17" i="4"/>
  <c r="M17" i="4" s="1"/>
  <c r="K17" i="4"/>
  <c r="N17" i="4" s="1"/>
  <c r="H17" i="4"/>
  <c r="C17" i="4"/>
  <c r="AB16" i="3"/>
  <c r="E17" i="4" s="1"/>
  <c r="I20" i="2"/>
  <c r="F20" i="2" s="1"/>
  <c r="L21" i="2"/>
  <c r="W21" i="2"/>
  <c r="P22" i="2"/>
  <c r="O518" i="2" l="1"/>
  <c r="P516" i="3"/>
  <c r="I517" i="4" s="1"/>
  <c r="M517" i="4" s="1"/>
  <c r="I517" i="2"/>
  <c r="F517" i="2" s="1"/>
  <c r="N516" i="3" s="1"/>
  <c r="O516" i="3" s="1"/>
  <c r="H517" i="4" s="1"/>
  <c r="P519" i="2"/>
  <c r="V517" i="3"/>
  <c r="K518" i="4" s="1"/>
  <c r="N518" i="4" s="1"/>
  <c r="J518" i="2"/>
  <c r="G518" i="2" s="1"/>
  <c r="T517" i="3" s="1"/>
  <c r="U517" i="3" s="1"/>
  <c r="J518" i="4" s="1"/>
  <c r="N519" i="2"/>
  <c r="J517" i="3"/>
  <c r="G518" i="4" s="1"/>
  <c r="L518" i="4" s="1"/>
  <c r="H518" i="2"/>
  <c r="E518" i="2" s="1"/>
  <c r="H517" i="3" s="1"/>
  <c r="I517" i="3" s="1"/>
  <c r="F518" i="4" s="1"/>
  <c r="C523" i="2"/>
  <c r="K526" i="2"/>
  <c r="L524" i="2"/>
  <c r="D524" i="2"/>
  <c r="M524" i="2"/>
  <c r="L508" i="2"/>
  <c r="I507" i="2"/>
  <c r="F507" i="2" s="1"/>
  <c r="K509" i="2"/>
  <c r="H508" i="2"/>
  <c r="M508" i="2"/>
  <c r="J507" i="2"/>
  <c r="C510" i="2"/>
  <c r="D508" i="2"/>
  <c r="G507" i="2"/>
  <c r="E507" i="2"/>
  <c r="D499" i="2"/>
  <c r="E498" i="2"/>
  <c r="M499" i="2"/>
  <c r="J498" i="2"/>
  <c r="G498" i="2" s="1"/>
  <c r="L499" i="2"/>
  <c r="I498" i="2"/>
  <c r="F498" i="2" s="1"/>
  <c r="K500" i="2"/>
  <c r="H500" i="2" s="1"/>
  <c r="H499" i="2"/>
  <c r="D18" i="4"/>
  <c r="D23" i="2"/>
  <c r="O17" i="3"/>
  <c r="U17" i="3"/>
  <c r="J18" i="4" s="1"/>
  <c r="I17" i="3"/>
  <c r="P23" i="2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P34" i="2" s="1"/>
  <c r="P35" i="2" s="1"/>
  <c r="P36" i="2" s="1"/>
  <c r="P37" i="2" s="1"/>
  <c r="P38" i="2" s="1"/>
  <c r="P39" i="2" s="1"/>
  <c r="P40" i="2" s="1"/>
  <c r="P41" i="2" s="1"/>
  <c r="P42" i="2" s="1"/>
  <c r="P43" i="2" s="1"/>
  <c r="P44" i="2" s="1"/>
  <c r="P45" i="2" s="1"/>
  <c r="P46" i="2" s="1"/>
  <c r="P47" i="2" s="1"/>
  <c r="P48" i="2" s="1"/>
  <c r="P49" i="2" s="1"/>
  <c r="P50" i="2" s="1"/>
  <c r="P51" i="2" s="1"/>
  <c r="P52" i="2" s="1"/>
  <c r="P53" i="2" s="1"/>
  <c r="P54" i="2" s="1"/>
  <c r="P55" i="2" s="1"/>
  <c r="P56" i="2" s="1"/>
  <c r="P57" i="2" s="1"/>
  <c r="P58" i="2" s="1"/>
  <c r="P59" i="2" s="1"/>
  <c r="P60" i="2" s="1"/>
  <c r="P61" i="2" s="1"/>
  <c r="P62" i="2" s="1"/>
  <c r="P63" i="2" s="1"/>
  <c r="P64" i="2" s="1"/>
  <c r="P65" i="2" s="1"/>
  <c r="P66" i="2" s="1"/>
  <c r="P67" i="2" s="1"/>
  <c r="P68" i="2" s="1"/>
  <c r="P69" i="2" s="1"/>
  <c r="P70" i="2" s="1"/>
  <c r="P71" i="2" s="1"/>
  <c r="P72" i="2" s="1"/>
  <c r="P73" i="2" s="1"/>
  <c r="P74" i="2" s="1"/>
  <c r="P75" i="2" s="1"/>
  <c r="P76" i="2" s="1"/>
  <c r="P77" i="2" s="1"/>
  <c r="P78" i="2" s="1"/>
  <c r="P79" i="2" s="1"/>
  <c r="P80" i="2" s="1"/>
  <c r="P81" i="2" s="1"/>
  <c r="P82" i="2" s="1"/>
  <c r="P83" i="2" s="1"/>
  <c r="P84" i="2" s="1"/>
  <c r="P85" i="2" s="1"/>
  <c r="P86" i="2" s="1"/>
  <c r="P87" i="2" s="1"/>
  <c r="P88" i="2" s="1"/>
  <c r="P89" i="2" s="1"/>
  <c r="P90" i="2" s="1"/>
  <c r="P91" i="2" s="1"/>
  <c r="P92" i="2" s="1"/>
  <c r="P93" i="2" s="1"/>
  <c r="P94" i="2" s="1"/>
  <c r="P95" i="2" s="1"/>
  <c r="P96" i="2" s="1"/>
  <c r="P97" i="2" s="1"/>
  <c r="P98" i="2" s="1"/>
  <c r="P99" i="2" s="1"/>
  <c r="P100" i="2" s="1"/>
  <c r="P101" i="2" s="1"/>
  <c r="P102" i="2" s="1"/>
  <c r="P103" i="2" s="1"/>
  <c r="P104" i="2" s="1"/>
  <c r="P105" i="2" s="1"/>
  <c r="P106" i="2" s="1"/>
  <c r="P107" i="2" s="1"/>
  <c r="P108" i="2" s="1"/>
  <c r="P109" i="2" s="1"/>
  <c r="P110" i="2" s="1"/>
  <c r="P111" i="2" s="1"/>
  <c r="P112" i="2" s="1"/>
  <c r="P113" i="2" s="1"/>
  <c r="P114" i="2" s="1"/>
  <c r="P115" i="2" s="1"/>
  <c r="P116" i="2" s="1"/>
  <c r="P117" i="2" s="1"/>
  <c r="P118" i="2" s="1"/>
  <c r="P119" i="2" s="1"/>
  <c r="P120" i="2" s="1"/>
  <c r="P121" i="2" s="1"/>
  <c r="P122" i="2" s="1"/>
  <c r="P123" i="2" s="1"/>
  <c r="P124" i="2" s="1"/>
  <c r="P125" i="2" s="1"/>
  <c r="P126" i="2" s="1"/>
  <c r="P127" i="2" s="1"/>
  <c r="P128" i="2" s="1"/>
  <c r="P129" i="2" s="1"/>
  <c r="P130" i="2" s="1"/>
  <c r="P131" i="2" s="1"/>
  <c r="P132" i="2" s="1"/>
  <c r="P133" i="2" s="1"/>
  <c r="P134" i="2" s="1"/>
  <c r="P135" i="2" s="1"/>
  <c r="P136" i="2" s="1"/>
  <c r="P137" i="2" s="1"/>
  <c r="P138" i="2" s="1"/>
  <c r="P139" i="2" s="1"/>
  <c r="P140" i="2" s="1"/>
  <c r="P141" i="2" s="1"/>
  <c r="P142" i="2" s="1"/>
  <c r="P143" i="2" s="1"/>
  <c r="P144" i="2" s="1"/>
  <c r="P145" i="2" s="1"/>
  <c r="P146" i="2" s="1"/>
  <c r="P147" i="2" s="1"/>
  <c r="P148" i="2" s="1"/>
  <c r="P149" i="2" s="1"/>
  <c r="P150" i="2" s="1"/>
  <c r="P151" i="2" s="1"/>
  <c r="P152" i="2" s="1"/>
  <c r="P153" i="2" s="1"/>
  <c r="P154" i="2" s="1"/>
  <c r="P155" i="2" s="1"/>
  <c r="P156" i="2" s="1"/>
  <c r="P157" i="2" s="1"/>
  <c r="P158" i="2" s="1"/>
  <c r="P159" i="2" s="1"/>
  <c r="P160" i="2" s="1"/>
  <c r="P161" i="2" s="1"/>
  <c r="P162" i="2" s="1"/>
  <c r="P163" i="2" s="1"/>
  <c r="P164" i="2" s="1"/>
  <c r="P165" i="2" s="1"/>
  <c r="P166" i="2" s="1"/>
  <c r="P167" i="2" s="1"/>
  <c r="P168" i="2" s="1"/>
  <c r="P169" i="2" s="1"/>
  <c r="P170" i="2" s="1"/>
  <c r="P171" i="2" s="1"/>
  <c r="P172" i="2" s="1"/>
  <c r="P173" i="2" s="1"/>
  <c r="P174" i="2" s="1"/>
  <c r="P175" i="2" s="1"/>
  <c r="P176" i="2" s="1"/>
  <c r="P177" i="2" s="1"/>
  <c r="P178" i="2" s="1"/>
  <c r="P179" i="2" s="1"/>
  <c r="P180" i="2" s="1"/>
  <c r="P181" i="2" s="1"/>
  <c r="P182" i="2" s="1"/>
  <c r="P183" i="2" s="1"/>
  <c r="P184" i="2" s="1"/>
  <c r="P185" i="2" s="1"/>
  <c r="P186" i="2" s="1"/>
  <c r="P187" i="2" s="1"/>
  <c r="P188" i="2" s="1"/>
  <c r="P189" i="2" s="1"/>
  <c r="P190" i="2" s="1"/>
  <c r="P191" i="2" s="1"/>
  <c r="P192" i="2" s="1"/>
  <c r="P193" i="2" s="1"/>
  <c r="P194" i="2" s="1"/>
  <c r="P195" i="2" s="1"/>
  <c r="P196" i="2" s="1"/>
  <c r="P197" i="2" s="1"/>
  <c r="P198" i="2" s="1"/>
  <c r="P199" i="2" s="1"/>
  <c r="P200" i="2" s="1"/>
  <c r="P201" i="2" s="1"/>
  <c r="P202" i="2" s="1"/>
  <c r="P203" i="2" s="1"/>
  <c r="P204" i="2" s="1"/>
  <c r="P205" i="2" s="1"/>
  <c r="P206" i="2" s="1"/>
  <c r="P207" i="2" s="1"/>
  <c r="P208" i="2" s="1"/>
  <c r="P209" i="2" s="1"/>
  <c r="P210" i="2" s="1"/>
  <c r="P211" i="2" s="1"/>
  <c r="P212" i="2" s="1"/>
  <c r="P213" i="2" s="1"/>
  <c r="P214" i="2" s="1"/>
  <c r="P215" i="2" s="1"/>
  <c r="P216" i="2" s="1"/>
  <c r="P217" i="2" s="1"/>
  <c r="P218" i="2" s="1"/>
  <c r="P219" i="2" s="1"/>
  <c r="P220" i="2" s="1"/>
  <c r="P221" i="2" s="1"/>
  <c r="P222" i="2" s="1"/>
  <c r="P223" i="2" s="1"/>
  <c r="P224" i="2" s="1"/>
  <c r="P225" i="2" s="1"/>
  <c r="P226" i="2" s="1"/>
  <c r="P227" i="2" s="1"/>
  <c r="P228" i="2" s="1"/>
  <c r="P229" i="2" s="1"/>
  <c r="P230" i="2" s="1"/>
  <c r="P231" i="2" s="1"/>
  <c r="P232" i="2" s="1"/>
  <c r="P233" i="2" s="1"/>
  <c r="P234" i="2" s="1"/>
  <c r="P235" i="2" s="1"/>
  <c r="P236" i="2" s="1"/>
  <c r="P237" i="2" s="1"/>
  <c r="P238" i="2" s="1"/>
  <c r="P239" i="2" s="1"/>
  <c r="P240" i="2" s="1"/>
  <c r="P241" i="2" s="1"/>
  <c r="P242" i="2" s="1"/>
  <c r="P243" i="2" s="1"/>
  <c r="P244" i="2" s="1"/>
  <c r="P245" i="2" s="1"/>
  <c r="P246" i="2" s="1"/>
  <c r="P247" i="2" s="1"/>
  <c r="P248" i="2" s="1"/>
  <c r="P249" i="2" s="1"/>
  <c r="P250" i="2" s="1"/>
  <c r="P251" i="2" s="1"/>
  <c r="P252" i="2" s="1"/>
  <c r="P253" i="2" s="1"/>
  <c r="P254" i="2" s="1"/>
  <c r="P255" i="2" s="1"/>
  <c r="P256" i="2" s="1"/>
  <c r="P257" i="2" s="1"/>
  <c r="P258" i="2" s="1"/>
  <c r="P259" i="2" s="1"/>
  <c r="P260" i="2" s="1"/>
  <c r="P261" i="2" s="1"/>
  <c r="P262" i="2" s="1"/>
  <c r="P263" i="2" s="1"/>
  <c r="P264" i="2" s="1"/>
  <c r="P265" i="2" s="1"/>
  <c r="P266" i="2" s="1"/>
  <c r="P267" i="2" s="1"/>
  <c r="P268" i="2" s="1"/>
  <c r="P269" i="2" s="1"/>
  <c r="P270" i="2" s="1"/>
  <c r="P271" i="2" s="1"/>
  <c r="P272" i="2" s="1"/>
  <c r="P273" i="2" s="1"/>
  <c r="P274" i="2" s="1"/>
  <c r="P275" i="2" s="1"/>
  <c r="P276" i="2" s="1"/>
  <c r="P277" i="2" s="1"/>
  <c r="P278" i="2" s="1"/>
  <c r="P279" i="2" s="1"/>
  <c r="P280" i="2" s="1"/>
  <c r="P281" i="2" s="1"/>
  <c r="P282" i="2" s="1"/>
  <c r="P283" i="2" s="1"/>
  <c r="P284" i="2" s="1"/>
  <c r="P285" i="2" s="1"/>
  <c r="P286" i="2" s="1"/>
  <c r="P287" i="2" s="1"/>
  <c r="P288" i="2" s="1"/>
  <c r="P289" i="2" s="1"/>
  <c r="P290" i="2" s="1"/>
  <c r="P291" i="2" s="1"/>
  <c r="P292" i="2" s="1"/>
  <c r="P293" i="2" s="1"/>
  <c r="P294" i="2" s="1"/>
  <c r="P295" i="2" s="1"/>
  <c r="P296" i="2" s="1"/>
  <c r="P297" i="2" s="1"/>
  <c r="P298" i="2" s="1"/>
  <c r="P299" i="2" s="1"/>
  <c r="P300" i="2" s="1"/>
  <c r="P301" i="2" s="1"/>
  <c r="P302" i="2" s="1"/>
  <c r="P303" i="2" s="1"/>
  <c r="P304" i="2" s="1"/>
  <c r="P305" i="2" s="1"/>
  <c r="P306" i="2" s="1"/>
  <c r="P307" i="2" s="1"/>
  <c r="P308" i="2" s="1"/>
  <c r="P309" i="2" s="1"/>
  <c r="P310" i="2" s="1"/>
  <c r="P311" i="2" s="1"/>
  <c r="P312" i="2" s="1"/>
  <c r="P313" i="2" s="1"/>
  <c r="P314" i="2" s="1"/>
  <c r="P315" i="2" s="1"/>
  <c r="P316" i="2" s="1"/>
  <c r="P317" i="2" s="1"/>
  <c r="P318" i="2" s="1"/>
  <c r="P319" i="2" s="1"/>
  <c r="P320" i="2" s="1"/>
  <c r="P321" i="2" s="1"/>
  <c r="P322" i="2" s="1"/>
  <c r="P323" i="2" s="1"/>
  <c r="P324" i="2" s="1"/>
  <c r="P325" i="2" s="1"/>
  <c r="P326" i="2" s="1"/>
  <c r="P327" i="2" s="1"/>
  <c r="P328" i="2" s="1"/>
  <c r="P329" i="2" s="1"/>
  <c r="P330" i="2" s="1"/>
  <c r="P331" i="2" s="1"/>
  <c r="P332" i="2" s="1"/>
  <c r="P333" i="2" s="1"/>
  <c r="P334" i="2" s="1"/>
  <c r="P335" i="2" s="1"/>
  <c r="P336" i="2" s="1"/>
  <c r="P337" i="2" s="1"/>
  <c r="P338" i="2" s="1"/>
  <c r="P339" i="2" s="1"/>
  <c r="P340" i="2" s="1"/>
  <c r="P341" i="2" s="1"/>
  <c r="P342" i="2" s="1"/>
  <c r="P343" i="2" s="1"/>
  <c r="P344" i="2" s="1"/>
  <c r="P345" i="2" s="1"/>
  <c r="P346" i="2" s="1"/>
  <c r="P347" i="2" s="1"/>
  <c r="P348" i="2" s="1"/>
  <c r="P349" i="2" s="1"/>
  <c r="P350" i="2" s="1"/>
  <c r="P351" i="2" s="1"/>
  <c r="P352" i="2" s="1"/>
  <c r="P353" i="2" s="1"/>
  <c r="P354" i="2" s="1"/>
  <c r="P355" i="2" s="1"/>
  <c r="P356" i="2" s="1"/>
  <c r="P357" i="2" s="1"/>
  <c r="P358" i="2" s="1"/>
  <c r="P359" i="2" s="1"/>
  <c r="P360" i="2" s="1"/>
  <c r="P361" i="2" s="1"/>
  <c r="P362" i="2" s="1"/>
  <c r="P363" i="2" s="1"/>
  <c r="P364" i="2" s="1"/>
  <c r="P365" i="2" s="1"/>
  <c r="P366" i="2" s="1"/>
  <c r="P367" i="2" s="1"/>
  <c r="P368" i="2" s="1"/>
  <c r="P369" i="2" s="1"/>
  <c r="P370" i="2" s="1"/>
  <c r="P371" i="2" s="1"/>
  <c r="P372" i="2" s="1"/>
  <c r="P373" i="2" s="1"/>
  <c r="P374" i="2" s="1"/>
  <c r="P375" i="2" s="1"/>
  <c r="P376" i="2" s="1"/>
  <c r="P377" i="2" s="1"/>
  <c r="P378" i="2" s="1"/>
  <c r="P379" i="2" s="1"/>
  <c r="P380" i="2" s="1"/>
  <c r="P381" i="2" s="1"/>
  <c r="P382" i="2" s="1"/>
  <c r="P383" i="2" s="1"/>
  <c r="P384" i="2" s="1"/>
  <c r="P385" i="2" s="1"/>
  <c r="P386" i="2" s="1"/>
  <c r="P387" i="2" s="1"/>
  <c r="P388" i="2" s="1"/>
  <c r="P389" i="2" s="1"/>
  <c r="P390" i="2" s="1"/>
  <c r="P391" i="2" s="1"/>
  <c r="P392" i="2" s="1"/>
  <c r="P393" i="2" s="1"/>
  <c r="P394" i="2" s="1"/>
  <c r="P395" i="2" s="1"/>
  <c r="P396" i="2" s="1"/>
  <c r="P397" i="2" s="1"/>
  <c r="P398" i="2" s="1"/>
  <c r="P399" i="2" s="1"/>
  <c r="P400" i="2" s="1"/>
  <c r="P401" i="2" s="1"/>
  <c r="P402" i="2" s="1"/>
  <c r="P403" i="2" s="1"/>
  <c r="P404" i="2" s="1"/>
  <c r="P405" i="2" s="1"/>
  <c r="P406" i="2" s="1"/>
  <c r="P407" i="2" s="1"/>
  <c r="P408" i="2" s="1"/>
  <c r="P409" i="2" s="1"/>
  <c r="P410" i="2" s="1"/>
  <c r="P411" i="2" s="1"/>
  <c r="P412" i="2" s="1"/>
  <c r="P413" i="2" s="1"/>
  <c r="P414" i="2" s="1"/>
  <c r="P415" i="2" s="1"/>
  <c r="P416" i="2" s="1"/>
  <c r="P417" i="2" s="1"/>
  <c r="P418" i="2" s="1"/>
  <c r="P419" i="2" s="1"/>
  <c r="P420" i="2" s="1"/>
  <c r="P421" i="2" s="1"/>
  <c r="P422" i="2" s="1"/>
  <c r="P423" i="2" s="1"/>
  <c r="P424" i="2" s="1"/>
  <c r="P425" i="2" s="1"/>
  <c r="P426" i="2" s="1"/>
  <c r="P427" i="2" s="1"/>
  <c r="P428" i="2" s="1"/>
  <c r="P429" i="2" s="1"/>
  <c r="P430" i="2" s="1"/>
  <c r="P431" i="2" s="1"/>
  <c r="P432" i="2" s="1"/>
  <c r="P433" i="2" s="1"/>
  <c r="P434" i="2" s="1"/>
  <c r="P435" i="2" s="1"/>
  <c r="P436" i="2" s="1"/>
  <c r="P437" i="2" s="1"/>
  <c r="P438" i="2" s="1"/>
  <c r="P439" i="2" s="1"/>
  <c r="P440" i="2" s="1"/>
  <c r="P441" i="2" s="1"/>
  <c r="P442" i="2" s="1"/>
  <c r="P443" i="2" s="1"/>
  <c r="P444" i="2" s="1"/>
  <c r="P445" i="2" s="1"/>
  <c r="P446" i="2" s="1"/>
  <c r="P447" i="2" s="1"/>
  <c r="P448" i="2" s="1"/>
  <c r="P449" i="2" s="1"/>
  <c r="P450" i="2" s="1"/>
  <c r="P451" i="2" s="1"/>
  <c r="P452" i="2" s="1"/>
  <c r="P453" i="2" s="1"/>
  <c r="P454" i="2" s="1"/>
  <c r="P455" i="2" s="1"/>
  <c r="P456" i="2" s="1"/>
  <c r="P457" i="2" s="1"/>
  <c r="P458" i="2" s="1"/>
  <c r="P459" i="2" s="1"/>
  <c r="P460" i="2" s="1"/>
  <c r="P461" i="2" s="1"/>
  <c r="P462" i="2" s="1"/>
  <c r="P463" i="2" s="1"/>
  <c r="P464" i="2" s="1"/>
  <c r="P465" i="2" s="1"/>
  <c r="P466" i="2" s="1"/>
  <c r="P467" i="2" s="1"/>
  <c r="P468" i="2" s="1"/>
  <c r="P469" i="2" s="1"/>
  <c r="P470" i="2" s="1"/>
  <c r="P471" i="2" s="1"/>
  <c r="P472" i="2" s="1"/>
  <c r="P473" i="2" s="1"/>
  <c r="P474" i="2" s="1"/>
  <c r="P475" i="2" s="1"/>
  <c r="P476" i="2" s="1"/>
  <c r="P477" i="2" s="1"/>
  <c r="P478" i="2" s="1"/>
  <c r="P479" i="2" s="1"/>
  <c r="P480" i="2" s="1"/>
  <c r="P481" i="2" s="1"/>
  <c r="P482" i="2" s="1"/>
  <c r="P483" i="2" s="1"/>
  <c r="P484" i="2" s="1"/>
  <c r="P485" i="2" s="1"/>
  <c r="P486" i="2" s="1"/>
  <c r="P487" i="2" s="1"/>
  <c r="P488" i="2" s="1"/>
  <c r="P489" i="2" s="1"/>
  <c r="P490" i="2" s="1"/>
  <c r="P491" i="2" s="1"/>
  <c r="W22" i="2"/>
  <c r="W23" i="2" s="1"/>
  <c r="W24" i="2" s="1"/>
  <c r="W25" i="2" s="1"/>
  <c r="W26" i="2" s="1"/>
  <c r="W27" i="2" s="1"/>
  <c r="W28" i="2" s="1"/>
  <c r="W29" i="2" s="1"/>
  <c r="W30" i="2" s="1"/>
  <c r="W31" i="2" s="1"/>
  <c r="W32" i="2" s="1"/>
  <c r="W33" i="2" s="1"/>
  <c r="W34" i="2" s="1"/>
  <c r="W35" i="2" s="1"/>
  <c r="W36" i="2" s="1"/>
  <c r="W37" i="2" s="1"/>
  <c r="W38" i="2" s="1"/>
  <c r="W39" i="2" s="1"/>
  <c r="W40" i="2" s="1"/>
  <c r="W41" i="2" s="1"/>
  <c r="W42" i="2" s="1"/>
  <c r="W43" i="2" s="1"/>
  <c r="W44" i="2" s="1"/>
  <c r="W45" i="2" s="1"/>
  <c r="W46" i="2" s="1"/>
  <c r="W47" i="2" s="1"/>
  <c r="W48" i="2" s="1"/>
  <c r="W49" i="2" s="1"/>
  <c r="W50" i="2" s="1"/>
  <c r="W51" i="2" s="1"/>
  <c r="W52" i="2" s="1"/>
  <c r="W53" i="2" s="1"/>
  <c r="W54" i="2" s="1"/>
  <c r="W55" i="2" s="1"/>
  <c r="W56" i="2" s="1"/>
  <c r="W57" i="2" s="1"/>
  <c r="W58" i="2" s="1"/>
  <c r="W59" i="2" s="1"/>
  <c r="W60" i="2" s="1"/>
  <c r="W61" i="2" s="1"/>
  <c r="W62" i="2" s="1"/>
  <c r="W63" i="2" s="1"/>
  <c r="W64" i="2" s="1"/>
  <c r="W65" i="2" s="1"/>
  <c r="W66" i="2" s="1"/>
  <c r="W67" i="2" s="1"/>
  <c r="W68" i="2" s="1"/>
  <c r="W69" i="2" s="1"/>
  <c r="W70" i="2" s="1"/>
  <c r="W71" i="2" s="1"/>
  <c r="W72" i="2" s="1"/>
  <c r="W73" i="2" s="1"/>
  <c r="W74" i="2" s="1"/>
  <c r="W75" i="2" s="1"/>
  <c r="W76" i="2" s="1"/>
  <c r="W77" i="2" s="1"/>
  <c r="W78" i="2" s="1"/>
  <c r="W79" i="2" s="1"/>
  <c r="W80" i="2" s="1"/>
  <c r="W81" i="2" s="1"/>
  <c r="W82" i="2" s="1"/>
  <c r="W83" i="2" s="1"/>
  <c r="W84" i="2" s="1"/>
  <c r="W85" i="2" s="1"/>
  <c r="W86" i="2" s="1"/>
  <c r="W87" i="2" s="1"/>
  <c r="W88" i="2" s="1"/>
  <c r="W89" i="2" s="1"/>
  <c r="W90" i="2" s="1"/>
  <c r="W91" i="2" s="1"/>
  <c r="W92" i="2" s="1"/>
  <c r="W93" i="2" s="1"/>
  <c r="W94" i="2" s="1"/>
  <c r="W95" i="2" s="1"/>
  <c r="W96" i="2" s="1"/>
  <c r="W97" i="2" s="1"/>
  <c r="W98" i="2" s="1"/>
  <c r="W99" i="2" s="1"/>
  <c r="W100" i="2" s="1"/>
  <c r="W101" i="2" s="1"/>
  <c r="W102" i="2" s="1"/>
  <c r="W103" i="2" s="1"/>
  <c r="W104" i="2" s="1"/>
  <c r="W105" i="2" s="1"/>
  <c r="W106" i="2" s="1"/>
  <c r="W107" i="2" s="1"/>
  <c r="W108" i="2" s="1"/>
  <c r="W109" i="2" s="1"/>
  <c r="W110" i="2" s="1"/>
  <c r="W111" i="2" s="1"/>
  <c r="W112" i="2" s="1"/>
  <c r="W113" i="2" s="1"/>
  <c r="W114" i="2" s="1"/>
  <c r="W115" i="2" s="1"/>
  <c r="W116" i="2" s="1"/>
  <c r="W117" i="2" s="1"/>
  <c r="W118" i="2" s="1"/>
  <c r="W119" i="2" s="1"/>
  <c r="W120" i="2" s="1"/>
  <c r="W121" i="2" s="1"/>
  <c r="W122" i="2" s="1"/>
  <c r="W123" i="2" s="1"/>
  <c r="W124" i="2" s="1"/>
  <c r="W125" i="2" s="1"/>
  <c r="W126" i="2" s="1"/>
  <c r="W127" i="2" s="1"/>
  <c r="W128" i="2" s="1"/>
  <c r="W129" i="2" s="1"/>
  <c r="W130" i="2" s="1"/>
  <c r="W131" i="2" s="1"/>
  <c r="W132" i="2" s="1"/>
  <c r="W133" i="2" s="1"/>
  <c r="W134" i="2" s="1"/>
  <c r="W135" i="2" s="1"/>
  <c r="W136" i="2" s="1"/>
  <c r="W137" i="2" s="1"/>
  <c r="W138" i="2" s="1"/>
  <c r="W139" i="2" s="1"/>
  <c r="W140" i="2" s="1"/>
  <c r="W141" i="2" s="1"/>
  <c r="W142" i="2" s="1"/>
  <c r="W143" i="2" s="1"/>
  <c r="W144" i="2" s="1"/>
  <c r="W145" i="2" s="1"/>
  <c r="W146" i="2" s="1"/>
  <c r="W147" i="2" s="1"/>
  <c r="W148" i="2" s="1"/>
  <c r="W149" i="2" s="1"/>
  <c r="W150" i="2" s="1"/>
  <c r="W151" i="2" s="1"/>
  <c r="W152" i="2" s="1"/>
  <c r="W153" i="2" s="1"/>
  <c r="W154" i="2" s="1"/>
  <c r="W155" i="2" s="1"/>
  <c r="W156" i="2" s="1"/>
  <c r="W157" i="2" s="1"/>
  <c r="W158" i="2" s="1"/>
  <c r="W159" i="2" s="1"/>
  <c r="W160" i="2" s="1"/>
  <c r="W161" i="2" s="1"/>
  <c r="W162" i="2" s="1"/>
  <c r="W163" i="2" s="1"/>
  <c r="W164" i="2" s="1"/>
  <c r="W165" i="2" s="1"/>
  <c r="W166" i="2" s="1"/>
  <c r="W167" i="2" s="1"/>
  <c r="W168" i="2" s="1"/>
  <c r="W169" i="2" s="1"/>
  <c r="W170" i="2" s="1"/>
  <c r="W171" i="2" s="1"/>
  <c r="W172" i="2" s="1"/>
  <c r="W173" i="2" s="1"/>
  <c r="W174" i="2" s="1"/>
  <c r="W175" i="2" s="1"/>
  <c r="W176" i="2" s="1"/>
  <c r="W177" i="2" s="1"/>
  <c r="W178" i="2" s="1"/>
  <c r="W179" i="2" s="1"/>
  <c r="W180" i="2" s="1"/>
  <c r="W181" i="2" s="1"/>
  <c r="W182" i="2" s="1"/>
  <c r="W183" i="2" s="1"/>
  <c r="W184" i="2" s="1"/>
  <c r="W185" i="2" s="1"/>
  <c r="W186" i="2" s="1"/>
  <c r="W187" i="2" s="1"/>
  <c r="W188" i="2" s="1"/>
  <c r="W189" i="2" s="1"/>
  <c r="W190" i="2" s="1"/>
  <c r="W191" i="2" s="1"/>
  <c r="W192" i="2" s="1"/>
  <c r="W193" i="2" s="1"/>
  <c r="W194" i="2" s="1"/>
  <c r="W195" i="2" s="1"/>
  <c r="W196" i="2" s="1"/>
  <c r="W197" i="2" s="1"/>
  <c r="W198" i="2" s="1"/>
  <c r="W199" i="2" s="1"/>
  <c r="W200" i="2" s="1"/>
  <c r="W201" i="2" s="1"/>
  <c r="W202" i="2" s="1"/>
  <c r="W203" i="2" s="1"/>
  <c r="W204" i="2" s="1"/>
  <c r="W205" i="2" s="1"/>
  <c r="W206" i="2" s="1"/>
  <c r="W207" i="2" s="1"/>
  <c r="W208" i="2" s="1"/>
  <c r="W209" i="2" s="1"/>
  <c r="W210" i="2" s="1"/>
  <c r="W211" i="2" s="1"/>
  <c r="W212" i="2" s="1"/>
  <c r="W213" i="2" s="1"/>
  <c r="W214" i="2" s="1"/>
  <c r="W215" i="2" s="1"/>
  <c r="W216" i="2" s="1"/>
  <c r="W217" i="2" s="1"/>
  <c r="W218" i="2" s="1"/>
  <c r="W219" i="2" s="1"/>
  <c r="W220" i="2" s="1"/>
  <c r="W221" i="2" s="1"/>
  <c r="W222" i="2" s="1"/>
  <c r="W223" i="2" s="1"/>
  <c r="W224" i="2" s="1"/>
  <c r="W225" i="2" s="1"/>
  <c r="W226" i="2" s="1"/>
  <c r="W227" i="2" s="1"/>
  <c r="W228" i="2" s="1"/>
  <c r="W229" i="2" s="1"/>
  <c r="W230" i="2" s="1"/>
  <c r="W231" i="2" s="1"/>
  <c r="W232" i="2" s="1"/>
  <c r="W233" i="2" s="1"/>
  <c r="W234" i="2" s="1"/>
  <c r="W235" i="2" s="1"/>
  <c r="W236" i="2" s="1"/>
  <c r="W237" i="2" s="1"/>
  <c r="W238" i="2" s="1"/>
  <c r="W239" i="2" s="1"/>
  <c r="W240" i="2" s="1"/>
  <c r="W241" i="2" s="1"/>
  <c r="W242" i="2" s="1"/>
  <c r="W243" i="2" s="1"/>
  <c r="W244" i="2" s="1"/>
  <c r="W245" i="2" s="1"/>
  <c r="W246" i="2" s="1"/>
  <c r="W247" i="2" s="1"/>
  <c r="W248" i="2" s="1"/>
  <c r="W249" i="2" s="1"/>
  <c r="W250" i="2" s="1"/>
  <c r="W251" i="2" s="1"/>
  <c r="W252" i="2" s="1"/>
  <c r="W253" i="2" s="1"/>
  <c r="W254" i="2" s="1"/>
  <c r="W255" i="2" s="1"/>
  <c r="W256" i="2" s="1"/>
  <c r="W257" i="2" s="1"/>
  <c r="W258" i="2" s="1"/>
  <c r="W259" i="2" s="1"/>
  <c r="W260" i="2" s="1"/>
  <c r="W261" i="2" s="1"/>
  <c r="W262" i="2" s="1"/>
  <c r="W263" i="2" s="1"/>
  <c r="W264" i="2" s="1"/>
  <c r="W265" i="2" s="1"/>
  <c r="W266" i="2" s="1"/>
  <c r="W267" i="2" s="1"/>
  <c r="W268" i="2" s="1"/>
  <c r="W269" i="2" s="1"/>
  <c r="W270" i="2" s="1"/>
  <c r="W271" i="2" s="1"/>
  <c r="W272" i="2" s="1"/>
  <c r="W273" i="2" s="1"/>
  <c r="W274" i="2" s="1"/>
  <c r="W275" i="2" s="1"/>
  <c r="W276" i="2" s="1"/>
  <c r="W277" i="2" s="1"/>
  <c r="W278" i="2" s="1"/>
  <c r="W279" i="2" s="1"/>
  <c r="W280" i="2" s="1"/>
  <c r="W281" i="2" s="1"/>
  <c r="W282" i="2" s="1"/>
  <c r="W283" i="2" s="1"/>
  <c r="W284" i="2" s="1"/>
  <c r="W285" i="2" s="1"/>
  <c r="W286" i="2" s="1"/>
  <c r="W287" i="2" s="1"/>
  <c r="W288" i="2" s="1"/>
  <c r="W289" i="2" s="1"/>
  <c r="W290" i="2" s="1"/>
  <c r="W291" i="2" s="1"/>
  <c r="W292" i="2" s="1"/>
  <c r="W293" i="2" s="1"/>
  <c r="W294" i="2" s="1"/>
  <c r="W295" i="2" s="1"/>
  <c r="W296" i="2" s="1"/>
  <c r="W297" i="2" s="1"/>
  <c r="W298" i="2" s="1"/>
  <c r="W299" i="2" s="1"/>
  <c r="W300" i="2" s="1"/>
  <c r="W301" i="2" s="1"/>
  <c r="W302" i="2" s="1"/>
  <c r="W303" i="2" s="1"/>
  <c r="W304" i="2" s="1"/>
  <c r="W305" i="2" s="1"/>
  <c r="W306" i="2" s="1"/>
  <c r="W307" i="2" s="1"/>
  <c r="W308" i="2" s="1"/>
  <c r="W309" i="2" s="1"/>
  <c r="W310" i="2" s="1"/>
  <c r="W311" i="2" s="1"/>
  <c r="W312" i="2" s="1"/>
  <c r="W313" i="2" s="1"/>
  <c r="W314" i="2" s="1"/>
  <c r="W315" i="2" s="1"/>
  <c r="W316" i="2" s="1"/>
  <c r="W317" i="2" s="1"/>
  <c r="W318" i="2" s="1"/>
  <c r="W319" i="2" s="1"/>
  <c r="W320" i="2" s="1"/>
  <c r="W321" i="2" s="1"/>
  <c r="W322" i="2" s="1"/>
  <c r="W323" i="2" s="1"/>
  <c r="W324" i="2" s="1"/>
  <c r="W325" i="2" s="1"/>
  <c r="W326" i="2" s="1"/>
  <c r="W327" i="2" s="1"/>
  <c r="W328" i="2" s="1"/>
  <c r="W329" i="2" s="1"/>
  <c r="W330" i="2" s="1"/>
  <c r="W331" i="2" s="1"/>
  <c r="W332" i="2" s="1"/>
  <c r="W333" i="2" s="1"/>
  <c r="W334" i="2" s="1"/>
  <c r="W335" i="2" s="1"/>
  <c r="W336" i="2" s="1"/>
  <c r="W337" i="2" s="1"/>
  <c r="W338" i="2" s="1"/>
  <c r="W339" i="2" s="1"/>
  <c r="W340" i="2" s="1"/>
  <c r="W341" i="2" s="1"/>
  <c r="W342" i="2" s="1"/>
  <c r="W343" i="2" s="1"/>
  <c r="W344" i="2" s="1"/>
  <c r="W345" i="2" s="1"/>
  <c r="W346" i="2" s="1"/>
  <c r="W347" i="2" s="1"/>
  <c r="W348" i="2" s="1"/>
  <c r="W349" i="2" s="1"/>
  <c r="W350" i="2" s="1"/>
  <c r="W351" i="2" s="1"/>
  <c r="W352" i="2" s="1"/>
  <c r="W353" i="2" s="1"/>
  <c r="W354" i="2" s="1"/>
  <c r="W355" i="2" s="1"/>
  <c r="W356" i="2" s="1"/>
  <c r="W357" i="2" s="1"/>
  <c r="W358" i="2" s="1"/>
  <c r="W359" i="2" s="1"/>
  <c r="W360" i="2" s="1"/>
  <c r="W361" i="2" s="1"/>
  <c r="W362" i="2" s="1"/>
  <c r="W363" i="2" s="1"/>
  <c r="W364" i="2" s="1"/>
  <c r="W365" i="2" s="1"/>
  <c r="W366" i="2" s="1"/>
  <c r="W367" i="2" s="1"/>
  <c r="W368" i="2" s="1"/>
  <c r="W369" i="2" s="1"/>
  <c r="W370" i="2" s="1"/>
  <c r="W371" i="2" s="1"/>
  <c r="W372" i="2" s="1"/>
  <c r="W373" i="2" s="1"/>
  <c r="W374" i="2" s="1"/>
  <c r="W375" i="2" s="1"/>
  <c r="W376" i="2" s="1"/>
  <c r="W377" i="2" s="1"/>
  <c r="W378" i="2" s="1"/>
  <c r="W379" i="2" s="1"/>
  <c r="W380" i="2" s="1"/>
  <c r="W381" i="2" s="1"/>
  <c r="W382" i="2" s="1"/>
  <c r="W383" i="2" s="1"/>
  <c r="W384" i="2" s="1"/>
  <c r="W385" i="2" s="1"/>
  <c r="W386" i="2" s="1"/>
  <c r="W387" i="2" s="1"/>
  <c r="W388" i="2" s="1"/>
  <c r="W389" i="2" s="1"/>
  <c r="W390" i="2" s="1"/>
  <c r="W391" i="2" s="1"/>
  <c r="W392" i="2" s="1"/>
  <c r="W393" i="2" s="1"/>
  <c r="W394" i="2" s="1"/>
  <c r="W395" i="2" s="1"/>
  <c r="W396" i="2" s="1"/>
  <c r="W397" i="2" s="1"/>
  <c r="W398" i="2" s="1"/>
  <c r="W399" i="2" s="1"/>
  <c r="W400" i="2" s="1"/>
  <c r="W401" i="2" s="1"/>
  <c r="W402" i="2" s="1"/>
  <c r="W403" i="2" s="1"/>
  <c r="W404" i="2" s="1"/>
  <c r="W405" i="2" s="1"/>
  <c r="W406" i="2" s="1"/>
  <c r="W407" i="2" s="1"/>
  <c r="W408" i="2" s="1"/>
  <c r="W409" i="2" s="1"/>
  <c r="W410" i="2" s="1"/>
  <c r="W411" i="2" s="1"/>
  <c r="W412" i="2" s="1"/>
  <c r="W413" i="2" s="1"/>
  <c r="W414" i="2" s="1"/>
  <c r="W415" i="2" s="1"/>
  <c r="W416" i="2" s="1"/>
  <c r="W417" i="2" s="1"/>
  <c r="W418" i="2" s="1"/>
  <c r="W419" i="2" s="1"/>
  <c r="W420" i="2" s="1"/>
  <c r="W421" i="2" s="1"/>
  <c r="W422" i="2" s="1"/>
  <c r="W423" i="2" s="1"/>
  <c r="W424" i="2" s="1"/>
  <c r="W425" i="2" s="1"/>
  <c r="W426" i="2" s="1"/>
  <c r="W427" i="2" s="1"/>
  <c r="W428" i="2" s="1"/>
  <c r="W429" i="2" s="1"/>
  <c r="W430" i="2" s="1"/>
  <c r="W431" i="2" s="1"/>
  <c r="W432" i="2" s="1"/>
  <c r="W433" i="2" s="1"/>
  <c r="W434" i="2" s="1"/>
  <c r="W435" i="2" s="1"/>
  <c r="W436" i="2" s="1"/>
  <c r="W437" i="2" s="1"/>
  <c r="W438" i="2" s="1"/>
  <c r="W439" i="2" s="1"/>
  <c r="W440" i="2" s="1"/>
  <c r="W441" i="2" s="1"/>
  <c r="W442" i="2" s="1"/>
  <c r="W443" i="2" s="1"/>
  <c r="W444" i="2" s="1"/>
  <c r="W445" i="2" s="1"/>
  <c r="W446" i="2" s="1"/>
  <c r="W447" i="2" s="1"/>
  <c r="W448" i="2" s="1"/>
  <c r="W449" i="2" s="1"/>
  <c r="W450" i="2" s="1"/>
  <c r="W451" i="2" s="1"/>
  <c r="W452" i="2" s="1"/>
  <c r="W453" i="2" s="1"/>
  <c r="W454" i="2" s="1"/>
  <c r="W455" i="2" s="1"/>
  <c r="W456" i="2" s="1"/>
  <c r="W457" i="2" s="1"/>
  <c r="W458" i="2" s="1"/>
  <c r="W459" i="2" s="1"/>
  <c r="W460" i="2" s="1"/>
  <c r="W461" i="2" s="1"/>
  <c r="W462" i="2" s="1"/>
  <c r="W463" i="2" s="1"/>
  <c r="W464" i="2" s="1"/>
  <c r="W465" i="2" s="1"/>
  <c r="W466" i="2" s="1"/>
  <c r="W467" i="2" s="1"/>
  <c r="W468" i="2" s="1"/>
  <c r="W469" i="2" s="1"/>
  <c r="W470" i="2" s="1"/>
  <c r="W471" i="2" s="1"/>
  <c r="W472" i="2" s="1"/>
  <c r="W473" i="2" s="1"/>
  <c r="W474" i="2" s="1"/>
  <c r="W475" i="2" s="1"/>
  <c r="W476" i="2" s="1"/>
  <c r="W477" i="2" s="1"/>
  <c r="W478" i="2" s="1"/>
  <c r="W479" i="2" s="1"/>
  <c r="W480" i="2" s="1"/>
  <c r="W481" i="2" s="1"/>
  <c r="W482" i="2" s="1"/>
  <c r="W483" i="2" s="1"/>
  <c r="W484" i="2" s="1"/>
  <c r="W485" i="2" s="1"/>
  <c r="W486" i="2" s="1"/>
  <c r="W487" i="2" s="1"/>
  <c r="W488" i="2" s="1"/>
  <c r="W489" i="2" s="1"/>
  <c r="W490" i="2" s="1"/>
  <c r="W491" i="2" s="1"/>
  <c r="W492" i="2" s="1"/>
  <c r="U21" i="2"/>
  <c r="N22" i="2"/>
  <c r="L22" i="2"/>
  <c r="I21" i="2"/>
  <c r="F21" i="2" s="1"/>
  <c r="C22" i="2"/>
  <c r="V21" i="2"/>
  <c r="T21" i="2" s="1"/>
  <c r="O22" i="2"/>
  <c r="C18" i="4"/>
  <c r="AB17" i="3"/>
  <c r="E18" i="4" s="1"/>
  <c r="F18" i="4"/>
  <c r="H18" i="4"/>
  <c r="I18" i="4"/>
  <c r="M18" i="4" s="1"/>
  <c r="K18" i="4"/>
  <c r="N18" i="4" s="1"/>
  <c r="G18" i="4"/>
  <c r="L18" i="4" s="1"/>
  <c r="M22" i="2"/>
  <c r="J21" i="2"/>
  <c r="G21" i="2" s="1"/>
  <c r="D20" i="3"/>
  <c r="K22" i="2"/>
  <c r="H21" i="2"/>
  <c r="E21" i="2" s="1"/>
  <c r="A19" i="4"/>
  <c r="G18" i="3"/>
  <c r="S18" i="3"/>
  <c r="Y18" i="3" s="1"/>
  <c r="Z18" i="3" s="1"/>
  <c r="AA18" i="3" s="1"/>
  <c r="H18" i="3"/>
  <c r="J18" i="3"/>
  <c r="V18" i="3"/>
  <c r="N18" i="3"/>
  <c r="C18" i="3"/>
  <c r="P18" i="3"/>
  <c r="E18" i="3"/>
  <c r="F18" i="3" s="1"/>
  <c r="M18" i="3"/>
  <c r="T18" i="3"/>
  <c r="W493" i="2" l="1"/>
  <c r="S491" i="3"/>
  <c r="O519" i="2"/>
  <c r="P517" i="3"/>
  <c r="I518" i="4" s="1"/>
  <c r="M518" i="4" s="1"/>
  <c r="I518" i="2"/>
  <c r="F518" i="2" s="1"/>
  <c r="N517" i="3" s="1"/>
  <c r="O517" i="3" s="1"/>
  <c r="H518" i="4" s="1"/>
  <c r="P520" i="2"/>
  <c r="V518" i="3"/>
  <c r="K519" i="4" s="1"/>
  <c r="N519" i="4" s="1"/>
  <c r="J519" i="2"/>
  <c r="G519" i="2" s="1"/>
  <c r="T518" i="3" s="1"/>
  <c r="U518" i="3" s="1"/>
  <c r="J519" i="4" s="1"/>
  <c r="J518" i="3"/>
  <c r="G519" i="4" s="1"/>
  <c r="L519" i="4" s="1"/>
  <c r="N520" i="2"/>
  <c r="H519" i="2"/>
  <c r="E519" i="2" s="1"/>
  <c r="H518" i="3" s="1"/>
  <c r="I518" i="3" s="1"/>
  <c r="F519" i="4" s="1"/>
  <c r="D525" i="2"/>
  <c r="L525" i="2"/>
  <c r="K527" i="2"/>
  <c r="M525" i="2"/>
  <c r="C524" i="2"/>
  <c r="C511" i="2"/>
  <c r="D509" i="2"/>
  <c r="E508" i="2"/>
  <c r="M509" i="2"/>
  <c r="J508" i="2"/>
  <c r="G508" i="2" s="1"/>
  <c r="H509" i="2"/>
  <c r="K510" i="2"/>
  <c r="L509" i="2"/>
  <c r="I508" i="2"/>
  <c r="F508" i="2" s="1"/>
  <c r="L500" i="2"/>
  <c r="I500" i="2" s="1"/>
  <c r="I499" i="2"/>
  <c r="F499" i="2" s="1"/>
  <c r="M500" i="2"/>
  <c r="J500" i="2" s="1"/>
  <c r="J499" i="2"/>
  <c r="G499" i="2"/>
  <c r="D500" i="2"/>
  <c r="E499" i="2"/>
  <c r="D19" i="4"/>
  <c r="G19" i="4"/>
  <c r="L19" i="4" s="1"/>
  <c r="I19" i="4"/>
  <c r="M19" i="4" s="1"/>
  <c r="K19" i="4"/>
  <c r="N19" i="4" s="1"/>
  <c r="K23" i="2"/>
  <c r="H22" i="2"/>
  <c r="A20" i="4"/>
  <c r="C19" i="3"/>
  <c r="E19" i="3"/>
  <c r="F19" i="3" s="1"/>
  <c r="G19" i="3"/>
  <c r="S19" i="3"/>
  <c r="Y19" i="3" s="1"/>
  <c r="Z19" i="3" s="1"/>
  <c r="AA19" i="3" s="1"/>
  <c r="H19" i="3"/>
  <c r="T19" i="3"/>
  <c r="J19" i="3"/>
  <c r="V19" i="3"/>
  <c r="M19" i="3"/>
  <c r="N19" i="3"/>
  <c r="P19" i="3"/>
  <c r="D21" i="3"/>
  <c r="O23" i="2"/>
  <c r="O24" i="2" s="1"/>
  <c r="O25" i="2" s="1"/>
  <c r="O26" i="2" s="1"/>
  <c r="O27" i="2" s="1"/>
  <c r="O28" i="2" s="1"/>
  <c r="O29" i="2" s="1"/>
  <c r="O30" i="2" s="1"/>
  <c r="O31" i="2" s="1"/>
  <c r="O32" i="2" s="1"/>
  <c r="O33" i="2" s="1"/>
  <c r="O34" i="2" s="1"/>
  <c r="O35" i="2" s="1"/>
  <c r="O36" i="2" s="1"/>
  <c r="O37" i="2" s="1"/>
  <c r="O38" i="2" s="1"/>
  <c r="O39" i="2" s="1"/>
  <c r="O40" i="2" s="1"/>
  <c r="O41" i="2" s="1"/>
  <c r="O42" i="2" s="1"/>
  <c r="O43" i="2" s="1"/>
  <c r="O44" i="2" s="1"/>
  <c r="O45" i="2" s="1"/>
  <c r="O46" i="2" s="1"/>
  <c r="O47" i="2" s="1"/>
  <c r="O48" i="2" s="1"/>
  <c r="O49" i="2" s="1"/>
  <c r="O50" i="2" s="1"/>
  <c r="O51" i="2" s="1"/>
  <c r="O52" i="2" s="1"/>
  <c r="O53" i="2" s="1"/>
  <c r="O54" i="2" s="1"/>
  <c r="O55" i="2" s="1"/>
  <c r="O56" i="2" s="1"/>
  <c r="O57" i="2" s="1"/>
  <c r="O58" i="2" s="1"/>
  <c r="O59" i="2" s="1"/>
  <c r="O60" i="2" s="1"/>
  <c r="O61" i="2" s="1"/>
  <c r="O62" i="2" s="1"/>
  <c r="O63" i="2" s="1"/>
  <c r="O64" i="2" s="1"/>
  <c r="O65" i="2" s="1"/>
  <c r="O66" i="2" s="1"/>
  <c r="O67" i="2" s="1"/>
  <c r="O68" i="2" s="1"/>
  <c r="O69" i="2" s="1"/>
  <c r="O70" i="2" s="1"/>
  <c r="O71" i="2" s="1"/>
  <c r="O72" i="2" s="1"/>
  <c r="O73" i="2" s="1"/>
  <c r="O74" i="2" s="1"/>
  <c r="O75" i="2" s="1"/>
  <c r="O76" i="2" s="1"/>
  <c r="O77" i="2" s="1"/>
  <c r="O78" i="2" s="1"/>
  <c r="O79" i="2" s="1"/>
  <c r="O80" i="2" s="1"/>
  <c r="O81" i="2" s="1"/>
  <c r="O82" i="2" s="1"/>
  <c r="O83" i="2" s="1"/>
  <c r="O84" i="2" s="1"/>
  <c r="O85" i="2" s="1"/>
  <c r="O86" i="2" s="1"/>
  <c r="O87" i="2" s="1"/>
  <c r="O88" i="2" s="1"/>
  <c r="O89" i="2" s="1"/>
  <c r="O90" i="2" s="1"/>
  <c r="O91" i="2" s="1"/>
  <c r="O92" i="2" s="1"/>
  <c r="O93" i="2" s="1"/>
  <c r="O94" i="2" s="1"/>
  <c r="O95" i="2" s="1"/>
  <c r="O96" i="2" s="1"/>
  <c r="O97" i="2" s="1"/>
  <c r="O98" i="2" s="1"/>
  <c r="O99" i="2" s="1"/>
  <c r="O100" i="2" s="1"/>
  <c r="O101" i="2" s="1"/>
  <c r="O102" i="2" s="1"/>
  <c r="O103" i="2" s="1"/>
  <c r="O104" i="2" s="1"/>
  <c r="O105" i="2" s="1"/>
  <c r="O106" i="2" s="1"/>
  <c r="O107" i="2" s="1"/>
  <c r="O108" i="2" s="1"/>
  <c r="O109" i="2" s="1"/>
  <c r="O110" i="2" s="1"/>
  <c r="O111" i="2" s="1"/>
  <c r="O112" i="2" s="1"/>
  <c r="O113" i="2" s="1"/>
  <c r="O114" i="2" s="1"/>
  <c r="O115" i="2" s="1"/>
  <c r="O116" i="2" s="1"/>
  <c r="O117" i="2" s="1"/>
  <c r="O118" i="2" s="1"/>
  <c r="O119" i="2" s="1"/>
  <c r="O120" i="2" s="1"/>
  <c r="O121" i="2" s="1"/>
  <c r="O122" i="2" s="1"/>
  <c r="O123" i="2" s="1"/>
  <c r="O124" i="2" s="1"/>
  <c r="O125" i="2" s="1"/>
  <c r="O126" i="2" s="1"/>
  <c r="O127" i="2" s="1"/>
  <c r="O128" i="2" s="1"/>
  <c r="O129" i="2" s="1"/>
  <c r="O130" i="2" s="1"/>
  <c r="O131" i="2" s="1"/>
  <c r="O132" i="2" s="1"/>
  <c r="O133" i="2" s="1"/>
  <c r="O134" i="2" s="1"/>
  <c r="O135" i="2" s="1"/>
  <c r="O136" i="2" s="1"/>
  <c r="O137" i="2" s="1"/>
  <c r="O138" i="2" s="1"/>
  <c r="O139" i="2" s="1"/>
  <c r="O140" i="2" s="1"/>
  <c r="O141" i="2" s="1"/>
  <c r="O142" i="2" s="1"/>
  <c r="O143" i="2" s="1"/>
  <c r="O144" i="2" s="1"/>
  <c r="O145" i="2" s="1"/>
  <c r="O146" i="2" s="1"/>
  <c r="O147" i="2" s="1"/>
  <c r="O148" i="2" s="1"/>
  <c r="O149" i="2" s="1"/>
  <c r="O150" i="2" s="1"/>
  <c r="O151" i="2" s="1"/>
  <c r="O152" i="2" s="1"/>
  <c r="O153" i="2" s="1"/>
  <c r="O154" i="2" s="1"/>
  <c r="O155" i="2" s="1"/>
  <c r="O156" i="2" s="1"/>
  <c r="O157" i="2" s="1"/>
  <c r="O158" i="2" s="1"/>
  <c r="O159" i="2" s="1"/>
  <c r="O160" i="2" s="1"/>
  <c r="O161" i="2" s="1"/>
  <c r="O162" i="2" s="1"/>
  <c r="O163" i="2" s="1"/>
  <c r="O164" i="2" s="1"/>
  <c r="O165" i="2" s="1"/>
  <c r="O166" i="2" s="1"/>
  <c r="O167" i="2" s="1"/>
  <c r="O168" i="2" s="1"/>
  <c r="O169" i="2" s="1"/>
  <c r="O170" i="2" s="1"/>
  <c r="O171" i="2" s="1"/>
  <c r="O172" i="2" s="1"/>
  <c r="O173" i="2" s="1"/>
  <c r="O174" i="2" s="1"/>
  <c r="O175" i="2" s="1"/>
  <c r="O176" i="2" s="1"/>
  <c r="O177" i="2" s="1"/>
  <c r="O178" i="2" s="1"/>
  <c r="O179" i="2" s="1"/>
  <c r="O180" i="2" s="1"/>
  <c r="O181" i="2" s="1"/>
  <c r="O182" i="2" s="1"/>
  <c r="O183" i="2" s="1"/>
  <c r="O184" i="2" s="1"/>
  <c r="O185" i="2" s="1"/>
  <c r="O186" i="2" s="1"/>
  <c r="O187" i="2" s="1"/>
  <c r="O188" i="2" s="1"/>
  <c r="O189" i="2" s="1"/>
  <c r="O190" i="2" s="1"/>
  <c r="O191" i="2" s="1"/>
  <c r="O192" i="2" s="1"/>
  <c r="O193" i="2" s="1"/>
  <c r="O194" i="2" s="1"/>
  <c r="O195" i="2" s="1"/>
  <c r="O196" i="2" s="1"/>
  <c r="O197" i="2" s="1"/>
  <c r="O198" i="2" s="1"/>
  <c r="O199" i="2" s="1"/>
  <c r="O200" i="2" s="1"/>
  <c r="O201" i="2" s="1"/>
  <c r="O202" i="2" s="1"/>
  <c r="O203" i="2" s="1"/>
  <c r="O204" i="2" s="1"/>
  <c r="O205" i="2" s="1"/>
  <c r="O206" i="2" s="1"/>
  <c r="O207" i="2" s="1"/>
  <c r="O208" i="2" s="1"/>
  <c r="O209" i="2" s="1"/>
  <c r="O210" i="2" s="1"/>
  <c r="O211" i="2" s="1"/>
  <c r="O212" i="2" s="1"/>
  <c r="O213" i="2" s="1"/>
  <c r="O214" i="2" s="1"/>
  <c r="O215" i="2" s="1"/>
  <c r="O216" i="2" s="1"/>
  <c r="O217" i="2" s="1"/>
  <c r="O218" i="2" s="1"/>
  <c r="O219" i="2" s="1"/>
  <c r="O220" i="2" s="1"/>
  <c r="O221" i="2" s="1"/>
  <c r="O222" i="2" s="1"/>
  <c r="O223" i="2" s="1"/>
  <c r="O224" i="2" s="1"/>
  <c r="O225" i="2" s="1"/>
  <c r="O226" i="2" s="1"/>
  <c r="O227" i="2" s="1"/>
  <c r="O228" i="2" s="1"/>
  <c r="O229" i="2" s="1"/>
  <c r="O230" i="2" s="1"/>
  <c r="O231" i="2" s="1"/>
  <c r="O232" i="2" s="1"/>
  <c r="O233" i="2" s="1"/>
  <c r="O234" i="2" s="1"/>
  <c r="O235" i="2" s="1"/>
  <c r="O236" i="2" s="1"/>
  <c r="O237" i="2" s="1"/>
  <c r="O238" i="2" s="1"/>
  <c r="O239" i="2" s="1"/>
  <c r="O240" i="2" s="1"/>
  <c r="O241" i="2" s="1"/>
  <c r="O242" i="2" s="1"/>
  <c r="O243" i="2" s="1"/>
  <c r="O244" i="2" s="1"/>
  <c r="O245" i="2" s="1"/>
  <c r="O246" i="2" s="1"/>
  <c r="O247" i="2" s="1"/>
  <c r="O248" i="2" s="1"/>
  <c r="O249" i="2" s="1"/>
  <c r="O250" i="2" s="1"/>
  <c r="O251" i="2" s="1"/>
  <c r="O252" i="2" s="1"/>
  <c r="O253" i="2" s="1"/>
  <c r="O254" i="2" s="1"/>
  <c r="O255" i="2" s="1"/>
  <c r="O256" i="2" s="1"/>
  <c r="O257" i="2" s="1"/>
  <c r="O258" i="2" s="1"/>
  <c r="O259" i="2" s="1"/>
  <c r="O260" i="2" s="1"/>
  <c r="O261" i="2" s="1"/>
  <c r="O262" i="2" s="1"/>
  <c r="O263" i="2" s="1"/>
  <c r="O264" i="2" s="1"/>
  <c r="O265" i="2" s="1"/>
  <c r="O266" i="2" s="1"/>
  <c r="O267" i="2" s="1"/>
  <c r="O268" i="2" s="1"/>
  <c r="O269" i="2" s="1"/>
  <c r="O270" i="2" s="1"/>
  <c r="O271" i="2" s="1"/>
  <c r="O272" i="2" s="1"/>
  <c r="O273" i="2" s="1"/>
  <c r="O274" i="2" s="1"/>
  <c r="O275" i="2" s="1"/>
  <c r="O276" i="2" s="1"/>
  <c r="O277" i="2" s="1"/>
  <c r="O278" i="2" s="1"/>
  <c r="O279" i="2" s="1"/>
  <c r="O280" i="2" s="1"/>
  <c r="O281" i="2" s="1"/>
  <c r="O282" i="2" s="1"/>
  <c r="O283" i="2" s="1"/>
  <c r="O284" i="2" s="1"/>
  <c r="O285" i="2" s="1"/>
  <c r="O286" i="2" s="1"/>
  <c r="O287" i="2" s="1"/>
  <c r="O288" i="2" s="1"/>
  <c r="O289" i="2" s="1"/>
  <c r="O290" i="2" s="1"/>
  <c r="O291" i="2" s="1"/>
  <c r="O292" i="2" s="1"/>
  <c r="O293" i="2" s="1"/>
  <c r="O294" i="2" s="1"/>
  <c r="O295" i="2" s="1"/>
  <c r="O296" i="2" s="1"/>
  <c r="O297" i="2" s="1"/>
  <c r="O298" i="2" s="1"/>
  <c r="O299" i="2" s="1"/>
  <c r="O300" i="2" s="1"/>
  <c r="O301" i="2" s="1"/>
  <c r="O302" i="2" s="1"/>
  <c r="O303" i="2" s="1"/>
  <c r="O304" i="2" s="1"/>
  <c r="O305" i="2" s="1"/>
  <c r="O306" i="2" s="1"/>
  <c r="O307" i="2" s="1"/>
  <c r="O308" i="2" s="1"/>
  <c r="O309" i="2" s="1"/>
  <c r="O310" i="2" s="1"/>
  <c r="O311" i="2" s="1"/>
  <c r="O312" i="2" s="1"/>
  <c r="O313" i="2" s="1"/>
  <c r="O314" i="2" s="1"/>
  <c r="O315" i="2" s="1"/>
  <c r="O316" i="2" s="1"/>
  <c r="O317" i="2" s="1"/>
  <c r="O318" i="2" s="1"/>
  <c r="O319" i="2" s="1"/>
  <c r="O320" i="2" s="1"/>
  <c r="O321" i="2" s="1"/>
  <c r="O322" i="2" s="1"/>
  <c r="O323" i="2" s="1"/>
  <c r="O324" i="2" s="1"/>
  <c r="O325" i="2" s="1"/>
  <c r="O326" i="2" s="1"/>
  <c r="O327" i="2" s="1"/>
  <c r="O328" i="2" s="1"/>
  <c r="O329" i="2" s="1"/>
  <c r="O330" i="2" s="1"/>
  <c r="O331" i="2" s="1"/>
  <c r="O332" i="2" s="1"/>
  <c r="O333" i="2" s="1"/>
  <c r="O334" i="2" s="1"/>
  <c r="O335" i="2" s="1"/>
  <c r="O336" i="2" s="1"/>
  <c r="O337" i="2" s="1"/>
  <c r="O338" i="2" s="1"/>
  <c r="O339" i="2" s="1"/>
  <c r="O340" i="2" s="1"/>
  <c r="O341" i="2" s="1"/>
  <c r="O342" i="2" s="1"/>
  <c r="O343" i="2" s="1"/>
  <c r="O344" i="2" s="1"/>
  <c r="O345" i="2" s="1"/>
  <c r="O346" i="2" s="1"/>
  <c r="O347" i="2" s="1"/>
  <c r="O348" i="2" s="1"/>
  <c r="O349" i="2" s="1"/>
  <c r="O350" i="2" s="1"/>
  <c r="O351" i="2" s="1"/>
  <c r="O352" i="2" s="1"/>
  <c r="O353" i="2" s="1"/>
  <c r="O354" i="2" s="1"/>
  <c r="O355" i="2" s="1"/>
  <c r="O356" i="2" s="1"/>
  <c r="O357" i="2" s="1"/>
  <c r="O358" i="2" s="1"/>
  <c r="O359" i="2" s="1"/>
  <c r="O360" i="2" s="1"/>
  <c r="O361" i="2" s="1"/>
  <c r="O362" i="2" s="1"/>
  <c r="O363" i="2" s="1"/>
  <c r="O364" i="2" s="1"/>
  <c r="O365" i="2" s="1"/>
  <c r="O366" i="2" s="1"/>
  <c r="O367" i="2" s="1"/>
  <c r="O368" i="2" s="1"/>
  <c r="O369" i="2" s="1"/>
  <c r="O370" i="2" s="1"/>
  <c r="O371" i="2" s="1"/>
  <c r="O372" i="2" s="1"/>
  <c r="O373" i="2" s="1"/>
  <c r="O374" i="2" s="1"/>
  <c r="O375" i="2" s="1"/>
  <c r="O376" i="2" s="1"/>
  <c r="O377" i="2" s="1"/>
  <c r="O378" i="2" s="1"/>
  <c r="O379" i="2" s="1"/>
  <c r="O380" i="2" s="1"/>
  <c r="O381" i="2" s="1"/>
  <c r="O382" i="2" s="1"/>
  <c r="O383" i="2" s="1"/>
  <c r="O384" i="2" s="1"/>
  <c r="O385" i="2" s="1"/>
  <c r="O386" i="2" s="1"/>
  <c r="O387" i="2" s="1"/>
  <c r="O388" i="2" s="1"/>
  <c r="O389" i="2" s="1"/>
  <c r="O390" i="2" s="1"/>
  <c r="O391" i="2" s="1"/>
  <c r="O392" i="2" s="1"/>
  <c r="O393" i="2" s="1"/>
  <c r="O394" i="2" s="1"/>
  <c r="O395" i="2" s="1"/>
  <c r="O396" i="2" s="1"/>
  <c r="O397" i="2" s="1"/>
  <c r="O398" i="2" s="1"/>
  <c r="O399" i="2" s="1"/>
  <c r="O400" i="2" s="1"/>
  <c r="O401" i="2" s="1"/>
  <c r="O402" i="2" s="1"/>
  <c r="O403" i="2" s="1"/>
  <c r="O404" i="2" s="1"/>
  <c r="O405" i="2" s="1"/>
  <c r="O406" i="2" s="1"/>
  <c r="O407" i="2" s="1"/>
  <c r="O408" i="2" s="1"/>
  <c r="O409" i="2" s="1"/>
  <c r="O410" i="2" s="1"/>
  <c r="O411" i="2" s="1"/>
  <c r="O412" i="2" s="1"/>
  <c r="O413" i="2" s="1"/>
  <c r="O414" i="2" s="1"/>
  <c r="O415" i="2" s="1"/>
  <c r="O416" i="2" s="1"/>
  <c r="O417" i="2" s="1"/>
  <c r="O418" i="2" s="1"/>
  <c r="O419" i="2" s="1"/>
  <c r="O420" i="2" s="1"/>
  <c r="O421" i="2" s="1"/>
  <c r="O422" i="2" s="1"/>
  <c r="O423" i="2" s="1"/>
  <c r="O424" i="2" s="1"/>
  <c r="O425" i="2" s="1"/>
  <c r="O426" i="2" s="1"/>
  <c r="O427" i="2" s="1"/>
  <c r="O428" i="2" s="1"/>
  <c r="O429" i="2" s="1"/>
  <c r="O430" i="2" s="1"/>
  <c r="O431" i="2" s="1"/>
  <c r="O432" i="2" s="1"/>
  <c r="O433" i="2" s="1"/>
  <c r="O434" i="2" s="1"/>
  <c r="O435" i="2" s="1"/>
  <c r="O436" i="2" s="1"/>
  <c r="O437" i="2" s="1"/>
  <c r="O438" i="2" s="1"/>
  <c r="O439" i="2" s="1"/>
  <c r="O440" i="2" s="1"/>
  <c r="O441" i="2" s="1"/>
  <c r="O442" i="2" s="1"/>
  <c r="O443" i="2" s="1"/>
  <c r="O444" i="2" s="1"/>
  <c r="O445" i="2" s="1"/>
  <c r="O446" i="2" s="1"/>
  <c r="O447" i="2" s="1"/>
  <c r="O448" i="2" s="1"/>
  <c r="O449" i="2" s="1"/>
  <c r="O450" i="2" s="1"/>
  <c r="O451" i="2" s="1"/>
  <c r="O452" i="2" s="1"/>
  <c r="O453" i="2" s="1"/>
  <c r="O454" i="2" s="1"/>
  <c r="O455" i="2" s="1"/>
  <c r="O456" i="2" s="1"/>
  <c r="O457" i="2" s="1"/>
  <c r="O458" i="2" s="1"/>
  <c r="O459" i="2" s="1"/>
  <c r="O460" i="2" s="1"/>
  <c r="O461" i="2" s="1"/>
  <c r="O462" i="2" s="1"/>
  <c r="O463" i="2" s="1"/>
  <c r="O464" i="2" s="1"/>
  <c r="O465" i="2" s="1"/>
  <c r="O466" i="2" s="1"/>
  <c r="O467" i="2" s="1"/>
  <c r="O468" i="2" s="1"/>
  <c r="O469" i="2" s="1"/>
  <c r="O470" i="2" s="1"/>
  <c r="O471" i="2" s="1"/>
  <c r="O472" i="2" s="1"/>
  <c r="O473" i="2" s="1"/>
  <c r="O474" i="2" s="1"/>
  <c r="O475" i="2" s="1"/>
  <c r="O476" i="2" s="1"/>
  <c r="O477" i="2" s="1"/>
  <c r="O478" i="2" s="1"/>
  <c r="O479" i="2" s="1"/>
  <c r="O480" i="2" s="1"/>
  <c r="O481" i="2" s="1"/>
  <c r="O482" i="2" s="1"/>
  <c r="O483" i="2" s="1"/>
  <c r="O484" i="2" s="1"/>
  <c r="O485" i="2" s="1"/>
  <c r="O486" i="2" s="1"/>
  <c r="O487" i="2" s="1"/>
  <c r="O488" i="2" s="1"/>
  <c r="O489" i="2" s="1"/>
  <c r="O490" i="2" s="1"/>
  <c r="O491" i="2" s="1"/>
  <c r="V22" i="2"/>
  <c r="V23" i="2" s="1"/>
  <c r="V24" i="2" s="1"/>
  <c r="V25" i="2" s="1"/>
  <c r="V26" i="2" s="1"/>
  <c r="V27" i="2" s="1"/>
  <c r="V28" i="2" s="1"/>
  <c r="V29" i="2" s="1"/>
  <c r="V30" i="2" s="1"/>
  <c r="V31" i="2" s="1"/>
  <c r="V32" i="2" s="1"/>
  <c r="V33" i="2" s="1"/>
  <c r="V34" i="2" s="1"/>
  <c r="V35" i="2" s="1"/>
  <c r="V36" i="2" s="1"/>
  <c r="V37" i="2" s="1"/>
  <c r="V38" i="2" s="1"/>
  <c r="V39" i="2" s="1"/>
  <c r="V40" i="2" s="1"/>
  <c r="V41" i="2" s="1"/>
  <c r="V42" i="2" s="1"/>
  <c r="V43" i="2" s="1"/>
  <c r="V44" i="2" s="1"/>
  <c r="V45" i="2" s="1"/>
  <c r="V46" i="2" s="1"/>
  <c r="V47" i="2" s="1"/>
  <c r="V48" i="2" s="1"/>
  <c r="V49" i="2" s="1"/>
  <c r="V50" i="2" s="1"/>
  <c r="V51" i="2" s="1"/>
  <c r="V52" i="2" s="1"/>
  <c r="V53" i="2" s="1"/>
  <c r="V54" i="2" s="1"/>
  <c r="V55" i="2" s="1"/>
  <c r="V56" i="2" s="1"/>
  <c r="V57" i="2" s="1"/>
  <c r="V58" i="2" s="1"/>
  <c r="V59" i="2" s="1"/>
  <c r="V60" i="2" s="1"/>
  <c r="V61" i="2" s="1"/>
  <c r="V62" i="2" s="1"/>
  <c r="V63" i="2" s="1"/>
  <c r="V64" i="2" s="1"/>
  <c r="V65" i="2" s="1"/>
  <c r="V66" i="2" s="1"/>
  <c r="V67" i="2" s="1"/>
  <c r="V68" i="2" s="1"/>
  <c r="V69" i="2" s="1"/>
  <c r="V70" i="2" s="1"/>
  <c r="V71" i="2" s="1"/>
  <c r="V72" i="2" s="1"/>
  <c r="V73" i="2" s="1"/>
  <c r="V74" i="2" s="1"/>
  <c r="V75" i="2" s="1"/>
  <c r="V76" i="2" s="1"/>
  <c r="V77" i="2" s="1"/>
  <c r="V78" i="2" s="1"/>
  <c r="V79" i="2" s="1"/>
  <c r="V80" i="2" s="1"/>
  <c r="V81" i="2" s="1"/>
  <c r="V82" i="2" s="1"/>
  <c r="V83" i="2" s="1"/>
  <c r="V84" i="2" s="1"/>
  <c r="V85" i="2" s="1"/>
  <c r="V86" i="2" s="1"/>
  <c r="V87" i="2" s="1"/>
  <c r="V88" i="2" s="1"/>
  <c r="V89" i="2" s="1"/>
  <c r="V90" i="2" s="1"/>
  <c r="V91" i="2" s="1"/>
  <c r="V92" i="2" s="1"/>
  <c r="V93" i="2" s="1"/>
  <c r="V94" i="2" s="1"/>
  <c r="V95" i="2" s="1"/>
  <c r="V96" i="2" s="1"/>
  <c r="V97" i="2" s="1"/>
  <c r="V98" i="2" s="1"/>
  <c r="V99" i="2" s="1"/>
  <c r="V100" i="2" s="1"/>
  <c r="V101" i="2" s="1"/>
  <c r="V102" i="2" s="1"/>
  <c r="V103" i="2" s="1"/>
  <c r="V104" i="2" s="1"/>
  <c r="V105" i="2" s="1"/>
  <c r="V106" i="2" s="1"/>
  <c r="V107" i="2" s="1"/>
  <c r="V108" i="2" s="1"/>
  <c r="V109" i="2" s="1"/>
  <c r="V110" i="2" s="1"/>
  <c r="V111" i="2" s="1"/>
  <c r="V112" i="2" s="1"/>
  <c r="V113" i="2" s="1"/>
  <c r="V114" i="2" s="1"/>
  <c r="V115" i="2" s="1"/>
  <c r="V116" i="2" s="1"/>
  <c r="V117" i="2" s="1"/>
  <c r="V118" i="2" s="1"/>
  <c r="V119" i="2" s="1"/>
  <c r="V120" i="2" s="1"/>
  <c r="V121" i="2" s="1"/>
  <c r="V122" i="2" s="1"/>
  <c r="V123" i="2" s="1"/>
  <c r="V124" i="2" s="1"/>
  <c r="V125" i="2" s="1"/>
  <c r="V126" i="2" s="1"/>
  <c r="V127" i="2" s="1"/>
  <c r="V128" i="2" s="1"/>
  <c r="V129" i="2" s="1"/>
  <c r="V130" i="2" s="1"/>
  <c r="V131" i="2" s="1"/>
  <c r="V132" i="2" s="1"/>
  <c r="V133" i="2" s="1"/>
  <c r="V134" i="2" s="1"/>
  <c r="V135" i="2" s="1"/>
  <c r="V136" i="2" s="1"/>
  <c r="V137" i="2" s="1"/>
  <c r="V138" i="2" s="1"/>
  <c r="V139" i="2" s="1"/>
  <c r="V140" i="2" s="1"/>
  <c r="V141" i="2" s="1"/>
  <c r="V142" i="2" s="1"/>
  <c r="V143" i="2" s="1"/>
  <c r="V144" i="2" s="1"/>
  <c r="V145" i="2" s="1"/>
  <c r="V146" i="2" s="1"/>
  <c r="V147" i="2" s="1"/>
  <c r="V148" i="2" s="1"/>
  <c r="V149" i="2" s="1"/>
  <c r="V150" i="2" s="1"/>
  <c r="V151" i="2" s="1"/>
  <c r="V152" i="2" s="1"/>
  <c r="V153" i="2" s="1"/>
  <c r="V154" i="2" s="1"/>
  <c r="V155" i="2" s="1"/>
  <c r="V156" i="2" s="1"/>
  <c r="V157" i="2" s="1"/>
  <c r="V158" i="2" s="1"/>
  <c r="V159" i="2" s="1"/>
  <c r="V160" i="2" s="1"/>
  <c r="V161" i="2" s="1"/>
  <c r="V162" i="2" s="1"/>
  <c r="V163" i="2" s="1"/>
  <c r="V164" i="2" s="1"/>
  <c r="V165" i="2" s="1"/>
  <c r="V166" i="2" s="1"/>
  <c r="V167" i="2" s="1"/>
  <c r="V168" i="2" s="1"/>
  <c r="V169" i="2" s="1"/>
  <c r="V170" i="2" s="1"/>
  <c r="V171" i="2" s="1"/>
  <c r="V172" i="2" s="1"/>
  <c r="V173" i="2" s="1"/>
  <c r="V174" i="2" s="1"/>
  <c r="V175" i="2" s="1"/>
  <c r="V176" i="2" s="1"/>
  <c r="V177" i="2" s="1"/>
  <c r="V178" i="2" s="1"/>
  <c r="V179" i="2" s="1"/>
  <c r="V180" i="2" s="1"/>
  <c r="V181" i="2" s="1"/>
  <c r="V182" i="2" s="1"/>
  <c r="V183" i="2" s="1"/>
  <c r="V184" i="2" s="1"/>
  <c r="V185" i="2" s="1"/>
  <c r="V186" i="2" s="1"/>
  <c r="V187" i="2" s="1"/>
  <c r="V188" i="2" s="1"/>
  <c r="V189" i="2" s="1"/>
  <c r="V190" i="2" s="1"/>
  <c r="V191" i="2" s="1"/>
  <c r="V192" i="2" s="1"/>
  <c r="V193" i="2" s="1"/>
  <c r="V194" i="2" s="1"/>
  <c r="V195" i="2" s="1"/>
  <c r="V196" i="2" s="1"/>
  <c r="V197" i="2" s="1"/>
  <c r="V198" i="2" s="1"/>
  <c r="V199" i="2" s="1"/>
  <c r="V200" i="2" s="1"/>
  <c r="V201" i="2" s="1"/>
  <c r="V202" i="2" s="1"/>
  <c r="V203" i="2" s="1"/>
  <c r="V204" i="2" s="1"/>
  <c r="V205" i="2" s="1"/>
  <c r="V206" i="2" s="1"/>
  <c r="V207" i="2" s="1"/>
  <c r="V208" i="2" s="1"/>
  <c r="V209" i="2" s="1"/>
  <c r="V210" i="2" s="1"/>
  <c r="V211" i="2" s="1"/>
  <c r="V212" i="2" s="1"/>
  <c r="V213" i="2" s="1"/>
  <c r="V214" i="2" s="1"/>
  <c r="V215" i="2" s="1"/>
  <c r="V216" i="2" s="1"/>
  <c r="V217" i="2" s="1"/>
  <c r="V218" i="2" s="1"/>
  <c r="V219" i="2" s="1"/>
  <c r="V220" i="2" s="1"/>
  <c r="V221" i="2" s="1"/>
  <c r="V222" i="2" s="1"/>
  <c r="V223" i="2" s="1"/>
  <c r="V224" i="2" s="1"/>
  <c r="V225" i="2" s="1"/>
  <c r="V226" i="2" s="1"/>
  <c r="V227" i="2" s="1"/>
  <c r="V228" i="2" s="1"/>
  <c r="V229" i="2" s="1"/>
  <c r="V230" i="2" s="1"/>
  <c r="V231" i="2" s="1"/>
  <c r="V232" i="2" s="1"/>
  <c r="V233" i="2" s="1"/>
  <c r="V234" i="2" s="1"/>
  <c r="V235" i="2" s="1"/>
  <c r="V236" i="2" s="1"/>
  <c r="V237" i="2" s="1"/>
  <c r="V238" i="2" s="1"/>
  <c r="V239" i="2" s="1"/>
  <c r="V240" i="2" s="1"/>
  <c r="V241" i="2" s="1"/>
  <c r="V242" i="2" s="1"/>
  <c r="V243" i="2" s="1"/>
  <c r="V244" i="2" s="1"/>
  <c r="V245" i="2" s="1"/>
  <c r="V246" i="2" s="1"/>
  <c r="V247" i="2" s="1"/>
  <c r="V248" i="2" s="1"/>
  <c r="V249" i="2" s="1"/>
  <c r="V250" i="2" s="1"/>
  <c r="V251" i="2" s="1"/>
  <c r="V252" i="2" s="1"/>
  <c r="V253" i="2" s="1"/>
  <c r="V254" i="2" s="1"/>
  <c r="V255" i="2" s="1"/>
  <c r="V256" i="2" s="1"/>
  <c r="V257" i="2" s="1"/>
  <c r="V258" i="2" s="1"/>
  <c r="V259" i="2" s="1"/>
  <c r="V260" i="2" s="1"/>
  <c r="V261" i="2" s="1"/>
  <c r="V262" i="2" s="1"/>
  <c r="V263" i="2" s="1"/>
  <c r="V264" i="2" s="1"/>
  <c r="V265" i="2" s="1"/>
  <c r="V266" i="2" s="1"/>
  <c r="V267" i="2" s="1"/>
  <c r="V268" i="2" s="1"/>
  <c r="V269" i="2" s="1"/>
  <c r="V270" i="2" s="1"/>
  <c r="V271" i="2" s="1"/>
  <c r="V272" i="2" s="1"/>
  <c r="V273" i="2" s="1"/>
  <c r="V274" i="2" s="1"/>
  <c r="V275" i="2" s="1"/>
  <c r="V276" i="2" s="1"/>
  <c r="V277" i="2" s="1"/>
  <c r="V278" i="2" s="1"/>
  <c r="V279" i="2" s="1"/>
  <c r="V280" i="2" s="1"/>
  <c r="V281" i="2" s="1"/>
  <c r="V282" i="2" s="1"/>
  <c r="V283" i="2" s="1"/>
  <c r="V284" i="2" s="1"/>
  <c r="V285" i="2" s="1"/>
  <c r="V286" i="2" s="1"/>
  <c r="V287" i="2" s="1"/>
  <c r="V288" i="2" s="1"/>
  <c r="V289" i="2" s="1"/>
  <c r="V290" i="2" s="1"/>
  <c r="V291" i="2" s="1"/>
  <c r="V292" i="2" s="1"/>
  <c r="V293" i="2" s="1"/>
  <c r="V294" i="2" s="1"/>
  <c r="V295" i="2" s="1"/>
  <c r="V296" i="2" s="1"/>
  <c r="V297" i="2" s="1"/>
  <c r="V298" i="2" s="1"/>
  <c r="V299" i="2" s="1"/>
  <c r="V300" i="2" s="1"/>
  <c r="V301" i="2" s="1"/>
  <c r="V302" i="2" s="1"/>
  <c r="V303" i="2" s="1"/>
  <c r="V304" i="2" s="1"/>
  <c r="V305" i="2" s="1"/>
  <c r="V306" i="2" s="1"/>
  <c r="V307" i="2" s="1"/>
  <c r="V308" i="2" s="1"/>
  <c r="V309" i="2" s="1"/>
  <c r="V310" i="2" s="1"/>
  <c r="V311" i="2" s="1"/>
  <c r="V312" i="2" s="1"/>
  <c r="V313" i="2" s="1"/>
  <c r="V314" i="2" s="1"/>
  <c r="V315" i="2" s="1"/>
  <c r="V316" i="2" s="1"/>
  <c r="V317" i="2" s="1"/>
  <c r="V318" i="2" s="1"/>
  <c r="V319" i="2" s="1"/>
  <c r="V320" i="2" s="1"/>
  <c r="V321" i="2" s="1"/>
  <c r="V322" i="2" s="1"/>
  <c r="V323" i="2" s="1"/>
  <c r="V324" i="2" s="1"/>
  <c r="V325" i="2" s="1"/>
  <c r="V326" i="2" s="1"/>
  <c r="V327" i="2" s="1"/>
  <c r="V328" i="2" s="1"/>
  <c r="V329" i="2" s="1"/>
  <c r="V330" i="2" s="1"/>
  <c r="V331" i="2" s="1"/>
  <c r="V332" i="2" s="1"/>
  <c r="V333" i="2" s="1"/>
  <c r="V334" i="2" s="1"/>
  <c r="V335" i="2" s="1"/>
  <c r="V336" i="2" s="1"/>
  <c r="V337" i="2" s="1"/>
  <c r="V338" i="2" s="1"/>
  <c r="V339" i="2" s="1"/>
  <c r="V340" i="2" s="1"/>
  <c r="V341" i="2" s="1"/>
  <c r="V342" i="2" s="1"/>
  <c r="V343" i="2" s="1"/>
  <c r="V344" i="2" s="1"/>
  <c r="V345" i="2" s="1"/>
  <c r="V346" i="2" s="1"/>
  <c r="V347" i="2" s="1"/>
  <c r="V348" i="2" s="1"/>
  <c r="V349" i="2" s="1"/>
  <c r="V350" i="2" s="1"/>
  <c r="V351" i="2" s="1"/>
  <c r="V352" i="2" s="1"/>
  <c r="V353" i="2" s="1"/>
  <c r="V354" i="2" s="1"/>
  <c r="V355" i="2" s="1"/>
  <c r="V356" i="2" s="1"/>
  <c r="V357" i="2" s="1"/>
  <c r="V358" i="2" s="1"/>
  <c r="V359" i="2" s="1"/>
  <c r="V360" i="2" s="1"/>
  <c r="V361" i="2" s="1"/>
  <c r="V362" i="2" s="1"/>
  <c r="V363" i="2" s="1"/>
  <c r="V364" i="2" s="1"/>
  <c r="V365" i="2" s="1"/>
  <c r="V366" i="2" s="1"/>
  <c r="V367" i="2" s="1"/>
  <c r="V368" i="2" s="1"/>
  <c r="V369" i="2" s="1"/>
  <c r="V370" i="2" s="1"/>
  <c r="V371" i="2" s="1"/>
  <c r="V372" i="2" s="1"/>
  <c r="V373" i="2" s="1"/>
  <c r="V374" i="2" s="1"/>
  <c r="V375" i="2" s="1"/>
  <c r="V376" i="2" s="1"/>
  <c r="V377" i="2" s="1"/>
  <c r="V378" i="2" s="1"/>
  <c r="V379" i="2" s="1"/>
  <c r="V380" i="2" s="1"/>
  <c r="V381" i="2" s="1"/>
  <c r="V382" i="2" s="1"/>
  <c r="V383" i="2" s="1"/>
  <c r="V384" i="2" s="1"/>
  <c r="V385" i="2" s="1"/>
  <c r="V386" i="2" s="1"/>
  <c r="V387" i="2" s="1"/>
  <c r="V388" i="2" s="1"/>
  <c r="V389" i="2" s="1"/>
  <c r="V390" i="2" s="1"/>
  <c r="V391" i="2" s="1"/>
  <c r="V392" i="2" s="1"/>
  <c r="V393" i="2" s="1"/>
  <c r="V394" i="2" s="1"/>
  <c r="V395" i="2" s="1"/>
  <c r="V396" i="2" s="1"/>
  <c r="V397" i="2" s="1"/>
  <c r="V398" i="2" s="1"/>
  <c r="V399" i="2" s="1"/>
  <c r="V400" i="2" s="1"/>
  <c r="V401" i="2" s="1"/>
  <c r="V402" i="2" s="1"/>
  <c r="V403" i="2" s="1"/>
  <c r="V404" i="2" s="1"/>
  <c r="V405" i="2" s="1"/>
  <c r="V406" i="2" s="1"/>
  <c r="V407" i="2" s="1"/>
  <c r="V408" i="2" s="1"/>
  <c r="V409" i="2" s="1"/>
  <c r="V410" i="2" s="1"/>
  <c r="V411" i="2" s="1"/>
  <c r="V412" i="2" s="1"/>
  <c r="V413" i="2" s="1"/>
  <c r="V414" i="2" s="1"/>
  <c r="V415" i="2" s="1"/>
  <c r="V416" i="2" s="1"/>
  <c r="V417" i="2" s="1"/>
  <c r="V418" i="2" s="1"/>
  <c r="V419" i="2" s="1"/>
  <c r="V420" i="2" s="1"/>
  <c r="V421" i="2" s="1"/>
  <c r="V422" i="2" s="1"/>
  <c r="V423" i="2" s="1"/>
  <c r="V424" i="2" s="1"/>
  <c r="V425" i="2" s="1"/>
  <c r="V426" i="2" s="1"/>
  <c r="V427" i="2" s="1"/>
  <c r="V428" i="2" s="1"/>
  <c r="V429" i="2" s="1"/>
  <c r="V430" i="2" s="1"/>
  <c r="V431" i="2" s="1"/>
  <c r="V432" i="2" s="1"/>
  <c r="V433" i="2" s="1"/>
  <c r="V434" i="2" s="1"/>
  <c r="V435" i="2" s="1"/>
  <c r="V436" i="2" s="1"/>
  <c r="V437" i="2" s="1"/>
  <c r="V438" i="2" s="1"/>
  <c r="V439" i="2" s="1"/>
  <c r="V440" i="2" s="1"/>
  <c r="V441" i="2" s="1"/>
  <c r="V442" i="2" s="1"/>
  <c r="V443" i="2" s="1"/>
  <c r="V444" i="2" s="1"/>
  <c r="V445" i="2" s="1"/>
  <c r="V446" i="2" s="1"/>
  <c r="V447" i="2" s="1"/>
  <c r="V448" i="2" s="1"/>
  <c r="V449" i="2" s="1"/>
  <c r="V450" i="2" s="1"/>
  <c r="V451" i="2" s="1"/>
  <c r="V452" i="2" s="1"/>
  <c r="V453" i="2" s="1"/>
  <c r="V454" i="2" s="1"/>
  <c r="V455" i="2" s="1"/>
  <c r="V456" i="2" s="1"/>
  <c r="V457" i="2" s="1"/>
  <c r="V458" i="2" s="1"/>
  <c r="V459" i="2" s="1"/>
  <c r="V460" i="2" s="1"/>
  <c r="V461" i="2" s="1"/>
  <c r="V462" i="2" s="1"/>
  <c r="V463" i="2" s="1"/>
  <c r="V464" i="2" s="1"/>
  <c r="V465" i="2" s="1"/>
  <c r="V466" i="2" s="1"/>
  <c r="V467" i="2" s="1"/>
  <c r="V468" i="2" s="1"/>
  <c r="V469" i="2" s="1"/>
  <c r="V470" i="2" s="1"/>
  <c r="V471" i="2" s="1"/>
  <c r="V472" i="2" s="1"/>
  <c r="V473" i="2" s="1"/>
  <c r="V474" i="2" s="1"/>
  <c r="V475" i="2" s="1"/>
  <c r="V476" i="2" s="1"/>
  <c r="V477" i="2" s="1"/>
  <c r="V478" i="2" s="1"/>
  <c r="V479" i="2" s="1"/>
  <c r="V480" i="2" s="1"/>
  <c r="V481" i="2" s="1"/>
  <c r="V482" i="2" s="1"/>
  <c r="V483" i="2" s="1"/>
  <c r="V484" i="2" s="1"/>
  <c r="V485" i="2" s="1"/>
  <c r="V486" i="2" s="1"/>
  <c r="V487" i="2" s="1"/>
  <c r="V488" i="2" s="1"/>
  <c r="V489" i="2" s="1"/>
  <c r="V490" i="2" s="1"/>
  <c r="V491" i="2" s="1"/>
  <c r="V492" i="2" s="1"/>
  <c r="C23" i="2"/>
  <c r="E22" i="2"/>
  <c r="G22" i="2"/>
  <c r="J22" i="2"/>
  <c r="M23" i="2"/>
  <c r="T22" i="2"/>
  <c r="T23" i="2"/>
  <c r="D24" i="2"/>
  <c r="I18" i="3"/>
  <c r="F19" i="4" s="1"/>
  <c r="U18" i="3"/>
  <c r="J19" i="4" s="1"/>
  <c r="O18" i="3"/>
  <c r="H19" i="4" s="1"/>
  <c r="C19" i="4"/>
  <c r="AB18" i="3"/>
  <c r="E19" i="4" s="1"/>
  <c r="I22" i="2"/>
  <c r="F22" i="2" s="1"/>
  <c r="L23" i="2"/>
  <c r="N23" i="2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N34" i="2" s="1"/>
  <c r="N35" i="2" s="1"/>
  <c r="N36" i="2" s="1"/>
  <c r="N37" i="2" s="1"/>
  <c r="N38" i="2" s="1"/>
  <c r="N39" i="2" s="1"/>
  <c r="N40" i="2" s="1"/>
  <c r="N41" i="2" s="1"/>
  <c r="N42" i="2" s="1"/>
  <c r="N43" i="2" s="1"/>
  <c r="N44" i="2" s="1"/>
  <c r="N45" i="2" s="1"/>
  <c r="N46" i="2" s="1"/>
  <c r="N47" i="2" s="1"/>
  <c r="N48" i="2" s="1"/>
  <c r="N49" i="2" s="1"/>
  <c r="N50" i="2" s="1"/>
  <c r="N51" i="2" s="1"/>
  <c r="N52" i="2" s="1"/>
  <c r="N53" i="2" s="1"/>
  <c r="N54" i="2" s="1"/>
  <c r="N55" i="2" s="1"/>
  <c r="N56" i="2" s="1"/>
  <c r="N57" i="2" s="1"/>
  <c r="N58" i="2" s="1"/>
  <c r="N59" i="2" s="1"/>
  <c r="N60" i="2" s="1"/>
  <c r="N61" i="2" s="1"/>
  <c r="N62" i="2" s="1"/>
  <c r="N63" i="2" s="1"/>
  <c r="N64" i="2" s="1"/>
  <c r="N65" i="2" s="1"/>
  <c r="N66" i="2" s="1"/>
  <c r="N67" i="2" s="1"/>
  <c r="N68" i="2" s="1"/>
  <c r="N69" i="2" s="1"/>
  <c r="N70" i="2" s="1"/>
  <c r="N71" i="2" s="1"/>
  <c r="N72" i="2" s="1"/>
  <c r="N73" i="2" s="1"/>
  <c r="N74" i="2" s="1"/>
  <c r="N75" i="2" s="1"/>
  <c r="N76" i="2" s="1"/>
  <c r="N77" i="2" s="1"/>
  <c r="N78" i="2" s="1"/>
  <c r="N79" i="2" s="1"/>
  <c r="N80" i="2" s="1"/>
  <c r="N81" i="2" s="1"/>
  <c r="N82" i="2" s="1"/>
  <c r="N83" i="2" s="1"/>
  <c r="N84" i="2" s="1"/>
  <c r="N85" i="2" s="1"/>
  <c r="N86" i="2" s="1"/>
  <c r="N87" i="2" s="1"/>
  <c r="N88" i="2" s="1"/>
  <c r="N89" i="2" s="1"/>
  <c r="N90" i="2" s="1"/>
  <c r="N91" i="2" s="1"/>
  <c r="N92" i="2" s="1"/>
  <c r="N93" i="2" s="1"/>
  <c r="N94" i="2" s="1"/>
  <c r="N95" i="2" s="1"/>
  <c r="N96" i="2" s="1"/>
  <c r="N97" i="2" s="1"/>
  <c r="N98" i="2" s="1"/>
  <c r="N99" i="2" s="1"/>
  <c r="N100" i="2" s="1"/>
  <c r="N101" i="2" s="1"/>
  <c r="N102" i="2" s="1"/>
  <c r="N103" i="2" s="1"/>
  <c r="N104" i="2" s="1"/>
  <c r="N105" i="2" s="1"/>
  <c r="N106" i="2" s="1"/>
  <c r="N107" i="2" s="1"/>
  <c r="N108" i="2" s="1"/>
  <c r="N109" i="2" s="1"/>
  <c r="N110" i="2" s="1"/>
  <c r="N111" i="2" s="1"/>
  <c r="N112" i="2" s="1"/>
  <c r="N113" i="2" s="1"/>
  <c r="N114" i="2" s="1"/>
  <c r="N115" i="2" s="1"/>
  <c r="N116" i="2" s="1"/>
  <c r="N117" i="2" s="1"/>
  <c r="N118" i="2" s="1"/>
  <c r="N119" i="2" s="1"/>
  <c r="N120" i="2" s="1"/>
  <c r="N121" i="2" s="1"/>
  <c r="N122" i="2" s="1"/>
  <c r="N123" i="2" s="1"/>
  <c r="N124" i="2" s="1"/>
  <c r="N125" i="2" s="1"/>
  <c r="N126" i="2" s="1"/>
  <c r="N127" i="2" s="1"/>
  <c r="N128" i="2" s="1"/>
  <c r="N129" i="2" s="1"/>
  <c r="N130" i="2" s="1"/>
  <c r="N131" i="2" s="1"/>
  <c r="N132" i="2" s="1"/>
  <c r="N133" i="2" s="1"/>
  <c r="N134" i="2" s="1"/>
  <c r="N135" i="2" s="1"/>
  <c r="N136" i="2" s="1"/>
  <c r="N137" i="2" s="1"/>
  <c r="N138" i="2" s="1"/>
  <c r="N139" i="2" s="1"/>
  <c r="N140" i="2" s="1"/>
  <c r="N141" i="2" s="1"/>
  <c r="N142" i="2" s="1"/>
  <c r="N143" i="2" s="1"/>
  <c r="N144" i="2" s="1"/>
  <c r="N145" i="2" s="1"/>
  <c r="N146" i="2" s="1"/>
  <c r="N147" i="2" s="1"/>
  <c r="N148" i="2" s="1"/>
  <c r="N149" i="2" s="1"/>
  <c r="N150" i="2" s="1"/>
  <c r="N151" i="2" s="1"/>
  <c r="N152" i="2" s="1"/>
  <c r="N153" i="2" s="1"/>
  <c r="N154" i="2" s="1"/>
  <c r="N155" i="2" s="1"/>
  <c r="N156" i="2" s="1"/>
  <c r="N157" i="2" s="1"/>
  <c r="N158" i="2" s="1"/>
  <c r="N159" i="2" s="1"/>
  <c r="N160" i="2" s="1"/>
  <c r="N161" i="2" s="1"/>
  <c r="N162" i="2" s="1"/>
  <c r="N163" i="2" s="1"/>
  <c r="N164" i="2" s="1"/>
  <c r="N165" i="2" s="1"/>
  <c r="N166" i="2" s="1"/>
  <c r="N167" i="2" s="1"/>
  <c r="N168" i="2" s="1"/>
  <c r="N169" i="2" s="1"/>
  <c r="N170" i="2" s="1"/>
  <c r="N171" i="2" s="1"/>
  <c r="N172" i="2" s="1"/>
  <c r="N173" i="2" s="1"/>
  <c r="N174" i="2" s="1"/>
  <c r="N175" i="2" s="1"/>
  <c r="N176" i="2" s="1"/>
  <c r="N177" i="2" s="1"/>
  <c r="N178" i="2" s="1"/>
  <c r="N179" i="2" s="1"/>
  <c r="N180" i="2" s="1"/>
  <c r="N181" i="2" s="1"/>
  <c r="N182" i="2" s="1"/>
  <c r="N183" i="2" s="1"/>
  <c r="N184" i="2" s="1"/>
  <c r="N185" i="2" s="1"/>
  <c r="N186" i="2" s="1"/>
  <c r="N187" i="2" s="1"/>
  <c r="N188" i="2" s="1"/>
  <c r="N189" i="2" s="1"/>
  <c r="N190" i="2" s="1"/>
  <c r="N191" i="2" s="1"/>
  <c r="N192" i="2" s="1"/>
  <c r="N193" i="2" s="1"/>
  <c r="N194" i="2" s="1"/>
  <c r="N195" i="2" s="1"/>
  <c r="N196" i="2" s="1"/>
  <c r="N197" i="2" s="1"/>
  <c r="N198" i="2" s="1"/>
  <c r="N199" i="2" s="1"/>
  <c r="N200" i="2" s="1"/>
  <c r="N201" i="2" s="1"/>
  <c r="N202" i="2" s="1"/>
  <c r="N203" i="2" s="1"/>
  <c r="N204" i="2" s="1"/>
  <c r="N205" i="2" s="1"/>
  <c r="N206" i="2" s="1"/>
  <c r="N207" i="2" s="1"/>
  <c r="N208" i="2" s="1"/>
  <c r="N209" i="2" s="1"/>
  <c r="N210" i="2" s="1"/>
  <c r="N211" i="2" s="1"/>
  <c r="N212" i="2" s="1"/>
  <c r="N213" i="2" s="1"/>
  <c r="N214" i="2" s="1"/>
  <c r="N215" i="2" s="1"/>
  <c r="N216" i="2" s="1"/>
  <c r="N217" i="2" s="1"/>
  <c r="N218" i="2" s="1"/>
  <c r="N219" i="2" s="1"/>
  <c r="N220" i="2" s="1"/>
  <c r="N221" i="2" s="1"/>
  <c r="N222" i="2" s="1"/>
  <c r="N223" i="2" s="1"/>
  <c r="N224" i="2" s="1"/>
  <c r="N225" i="2" s="1"/>
  <c r="N226" i="2" s="1"/>
  <c r="N227" i="2" s="1"/>
  <c r="N228" i="2" s="1"/>
  <c r="N229" i="2" s="1"/>
  <c r="N230" i="2" s="1"/>
  <c r="N231" i="2" s="1"/>
  <c r="N232" i="2" s="1"/>
  <c r="N233" i="2" s="1"/>
  <c r="N234" i="2" s="1"/>
  <c r="N235" i="2" s="1"/>
  <c r="N236" i="2" s="1"/>
  <c r="N237" i="2" s="1"/>
  <c r="N238" i="2" s="1"/>
  <c r="N239" i="2" s="1"/>
  <c r="N240" i="2" s="1"/>
  <c r="N241" i="2" s="1"/>
  <c r="N242" i="2" s="1"/>
  <c r="N243" i="2" s="1"/>
  <c r="N244" i="2" s="1"/>
  <c r="N245" i="2" s="1"/>
  <c r="N246" i="2" s="1"/>
  <c r="N247" i="2" s="1"/>
  <c r="N248" i="2" s="1"/>
  <c r="N249" i="2" s="1"/>
  <c r="N250" i="2" s="1"/>
  <c r="N251" i="2" s="1"/>
  <c r="N252" i="2" s="1"/>
  <c r="N253" i="2" s="1"/>
  <c r="N254" i="2" s="1"/>
  <c r="N255" i="2" s="1"/>
  <c r="N256" i="2" s="1"/>
  <c r="N257" i="2" s="1"/>
  <c r="N258" i="2" s="1"/>
  <c r="N259" i="2" s="1"/>
  <c r="N260" i="2" s="1"/>
  <c r="N261" i="2" s="1"/>
  <c r="N262" i="2" s="1"/>
  <c r="N263" i="2" s="1"/>
  <c r="N264" i="2" s="1"/>
  <c r="N265" i="2" s="1"/>
  <c r="N266" i="2" s="1"/>
  <c r="N267" i="2" s="1"/>
  <c r="N268" i="2" s="1"/>
  <c r="N269" i="2" s="1"/>
  <c r="N270" i="2" s="1"/>
  <c r="N271" i="2" s="1"/>
  <c r="N272" i="2" s="1"/>
  <c r="N273" i="2" s="1"/>
  <c r="N274" i="2" s="1"/>
  <c r="N275" i="2" s="1"/>
  <c r="N276" i="2" s="1"/>
  <c r="N277" i="2" s="1"/>
  <c r="N278" i="2" s="1"/>
  <c r="N279" i="2" s="1"/>
  <c r="N280" i="2" s="1"/>
  <c r="N281" i="2" s="1"/>
  <c r="N282" i="2" s="1"/>
  <c r="N283" i="2" s="1"/>
  <c r="N284" i="2" s="1"/>
  <c r="N285" i="2" s="1"/>
  <c r="N286" i="2" s="1"/>
  <c r="N287" i="2" s="1"/>
  <c r="N288" i="2" s="1"/>
  <c r="N289" i="2" s="1"/>
  <c r="N290" i="2" s="1"/>
  <c r="N291" i="2" s="1"/>
  <c r="N292" i="2" s="1"/>
  <c r="N293" i="2" s="1"/>
  <c r="N294" i="2" s="1"/>
  <c r="N295" i="2" s="1"/>
  <c r="N296" i="2" s="1"/>
  <c r="N297" i="2" s="1"/>
  <c r="N298" i="2" s="1"/>
  <c r="N299" i="2" s="1"/>
  <c r="N300" i="2" s="1"/>
  <c r="N301" i="2" s="1"/>
  <c r="N302" i="2" s="1"/>
  <c r="N303" i="2" s="1"/>
  <c r="N304" i="2" s="1"/>
  <c r="N305" i="2" s="1"/>
  <c r="N306" i="2" s="1"/>
  <c r="N307" i="2" s="1"/>
  <c r="N308" i="2" s="1"/>
  <c r="N309" i="2" s="1"/>
  <c r="N310" i="2" s="1"/>
  <c r="N311" i="2" s="1"/>
  <c r="N312" i="2" s="1"/>
  <c r="N313" i="2" s="1"/>
  <c r="N314" i="2" s="1"/>
  <c r="N315" i="2" s="1"/>
  <c r="N316" i="2" s="1"/>
  <c r="N317" i="2" s="1"/>
  <c r="N318" i="2" s="1"/>
  <c r="N319" i="2" s="1"/>
  <c r="N320" i="2" s="1"/>
  <c r="N321" i="2" s="1"/>
  <c r="N322" i="2" s="1"/>
  <c r="N323" i="2" s="1"/>
  <c r="N324" i="2" s="1"/>
  <c r="N325" i="2" s="1"/>
  <c r="N326" i="2" s="1"/>
  <c r="N327" i="2" s="1"/>
  <c r="N328" i="2" s="1"/>
  <c r="N329" i="2" s="1"/>
  <c r="N330" i="2" s="1"/>
  <c r="N331" i="2" s="1"/>
  <c r="N332" i="2" s="1"/>
  <c r="N333" i="2" s="1"/>
  <c r="N334" i="2" s="1"/>
  <c r="N335" i="2" s="1"/>
  <c r="N336" i="2" s="1"/>
  <c r="N337" i="2" s="1"/>
  <c r="N338" i="2" s="1"/>
  <c r="N339" i="2" s="1"/>
  <c r="N340" i="2" s="1"/>
  <c r="N341" i="2" s="1"/>
  <c r="N342" i="2" s="1"/>
  <c r="N343" i="2" s="1"/>
  <c r="N344" i="2" s="1"/>
  <c r="N345" i="2" s="1"/>
  <c r="N346" i="2" s="1"/>
  <c r="N347" i="2" s="1"/>
  <c r="N348" i="2" s="1"/>
  <c r="N349" i="2" s="1"/>
  <c r="N350" i="2" s="1"/>
  <c r="N351" i="2" s="1"/>
  <c r="N352" i="2" s="1"/>
  <c r="N353" i="2" s="1"/>
  <c r="N354" i="2" s="1"/>
  <c r="N355" i="2" s="1"/>
  <c r="N356" i="2" s="1"/>
  <c r="N357" i="2" s="1"/>
  <c r="N358" i="2" s="1"/>
  <c r="N359" i="2" s="1"/>
  <c r="N360" i="2" s="1"/>
  <c r="N361" i="2" s="1"/>
  <c r="N362" i="2" s="1"/>
  <c r="N363" i="2" s="1"/>
  <c r="N364" i="2" s="1"/>
  <c r="N365" i="2" s="1"/>
  <c r="N366" i="2" s="1"/>
  <c r="N367" i="2" s="1"/>
  <c r="N368" i="2" s="1"/>
  <c r="N369" i="2" s="1"/>
  <c r="N370" i="2" s="1"/>
  <c r="N371" i="2" s="1"/>
  <c r="N372" i="2" s="1"/>
  <c r="N373" i="2" s="1"/>
  <c r="N374" i="2" s="1"/>
  <c r="N375" i="2" s="1"/>
  <c r="N376" i="2" s="1"/>
  <c r="N377" i="2" s="1"/>
  <c r="N378" i="2" s="1"/>
  <c r="N379" i="2" s="1"/>
  <c r="N380" i="2" s="1"/>
  <c r="N381" i="2" s="1"/>
  <c r="N382" i="2" s="1"/>
  <c r="N383" i="2" s="1"/>
  <c r="N384" i="2" s="1"/>
  <c r="N385" i="2" s="1"/>
  <c r="N386" i="2" s="1"/>
  <c r="N387" i="2" s="1"/>
  <c r="N388" i="2" s="1"/>
  <c r="N389" i="2" s="1"/>
  <c r="N390" i="2" s="1"/>
  <c r="N391" i="2" s="1"/>
  <c r="N392" i="2" s="1"/>
  <c r="N393" i="2" s="1"/>
  <c r="N394" i="2" s="1"/>
  <c r="N395" i="2" s="1"/>
  <c r="N396" i="2" s="1"/>
  <c r="N397" i="2" s="1"/>
  <c r="N398" i="2" s="1"/>
  <c r="N399" i="2" s="1"/>
  <c r="N400" i="2" s="1"/>
  <c r="N401" i="2" s="1"/>
  <c r="N402" i="2" s="1"/>
  <c r="N403" i="2" s="1"/>
  <c r="N404" i="2" s="1"/>
  <c r="N405" i="2" s="1"/>
  <c r="N406" i="2" s="1"/>
  <c r="N407" i="2" s="1"/>
  <c r="N408" i="2" s="1"/>
  <c r="N409" i="2" s="1"/>
  <c r="N410" i="2" s="1"/>
  <c r="N411" i="2" s="1"/>
  <c r="N412" i="2" s="1"/>
  <c r="N413" i="2" s="1"/>
  <c r="N414" i="2" s="1"/>
  <c r="N415" i="2" s="1"/>
  <c r="N416" i="2" s="1"/>
  <c r="N417" i="2" s="1"/>
  <c r="N418" i="2" s="1"/>
  <c r="N419" i="2" s="1"/>
  <c r="N420" i="2" s="1"/>
  <c r="N421" i="2" s="1"/>
  <c r="N422" i="2" s="1"/>
  <c r="N423" i="2" s="1"/>
  <c r="N424" i="2" s="1"/>
  <c r="N425" i="2" s="1"/>
  <c r="N426" i="2" s="1"/>
  <c r="N427" i="2" s="1"/>
  <c r="N428" i="2" s="1"/>
  <c r="N429" i="2" s="1"/>
  <c r="N430" i="2" s="1"/>
  <c r="N431" i="2" s="1"/>
  <c r="N432" i="2" s="1"/>
  <c r="N433" i="2" s="1"/>
  <c r="N434" i="2" s="1"/>
  <c r="N435" i="2" s="1"/>
  <c r="N436" i="2" s="1"/>
  <c r="N437" i="2" s="1"/>
  <c r="N438" i="2" s="1"/>
  <c r="N439" i="2" s="1"/>
  <c r="N440" i="2" s="1"/>
  <c r="N441" i="2" s="1"/>
  <c r="N442" i="2" s="1"/>
  <c r="N443" i="2" s="1"/>
  <c r="N444" i="2" s="1"/>
  <c r="N445" i="2" s="1"/>
  <c r="N446" i="2" s="1"/>
  <c r="N447" i="2" s="1"/>
  <c r="N448" i="2" s="1"/>
  <c r="N449" i="2" s="1"/>
  <c r="N450" i="2" s="1"/>
  <c r="N451" i="2" s="1"/>
  <c r="N452" i="2" s="1"/>
  <c r="N453" i="2" s="1"/>
  <c r="N454" i="2" s="1"/>
  <c r="N455" i="2" s="1"/>
  <c r="N456" i="2" s="1"/>
  <c r="N457" i="2" s="1"/>
  <c r="N458" i="2" s="1"/>
  <c r="N459" i="2" s="1"/>
  <c r="N460" i="2" s="1"/>
  <c r="N461" i="2" s="1"/>
  <c r="N462" i="2" s="1"/>
  <c r="N463" i="2" s="1"/>
  <c r="N464" i="2" s="1"/>
  <c r="N465" i="2" s="1"/>
  <c r="N466" i="2" s="1"/>
  <c r="N467" i="2" s="1"/>
  <c r="N468" i="2" s="1"/>
  <c r="N469" i="2" s="1"/>
  <c r="N470" i="2" s="1"/>
  <c r="N471" i="2" s="1"/>
  <c r="N472" i="2" s="1"/>
  <c r="N473" i="2" s="1"/>
  <c r="N474" i="2" s="1"/>
  <c r="N475" i="2" s="1"/>
  <c r="N476" i="2" s="1"/>
  <c r="N477" i="2" s="1"/>
  <c r="N478" i="2" s="1"/>
  <c r="N479" i="2" s="1"/>
  <c r="N480" i="2" s="1"/>
  <c r="N481" i="2" s="1"/>
  <c r="N482" i="2" s="1"/>
  <c r="N483" i="2" s="1"/>
  <c r="N484" i="2" s="1"/>
  <c r="N485" i="2" s="1"/>
  <c r="N486" i="2" s="1"/>
  <c r="N487" i="2" s="1"/>
  <c r="N488" i="2" s="1"/>
  <c r="N489" i="2" s="1"/>
  <c r="N490" i="2" s="1"/>
  <c r="N491" i="2" s="1"/>
  <c r="U22" i="2"/>
  <c r="U23" i="2" s="1"/>
  <c r="U24" i="2" s="1"/>
  <c r="U25" i="2" s="1"/>
  <c r="U26" i="2" s="1"/>
  <c r="U27" i="2" s="1"/>
  <c r="U28" i="2" s="1"/>
  <c r="U29" i="2" s="1"/>
  <c r="U30" i="2" s="1"/>
  <c r="U31" i="2" s="1"/>
  <c r="U32" i="2" s="1"/>
  <c r="U33" i="2" s="1"/>
  <c r="U34" i="2" s="1"/>
  <c r="U35" i="2" s="1"/>
  <c r="U36" i="2" s="1"/>
  <c r="U37" i="2" s="1"/>
  <c r="U38" i="2" s="1"/>
  <c r="U39" i="2" s="1"/>
  <c r="U40" i="2" s="1"/>
  <c r="U41" i="2" s="1"/>
  <c r="U42" i="2" s="1"/>
  <c r="U43" i="2" s="1"/>
  <c r="U44" i="2" s="1"/>
  <c r="U45" i="2" s="1"/>
  <c r="U46" i="2" s="1"/>
  <c r="U47" i="2" s="1"/>
  <c r="U48" i="2" s="1"/>
  <c r="U49" i="2" s="1"/>
  <c r="U50" i="2" s="1"/>
  <c r="U51" i="2" s="1"/>
  <c r="U52" i="2" s="1"/>
  <c r="U53" i="2" s="1"/>
  <c r="U54" i="2" s="1"/>
  <c r="U55" i="2" s="1"/>
  <c r="U56" i="2" s="1"/>
  <c r="U57" i="2" s="1"/>
  <c r="U58" i="2" s="1"/>
  <c r="U59" i="2" s="1"/>
  <c r="U60" i="2" s="1"/>
  <c r="U61" i="2" s="1"/>
  <c r="U62" i="2" s="1"/>
  <c r="U63" i="2" s="1"/>
  <c r="U64" i="2" s="1"/>
  <c r="U65" i="2" s="1"/>
  <c r="U66" i="2" s="1"/>
  <c r="U67" i="2" s="1"/>
  <c r="U68" i="2" s="1"/>
  <c r="U69" i="2" s="1"/>
  <c r="U70" i="2" s="1"/>
  <c r="U71" i="2" s="1"/>
  <c r="U72" i="2" s="1"/>
  <c r="U73" i="2" s="1"/>
  <c r="U74" i="2" s="1"/>
  <c r="U75" i="2" s="1"/>
  <c r="U76" i="2" s="1"/>
  <c r="U77" i="2" s="1"/>
  <c r="U78" i="2" s="1"/>
  <c r="U79" i="2" s="1"/>
  <c r="U80" i="2" s="1"/>
  <c r="U81" i="2" s="1"/>
  <c r="U82" i="2" s="1"/>
  <c r="U83" i="2" s="1"/>
  <c r="U84" i="2" s="1"/>
  <c r="U85" i="2" s="1"/>
  <c r="U86" i="2" s="1"/>
  <c r="U87" i="2" s="1"/>
  <c r="U88" i="2" s="1"/>
  <c r="U89" i="2" s="1"/>
  <c r="U90" i="2" s="1"/>
  <c r="U91" i="2" s="1"/>
  <c r="U92" i="2" s="1"/>
  <c r="U93" i="2" s="1"/>
  <c r="U94" i="2" s="1"/>
  <c r="U95" i="2" s="1"/>
  <c r="U96" i="2" s="1"/>
  <c r="U97" i="2" s="1"/>
  <c r="U98" i="2" s="1"/>
  <c r="U99" i="2" s="1"/>
  <c r="U100" i="2" s="1"/>
  <c r="U101" i="2" s="1"/>
  <c r="U102" i="2" s="1"/>
  <c r="U103" i="2" s="1"/>
  <c r="U104" i="2" s="1"/>
  <c r="U105" i="2" s="1"/>
  <c r="U106" i="2" s="1"/>
  <c r="U107" i="2" s="1"/>
  <c r="U108" i="2" s="1"/>
  <c r="U109" i="2" s="1"/>
  <c r="U110" i="2" s="1"/>
  <c r="U111" i="2" s="1"/>
  <c r="U112" i="2" s="1"/>
  <c r="U113" i="2" s="1"/>
  <c r="U114" i="2" s="1"/>
  <c r="U115" i="2" s="1"/>
  <c r="U116" i="2" s="1"/>
  <c r="U117" i="2" s="1"/>
  <c r="U118" i="2" s="1"/>
  <c r="U119" i="2" s="1"/>
  <c r="U120" i="2" s="1"/>
  <c r="U121" i="2" s="1"/>
  <c r="U122" i="2" s="1"/>
  <c r="U123" i="2" s="1"/>
  <c r="U124" i="2" s="1"/>
  <c r="U125" i="2" s="1"/>
  <c r="U126" i="2" s="1"/>
  <c r="U127" i="2" s="1"/>
  <c r="U128" i="2" s="1"/>
  <c r="U129" i="2" s="1"/>
  <c r="U130" i="2" s="1"/>
  <c r="U131" i="2" s="1"/>
  <c r="U132" i="2" s="1"/>
  <c r="U133" i="2" s="1"/>
  <c r="U134" i="2" s="1"/>
  <c r="U135" i="2" s="1"/>
  <c r="U136" i="2" s="1"/>
  <c r="U137" i="2" s="1"/>
  <c r="U138" i="2" s="1"/>
  <c r="U139" i="2" s="1"/>
  <c r="U140" i="2" s="1"/>
  <c r="U141" i="2" s="1"/>
  <c r="U142" i="2" s="1"/>
  <c r="U143" i="2" s="1"/>
  <c r="U144" i="2" s="1"/>
  <c r="U145" i="2" s="1"/>
  <c r="U146" i="2" s="1"/>
  <c r="U147" i="2" s="1"/>
  <c r="U148" i="2" s="1"/>
  <c r="U149" i="2" s="1"/>
  <c r="U150" i="2" s="1"/>
  <c r="U151" i="2" s="1"/>
  <c r="U152" i="2" s="1"/>
  <c r="U153" i="2" s="1"/>
  <c r="U154" i="2" s="1"/>
  <c r="U155" i="2" s="1"/>
  <c r="U156" i="2" s="1"/>
  <c r="U157" i="2" s="1"/>
  <c r="U158" i="2" s="1"/>
  <c r="U159" i="2" s="1"/>
  <c r="U160" i="2" s="1"/>
  <c r="U161" i="2" s="1"/>
  <c r="U162" i="2" s="1"/>
  <c r="U163" i="2" s="1"/>
  <c r="U164" i="2" s="1"/>
  <c r="U165" i="2" s="1"/>
  <c r="U166" i="2" s="1"/>
  <c r="U167" i="2" s="1"/>
  <c r="U168" i="2" s="1"/>
  <c r="U169" i="2" s="1"/>
  <c r="U170" i="2" s="1"/>
  <c r="U171" i="2" s="1"/>
  <c r="U172" i="2" s="1"/>
  <c r="U173" i="2" s="1"/>
  <c r="U174" i="2" s="1"/>
  <c r="U175" i="2" s="1"/>
  <c r="U176" i="2" s="1"/>
  <c r="U177" i="2" s="1"/>
  <c r="U178" i="2" s="1"/>
  <c r="U179" i="2" s="1"/>
  <c r="U180" i="2" s="1"/>
  <c r="U181" i="2" s="1"/>
  <c r="U182" i="2" s="1"/>
  <c r="U183" i="2" s="1"/>
  <c r="U184" i="2" s="1"/>
  <c r="U185" i="2" s="1"/>
  <c r="U186" i="2" s="1"/>
  <c r="U187" i="2" s="1"/>
  <c r="U188" i="2" s="1"/>
  <c r="U189" i="2" s="1"/>
  <c r="U190" i="2" s="1"/>
  <c r="U191" i="2" s="1"/>
  <c r="U192" i="2" s="1"/>
  <c r="U193" i="2" s="1"/>
  <c r="U194" i="2" s="1"/>
  <c r="U195" i="2" s="1"/>
  <c r="U196" i="2" s="1"/>
  <c r="U197" i="2" s="1"/>
  <c r="U198" i="2" s="1"/>
  <c r="U199" i="2" s="1"/>
  <c r="U200" i="2" s="1"/>
  <c r="U201" i="2" s="1"/>
  <c r="U202" i="2" s="1"/>
  <c r="U203" i="2" s="1"/>
  <c r="U204" i="2" s="1"/>
  <c r="U205" i="2" s="1"/>
  <c r="U206" i="2" s="1"/>
  <c r="U207" i="2" s="1"/>
  <c r="U208" i="2" s="1"/>
  <c r="U209" i="2" s="1"/>
  <c r="U210" i="2" s="1"/>
  <c r="U211" i="2" s="1"/>
  <c r="U212" i="2" s="1"/>
  <c r="U213" i="2" s="1"/>
  <c r="U214" i="2" s="1"/>
  <c r="U215" i="2" s="1"/>
  <c r="U216" i="2" s="1"/>
  <c r="U217" i="2" s="1"/>
  <c r="U218" i="2" s="1"/>
  <c r="U219" i="2" s="1"/>
  <c r="U220" i="2" s="1"/>
  <c r="U221" i="2" s="1"/>
  <c r="U222" i="2" s="1"/>
  <c r="U223" i="2" s="1"/>
  <c r="U224" i="2" s="1"/>
  <c r="U225" i="2" s="1"/>
  <c r="U226" i="2" s="1"/>
  <c r="U227" i="2" s="1"/>
  <c r="U228" i="2" s="1"/>
  <c r="U229" i="2" s="1"/>
  <c r="U230" i="2" s="1"/>
  <c r="U231" i="2" s="1"/>
  <c r="U232" i="2" s="1"/>
  <c r="U233" i="2" s="1"/>
  <c r="U234" i="2" s="1"/>
  <c r="U235" i="2" s="1"/>
  <c r="U236" i="2" s="1"/>
  <c r="U237" i="2" s="1"/>
  <c r="U238" i="2" s="1"/>
  <c r="U239" i="2" s="1"/>
  <c r="U240" i="2" s="1"/>
  <c r="U241" i="2" s="1"/>
  <c r="U242" i="2" s="1"/>
  <c r="U243" i="2" s="1"/>
  <c r="U244" i="2" s="1"/>
  <c r="U245" i="2" s="1"/>
  <c r="U246" i="2" s="1"/>
  <c r="U247" i="2" s="1"/>
  <c r="U248" i="2" s="1"/>
  <c r="U249" i="2" s="1"/>
  <c r="U250" i="2" s="1"/>
  <c r="U251" i="2" s="1"/>
  <c r="U252" i="2" s="1"/>
  <c r="U253" i="2" s="1"/>
  <c r="U254" i="2" s="1"/>
  <c r="U255" i="2" s="1"/>
  <c r="U256" i="2" s="1"/>
  <c r="U257" i="2" s="1"/>
  <c r="U258" i="2" s="1"/>
  <c r="U259" i="2" s="1"/>
  <c r="U260" i="2" s="1"/>
  <c r="U261" i="2" s="1"/>
  <c r="U262" i="2" s="1"/>
  <c r="U263" i="2" s="1"/>
  <c r="U264" i="2" s="1"/>
  <c r="U265" i="2" s="1"/>
  <c r="U266" i="2" s="1"/>
  <c r="U267" i="2" s="1"/>
  <c r="U268" i="2" s="1"/>
  <c r="U269" i="2" s="1"/>
  <c r="U270" i="2" s="1"/>
  <c r="U271" i="2" s="1"/>
  <c r="U272" i="2" s="1"/>
  <c r="U273" i="2" s="1"/>
  <c r="U274" i="2" s="1"/>
  <c r="U275" i="2" s="1"/>
  <c r="U276" i="2" s="1"/>
  <c r="U277" i="2" s="1"/>
  <c r="U278" i="2" s="1"/>
  <c r="U279" i="2" s="1"/>
  <c r="U280" i="2" s="1"/>
  <c r="U281" i="2" s="1"/>
  <c r="U282" i="2" s="1"/>
  <c r="U283" i="2" s="1"/>
  <c r="U284" i="2" s="1"/>
  <c r="U285" i="2" s="1"/>
  <c r="U286" i="2" s="1"/>
  <c r="U287" i="2" s="1"/>
  <c r="U288" i="2" s="1"/>
  <c r="U289" i="2" s="1"/>
  <c r="U290" i="2" s="1"/>
  <c r="U291" i="2" s="1"/>
  <c r="U292" i="2" s="1"/>
  <c r="U293" i="2" s="1"/>
  <c r="U294" i="2" s="1"/>
  <c r="U295" i="2" s="1"/>
  <c r="U296" i="2" s="1"/>
  <c r="U297" i="2" s="1"/>
  <c r="U298" i="2" s="1"/>
  <c r="U299" i="2" s="1"/>
  <c r="U300" i="2" s="1"/>
  <c r="U301" i="2" s="1"/>
  <c r="U302" i="2" s="1"/>
  <c r="U303" i="2" s="1"/>
  <c r="U304" i="2" s="1"/>
  <c r="U305" i="2" s="1"/>
  <c r="U306" i="2" s="1"/>
  <c r="U307" i="2" s="1"/>
  <c r="U308" i="2" s="1"/>
  <c r="U309" i="2" s="1"/>
  <c r="U310" i="2" s="1"/>
  <c r="U311" i="2" s="1"/>
  <c r="U312" i="2" s="1"/>
  <c r="U313" i="2" s="1"/>
  <c r="U314" i="2" s="1"/>
  <c r="U315" i="2" s="1"/>
  <c r="U316" i="2" s="1"/>
  <c r="U317" i="2" s="1"/>
  <c r="U318" i="2" s="1"/>
  <c r="U319" i="2" s="1"/>
  <c r="U320" i="2" s="1"/>
  <c r="U321" i="2" s="1"/>
  <c r="U322" i="2" s="1"/>
  <c r="U323" i="2" s="1"/>
  <c r="U324" i="2" s="1"/>
  <c r="U325" i="2" s="1"/>
  <c r="U326" i="2" s="1"/>
  <c r="U327" i="2" s="1"/>
  <c r="U328" i="2" s="1"/>
  <c r="U329" i="2" s="1"/>
  <c r="U330" i="2" s="1"/>
  <c r="U331" i="2" s="1"/>
  <c r="U332" i="2" s="1"/>
  <c r="U333" i="2" s="1"/>
  <c r="U334" i="2" s="1"/>
  <c r="U335" i="2" s="1"/>
  <c r="U336" i="2" s="1"/>
  <c r="U337" i="2" s="1"/>
  <c r="U338" i="2" s="1"/>
  <c r="U339" i="2" s="1"/>
  <c r="U340" i="2" s="1"/>
  <c r="U341" i="2" s="1"/>
  <c r="U342" i="2" s="1"/>
  <c r="U343" i="2" s="1"/>
  <c r="U344" i="2" s="1"/>
  <c r="U345" i="2" s="1"/>
  <c r="U346" i="2" s="1"/>
  <c r="U347" i="2" s="1"/>
  <c r="U348" i="2" s="1"/>
  <c r="U349" i="2" s="1"/>
  <c r="U350" i="2" s="1"/>
  <c r="U351" i="2" s="1"/>
  <c r="U352" i="2" s="1"/>
  <c r="U353" i="2" s="1"/>
  <c r="U354" i="2" s="1"/>
  <c r="U355" i="2" s="1"/>
  <c r="U356" i="2" s="1"/>
  <c r="U357" i="2" s="1"/>
  <c r="U358" i="2" s="1"/>
  <c r="U359" i="2" s="1"/>
  <c r="U360" i="2" s="1"/>
  <c r="U361" i="2" s="1"/>
  <c r="U362" i="2" s="1"/>
  <c r="U363" i="2" s="1"/>
  <c r="U364" i="2" s="1"/>
  <c r="U365" i="2" s="1"/>
  <c r="U366" i="2" s="1"/>
  <c r="U367" i="2" s="1"/>
  <c r="U368" i="2" s="1"/>
  <c r="U369" i="2" s="1"/>
  <c r="U370" i="2" s="1"/>
  <c r="U371" i="2" s="1"/>
  <c r="U372" i="2" s="1"/>
  <c r="U373" i="2" s="1"/>
  <c r="U374" i="2" s="1"/>
  <c r="U375" i="2" s="1"/>
  <c r="U376" i="2" s="1"/>
  <c r="U377" i="2" s="1"/>
  <c r="U378" i="2" s="1"/>
  <c r="U379" i="2" s="1"/>
  <c r="U380" i="2" s="1"/>
  <c r="U381" i="2" s="1"/>
  <c r="U382" i="2" s="1"/>
  <c r="U383" i="2" s="1"/>
  <c r="U384" i="2" s="1"/>
  <c r="U385" i="2" s="1"/>
  <c r="U386" i="2" s="1"/>
  <c r="U387" i="2" s="1"/>
  <c r="U388" i="2" s="1"/>
  <c r="U389" i="2" s="1"/>
  <c r="U390" i="2" s="1"/>
  <c r="U391" i="2" s="1"/>
  <c r="U392" i="2" s="1"/>
  <c r="U393" i="2" s="1"/>
  <c r="U394" i="2" s="1"/>
  <c r="U395" i="2" s="1"/>
  <c r="U396" i="2" s="1"/>
  <c r="U397" i="2" s="1"/>
  <c r="U398" i="2" s="1"/>
  <c r="U399" i="2" s="1"/>
  <c r="U400" i="2" s="1"/>
  <c r="U401" i="2" s="1"/>
  <c r="U402" i="2" s="1"/>
  <c r="U403" i="2" s="1"/>
  <c r="U404" i="2" s="1"/>
  <c r="U405" i="2" s="1"/>
  <c r="U406" i="2" s="1"/>
  <c r="U407" i="2" s="1"/>
  <c r="U408" i="2" s="1"/>
  <c r="U409" i="2" s="1"/>
  <c r="U410" i="2" s="1"/>
  <c r="U411" i="2" s="1"/>
  <c r="U412" i="2" s="1"/>
  <c r="U413" i="2" s="1"/>
  <c r="U414" i="2" s="1"/>
  <c r="U415" i="2" s="1"/>
  <c r="U416" i="2" s="1"/>
  <c r="U417" i="2" s="1"/>
  <c r="U418" i="2" s="1"/>
  <c r="U419" i="2" s="1"/>
  <c r="U420" i="2" s="1"/>
  <c r="U421" i="2" s="1"/>
  <c r="U422" i="2" s="1"/>
  <c r="U423" i="2" s="1"/>
  <c r="U424" i="2" s="1"/>
  <c r="U425" i="2" s="1"/>
  <c r="U426" i="2" s="1"/>
  <c r="U427" i="2" s="1"/>
  <c r="U428" i="2" s="1"/>
  <c r="U429" i="2" s="1"/>
  <c r="U430" i="2" s="1"/>
  <c r="U431" i="2" s="1"/>
  <c r="U432" i="2" s="1"/>
  <c r="U433" i="2" s="1"/>
  <c r="U434" i="2" s="1"/>
  <c r="U435" i="2" s="1"/>
  <c r="U436" i="2" s="1"/>
  <c r="U437" i="2" s="1"/>
  <c r="U438" i="2" s="1"/>
  <c r="U439" i="2" s="1"/>
  <c r="U440" i="2" s="1"/>
  <c r="U441" i="2" s="1"/>
  <c r="U442" i="2" s="1"/>
  <c r="U443" i="2" s="1"/>
  <c r="U444" i="2" s="1"/>
  <c r="U445" i="2" s="1"/>
  <c r="U446" i="2" s="1"/>
  <c r="U447" i="2" s="1"/>
  <c r="U448" i="2" s="1"/>
  <c r="U449" i="2" s="1"/>
  <c r="U450" i="2" s="1"/>
  <c r="U451" i="2" s="1"/>
  <c r="U452" i="2" s="1"/>
  <c r="U453" i="2" s="1"/>
  <c r="U454" i="2" s="1"/>
  <c r="U455" i="2" s="1"/>
  <c r="U456" i="2" s="1"/>
  <c r="U457" i="2" s="1"/>
  <c r="U458" i="2" s="1"/>
  <c r="U459" i="2" s="1"/>
  <c r="U460" i="2" s="1"/>
  <c r="U461" i="2" s="1"/>
  <c r="U462" i="2" s="1"/>
  <c r="U463" i="2" s="1"/>
  <c r="U464" i="2" s="1"/>
  <c r="U465" i="2" s="1"/>
  <c r="U466" i="2" s="1"/>
  <c r="U467" i="2" s="1"/>
  <c r="U468" i="2" s="1"/>
  <c r="U469" i="2" s="1"/>
  <c r="U470" i="2" s="1"/>
  <c r="U471" i="2" s="1"/>
  <c r="U472" i="2" s="1"/>
  <c r="U473" i="2" s="1"/>
  <c r="U474" i="2" s="1"/>
  <c r="U475" i="2" s="1"/>
  <c r="U476" i="2" s="1"/>
  <c r="U477" i="2" s="1"/>
  <c r="U478" i="2" s="1"/>
  <c r="U479" i="2" s="1"/>
  <c r="U480" i="2" s="1"/>
  <c r="U481" i="2" s="1"/>
  <c r="U482" i="2" s="1"/>
  <c r="U483" i="2" s="1"/>
  <c r="U484" i="2" s="1"/>
  <c r="U485" i="2" s="1"/>
  <c r="U486" i="2" s="1"/>
  <c r="U487" i="2" s="1"/>
  <c r="U488" i="2" s="1"/>
  <c r="U489" i="2" s="1"/>
  <c r="U490" i="2" s="1"/>
  <c r="U491" i="2" s="1"/>
  <c r="U492" i="2" s="1"/>
  <c r="U493" i="2" l="1"/>
  <c r="G491" i="3"/>
  <c r="V493" i="2"/>
  <c r="M491" i="3"/>
  <c r="T492" i="2"/>
  <c r="W494" i="2"/>
  <c r="S492" i="3"/>
  <c r="Y492" i="3" s="1"/>
  <c r="Z492" i="3" s="1"/>
  <c r="O520" i="2"/>
  <c r="P518" i="3"/>
  <c r="I519" i="4" s="1"/>
  <c r="M519" i="4" s="1"/>
  <c r="I519" i="2"/>
  <c r="F519" i="2" s="1"/>
  <c r="N518" i="3" s="1"/>
  <c r="O518" i="3" s="1"/>
  <c r="H519" i="4" s="1"/>
  <c r="P521" i="2"/>
  <c r="V519" i="3"/>
  <c r="K520" i="4" s="1"/>
  <c r="N520" i="4" s="1"/>
  <c r="J520" i="2"/>
  <c r="G520" i="2" s="1"/>
  <c r="T519" i="3" s="1"/>
  <c r="U519" i="3" s="1"/>
  <c r="J520" i="4" s="1"/>
  <c r="N521" i="2"/>
  <c r="J519" i="3"/>
  <c r="G520" i="4" s="1"/>
  <c r="L520" i="4" s="1"/>
  <c r="H520" i="2"/>
  <c r="E520" i="2" s="1"/>
  <c r="H519" i="3" s="1"/>
  <c r="I519" i="3" s="1"/>
  <c r="F520" i="4" s="1"/>
  <c r="C525" i="2"/>
  <c r="M526" i="2"/>
  <c r="L526" i="2"/>
  <c r="K528" i="2"/>
  <c r="D526" i="2"/>
  <c r="K511" i="2"/>
  <c r="H510" i="2"/>
  <c r="M510" i="2"/>
  <c r="J509" i="2"/>
  <c r="D510" i="2"/>
  <c r="G509" i="2"/>
  <c r="E509" i="2"/>
  <c r="C512" i="2"/>
  <c r="I509" i="2"/>
  <c r="F509" i="2" s="1"/>
  <c r="L510" i="2"/>
  <c r="G500" i="2"/>
  <c r="E500" i="2"/>
  <c r="F500" i="2"/>
  <c r="D20" i="4"/>
  <c r="M24" i="2"/>
  <c r="J23" i="2"/>
  <c r="G23" i="2" s="1"/>
  <c r="C20" i="4"/>
  <c r="AB19" i="3"/>
  <c r="E20" i="4" s="1"/>
  <c r="K24" i="2"/>
  <c r="H23" i="2"/>
  <c r="E23" i="2" s="1"/>
  <c r="L24" i="2"/>
  <c r="I23" i="2"/>
  <c r="F23" i="2"/>
  <c r="C24" i="2"/>
  <c r="A21" i="4"/>
  <c r="M20" i="3"/>
  <c r="N20" i="3"/>
  <c r="C20" i="3"/>
  <c r="P20" i="3"/>
  <c r="G20" i="3"/>
  <c r="S20" i="3"/>
  <c r="Y20" i="3" s="1"/>
  <c r="Z20" i="3" s="1"/>
  <c r="AA20" i="3" s="1"/>
  <c r="H20" i="3"/>
  <c r="T20" i="3"/>
  <c r="E20" i="3"/>
  <c r="F20" i="3" s="1"/>
  <c r="J20" i="3"/>
  <c r="V20" i="3"/>
  <c r="G20" i="4"/>
  <c r="L20" i="4" s="1"/>
  <c r="H20" i="4"/>
  <c r="K20" i="4"/>
  <c r="N20" i="4" s="1"/>
  <c r="I20" i="4"/>
  <c r="M20" i="4" s="1"/>
  <c r="D25" i="2"/>
  <c r="T24" i="2"/>
  <c r="D22" i="3"/>
  <c r="O19" i="3"/>
  <c r="I19" i="3"/>
  <c r="F20" i="4" s="1"/>
  <c r="U19" i="3"/>
  <c r="J20" i="4" s="1"/>
  <c r="W495" i="2" l="1"/>
  <c r="S493" i="3"/>
  <c r="Y493" i="3" s="1"/>
  <c r="Z493" i="3" s="1"/>
  <c r="AB491" i="3"/>
  <c r="E492" i="4" s="1"/>
  <c r="C492" i="4"/>
  <c r="V494" i="2"/>
  <c r="M492" i="3"/>
  <c r="T493" i="2"/>
  <c r="U494" i="2"/>
  <c r="G492" i="3"/>
  <c r="O521" i="2"/>
  <c r="P519" i="3"/>
  <c r="I520" i="4" s="1"/>
  <c r="M520" i="4" s="1"/>
  <c r="I520" i="2"/>
  <c r="F520" i="2" s="1"/>
  <c r="N519" i="3" s="1"/>
  <c r="O519" i="3" s="1"/>
  <c r="H520" i="4" s="1"/>
  <c r="P522" i="2"/>
  <c r="V520" i="3"/>
  <c r="K521" i="4" s="1"/>
  <c r="N521" i="4" s="1"/>
  <c r="J521" i="2"/>
  <c r="G521" i="2" s="1"/>
  <c r="T520" i="3" s="1"/>
  <c r="U520" i="3" s="1"/>
  <c r="J521" i="4" s="1"/>
  <c r="N522" i="2"/>
  <c r="J520" i="3"/>
  <c r="G521" i="4" s="1"/>
  <c r="L521" i="4" s="1"/>
  <c r="H521" i="2"/>
  <c r="E521" i="2" s="1"/>
  <c r="H520" i="3" s="1"/>
  <c r="I520" i="3" s="1"/>
  <c r="F521" i="4" s="1"/>
  <c r="C526" i="2"/>
  <c r="D527" i="2"/>
  <c r="L527" i="2"/>
  <c r="M527" i="2"/>
  <c r="C513" i="2"/>
  <c r="M511" i="2"/>
  <c r="J510" i="2"/>
  <c r="D511" i="2"/>
  <c r="G510" i="2"/>
  <c r="E510" i="2"/>
  <c r="L511" i="2"/>
  <c r="I510" i="2"/>
  <c r="F510" i="2" s="1"/>
  <c r="K512" i="2"/>
  <c r="H511" i="2"/>
  <c r="D21" i="4"/>
  <c r="O20" i="3"/>
  <c r="H21" i="4" s="1"/>
  <c r="I20" i="3"/>
  <c r="U20" i="3"/>
  <c r="D26" i="2"/>
  <c r="L25" i="2"/>
  <c r="I24" i="2"/>
  <c r="F24" i="2" s="1"/>
  <c r="D23" i="3"/>
  <c r="A22" i="4"/>
  <c r="G21" i="3"/>
  <c r="S21" i="3"/>
  <c r="Y21" i="3" s="1"/>
  <c r="Z21" i="3" s="1"/>
  <c r="AA21" i="3" s="1"/>
  <c r="J21" i="3"/>
  <c r="V21" i="3"/>
  <c r="N21" i="3"/>
  <c r="C21" i="3"/>
  <c r="P21" i="3"/>
  <c r="E21" i="3"/>
  <c r="F21" i="3" s="1"/>
  <c r="H21" i="3"/>
  <c r="M21" i="3"/>
  <c r="T21" i="3"/>
  <c r="H24" i="2"/>
  <c r="K25" i="2"/>
  <c r="C21" i="4"/>
  <c r="AB20" i="3"/>
  <c r="E21" i="4" s="1"/>
  <c r="M25" i="2"/>
  <c r="J24" i="2"/>
  <c r="G24" i="2" s="1"/>
  <c r="F21" i="4"/>
  <c r="G21" i="4"/>
  <c r="L21" i="4" s="1"/>
  <c r="I21" i="4"/>
  <c r="M21" i="4" s="1"/>
  <c r="J21" i="4"/>
  <c r="K21" i="4"/>
  <c r="N21" i="4" s="1"/>
  <c r="Y92" i="4"/>
  <c r="C25" i="2"/>
  <c r="T25" i="2" s="1"/>
  <c r="E24" i="2"/>
  <c r="U495" i="2" l="1"/>
  <c r="G493" i="3"/>
  <c r="AB492" i="3"/>
  <c r="E493" i="4" s="1"/>
  <c r="C493" i="4"/>
  <c r="V495" i="2"/>
  <c r="M493" i="3"/>
  <c r="T494" i="2"/>
  <c r="W496" i="2"/>
  <c r="S494" i="3"/>
  <c r="Y494" i="3" s="1"/>
  <c r="Z494" i="3" s="1"/>
  <c r="O522" i="2"/>
  <c r="P520" i="3"/>
  <c r="I521" i="4" s="1"/>
  <c r="M521" i="4" s="1"/>
  <c r="I521" i="2"/>
  <c r="F521" i="2" s="1"/>
  <c r="N520" i="3" s="1"/>
  <c r="O520" i="3" s="1"/>
  <c r="H521" i="4" s="1"/>
  <c r="P523" i="2"/>
  <c r="V521" i="3"/>
  <c r="K522" i="4" s="1"/>
  <c r="N522" i="4" s="1"/>
  <c r="J522" i="2"/>
  <c r="G522" i="2" s="1"/>
  <c r="T521" i="3" s="1"/>
  <c r="U521" i="3" s="1"/>
  <c r="J522" i="4" s="1"/>
  <c r="N523" i="2"/>
  <c r="J521" i="3"/>
  <c r="G522" i="4" s="1"/>
  <c r="L522" i="4" s="1"/>
  <c r="H522" i="2"/>
  <c r="E522" i="2" s="1"/>
  <c r="H521" i="3" s="1"/>
  <c r="I521" i="3" s="1"/>
  <c r="F522" i="4" s="1"/>
  <c r="M528" i="2"/>
  <c r="L528" i="2"/>
  <c r="D528" i="2"/>
  <c r="C527" i="2"/>
  <c r="L512" i="2"/>
  <c r="I511" i="2"/>
  <c r="F511" i="2" s="1"/>
  <c r="D512" i="2"/>
  <c r="E511" i="2"/>
  <c r="M512" i="2"/>
  <c r="J511" i="2"/>
  <c r="G511" i="2" s="1"/>
  <c r="H512" i="2"/>
  <c r="K513" i="2"/>
  <c r="C514" i="2"/>
  <c r="D22" i="4"/>
  <c r="D24" i="3"/>
  <c r="C22" i="4"/>
  <c r="AB21" i="3"/>
  <c r="E22" i="4" s="1"/>
  <c r="I21" i="3"/>
  <c r="U21" i="3"/>
  <c r="J22" i="4" s="1"/>
  <c r="O21" i="3"/>
  <c r="H22" i="4" s="1"/>
  <c r="A23" i="4"/>
  <c r="P22" i="3"/>
  <c r="G22" i="3"/>
  <c r="S22" i="3"/>
  <c r="Y22" i="3" s="1"/>
  <c r="Z22" i="3" s="1"/>
  <c r="AA22" i="3" s="1"/>
  <c r="H22" i="3"/>
  <c r="T22" i="3"/>
  <c r="M22" i="3"/>
  <c r="E22" i="3"/>
  <c r="F22" i="3" s="1"/>
  <c r="J22" i="3"/>
  <c r="N22" i="3"/>
  <c r="V22" i="3"/>
  <c r="C22" i="3"/>
  <c r="L26" i="2"/>
  <c r="I25" i="2"/>
  <c r="F25" i="2" s="1"/>
  <c r="D27" i="2"/>
  <c r="M26" i="2"/>
  <c r="J25" i="2"/>
  <c r="G25" i="2" s="1"/>
  <c r="E25" i="2"/>
  <c r="C26" i="2"/>
  <c r="K26" i="2"/>
  <c r="H25" i="2"/>
  <c r="K22" i="4"/>
  <c r="N22" i="4" s="1"/>
  <c r="F22" i="4"/>
  <c r="I22" i="4"/>
  <c r="M22" i="4" s="1"/>
  <c r="G22" i="4"/>
  <c r="L22" i="4" s="1"/>
  <c r="W497" i="2" l="1"/>
  <c r="S495" i="3"/>
  <c r="Y495" i="3" s="1"/>
  <c r="Z495" i="3" s="1"/>
  <c r="C494" i="4"/>
  <c r="AB493" i="3"/>
  <c r="E494" i="4" s="1"/>
  <c r="V496" i="2"/>
  <c r="M494" i="3"/>
  <c r="T495" i="2"/>
  <c r="U496" i="2"/>
  <c r="G494" i="3"/>
  <c r="O523" i="2"/>
  <c r="P521" i="3"/>
  <c r="I522" i="4" s="1"/>
  <c r="M522" i="4" s="1"/>
  <c r="I522" i="2"/>
  <c r="F522" i="2" s="1"/>
  <c r="N521" i="3" s="1"/>
  <c r="O521" i="3" s="1"/>
  <c r="H522" i="4" s="1"/>
  <c r="P524" i="2"/>
  <c r="V522" i="3"/>
  <c r="K523" i="4" s="1"/>
  <c r="N523" i="4" s="1"/>
  <c r="J523" i="2"/>
  <c r="G523" i="2" s="1"/>
  <c r="T522" i="3" s="1"/>
  <c r="U522" i="3" s="1"/>
  <c r="J523" i="4" s="1"/>
  <c r="N524" i="2"/>
  <c r="J522" i="3"/>
  <c r="G523" i="4" s="1"/>
  <c r="L523" i="4" s="1"/>
  <c r="H523" i="2"/>
  <c r="E523" i="2" s="1"/>
  <c r="H522" i="3" s="1"/>
  <c r="I522" i="3" s="1"/>
  <c r="F523" i="4" s="1"/>
  <c r="C528" i="2"/>
  <c r="K514" i="2"/>
  <c r="H513" i="2"/>
  <c r="M513" i="2"/>
  <c r="J512" i="2"/>
  <c r="D513" i="2"/>
  <c r="G512" i="2"/>
  <c r="E512" i="2"/>
  <c r="C515" i="2"/>
  <c r="I512" i="2"/>
  <c r="F512" i="2" s="1"/>
  <c r="L513" i="2"/>
  <c r="D23" i="4"/>
  <c r="G23" i="4"/>
  <c r="L23" i="4" s="1"/>
  <c r="I23" i="4"/>
  <c r="M23" i="4" s="1"/>
  <c r="K23" i="4"/>
  <c r="N23" i="4" s="1"/>
  <c r="I26" i="2"/>
  <c r="F26" i="2" s="1"/>
  <c r="L27" i="2"/>
  <c r="K27" i="2"/>
  <c r="H26" i="2"/>
  <c r="E26" i="2" s="1"/>
  <c r="C27" i="2"/>
  <c r="I22" i="3"/>
  <c r="F23" i="4" s="1"/>
  <c r="U22" i="3"/>
  <c r="J23" i="4" s="1"/>
  <c r="O22" i="3"/>
  <c r="H23" i="4" s="1"/>
  <c r="A24" i="4"/>
  <c r="M23" i="3"/>
  <c r="C23" i="3"/>
  <c r="P23" i="3"/>
  <c r="E23" i="3"/>
  <c r="F23" i="3" s="1"/>
  <c r="H23" i="3"/>
  <c r="T23" i="3"/>
  <c r="J23" i="3"/>
  <c r="V23" i="3"/>
  <c r="N23" i="3"/>
  <c r="S23" i="3"/>
  <c r="Y23" i="3" s="1"/>
  <c r="Z23" i="3" s="1"/>
  <c r="AA23" i="3" s="1"/>
  <c r="G23" i="3"/>
  <c r="M27" i="2"/>
  <c r="J26" i="2"/>
  <c r="C23" i="4"/>
  <c r="AB22" i="3"/>
  <c r="E23" i="4" s="1"/>
  <c r="D25" i="3"/>
  <c r="D28" i="2"/>
  <c r="T27" i="2"/>
  <c r="G26" i="2"/>
  <c r="T26" i="2"/>
  <c r="U497" i="2" l="1"/>
  <c r="G495" i="3"/>
  <c r="AB494" i="3"/>
  <c r="E495" i="4" s="1"/>
  <c r="C495" i="4"/>
  <c r="V497" i="2"/>
  <c r="M495" i="3"/>
  <c r="T496" i="2"/>
  <c r="W498" i="2"/>
  <c r="S496" i="3"/>
  <c r="Y496" i="3" s="1"/>
  <c r="Z496" i="3" s="1"/>
  <c r="O524" i="2"/>
  <c r="P522" i="3"/>
  <c r="I523" i="4" s="1"/>
  <c r="M523" i="4" s="1"/>
  <c r="I523" i="2"/>
  <c r="F523" i="2" s="1"/>
  <c r="N522" i="3" s="1"/>
  <c r="O522" i="3" s="1"/>
  <c r="H523" i="4" s="1"/>
  <c r="P525" i="2"/>
  <c r="V523" i="3"/>
  <c r="K524" i="4" s="1"/>
  <c r="N524" i="4" s="1"/>
  <c r="J524" i="2"/>
  <c r="G524" i="2" s="1"/>
  <c r="T523" i="3" s="1"/>
  <c r="U523" i="3" s="1"/>
  <c r="J524" i="4" s="1"/>
  <c r="N525" i="2"/>
  <c r="J523" i="3"/>
  <c r="G524" i="4" s="1"/>
  <c r="L524" i="4" s="1"/>
  <c r="H524" i="2"/>
  <c r="E524" i="2" s="1"/>
  <c r="H523" i="3" s="1"/>
  <c r="I523" i="3" s="1"/>
  <c r="F524" i="4" s="1"/>
  <c r="D514" i="2"/>
  <c r="E513" i="2"/>
  <c r="H512" i="3" s="1"/>
  <c r="I512" i="3" s="1"/>
  <c r="F513" i="4" s="1"/>
  <c r="C516" i="2"/>
  <c r="M514" i="2"/>
  <c r="J513" i="2"/>
  <c r="G513" i="2" s="1"/>
  <c r="T512" i="3" s="1"/>
  <c r="U512" i="3" s="1"/>
  <c r="J513" i="4" s="1"/>
  <c r="L514" i="2"/>
  <c r="I513" i="2"/>
  <c r="F513" i="2" s="1"/>
  <c r="N512" i="3" s="1"/>
  <c r="O512" i="3" s="1"/>
  <c r="H513" i="4" s="1"/>
  <c r="K515" i="2"/>
  <c r="H514" i="2"/>
  <c r="D24" i="4"/>
  <c r="O23" i="3"/>
  <c r="I23" i="3"/>
  <c r="U23" i="3"/>
  <c r="H27" i="2"/>
  <c r="K28" i="2"/>
  <c r="A25" i="4"/>
  <c r="J24" i="3"/>
  <c r="V24" i="3"/>
  <c r="M24" i="3"/>
  <c r="N24" i="3"/>
  <c r="C24" i="3"/>
  <c r="E24" i="3"/>
  <c r="F24" i="3" s="1"/>
  <c r="G24" i="3"/>
  <c r="S24" i="3"/>
  <c r="Y24" i="3" s="1"/>
  <c r="Z24" i="3" s="1"/>
  <c r="AA24" i="3" s="1"/>
  <c r="P24" i="3"/>
  <c r="T24" i="3"/>
  <c r="H24" i="3"/>
  <c r="L28" i="2"/>
  <c r="I27" i="2"/>
  <c r="J27" i="2"/>
  <c r="G27" i="2" s="1"/>
  <c r="M28" i="2"/>
  <c r="C24" i="4"/>
  <c r="AB23" i="3"/>
  <c r="E24" i="4" s="1"/>
  <c r="I24" i="4"/>
  <c r="M24" i="4" s="1"/>
  <c r="F24" i="4"/>
  <c r="G24" i="4"/>
  <c r="L24" i="4" s="1"/>
  <c r="H24" i="4"/>
  <c r="J24" i="4"/>
  <c r="K24" i="4"/>
  <c r="N24" i="4" s="1"/>
  <c r="C28" i="2"/>
  <c r="E27" i="2"/>
  <c r="F27" i="2"/>
  <c r="D29" i="2"/>
  <c r="D26" i="3"/>
  <c r="W499" i="2" l="1"/>
  <c r="S497" i="3"/>
  <c r="Y497" i="3" s="1"/>
  <c r="Z497" i="3" s="1"/>
  <c r="C496" i="4"/>
  <c r="AB495" i="3"/>
  <c r="E496" i="4" s="1"/>
  <c r="V498" i="2"/>
  <c r="M496" i="3"/>
  <c r="T497" i="2"/>
  <c r="U498" i="2"/>
  <c r="G496" i="3"/>
  <c r="O525" i="2"/>
  <c r="P523" i="3"/>
  <c r="I524" i="4" s="1"/>
  <c r="M524" i="4" s="1"/>
  <c r="I524" i="2"/>
  <c r="F524" i="2" s="1"/>
  <c r="N523" i="3" s="1"/>
  <c r="O523" i="3" s="1"/>
  <c r="H524" i="4" s="1"/>
  <c r="P526" i="2"/>
  <c r="V524" i="3"/>
  <c r="K525" i="4" s="1"/>
  <c r="N525" i="4" s="1"/>
  <c r="J525" i="2"/>
  <c r="G525" i="2" s="1"/>
  <c r="T524" i="3" s="1"/>
  <c r="U524" i="3" s="1"/>
  <c r="J525" i="4" s="1"/>
  <c r="N526" i="2"/>
  <c r="J524" i="3"/>
  <c r="G525" i="4" s="1"/>
  <c r="L525" i="4" s="1"/>
  <c r="H525" i="2"/>
  <c r="E525" i="2" s="1"/>
  <c r="H524" i="3" s="1"/>
  <c r="I524" i="3" s="1"/>
  <c r="F525" i="4" s="1"/>
  <c r="M515" i="2"/>
  <c r="J514" i="2"/>
  <c r="G514" i="2" s="1"/>
  <c r="T513" i="3" s="1"/>
  <c r="U513" i="3" s="1"/>
  <c r="J514" i="4" s="1"/>
  <c r="D515" i="2"/>
  <c r="E514" i="2"/>
  <c r="H513" i="3" s="1"/>
  <c r="I513" i="3" s="1"/>
  <c r="F514" i="4" s="1"/>
  <c r="L515" i="2"/>
  <c r="I514" i="2"/>
  <c r="F514" i="2" s="1"/>
  <c r="N513" i="3" s="1"/>
  <c r="O513" i="3" s="1"/>
  <c r="H514" i="4" s="1"/>
  <c r="H515" i="2"/>
  <c r="K516" i="2"/>
  <c r="H516" i="2" s="1"/>
  <c r="D25" i="4"/>
  <c r="C25" i="4"/>
  <c r="AB24" i="3"/>
  <c r="E25" i="4" s="1"/>
  <c r="M29" i="2"/>
  <c r="J28" i="2"/>
  <c r="G28" i="2" s="1"/>
  <c r="C29" i="2"/>
  <c r="E28" i="2"/>
  <c r="L29" i="2"/>
  <c r="I28" i="2"/>
  <c r="F28" i="2" s="1"/>
  <c r="H25" i="4"/>
  <c r="K25" i="4"/>
  <c r="N25" i="4" s="1"/>
  <c r="G25" i="4"/>
  <c r="L25" i="4" s="1"/>
  <c r="I25" i="4"/>
  <c r="M25" i="4" s="1"/>
  <c r="J25" i="4"/>
  <c r="K29" i="2"/>
  <c r="H28" i="2"/>
  <c r="D27" i="3"/>
  <c r="A26" i="4"/>
  <c r="G25" i="3"/>
  <c r="S25" i="3"/>
  <c r="Y25" i="3" s="1"/>
  <c r="Z25" i="3" s="1"/>
  <c r="AA25" i="3" s="1"/>
  <c r="J25" i="3"/>
  <c r="V25" i="3"/>
  <c r="N25" i="3"/>
  <c r="C25" i="3"/>
  <c r="P25" i="3"/>
  <c r="M25" i="3"/>
  <c r="T25" i="3"/>
  <c r="E25" i="3"/>
  <c r="F25" i="3" s="1"/>
  <c r="H25" i="3"/>
  <c r="D30" i="2"/>
  <c r="T29" i="2"/>
  <c r="O24" i="3"/>
  <c r="I24" i="3"/>
  <c r="F25" i="4" s="1"/>
  <c r="U24" i="3"/>
  <c r="T28" i="2"/>
  <c r="U499" i="2" l="1"/>
  <c r="G497" i="3"/>
  <c r="C497" i="4"/>
  <c r="AB496" i="3"/>
  <c r="E497" i="4" s="1"/>
  <c r="V499" i="2"/>
  <c r="M497" i="3"/>
  <c r="T498" i="2"/>
  <c r="W500" i="2"/>
  <c r="S498" i="3"/>
  <c r="Y498" i="3" s="1"/>
  <c r="Z498" i="3" s="1"/>
  <c r="O526" i="2"/>
  <c r="P524" i="3"/>
  <c r="I525" i="4" s="1"/>
  <c r="M525" i="4" s="1"/>
  <c r="I525" i="2"/>
  <c r="F525" i="2" s="1"/>
  <c r="N524" i="3" s="1"/>
  <c r="O524" i="3" s="1"/>
  <c r="H525" i="4" s="1"/>
  <c r="P527" i="2"/>
  <c r="V525" i="3"/>
  <c r="K526" i="4" s="1"/>
  <c r="N526" i="4" s="1"/>
  <c r="J526" i="2"/>
  <c r="G526" i="2" s="1"/>
  <c r="T525" i="3" s="1"/>
  <c r="U525" i="3" s="1"/>
  <c r="J526" i="4" s="1"/>
  <c r="N527" i="2"/>
  <c r="J525" i="3"/>
  <c r="G526" i="4" s="1"/>
  <c r="L526" i="4" s="1"/>
  <c r="H526" i="2"/>
  <c r="E526" i="2" s="1"/>
  <c r="H525" i="3" s="1"/>
  <c r="I525" i="3" s="1"/>
  <c r="F526" i="4" s="1"/>
  <c r="I515" i="2"/>
  <c r="F515" i="2" s="1"/>
  <c r="N514" i="3" s="1"/>
  <c r="O514" i="3" s="1"/>
  <c r="H515" i="4" s="1"/>
  <c r="L516" i="2"/>
  <c r="I516" i="2" s="1"/>
  <c r="D516" i="2"/>
  <c r="E515" i="2"/>
  <c r="H514" i="3" s="1"/>
  <c r="I514" i="3" s="1"/>
  <c r="F515" i="4" s="1"/>
  <c r="M516" i="2"/>
  <c r="J516" i="2" s="1"/>
  <c r="J515" i="2"/>
  <c r="G515" i="2" s="1"/>
  <c r="T514" i="3" s="1"/>
  <c r="U514" i="3" s="1"/>
  <c r="J515" i="4" s="1"/>
  <c r="D26" i="4"/>
  <c r="D31" i="2"/>
  <c r="G26" i="4"/>
  <c r="L26" i="4" s="1"/>
  <c r="J26" i="4"/>
  <c r="I26" i="4"/>
  <c r="M26" i="4" s="1"/>
  <c r="K26" i="4"/>
  <c r="N26" i="4" s="1"/>
  <c r="I29" i="2"/>
  <c r="L30" i="2"/>
  <c r="I25" i="3"/>
  <c r="F26" i="4" s="1"/>
  <c r="U25" i="3"/>
  <c r="O25" i="3"/>
  <c r="H26" i="4" s="1"/>
  <c r="D28" i="3"/>
  <c r="A27" i="4"/>
  <c r="P26" i="3"/>
  <c r="G26" i="3"/>
  <c r="S26" i="3"/>
  <c r="Y26" i="3" s="1"/>
  <c r="Z26" i="3" s="1"/>
  <c r="AA26" i="3" s="1"/>
  <c r="H26" i="3"/>
  <c r="T26" i="3"/>
  <c r="M26" i="3"/>
  <c r="V26" i="3"/>
  <c r="C26" i="3"/>
  <c r="E26" i="3"/>
  <c r="F26" i="3" s="1"/>
  <c r="J26" i="3"/>
  <c r="N26" i="3"/>
  <c r="E29" i="2"/>
  <c r="F29" i="2"/>
  <c r="C30" i="2"/>
  <c r="C26" i="4"/>
  <c r="AB25" i="3"/>
  <c r="E26" i="4" s="1"/>
  <c r="H29" i="2"/>
  <c r="K30" i="2"/>
  <c r="M30" i="2"/>
  <c r="J29" i="2"/>
  <c r="G29" i="2"/>
  <c r="S499" i="3" l="1"/>
  <c r="Y499" i="3" s="1"/>
  <c r="Z499" i="3" s="1"/>
  <c r="W501" i="2"/>
  <c r="C498" i="4"/>
  <c r="AB497" i="3"/>
  <c r="E498" i="4" s="1"/>
  <c r="V500" i="2"/>
  <c r="M498" i="3"/>
  <c r="T499" i="2"/>
  <c r="U500" i="2"/>
  <c r="G498" i="3"/>
  <c r="O527" i="2"/>
  <c r="P525" i="3"/>
  <c r="I526" i="4" s="1"/>
  <c r="M526" i="4" s="1"/>
  <c r="I526" i="2"/>
  <c r="F526" i="2" s="1"/>
  <c r="N525" i="3" s="1"/>
  <c r="O525" i="3" s="1"/>
  <c r="H526" i="4" s="1"/>
  <c r="P528" i="2"/>
  <c r="V526" i="3"/>
  <c r="K527" i="4" s="1"/>
  <c r="N527" i="4" s="1"/>
  <c r="J527" i="2"/>
  <c r="G527" i="2" s="1"/>
  <c r="T526" i="3" s="1"/>
  <c r="U526" i="3" s="1"/>
  <c r="J527" i="4" s="1"/>
  <c r="N528" i="2"/>
  <c r="J526" i="3"/>
  <c r="G527" i="4" s="1"/>
  <c r="L527" i="4" s="1"/>
  <c r="H527" i="2"/>
  <c r="E527" i="2" s="1"/>
  <c r="H526" i="3" s="1"/>
  <c r="I526" i="3" s="1"/>
  <c r="F527" i="4" s="1"/>
  <c r="G516" i="2"/>
  <c r="T515" i="3" s="1"/>
  <c r="U515" i="3" s="1"/>
  <c r="J516" i="4" s="1"/>
  <c r="E516" i="2"/>
  <c r="H515" i="3" s="1"/>
  <c r="I515" i="3" s="1"/>
  <c r="F516" i="4" s="1"/>
  <c r="F516" i="2"/>
  <c r="N515" i="3" s="1"/>
  <c r="O515" i="3" s="1"/>
  <c r="H516" i="4" s="1"/>
  <c r="D27" i="4"/>
  <c r="C31" i="2"/>
  <c r="F27" i="4"/>
  <c r="I27" i="4"/>
  <c r="M27" i="4" s="1"/>
  <c r="K27" i="4"/>
  <c r="N27" i="4" s="1"/>
  <c r="G27" i="4"/>
  <c r="L27" i="4" s="1"/>
  <c r="H27" i="4"/>
  <c r="J27" i="4"/>
  <c r="D29" i="3"/>
  <c r="I26" i="3"/>
  <c r="U26" i="3"/>
  <c r="O26" i="3"/>
  <c r="D32" i="2"/>
  <c r="T31" i="2"/>
  <c r="M31" i="2"/>
  <c r="J30" i="2"/>
  <c r="G30" i="2" s="1"/>
  <c r="A28" i="4"/>
  <c r="M27" i="3"/>
  <c r="C27" i="3"/>
  <c r="P27" i="3"/>
  <c r="E27" i="3"/>
  <c r="F27" i="3" s="1"/>
  <c r="H27" i="3"/>
  <c r="T27" i="3"/>
  <c r="J27" i="3"/>
  <c r="V27" i="3"/>
  <c r="S27" i="3"/>
  <c r="Y27" i="3" s="1"/>
  <c r="Z27" i="3" s="1"/>
  <c r="AA27" i="3" s="1"/>
  <c r="G27" i="3"/>
  <c r="N27" i="3"/>
  <c r="T30" i="2"/>
  <c r="K31" i="2"/>
  <c r="H30" i="2"/>
  <c r="E30" i="2" s="1"/>
  <c r="C27" i="4"/>
  <c r="AB26" i="3"/>
  <c r="E27" i="4" s="1"/>
  <c r="L31" i="2"/>
  <c r="I30" i="2"/>
  <c r="F30" i="2" s="1"/>
  <c r="G499" i="3" l="1"/>
  <c r="U501" i="2"/>
  <c r="C499" i="4"/>
  <c r="AB498" i="3"/>
  <c r="E499" i="4" s="1"/>
  <c r="V501" i="2"/>
  <c r="M499" i="3"/>
  <c r="T500" i="2"/>
  <c r="W502" i="2"/>
  <c r="S500" i="3"/>
  <c r="Y500" i="3" s="1"/>
  <c r="Z500" i="3" s="1"/>
  <c r="O528" i="2"/>
  <c r="P526" i="3"/>
  <c r="I527" i="4" s="1"/>
  <c r="M527" i="4" s="1"/>
  <c r="I527" i="2"/>
  <c r="F527" i="2" s="1"/>
  <c r="N526" i="3" s="1"/>
  <c r="O526" i="3" s="1"/>
  <c r="H527" i="4" s="1"/>
  <c r="P529" i="2"/>
  <c r="V527" i="3"/>
  <c r="K528" i="4" s="1"/>
  <c r="N528" i="4" s="1"/>
  <c r="J528" i="2"/>
  <c r="G528" i="2" s="1"/>
  <c r="T527" i="3" s="1"/>
  <c r="U527" i="3" s="1"/>
  <c r="J528" i="4" s="1"/>
  <c r="N529" i="2"/>
  <c r="J527" i="3"/>
  <c r="G528" i="4" s="1"/>
  <c r="L528" i="4" s="1"/>
  <c r="H528" i="2"/>
  <c r="E528" i="2" s="1"/>
  <c r="H527" i="3" s="1"/>
  <c r="I527" i="3" s="1"/>
  <c r="F528" i="4" s="1"/>
  <c r="D28" i="4"/>
  <c r="K28" i="4"/>
  <c r="N28" i="4" s="1"/>
  <c r="G28" i="4"/>
  <c r="L28" i="4" s="1"/>
  <c r="I28" i="4"/>
  <c r="M28" i="4" s="1"/>
  <c r="C28" i="4"/>
  <c r="AB27" i="3"/>
  <c r="E28" i="4" s="1"/>
  <c r="J31" i="2"/>
  <c r="G31" i="2" s="1"/>
  <c r="M32" i="2"/>
  <c r="D33" i="2"/>
  <c r="L32" i="2"/>
  <c r="I31" i="2"/>
  <c r="F31" i="2" s="1"/>
  <c r="C32" i="2"/>
  <c r="E31" i="2"/>
  <c r="A29" i="4"/>
  <c r="J28" i="3"/>
  <c r="V28" i="3"/>
  <c r="M28" i="3"/>
  <c r="N28" i="3"/>
  <c r="C28" i="3"/>
  <c r="E28" i="3"/>
  <c r="F28" i="3" s="1"/>
  <c r="G28" i="3"/>
  <c r="S28" i="3"/>
  <c r="Y28" i="3" s="1"/>
  <c r="Z28" i="3" s="1"/>
  <c r="AA28" i="3" s="1"/>
  <c r="H28" i="3"/>
  <c r="P28" i="3"/>
  <c r="T28" i="3"/>
  <c r="O27" i="3"/>
  <c r="H28" i="4" s="1"/>
  <c r="I27" i="3"/>
  <c r="F28" i="4" s="1"/>
  <c r="U27" i="3"/>
  <c r="J28" i="4" s="1"/>
  <c r="K32" i="2"/>
  <c r="H31" i="2"/>
  <c r="D30" i="3"/>
  <c r="W503" i="2" l="1"/>
  <c r="S501" i="3"/>
  <c r="Y501" i="3" s="1"/>
  <c r="Z501" i="3" s="1"/>
  <c r="C500" i="4"/>
  <c r="AB499" i="3"/>
  <c r="E500" i="4" s="1"/>
  <c r="V502" i="2"/>
  <c r="M500" i="3"/>
  <c r="T501" i="2"/>
  <c r="G500" i="3"/>
  <c r="U502" i="2"/>
  <c r="O529" i="2"/>
  <c r="P527" i="3"/>
  <c r="I528" i="4" s="1"/>
  <c r="M528" i="4" s="1"/>
  <c r="I528" i="2"/>
  <c r="F528" i="2" s="1"/>
  <c r="N527" i="3" s="1"/>
  <c r="O527" i="3" s="1"/>
  <c r="H528" i="4" s="1"/>
  <c r="P530" i="2"/>
  <c r="J529" i="2"/>
  <c r="G529" i="2" s="1"/>
  <c r="T528" i="3" s="1"/>
  <c r="U528" i="3" s="1"/>
  <c r="J529" i="4" s="1"/>
  <c r="V528" i="3"/>
  <c r="K529" i="4" s="1"/>
  <c r="N529" i="4" s="1"/>
  <c r="N530" i="2"/>
  <c r="J528" i="3"/>
  <c r="G529" i="4" s="1"/>
  <c r="L529" i="4" s="1"/>
  <c r="H529" i="2"/>
  <c r="E529" i="2" s="1"/>
  <c r="H528" i="3" s="1"/>
  <c r="I528" i="3" s="1"/>
  <c r="F529" i="4" s="1"/>
  <c r="D29" i="4"/>
  <c r="G29" i="4"/>
  <c r="L29" i="4" s="1"/>
  <c r="I29" i="4"/>
  <c r="M29" i="4" s="1"/>
  <c r="K29" i="4"/>
  <c r="N29" i="4" s="1"/>
  <c r="C29" i="4"/>
  <c r="AB28" i="3"/>
  <c r="E29" i="4" s="1"/>
  <c r="E32" i="2"/>
  <c r="F32" i="2"/>
  <c r="C33" i="2"/>
  <c r="M33" i="2"/>
  <c r="J32" i="2"/>
  <c r="A30" i="4"/>
  <c r="G29" i="3"/>
  <c r="S29" i="3"/>
  <c r="Y29" i="3" s="1"/>
  <c r="Z29" i="3" s="1"/>
  <c r="AA29" i="3" s="1"/>
  <c r="J29" i="3"/>
  <c r="V29" i="3"/>
  <c r="N29" i="3"/>
  <c r="C29" i="3"/>
  <c r="P29" i="3"/>
  <c r="E29" i="3"/>
  <c r="F29" i="3" s="1"/>
  <c r="H29" i="3"/>
  <c r="M29" i="3"/>
  <c r="T29" i="3"/>
  <c r="I32" i="2"/>
  <c r="L33" i="2"/>
  <c r="D31" i="3"/>
  <c r="O28" i="3"/>
  <c r="H29" i="4" s="1"/>
  <c r="I28" i="3"/>
  <c r="F29" i="4" s="1"/>
  <c r="U28" i="3"/>
  <c r="J29" i="4" s="1"/>
  <c r="G32" i="2"/>
  <c r="T32" i="2"/>
  <c r="K33" i="2"/>
  <c r="H32" i="2"/>
  <c r="T33" i="2"/>
  <c r="D34" i="2"/>
  <c r="G501" i="3" l="1"/>
  <c r="U503" i="2"/>
  <c r="C501" i="4"/>
  <c r="AB500" i="3"/>
  <c r="E501" i="4" s="1"/>
  <c r="V503" i="2"/>
  <c r="M501" i="3"/>
  <c r="T502" i="2"/>
  <c r="S502" i="3"/>
  <c r="Y502" i="3" s="1"/>
  <c r="Z502" i="3" s="1"/>
  <c r="W504" i="2"/>
  <c r="O530" i="2"/>
  <c r="P528" i="3"/>
  <c r="I529" i="4" s="1"/>
  <c r="M529" i="4" s="1"/>
  <c r="I529" i="2"/>
  <c r="F529" i="2" s="1"/>
  <c r="N528" i="3" s="1"/>
  <c r="O528" i="3" s="1"/>
  <c r="H529" i="4" s="1"/>
  <c r="S533" i="2"/>
  <c r="W532" i="3" s="1"/>
  <c r="X532" i="3" s="1"/>
  <c r="J530" i="2"/>
  <c r="G530" i="2" s="1"/>
  <c r="T529" i="3" s="1"/>
  <c r="U529" i="3" s="1"/>
  <c r="J530" i="4" s="1"/>
  <c r="V529" i="3"/>
  <c r="K530" i="4" s="1"/>
  <c r="N530" i="4" s="1"/>
  <c r="H530" i="2"/>
  <c r="E530" i="2" s="1"/>
  <c r="H529" i="3" s="1"/>
  <c r="I529" i="3" s="1"/>
  <c r="F530" i="4" s="1"/>
  <c r="Q533" i="2"/>
  <c r="K532" i="3" s="1"/>
  <c r="L532" i="3" s="1"/>
  <c r="J529" i="3"/>
  <c r="G530" i="4" s="1"/>
  <c r="L530" i="4" s="1"/>
  <c r="D30" i="4"/>
  <c r="A31" i="4"/>
  <c r="P30" i="3"/>
  <c r="G30" i="3"/>
  <c r="S30" i="3"/>
  <c r="Y30" i="3" s="1"/>
  <c r="Z30" i="3" s="1"/>
  <c r="AA30" i="3" s="1"/>
  <c r="H30" i="3"/>
  <c r="T30" i="3"/>
  <c r="M30" i="3"/>
  <c r="E30" i="3"/>
  <c r="F30" i="3" s="1"/>
  <c r="J30" i="3"/>
  <c r="N30" i="3"/>
  <c r="V30" i="3"/>
  <c r="C30" i="3"/>
  <c r="D32" i="3"/>
  <c r="T34" i="2"/>
  <c r="D35" i="2"/>
  <c r="L34" i="2"/>
  <c r="I33" i="2"/>
  <c r="F33" i="2" s="1"/>
  <c r="H30" i="4"/>
  <c r="I30" i="4"/>
  <c r="M30" i="4" s="1"/>
  <c r="G30" i="4"/>
  <c r="L30" i="4" s="1"/>
  <c r="K30" i="4"/>
  <c r="N30" i="4" s="1"/>
  <c r="C30" i="4"/>
  <c r="AB29" i="3"/>
  <c r="E30" i="4" s="1"/>
  <c r="H33" i="2"/>
  <c r="E33" i="2" s="1"/>
  <c r="K34" i="2"/>
  <c r="M34" i="2"/>
  <c r="J33" i="2"/>
  <c r="G33" i="2" s="1"/>
  <c r="I29" i="3"/>
  <c r="F30" i="4" s="1"/>
  <c r="U29" i="3"/>
  <c r="J30" i="4" s="1"/>
  <c r="O29" i="3"/>
  <c r="C34" i="2"/>
  <c r="W505" i="2" l="1"/>
  <c r="S503" i="3"/>
  <c r="Y503" i="3" s="1"/>
  <c r="Z503" i="3" s="1"/>
  <c r="C502" i="4"/>
  <c r="AB501" i="3"/>
  <c r="E502" i="4" s="1"/>
  <c r="V504" i="2"/>
  <c r="M502" i="3"/>
  <c r="T503" i="2"/>
  <c r="U504" i="2"/>
  <c r="G502" i="3"/>
  <c r="R533" i="2"/>
  <c r="Q532" i="3" s="1"/>
  <c r="R532" i="3" s="1"/>
  <c r="AB532" i="3" s="1"/>
  <c r="P529" i="3"/>
  <c r="I530" i="4" s="1"/>
  <c r="M530" i="4" s="1"/>
  <c r="I530" i="2"/>
  <c r="F530" i="2" s="1"/>
  <c r="N529" i="3" s="1"/>
  <c r="O529" i="3" s="1"/>
  <c r="H530" i="4" s="1"/>
  <c r="D31" i="4"/>
  <c r="I30" i="3"/>
  <c r="U30" i="3"/>
  <c r="O30" i="3"/>
  <c r="A32" i="4"/>
  <c r="M31" i="3"/>
  <c r="C31" i="3"/>
  <c r="P31" i="3"/>
  <c r="E31" i="3"/>
  <c r="F31" i="3" s="1"/>
  <c r="H31" i="3"/>
  <c r="T31" i="3"/>
  <c r="J31" i="3"/>
  <c r="V31" i="3"/>
  <c r="N31" i="3"/>
  <c r="S31" i="3"/>
  <c r="Y31" i="3" s="1"/>
  <c r="Z31" i="3" s="1"/>
  <c r="AA31" i="3" s="1"/>
  <c r="G31" i="3"/>
  <c r="J34" i="2"/>
  <c r="G34" i="2" s="1"/>
  <c r="M35" i="2"/>
  <c r="I34" i="2"/>
  <c r="L35" i="2"/>
  <c r="C31" i="4"/>
  <c r="AB30" i="3"/>
  <c r="E31" i="4" s="1"/>
  <c r="K35" i="2"/>
  <c r="H34" i="2"/>
  <c r="D36" i="2"/>
  <c r="D33" i="3"/>
  <c r="C35" i="2"/>
  <c r="F34" i="2"/>
  <c r="E34" i="2"/>
  <c r="G31" i="4"/>
  <c r="L31" i="4" s="1"/>
  <c r="H31" i="4"/>
  <c r="I31" i="4"/>
  <c r="M31" i="4" s="1"/>
  <c r="K31" i="4"/>
  <c r="N31" i="4" s="1"/>
  <c r="J31" i="4"/>
  <c r="F31" i="4"/>
  <c r="U505" i="2" l="1"/>
  <c r="G503" i="3"/>
  <c r="C503" i="4"/>
  <c r="AB502" i="3"/>
  <c r="E503" i="4" s="1"/>
  <c r="V505" i="2"/>
  <c r="M503" i="3"/>
  <c r="T504" i="2"/>
  <c r="W506" i="2"/>
  <c r="S504" i="3"/>
  <c r="Y504" i="3" s="1"/>
  <c r="Z504" i="3" s="1"/>
  <c r="D32" i="4"/>
  <c r="A33" i="4"/>
  <c r="J32" i="3"/>
  <c r="V32" i="3"/>
  <c r="M32" i="3"/>
  <c r="N32" i="3"/>
  <c r="C32" i="3"/>
  <c r="E32" i="3"/>
  <c r="F32" i="3" s="1"/>
  <c r="G32" i="3"/>
  <c r="S32" i="3"/>
  <c r="Y32" i="3" s="1"/>
  <c r="Z32" i="3" s="1"/>
  <c r="AA32" i="3" s="1"/>
  <c r="P32" i="3"/>
  <c r="T32" i="3"/>
  <c r="H32" i="3"/>
  <c r="L36" i="2"/>
  <c r="I35" i="2"/>
  <c r="O31" i="3"/>
  <c r="I31" i="3"/>
  <c r="F32" i="4" s="1"/>
  <c r="U31" i="3"/>
  <c r="J32" i="4" s="1"/>
  <c r="F35" i="2"/>
  <c r="C36" i="2"/>
  <c r="M36" i="2"/>
  <c r="J35" i="2"/>
  <c r="G35" i="2" s="1"/>
  <c r="D34" i="3"/>
  <c r="C32" i="4"/>
  <c r="AB31" i="3"/>
  <c r="E32" i="4" s="1"/>
  <c r="G32" i="4"/>
  <c r="L32" i="4" s="1"/>
  <c r="H32" i="4"/>
  <c r="I32" i="4"/>
  <c r="M32" i="4" s="1"/>
  <c r="K32" i="4"/>
  <c r="N32" i="4" s="1"/>
  <c r="D37" i="2"/>
  <c r="T35" i="2"/>
  <c r="K36" i="2"/>
  <c r="H35" i="2"/>
  <c r="E35" i="2" s="1"/>
  <c r="W507" i="2" l="1"/>
  <c r="S505" i="3"/>
  <c r="Y505" i="3" s="1"/>
  <c r="Z505" i="3" s="1"/>
  <c r="C504" i="4"/>
  <c r="AB503" i="3"/>
  <c r="E504" i="4" s="1"/>
  <c r="V506" i="2"/>
  <c r="M504" i="3"/>
  <c r="T505" i="2"/>
  <c r="U506" i="2"/>
  <c r="G504" i="3"/>
  <c r="D33" i="4"/>
  <c r="C37" i="2"/>
  <c r="A34" i="4"/>
  <c r="G33" i="3"/>
  <c r="S33" i="3"/>
  <c r="Y33" i="3" s="1"/>
  <c r="Z33" i="3" s="1"/>
  <c r="AA33" i="3" s="1"/>
  <c r="J33" i="3"/>
  <c r="V33" i="3"/>
  <c r="N33" i="3"/>
  <c r="C33" i="3"/>
  <c r="P33" i="3"/>
  <c r="M33" i="3"/>
  <c r="T33" i="3"/>
  <c r="E33" i="3"/>
  <c r="F33" i="3" s="1"/>
  <c r="H33" i="3"/>
  <c r="M37" i="2"/>
  <c r="J36" i="2"/>
  <c r="G36" i="2" s="1"/>
  <c r="O32" i="3"/>
  <c r="I32" i="3"/>
  <c r="F33" i="4" s="1"/>
  <c r="U32" i="3"/>
  <c r="C33" i="4"/>
  <c r="AB32" i="3"/>
  <c r="E33" i="4" s="1"/>
  <c r="H36" i="2"/>
  <c r="E36" i="2" s="1"/>
  <c r="K37" i="2"/>
  <c r="L37" i="2"/>
  <c r="I36" i="2"/>
  <c r="F36" i="2" s="1"/>
  <c r="G33" i="4"/>
  <c r="L33" i="4" s="1"/>
  <c r="I33" i="4"/>
  <c r="M33" i="4" s="1"/>
  <c r="H33" i="4"/>
  <c r="J33" i="4"/>
  <c r="K33" i="4"/>
  <c r="N33" i="4" s="1"/>
  <c r="T36" i="2"/>
  <c r="D35" i="3"/>
  <c r="T37" i="2"/>
  <c r="D38" i="2"/>
  <c r="U507" i="2" l="1"/>
  <c r="G505" i="3"/>
  <c r="C505" i="4"/>
  <c r="AB504" i="3"/>
  <c r="E505" i="4" s="1"/>
  <c r="V507" i="2"/>
  <c r="M505" i="3"/>
  <c r="T506" i="2"/>
  <c r="W508" i="2"/>
  <c r="S506" i="3"/>
  <c r="Y506" i="3" s="1"/>
  <c r="Z506" i="3" s="1"/>
  <c r="D34" i="4"/>
  <c r="J37" i="2"/>
  <c r="G37" i="2" s="1"/>
  <c r="M38" i="2"/>
  <c r="H34" i="4"/>
  <c r="G34" i="4"/>
  <c r="L34" i="4" s="1"/>
  <c r="I34" i="4"/>
  <c r="M34" i="4" s="1"/>
  <c r="K34" i="4"/>
  <c r="N34" i="4" s="1"/>
  <c r="D39" i="2"/>
  <c r="I33" i="3"/>
  <c r="F34" i="4" s="1"/>
  <c r="U33" i="3"/>
  <c r="J34" i="4" s="1"/>
  <c r="O33" i="3"/>
  <c r="L38" i="2"/>
  <c r="I37" i="2"/>
  <c r="A35" i="4"/>
  <c r="P34" i="3"/>
  <c r="G34" i="3"/>
  <c r="S34" i="3"/>
  <c r="Y34" i="3" s="1"/>
  <c r="Z34" i="3" s="1"/>
  <c r="AA34" i="3" s="1"/>
  <c r="H34" i="3"/>
  <c r="T34" i="3"/>
  <c r="M34" i="3"/>
  <c r="V34" i="3"/>
  <c r="C34" i="3"/>
  <c r="J34" i="3"/>
  <c r="E34" i="3"/>
  <c r="F34" i="3" s="1"/>
  <c r="N34" i="3"/>
  <c r="K38" i="2"/>
  <c r="H37" i="2"/>
  <c r="E37" i="2" s="1"/>
  <c r="F37" i="2"/>
  <c r="C38" i="2"/>
  <c r="T38" i="2" s="1"/>
  <c r="D36" i="3"/>
  <c r="C34" i="4"/>
  <c r="AB33" i="3"/>
  <c r="E34" i="4" s="1"/>
  <c r="W509" i="2" l="1"/>
  <c r="S507" i="3"/>
  <c r="Y507" i="3" s="1"/>
  <c r="Z507" i="3" s="1"/>
  <c r="C506" i="4"/>
  <c r="AB505" i="3"/>
  <c r="E506" i="4" s="1"/>
  <c r="V508" i="2"/>
  <c r="M506" i="3"/>
  <c r="T507" i="2"/>
  <c r="U508" i="2"/>
  <c r="G506" i="3"/>
  <c r="D35" i="4"/>
  <c r="K39" i="2"/>
  <c r="H38" i="2"/>
  <c r="G35" i="4"/>
  <c r="L35" i="4" s="1"/>
  <c r="H35" i="4"/>
  <c r="I35" i="4"/>
  <c r="M35" i="4" s="1"/>
  <c r="K35" i="4"/>
  <c r="N35" i="4" s="1"/>
  <c r="D40" i="2"/>
  <c r="I34" i="3"/>
  <c r="F35" i="4" s="1"/>
  <c r="U34" i="3"/>
  <c r="J35" i="4" s="1"/>
  <c r="O34" i="3"/>
  <c r="I38" i="2"/>
  <c r="L39" i="2"/>
  <c r="E38" i="2"/>
  <c r="F38" i="2"/>
  <c r="C39" i="2"/>
  <c r="M39" i="2"/>
  <c r="J38" i="2"/>
  <c r="A36" i="4"/>
  <c r="M35" i="3"/>
  <c r="C35" i="3"/>
  <c r="P35" i="3"/>
  <c r="E35" i="3"/>
  <c r="F35" i="3" s="1"/>
  <c r="H35" i="3"/>
  <c r="T35" i="3"/>
  <c r="J35" i="3"/>
  <c r="V35" i="3"/>
  <c r="S35" i="3"/>
  <c r="Y35" i="3" s="1"/>
  <c r="Z35" i="3" s="1"/>
  <c r="AA35" i="3" s="1"/>
  <c r="G35" i="3"/>
  <c r="N35" i="3"/>
  <c r="D37" i="3"/>
  <c r="C35" i="4"/>
  <c r="AB34" i="3"/>
  <c r="E35" i="4" s="1"/>
  <c r="G38" i="2"/>
  <c r="U509" i="2" l="1"/>
  <c r="G507" i="3"/>
  <c r="C507" i="4"/>
  <c r="AB506" i="3"/>
  <c r="E507" i="4" s="1"/>
  <c r="V509" i="2"/>
  <c r="M507" i="3"/>
  <c r="T508" i="2"/>
  <c r="W510" i="2"/>
  <c r="S508" i="3"/>
  <c r="Y508" i="3" s="1"/>
  <c r="Z508" i="3" s="1"/>
  <c r="D36" i="4"/>
  <c r="D41" i="2"/>
  <c r="T40" i="2"/>
  <c r="I36" i="4"/>
  <c r="M36" i="4" s="1"/>
  <c r="K36" i="4"/>
  <c r="N36" i="4" s="1"/>
  <c r="G36" i="4"/>
  <c r="L36" i="4" s="1"/>
  <c r="J39" i="2"/>
  <c r="G39" i="2" s="1"/>
  <c r="M40" i="2"/>
  <c r="C40" i="2"/>
  <c r="L40" i="2"/>
  <c r="I39" i="2"/>
  <c r="F39" i="2" s="1"/>
  <c r="A37" i="4"/>
  <c r="J36" i="3"/>
  <c r="V36" i="3"/>
  <c r="M36" i="3"/>
  <c r="N36" i="3"/>
  <c r="C36" i="3"/>
  <c r="E36" i="3"/>
  <c r="F36" i="3" s="1"/>
  <c r="G36" i="3"/>
  <c r="S36" i="3"/>
  <c r="Y36" i="3" s="1"/>
  <c r="Z36" i="3" s="1"/>
  <c r="AA36" i="3" s="1"/>
  <c r="H36" i="3"/>
  <c r="T36" i="3"/>
  <c r="P36" i="3"/>
  <c r="O35" i="3"/>
  <c r="H36" i="4" s="1"/>
  <c r="I35" i="3"/>
  <c r="F36" i="4" s="1"/>
  <c r="U35" i="3"/>
  <c r="J36" i="4" s="1"/>
  <c r="H39" i="2"/>
  <c r="E39" i="2" s="1"/>
  <c r="K40" i="2"/>
  <c r="D38" i="3"/>
  <c r="C36" i="4"/>
  <c r="AB35" i="3"/>
  <c r="E36" i="4" s="1"/>
  <c r="T39" i="2"/>
  <c r="W511" i="2" l="1"/>
  <c r="S509" i="3"/>
  <c r="Y509" i="3" s="1"/>
  <c r="Z509" i="3" s="1"/>
  <c r="AB507" i="3"/>
  <c r="E508" i="4" s="1"/>
  <c r="C508" i="4"/>
  <c r="V510" i="2"/>
  <c r="M508" i="3"/>
  <c r="T509" i="2"/>
  <c r="U510" i="2"/>
  <c r="G508" i="3"/>
  <c r="D37" i="4"/>
  <c r="H40" i="2"/>
  <c r="K41" i="2"/>
  <c r="C37" i="4"/>
  <c r="AB36" i="3"/>
  <c r="E37" i="4" s="1"/>
  <c r="K37" i="4"/>
  <c r="N37" i="4" s="1"/>
  <c r="F37" i="4"/>
  <c r="G37" i="4"/>
  <c r="L37" i="4" s="1"/>
  <c r="H37" i="4"/>
  <c r="I37" i="4"/>
  <c r="M37" i="4" s="1"/>
  <c r="L41" i="2"/>
  <c r="I40" i="2"/>
  <c r="A38" i="4"/>
  <c r="G37" i="3"/>
  <c r="S37" i="3"/>
  <c r="Y37" i="3" s="1"/>
  <c r="Z37" i="3" s="1"/>
  <c r="AA37" i="3" s="1"/>
  <c r="J37" i="3"/>
  <c r="V37" i="3"/>
  <c r="C37" i="3"/>
  <c r="P37" i="3"/>
  <c r="E37" i="3"/>
  <c r="F37" i="3" s="1"/>
  <c r="H37" i="3"/>
  <c r="M37" i="3"/>
  <c r="N37" i="3"/>
  <c r="T37" i="3"/>
  <c r="D42" i="2"/>
  <c r="C41" i="2"/>
  <c r="E40" i="2"/>
  <c r="F40" i="2"/>
  <c r="D39" i="3"/>
  <c r="O36" i="3"/>
  <c r="I36" i="3"/>
  <c r="U36" i="3"/>
  <c r="J37" i="4" s="1"/>
  <c r="M41" i="2"/>
  <c r="J40" i="2"/>
  <c r="G40" i="2" s="1"/>
  <c r="G509" i="3" l="1"/>
  <c r="U511" i="2"/>
  <c r="C509" i="4"/>
  <c r="AB508" i="3"/>
  <c r="E509" i="4" s="1"/>
  <c r="M509" i="3"/>
  <c r="V511" i="2"/>
  <c r="T510" i="2"/>
  <c r="S510" i="3"/>
  <c r="Y510" i="3" s="1"/>
  <c r="Z510" i="3" s="1"/>
  <c r="W512" i="2"/>
  <c r="D38" i="4"/>
  <c r="I37" i="3"/>
  <c r="U37" i="3"/>
  <c r="O37" i="3"/>
  <c r="A39" i="4"/>
  <c r="P38" i="3"/>
  <c r="G38" i="3"/>
  <c r="S38" i="3"/>
  <c r="Y38" i="3" s="1"/>
  <c r="Z38" i="3" s="1"/>
  <c r="AA38" i="3" s="1"/>
  <c r="H38" i="3"/>
  <c r="T38" i="3"/>
  <c r="M38" i="3"/>
  <c r="V38" i="3"/>
  <c r="C38" i="3"/>
  <c r="E38" i="3"/>
  <c r="F38" i="3" s="1"/>
  <c r="J38" i="3"/>
  <c r="N38" i="3"/>
  <c r="D40" i="3"/>
  <c r="E41" i="2"/>
  <c r="F41" i="2"/>
  <c r="C42" i="2"/>
  <c r="T42" i="2" s="1"/>
  <c r="D43" i="2"/>
  <c r="T41" i="2"/>
  <c r="H41" i="2"/>
  <c r="K42" i="2"/>
  <c r="M42" i="2"/>
  <c r="J41" i="2"/>
  <c r="G41" i="2" s="1"/>
  <c r="J38" i="4"/>
  <c r="F38" i="4"/>
  <c r="G38" i="4"/>
  <c r="L38" i="4" s="1"/>
  <c r="H38" i="4"/>
  <c r="I38" i="4"/>
  <c r="M38" i="4" s="1"/>
  <c r="K38" i="4"/>
  <c r="N38" i="4" s="1"/>
  <c r="C38" i="4"/>
  <c r="AB37" i="3"/>
  <c r="E38" i="4" s="1"/>
  <c r="I41" i="2"/>
  <c r="L42" i="2"/>
  <c r="M510" i="3" l="1"/>
  <c r="V512" i="2"/>
  <c r="T511" i="2"/>
  <c r="AB509" i="3"/>
  <c r="E510" i="4" s="1"/>
  <c r="C510" i="4"/>
  <c r="W513" i="2"/>
  <c r="S511" i="3"/>
  <c r="Y511" i="3" s="1"/>
  <c r="Z511" i="3" s="1"/>
  <c r="U512" i="2"/>
  <c r="G510" i="3"/>
  <c r="D39" i="4"/>
  <c r="C39" i="4"/>
  <c r="AB38" i="3"/>
  <c r="E39" i="4" s="1"/>
  <c r="E42" i="2"/>
  <c r="F42" i="2"/>
  <c r="C43" i="2"/>
  <c r="D41" i="3"/>
  <c r="J42" i="2"/>
  <c r="M43" i="2"/>
  <c r="L43" i="2"/>
  <c r="I42" i="2"/>
  <c r="K43" i="2"/>
  <c r="H42" i="2"/>
  <c r="I39" i="4"/>
  <c r="M39" i="4" s="1"/>
  <c r="K39" i="4"/>
  <c r="N39" i="4" s="1"/>
  <c r="G39" i="4"/>
  <c r="L39" i="4" s="1"/>
  <c r="A40" i="4"/>
  <c r="M39" i="3"/>
  <c r="C39" i="3"/>
  <c r="P39" i="3"/>
  <c r="E39" i="3"/>
  <c r="F39" i="3" s="1"/>
  <c r="J39" i="3"/>
  <c r="V39" i="3"/>
  <c r="T39" i="3"/>
  <c r="G39" i="3"/>
  <c r="H39" i="3"/>
  <c r="N39" i="3"/>
  <c r="S39" i="3"/>
  <c r="Y39" i="3" s="1"/>
  <c r="Z39" i="3" s="1"/>
  <c r="AA39" i="3" s="1"/>
  <c r="I38" i="3"/>
  <c r="F39" i="4" s="1"/>
  <c r="U38" i="3"/>
  <c r="J39" i="4" s="1"/>
  <c r="O38" i="3"/>
  <c r="H39" i="4" s="1"/>
  <c r="D44" i="2"/>
  <c r="T43" i="2"/>
  <c r="G42" i="2"/>
  <c r="U513" i="2" l="1"/>
  <c r="G511" i="3"/>
  <c r="W514" i="2"/>
  <c r="S512" i="3"/>
  <c r="Y512" i="3" s="1"/>
  <c r="Z512" i="3" s="1"/>
  <c r="V513" i="2"/>
  <c r="M511" i="3"/>
  <c r="T512" i="2"/>
  <c r="AB510" i="3"/>
  <c r="E511" i="4" s="1"/>
  <c r="C511" i="4"/>
  <c r="D40" i="4"/>
  <c r="L44" i="2"/>
  <c r="I43" i="2"/>
  <c r="C40" i="4"/>
  <c r="AB39" i="3"/>
  <c r="E40" i="4" s="1"/>
  <c r="J43" i="2"/>
  <c r="G43" i="2" s="1"/>
  <c r="M44" i="2"/>
  <c r="J40" i="4"/>
  <c r="K40" i="4"/>
  <c r="N40" i="4" s="1"/>
  <c r="F40" i="4"/>
  <c r="G40" i="4"/>
  <c r="L40" i="4" s="1"/>
  <c r="I40" i="4"/>
  <c r="M40" i="4" s="1"/>
  <c r="D42" i="3"/>
  <c r="F43" i="2"/>
  <c r="C44" i="2"/>
  <c r="T44" i="2" s="1"/>
  <c r="E43" i="2"/>
  <c r="D45" i="2"/>
  <c r="A41" i="4"/>
  <c r="J40" i="3"/>
  <c r="V40" i="3"/>
  <c r="M40" i="3"/>
  <c r="N40" i="3"/>
  <c r="C40" i="3"/>
  <c r="G40" i="3"/>
  <c r="S40" i="3"/>
  <c r="Y40" i="3" s="1"/>
  <c r="Z40" i="3" s="1"/>
  <c r="AA40" i="3" s="1"/>
  <c r="T40" i="3"/>
  <c r="H40" i="3"/>
  <c r="P40" i="3"/>
  <c r="E40" i="3"/>
  <c r="F40" i="3" s="1"/>
  <c r="O39" i="3"/>
  <c r="H40" i="4" s="1"/>
  <c r="U39" i="3"/>
  <c r="I39" i="3"/>
  <c r="K44" i="2"/>
  <c r="H43" i="2"/>
  <c r="AB511" i="3" l="1"/>
  <c r="E512" i="4" s="1"/>
  <c r="C512" i="4"/>
  <c r="P512" i="4" s="1"/>
  <c r="V514" i="2"/>
  <c r="M512" i="3"/>
  <c r="T513" i="2"/>
  <c r="S513" i="3"/>
  <c r="Y513" i="3" s="1"/>
  <c r="Z513" i="3" s="1"/>
  <c r="W515" i="2"/>
  <c r="U514" i="2"/>
  <c r="G512" i="3"/>
  <c r="D41" i="4"/>
  <c r="O40" i="3"/>
  <c r="U40" i="3"/>
  <c r="I40" i="3"/>
  <c r="G41" i="4"/>
  <c r="L41" i="4" s="1"/>
  <c r="I41" i="4"/>
  <c r="M41" i="4" s="1"/>
  <c r="J41" i="4"/>
  <c r="K41" i="4"/>
  <c r="N41" i="4" s="1"/>
  <c r="F41" i="4"/>
  <c r="H41" i="4"/>
  <c r="A42" i="4"/>
  <c r="G41" i="3"/>
  <c r="S41" i="3"/>
  <c r="Y41" i="3" s="1"/>
  <c r="Z41" i="3" s="1"/>
  <c r="AA41" i="3" s="1"/>
  <c r="J41" i="3"/>
  <c r="V41" i="3"/>
  <c r="P41" i="3"/>
  <c r="H41" i="3"/>
  <c r="M41" i="3"/>
  <c r="N41" i="3"/>
  <c r="T41" i="3"/>
  <c r="C41" i="3"/>
  <c r="E41" i="3"/>
  <c r="F41" i="3" s="1"/>
  <c r="D46" i="2"/>
  <c r="M45" i="2"/>
  <c r="J44" i="2"/>
  <c r="G44" i="2" s="1"/>
  <c r="C45" i="2"/>
  <c r="F44" i="2"/>
  <c r="H44" i="2"/>
  <c r="E44" i="2" s="1"/>
  <c r="K45" i="2"/>
  <c r="D43" i="3"/>
  <c r="I44" i="2"/>
  <c r="L45" i="2"/>
  <c r="C41" i="4"/>
  <c r="AB40" i="3"/>
  <c r="E41" i="4" s="1"/>
  <c r="S514" i="3" l="1"/>
  <c r="Y514" i="3" s="1"/>
  <c r="Z514" i="3" s="1"/>
  <c r="W516" i="2"/>
  <c r="G513" i="3"/>
  <c r="U515" i="2"/>
  <c r="V515" i="2"/>
  <c r="M513" i="3"/>
  <c r="T514" i="2"/>
  <c r="AB512" i="3"/>
  <c r="E513" i="4" s="1"/>
  <c r="C513" i="4"/>
  <c r="D42" i="4"/>
  <c r="I41" i="3"/>
  <c r="U41" i="3"/>
  <c r="O41" i="3"/>
  <c r="F42" i="4"/>
  <c r="H42" i="4"/>
  <c r="I42" i="4"/>
  <c r="M42" i="4" s="1"/>
  <c r="J42" i="4"/>
  <c r="G42" i="4"/>
  <c r="L42" i="4" s="1"/>
  <c r="K42" i="4"/>
  <c r="N42" i="4" s="1"/>
  <c r="H45" i="2"/>
  <c r="E45" i="2" s="1"/>
  <c r="K46" i="2"/>
  <c r="C46" i="2"/>
  <c r="C42" i="4"/>
  <c r="AB41" i="3"/>
  <c r="E42" i="4" s="1"/>
  <c r="A43" i="4"/>
  <c r="P42" i="3"/>
  <c r="G42" i="3"/>
  <c r="S42" i="3"/>
  <c r="Y42" i="3" s="1"/>
  <c r="Z42" i="3" s="1"/>
  <c r="AA42" i="3" s="1"/>
  <c r="H42" i="3"/>
  <c r="T42" i="3"/>
  <c r="M42" i="3"/>
  <c r="E42" i="3"/>
  <c r="F42" i="3" s="1"/>
  <c r="J42" i="3"/>
  <c r="N42" i="3"/>
  <c r="V42" i="3"/>
  <c r="C42" i="3"/>
  <c r="J45" i="2"/>
  <c r="G45" i="2" s="1"/>
  <c r="M46" i="2"/>
  <c r="T46" i="2"/>
  <c r="D47" i="2"/>
  <c r="I45" i="2"/>
  <c r="F45" i="2" s="1"/>
  <c r="L46" i="2"/>
  <c r="T45" i="2"/>
  <c r="D44" i="3"/>
  <c r="AB513" i="3" l="1"/>
  <c r="E514" i="4" s="1"/>
  <c r="C514" i="4"/>
  <c r="V516" i="2"/>
  <c r="M514" i="3"/>
  <c r="T515" i="2"/>
  <c r="G514" i="3"/>
  <c r="U516" i="2"/>
  <c r="S515" i="3"/>
  <c r="Y515" i="3" s="1"/>
  <c r="Z515" i="3" s="1"/>
  <c r="W517" i="2"/>
  <c r="D43" i="4"/>
  <c r="D48" i="2"/>
  <c r="M47" i="2"/>
  <c r="J46" i="2"/>
  <c r="G46" i="2" s="1"/>
  <c r="G43" i="4"/>
  <c r="L43" i="4" s="1"/>
  <c r="I43" i="4"/>
  <c r="M43" i="4" s="1"/>
  <c r="K43" i="4"/>
  <c r="N43" i="4" s="1"/>
  <c r="F43" i="4"/>
  <c r="D45" i="3"/>
  <c r="A44" i="4"/>
  <c r="C43" i="3"/>
  <c r="P43" i="3"/>
  <c r="E43" i="3"/>
  <c r="F43" i="3" s="1"/>
  <c r="J43" i="3"/>
  <c r="V43" i="3"/>
  <c r="S43" i="3"/>
  <c r="Y43" i="3" s="1"/>
  <c r="Z43" i="3" s="1"/>
  <c r="AA43" i="3" s="1"/>
  <c r="G43" i="3"/>
  <c r="H43" i="3"/>
  <c r="M43" i="3"/>
  <c r="N43" i="3"/>
  <c r="T43" i="3"/>
  <c r="I46" i="2"/>
  <c r="L47" i="2"/>
  <c r="I42" i="3"/>
  <c r="U42" i="3"/>
  <c r="J43" i="4" s="1"/>
  <c r="O42" i="3"/>
  <c r="H43" i="4" s="1"/>
  <c r="F46" i="2"/>
  <c r="C47" i="2"/>
  <c r="E46" i="2"/>
  <c r="C43" i="4"/>
  <c r="AB42" i="3"/>
  <c r="E43" i="4" s="1"/>
  <c r="K47" i="2"/>
  <c r="H46" i="2"/>
  <c r="U517" i="2" l="1"/>
  <c r="G515" i="3"/>
  <c r="C515" i="4"/>
  <c r="AB514" i="3"/>
  <c r="E515" i="4" s="1"/>
  <c r="V517" i="2"/>
  <c r="M515" i="3"/>
  <c r="T516" i="2"/>
  <c r="W518" i="2"/>
  <c r="S516" i="3"/>
  <c r="Y516" i="3" s="1"/>
  <c r="Z516" i="3" s="1"/>
  <c r="D44" i="4"/>
  <c r="C48" i="2"/>
  <c r="A45" i="4"/>
  <c r="M44" i="3"/>
  <c r="N44" i="3"/>
  <c r="C44" i="3"/>
  <c r="G44" i="3"/>
  <c r="S44" i="3"/>
  <c r="Y44" i="3" s="1"/>
  <c r="Z44" i="3" s="1"/>
  <c r="AA44" i="3" s="1"/>
  <c r="J44" i="3"/>
  <c r="P44" i="3"/>
  <c r="T44" i="3"/>
  <c r="V44" i="3"/>
  <c r="H44" i="3"/>
  <c r="E44" i="3"/>
  <c r="F44" i="3" s="1"/>
  <c r="O43" i="3"/>
  <c r="H44" i="4" s="1"/>
  <c r="U43" i="3"/>
  <c r="I43" i="3"/>
  <c r="L48" i="2"/>
  <c r="I47" i="2"/>
  <c r="F47" i="2" s="1"/>
  <c r="M48" i="2"/>
  <c r="J47" i="2"/>
  <c r="T48" i="2"/>
  <c r="D49" i="2"/>
  <c r="F44" i="4"/>
  <c r="G44" i="4"/>
  <c r="L44" i="4" s="1"/>
  <c r="J44" i="4"/>
  <c r="I44" i="4"/>
  <c r="M44" i="4" s="1"/>
  <c r="K44" i="4"/>
  <c r="N44" i="4" s="1"/>
  <c r="T47" i="2"/>
  <c r="H47" i="2"/>
  <c r="E47" i="2" s="1"/>
  <c r="K48" i="2"/>
  <c r="G47" i="2"/>
  <c r="C44" i="4"/>
  <c r="AB43" i="3"/>
  <c r="E44" i="4" s="1"/>
  <c r="D46" i="3"/>
  <c r="AB515" i="3" l="1"/>
  <c r="E516" i="4" s="1"/>
  <c r="C516" i="4"/>
  <c r="W519" i="2"/>
  <c r="S517" i="3"/>
  <c r="Y517" i="3" s="1"/>
  <c r="Z517" i="3" s="1"/>
  <c r="T517" i="2"/>
  <c r="M516" i="3"/>
  <c r="V518" i="2"/>
  <c r="G516" i="3"/>
  <c r="U518" i="2"/>
  <c r="D45" i="4"/>
  <c r="L49" i="2"/>
  <c r="I48" i="2"/>
  <c r="J48" i="2"/>
  <c r="G48" i="2" s="1"/>
  <c r="M49" i="2"/>
  <c r="C45" i="4"/>
  <c r="AB44" i="3"/>
  <c r="E45" i="4" s="1"/>
  <c r="O44" i="3"/>
  <c r="H45" i="4" s="1"/>
  <c r="U44" i="3"/>
  <c r="J45" i="4" s="1"/>
  <c r="I44" i="3"/>
  <c r="F45" i="4"/>
  <c r="G45" i="4"/>
  <c r="L45" i="4" s="1"/>
  <c r="I45" i="4"/>
  <c r="M45" i="4" s="1"/>
  <c r="K45" i="4"/>
  <c r="N45" i="4" s="1"/>
  <c r="D47" i="3"/>
  <c r="A46" i="4"/>
  <c r="J45" i="3"/>
  <c r="P45" i="3"/>
  <c r="E45" i="3"/>
  <c r="F45" i="3" s="1"/>
  <c r="V45" i="3"/>
  <c r="G45" i="3"/>
  <c r="H45" i="3"/>
  <c r="M45" i="3"/>
  <c r="N45" i="3"/>
  <c r="S45" i="3"/>
  <c r="Y45" i="3" s="1"/>
  <c r="Z45" i="3" s="1"/>
  <c r="AA45" i="3" s="1"/>
  <c r="C45" i="3"/>
  <c r="T45" i="3"/>
  <c r="T49" i="2"/>
  <c r="D50" i="2"/>
  <c r="F48" i="2"/>
  <c r="E48" i="2"/>
  <c r="C49" i="2"/>
  <c r="K49" i="2"/>
  <c r="H48" i="2"/>
  <c r="U519" i="2" l="1"/>
  <c r="G517" i="3"/>
  <c r="M517" i="3"/>
  <c r="T518" i="2"/>
  <c r="V519" i="2"/>
  <c r="AB516" i="3"/>
  <c r="E517" i="4" s="1"/>
  <c r="C517" i="4"/>
  <c r="W520" i="2"/>
  <c r="S518" i="3"/>
  <c r="Y518" i="3" s="1"/>
  <c r="Z518" i="3" s="1"/>
  <c r="D46" i="4"/>
  <c r="I45" i="3"/>
  <c r="U45" i="3"/>
  <c r="J46" i="4" s="1"/>
  <c r="O45" i="3"/>
  <c r="D51" i="2"/>
  <c r="F46" i="4"/>
  <c r="H46" i="4"/>
  <c r="G46" i="4"/>
  <c r="L46" i="4" s="1"/>
  <c r="I46" i="4"/>
  <c r="M46" i="4" s="1"/>
  <c r="K46" i="4"/>
  <c r="N46" i="4" s="1"/>
  <c r="D48" i="3"/>
  <c r="J49" i="2"/>
  <c r="G49" i="2" s="1"/>
  <c r="M50" i="2"/>
  <c r="A47" i="4"/>
  <c r="H46" i="3"/>
  <c r="T46" i="3"/>
  <c r="M46" i="3"/>
  <c r="P46" i="3"/>
  <c r="S46" i="3"/>
  <c r="Y46" i="3" s="1"/>
  <c r="Z46" i="3" s="1"/>
  <c r="AA46" i="3" s="1"/>
  <c r="C46" i="3"/>
  <c r="V46" i="3"/>
  <c r="G46" i="3"/>
  <c r="J46" i="3"/>
  <c r="E46" i="3"/>
  <c r="F46" i="3" s="1"/>
  <c r="N46" i="3"/>
  <c r="K50" i="2"/>
  <c r="H49" i="2"/>
  <c r="E49" i="2" s="1"/>
  <c r="C46" i="4"/>
  <c r="AB45" i="3"/>
  <c r="E46" i="4" s="1"/>
  <c r="I49" i="2"/>
  <c r="F49" i="2" s="1"/>
  <c r="L50" i="2"/>
  <c r="C50" i="2"/>
  <c r="T50" i="2" s="1"/>
  <c r="W521" i="2" l="1"/>
  <c r="S519" i="3"/>
  <c r="Y519" i="3" s="1"/>
  <c r="Z519" i="3" s="1"/>
  <c r="T519" i="2"/>
  <c r="M518" i="3"/>
  <c r="V520" i="2"/>
  <c r="AB517" i="3"/>
  <c r="E518" i="4" s="1"/>
  <c r="C518" i="4"/>
  <c r="U520" i="2"/>
  <c r="G518" i="3"/>
  <c r="D47" i="4"/>
  <c r="A48" i="4"/>
  <c r="C47" i="3"/>
  <c r="E47" i="3"/>
  <c r="F47" i="3" s="1"/>
  <c r="J47" i="3"/>
  <c r="V47" i="3"/>
  <c r="T47" i="3"/>
  <c r="G47" i="3"/>
  <c r="H47" i="3"/>
  <c r="M47" i="3"/>
  <c r="P47" i="3"/>
  <c r="N47" i="3"/>
  <c r="S47" i="3"/>
  <c r="Y47" i="3" s="1"/>
  <c r="Z47" i="3" s="1"/>
  <c r="AA47" i="3" s="1"/>
  <c r="C47" i="4"/>
  <c r="AB46" i="3"/>
  <c r="E47" i="4" s="1"/>
  <c r="H50" i="2"/>
  <c r="K51" i="2"/>
  <c r="G47" i="4"/>
  <c r="L47" i="4" s="1"/>
  <c r="I47" i="4"/>
  <c r="M47" i="4" s="1"/>
  <c r="J47" i="4"/>
  <c r="K47" i="4"/>
  <c r="N47" i="4" s="1"/>
  <c r="D52" i="2"/>
  <c r="I46" i="3"/>
  <c r="F47" i="4" s="1"/>
  <c r="U46" i="3"/>
  <c r="O46" i="3"/>
  <c r="H47" i="4" s="1"/>
  <c r="J50" i="2"/>
  <c r="G50" i="2" s="1"/>
  <c r="M51" i="2"/>
  <c r="E50" i="2"/>
  <c r="C51" i="2"/>
  <c r="F50" i="2"/>
  <c r="D49" i="3"/>
  <c r="I50" i="2"/>
  <c r="L51" i="2"/>
  <c r="U521" i="2" l="1"/>
  <c r="G519" i="3"/>
  <c r="AB518" i="3"/>
  <c r="E519" i="4" s="1"/>
  <c r="C519" i="4"/>
  <c r="M519" i="3"/>
  <c r="T520" i="2"/>
  <c r="V521" i="2"/>
  <c r="W522" i="2"/>
  <c r="S520" i="3"/>
  <c r="Y520" i="3" s="1"/>
  <c r="Z520" i="3" s="1"/>
  <c r="D48" i="4"/>
  <c r="J51" i="2"/>
  <c r="M52" i="2"/>
  <c r="C48" i="4"/>
  <c r="AB47" i="3"/>
  <c r="E48" i="4" s="1"/>
  <c r="H51" i="2"/>
  <c r="K52" i="2"/>
  <c r="A49" i="4"/>
  <c r="N48" i="3"/>
  <c r="C48" i="3"/>
  <c r="G48" i="3"/>
  <c r="S48" i="3"/>
  <c r="Y48" i="3" s="1"/>
  <c r="Z48" i="3" s="1"/>
  <c r="AA48" i="3" s="1"/>
  <c r="J48" i="3"/>
  <c r="M48" i="3"/>
  <c r="P48" i="3"/>
  <c r="H48" i="3"/>
  <c r="T48" i="3"/>
  <c r="V48" i="3"/>
  <c r="E48" i="3"/>
  <c r="F48" i="3" s="1"/>
  <c r="I51" i="2"/>
  <c r="L52" i="2"/>
  <c r="D53" i="2"/>
  <c r="O47" i="3"/>
  <c r="H48" i="4" s="1"/>
  <c r="I47" i="3"/>
  <c r="F48" i="4" s="1"/>
  <c r="U47" i="3"/>
  <c r="J48" i="4" s="1"/>
  <c r="C52" i="2"/>
  <c r="F51" i="2"/>
  <c r="E51" i="2"/>
  <c r="T51" i="2"/>
  <c r="G51" i="2"/>
  <c r="G48" i="4"/>
  <c r="L48" i="4" s="1"/>
  <c r="I48" i="4"/>
  <c r="M48" i="4" s="1"/>
  <c r="K48" i="4"/>
  <c r="N48" i="4" s="1"/>
  <c r="D50" i="3"/>
  <c r="S521" i="3" l="1"/>
  <c r="Y521" i="3" s="1"/>
  <c r="Z521" i="3" s="1"/>
  <c r="W523" i="2"/>
  <c r="AB519" i="3"/>
  <c r="E520" i="4" s="1"/>
  <c r="C520" i="4"/>
  <c r="T521" i="2"/>
  <c r="M520" i="3"/>
  <c r="V522" i="2"/>
  <c r="G520" i="3"/>
  <c r="U522" i="2"/>
  <c r="D49" i="4"/>
  <c r="I52" i="2"/>
  <c r="L53" i="2"/>
  <c r="O48" i="3"/>
  <c r="U48" i="3"/>
  <c r="J49" i="4" s="1"/>
  <c r="I48" i="3"/>
  <c r="K49" i="4"/>
  <c r="N49" i="4" s="1"/>
  <c r="F49" i="4"/>
  <c r="G49" i="4"/>
  <c r="L49" i="4" s="1"/>
  <c r="H49" i="4"/>
  <c r="I49" i="4"/>
  <c r="M49" i="4" s="1"/>
  <c r="H52" i="2"/>
  <c r="K53" i="2"/>
  <c r="D51" i="3"/>
  <c r="F52" i="2"/>
  <c r="E52" i="2"/>
  <c r="C53" i="2"/>
  <c r="C49" i="4"/>
  <c r="AB48" i="3"/>
  <c r="E49" i="4" s="1"/>
  <c r="M53" i="2"/>
  <c r="J52" i="2"/>
  <c r="G52" i="2" s="1"/>
  <c r="A50" i="4"/>
  <c r="P49" i="3"/>
  <c r="E49" i="3"/>
  <c r="F49" i="3" s="1"/>
  <c r="T49" i="3"/>
  <c r="V49" i="3"/>
  <c r="G49" i="3"/>
  <c r="H49" i="3"/>
  <c r="N49" i="3"/>
  <c r="S49" i="3"/>
  <c r="Y49" i="3" s="1"/>
  <c r="Z49" i="3" s="1"/>
  <c r="AA49" i="3" s="1"/>
  <c r="C49" i="3"/>
  <c r="J49" i="3"/>
  <c r="M49" i="3"/>
  <c r="D54" i="2"/>
  <c r="T52" i="2"/>
  <c r="G521" i="3" l="1"/>
  <c r="U523" i="2"/>
  <c r="C521" i="4"/>
  <c r="AB520" i="3"/>
  <c r="E521" i="4" s="1"/>
  <c r="V523" i="2"/>
  <c r="T522" i="2"/>
  <c r="M521" i="3"/>
  <c r="S522" i="3"/>
  <c r="Y522" i="3" s="1"/>
  <c r="Z522" i="3" s="1"/>
  <c r="W524" i="2"/>
  <c r="D50" i="4"/>
  <c r="M54" i="2"/>
  <c r="J53" i="2"/>
  <c r="A51" i="4"/>
  <c r="H50" i="3"/>
  <c r="T50" i="3"/>
  <c r="M50" i="3"/>
  <c r="G50" i="3"/>
  <c r="N50" i="3"/>
  <c r="C50" i="3"/>
  <c r="V50" i="3"/>
  <c r="E50" i="3"/>
  <c r="F50" i="3" s="1"/>
  <c r="J50" i="3"/>
  <c r="P50" i="3"/>
  <c r="S50" i="3"/>
  <c r="Y50" i="3" s="1"/>
  <c r="Z50" i="3" s="1"/>
  <c r="AA50" i="3" s="1"/>
  <c r="F53" i="2"/>
  <c r="C54" i="2"/>
  <c r="D52" i="3"/>
  <c r="T53" i="2"/>
  <c r="L54" i="2"/>
  <c r="I53" i="2"/>
  <c r="D55" i="2"/>
  <c r="I49" i="3"/>
  <c r="U49" i="3"/>
  <c r="J50" i="4" s="1"/>
  <c r="O49" i="3"/>
  <c r="H53" i="2"/>
  <c r="E53" i="2" s="1"/>
  <c r="K54" i="2"/>
  <c r="G53" i="2"/>
  <c r="C50" i="4"/>
  <c r="AB49" i="3"/>
  <c r="E50" i="4" s="1"/>
  <c r="I50" i="4"/>
  <c r="M50" i="4" s="1"/>
  <c r="K50" i="4"/>
  <c r="N50" i="4" s="1"/>
  <c r="F50" i="4"/>
  <c r="H50" i="4"/>
  <c r="G50" i="4"/>
  <c r="L50" i="4" s="1"/>
  <c r="W525" i="2" l="1"/>
  <c r="S523" i="3"/>
  <c r="Y523" i="3" s="1"/>
  <c r="Z523" i="3" s="1"/>
  <c r="V524" i="2"/>
  <c r="M522" i="3"/>
  <c r="T523" i="2"/>
  <c r="U524" i="2"/>
  <c r="G522" i="3"/>
  <c r="AB521" i="3"/>
  <c r="E522" i="4" s="1"/>
  <c r="C522" i="4"/>
  <c r="D51" i="4"/>
  <c r="D53" i="3"/>
  <c r="A52" i="4"/>
  <c r="C51" i="3"/>
  <c r="E51" i="3"/>
  <c r="F51" i="3" s="1"/>
  <c r="J51" i="3"/>
  <c r="V51" i="3"/>
  <c r="P51" i="3"/>
  <c r="S51" i="3"/>
  <c r="Y51" i="3" s="1"/>
  <c r="Z51" i="3" s="1"/>
  <c r="AA51" i="3" s="1"/>
  <c r="T51" i="3"/>
  <c r="G51" i="3"/>
  <c r="M51" i="3"/>
  <c r="N51" i="3"/>
  <c r="H51" i="3"/>
  <c r="K55" i="2"/>
  <c r="H54" i="2"/>
  <c r="F54" i="2"/>
  <c r="E54" i="2"/>
  <c r="C55" i="2"/>
  <c r="C51" i="4"/>
  <c r="AB50" i="3"/>
  <c r="E51" i="4" s="1"/>
  <c r="L55" i="2"/>
  <c r="I54" i="2"/>
  <c r="I51" i="4"/>
  <c r="M51" i="4" s="1"/>
  <c r="K51" i="4"/>
  <c r="N51" i="4" s="1"/>
  <c r="G51" i="4"/>
  <c r="L51" i="4" s="1"/>
  <c r="D56" i="2"/>
  <c r="T55" i="2"/>
  <c r="G54" i="2"/>
  <c r="M55" i="2"/>
  <c r="J54" i="2"/>
  <c r="T54" i="2"/>
  <c r="I50" i="3"/>
  <c r="F51" i="4" s="1"/>
  <c r="U50" i="3"/>
  <c r="J51" i="4" s="1"/>
  <c r="O50" i="3"/>
  <c r="H51" i="4" s="1"/>
  <c r="C523" i="4" l="1"/>
  <c r="AB522" i="3"/>
  <c r="E523" i="4" s="1"/>
  <c r="G523" i="3"/>
  <c r="U525" i="2"/>
  <c r="V525" i="2"/>
  <c r="T524" i="2"/>
  <c r="M523" i="3"/>
  <c r="S524" i="3"/>
  <c r="Y524" i="3" s="1"/>
  <c r="Z524" i="3" s="1"/>
  <c r="W526" i="2"/>
  <c r="D52" i="4"/>
  <c r="C56" i="2"/>
  <c r="D57" i="2"/>
  <c r="T56" i="2"/>
  <c r="A53" i="4"/>
  <c r="N52" i="3"/>
  <c r="C52" i="3"/>
  <c r="G52" i="3"/>
  <c r="S52" i="3"/>
  <c r="Y52" i="3" s="1"/>
  <c r="Z52" i="3" s="1"/>
  <c r="AA52" i="3" s="1"/>
  <c r="J52" i="3"/>
  <c r="M52" i="3"/>
  <c r="T52" i="3"/>
  <c r="V52" i="3"/>
  <c r="E52" i="3"/>
  <c r="F52" i="3" s="1"/>
  <c r="P52" i="3"/>
  <c r="H52" i="3"/>
  <c r="O51" i="3"/>
  <c r="H52" i="4" s="1"/>
  <c r="U51" i="3"/>
  <c r="J52" i="4" s="1"/>
  <c r="I51" i="3"/>
  <c r="F52" i="4" s="1"/>
  <c r="K56" i="2"/>
  <c r="H55" i="2"/>
  <c r="E55" i="2" s="1"/>
  <c r="K52" i="4"/>
  <c r="N52" i="4" s="1"/>
  <c r="G52" i="4"/>
  <c r="L52" i="4" s="1"/>
  <c r="I52" i="4"/>
  <c r="M52" i="4" s="1"/>
  <c r="C52" i="4"/>
  <c r="AB51" i="3"/>
  <c r="E52" i="4" s="1"/>
  <c r="D54" i="3"/>
  <c r="J55" i="2"/>
  <c r="G55" i="2" s="1"/>
  <c r="M56" i="2"/>
  <c r="L56" i="2"/>
  <c r="I55" i="2"/>
  <c r="F55" i="2" s="1"/>
  <c r="AB523" i="3" l="1"/>
  <c r="E524" i="4" s="1"/>
  <c r="C524" i="4"/>
  <c r="T525" i="2"/>
  <c r="V526" i="2"/>
  <c r="M524" i="3"/>
  <c r="U526" i="2"/>
  <c r="G524" i="3"/>
  <c r="S525" i="3"/>
  <c r="Y525" i="3" s="1"/>
  <c r="Z525" i="3" s="1"/>
  <c r="W527" i="2"/>
  <c r="D53" i="4"/>
  <c r="D55" i="3"/>
  <c r="G53" i="4"/>
  <c r="L53" i="4" s="1"/>
  <c r="I53" i="4"/>
  <c r="M53" i="4" s="1"/>
  <c r="K53" i="4"/>
  <c r="N53" i="4" s="1"/>
  <c r="O52" i="3"/>
  <c r="H53" i="4" s="1"/>
  <c r="I52" i="3"/>
  <c r="F53" i="4" s="1"/>
  <c r="U52" i="3"/>
  <c r="J53" i="4" s="1"/>
  <c r="D58" i="2"/>
  <c r="C57" i="2"/>
  <c r="E56" i="2"/>
  <c r="C53" i="4"/>
  <c r="AB52" i="3"/>
  <c r="E53" i="4" s="1"/>
  <c r="L57" i="2"/>
  <c r="I56" i="2"/>
  <c r="F56" i="2" s="1"/>
  <c r="A54" i="4"/>
  <c r="P53" i="3"/>
  <c r="N53" i="3"/>
  <c r="C53" i="3"/>
  <c r="S53" i="3"/>
  <c r="Y53" i="3" s="1"/>
  <c r="Z53" i="3" s="1"/>
  <c r="AA53" i="3" s="1"/>
  <c r="E53" i="3"/>
  <c r="F53" i="3" s="1"/>
  <c r="T53" i="3"/>
  <c r="G53" i="3"/>
  <c r="J53" i="3"/>
  <c r="H53" i="3"/>
  <c r="M53" i="3"/>
  <c r="V53" i="3"/>
  <c r="J56" i="2"/>
  <c r="G56" i="2" s="1"/>
  <c r="M57" i="2"/>
  <c r="H56" i="2"/>
  <c r="K57" i="2"/>
  <c r="U527" i="2" l="1"/>
  <c r="G525" i="3"/>
  <c r="C525" i="4"/>
  <c r="AB524" i="3"/>
  <c r="E525" i="4" s="1"/>
  <c r="M525" i="3"/>
  <c r="T526" i="2"/>
  <c r="V527" i="2"/>
  <c r="W528" i="2"/>
  <c r="S526" i="3"/>
  <c r="Y526" i="3" s="1"/>
  <c r="Z526" i="3" s="1"/>
  <c r="D54" i="4"/>
  <c r="I57" i="2"/>
  <c r="L58" i="2"/>
  <c r="A55" i="4"/>
  <c r="H54" i="3"/>
  <c r="T54" i="3"/>
  <c r="M54" i="3"/>
  <c r="C54" i="3"/>
  <c r="V54" i="3"/>
  <c r="E54" i="3"/>
  <c r="F54" i="3" s="1"/>
  <c r="G54" i="3"/>
  <c r="J54" i="3"/>
  <c r="N54" i="3"/>
  <c r="P54" i="3"/>
  <c r="S54" i="3"/>
  <c r="Y54" i="3" s="1"/>
  <c r="Z54" i="3" s="1"/>
  <c r="AA54" i="3" s="1"/>
  <c r="F57" i="2"/>
  <c r="C58" i="2"/>
  <c r="E57" i="2"/>
  <c r="I53" i="3"/>
  <c r="U53" i="3"/>
  <c r="O53" i="3"/>
  <c r="H54" i="4" s="1"/>
  <c r="K58" i="2"/>
  <c r="H57" i="2"/>
  <c r="D59" i="2"/>
  <c r="D56" i="3"/>
  <c r="G57" i="2"/>
  <c r="M58" i="2"/>
  <c r="J57" i="2"/>
  <c r="T57" i="2"/>
  <c r="C54" i="4"/>
  <c r="AB53" i="3"/>
  <c r="E54" i="4" s="1"/>
  <c r="F54" i="4"/>
  <c r="I54" i="4"/>
  <c r="M54" i="4" s="1"/>
  <c r="J54" i="4"/>
  <c r="G54" i="4"/>
  <c r="L54" i="4" s="1"/>
  <c r="K54" i="4"/>
  <c r="N54" i="4" s="1"/>
  <c r="AB525" i="3" l="1"/>
  <c r="E526" i="4" s="1"/>
  <c r="C526" i="4"/>
  <c r="W529" i="2"/>
  <c r="S527" i="3"/>
  <c r="Y527" i="3" s="1"/>
  <c r="Z527" i="3" s="1"/>
  <c r="M526" i="3"/>
  <c r="T527" i="2"/>
  <c r="V528" i="2"/>
  <c r="G526" i="3"/>
  <c r="U528" i="2"/>
  <c r="D55" i="4"/>
  <c r="I54" i="3"/>
  <c r="U54" i="3"/>
  <c r="O54" i="3"/>
  <c r="K59" i="2"/>
  <c r="H58" i="2"/>
  <c r="M59" i="2"/>
  <c r="J58" i="2"/>
  <c r="C55" i="4"/>
  <c r="AB54" i="3"/>
  <c r="E55" i="4" s="1"/>
  <c r="E58" i="2"/>
  <c r="C59" i="2"/>
  <c r="D57" i="3"/>
  <c r="A56" i="4"/>
  <c r="C55" i="3"/>
  <c r="E55" i="3"/>
  <c r="F55" i="3" s="1"/>
  <c r="J55" i="3"/>
  <c r="V55" i="3"/>
  <c r="N55" i="3"/>
  <c r="P55" i="3"/>
  <c r="S55" i="3"/>
  <c r="Y55" i="3" s="1"/>
  <c r="Z55" i="3" s="1"/>
  <c r="AA55" i="3" s="1"/>
  <c r="H55" i="3"/>
  <c r="T55" i="3"/>
  <c r="G55" i="3"/>
  <c r="M55" i="3"/>
  <c r="G55" i="4"/>
  <c r="L55" i="4" s="1"/>
  <c r="H55" i="4"/>
  <c r="I55" i="4"/>
  <c r="M55" i="4" s="1"/>
  <c r="K55" i="4"/>
  <c r="N55" i="4" s="1"/>
  <c r="F55" i="4"/>
  <c r="J55" i="4"/>
  <c r="D60" i="2"/>
  <c r="T59" i="2"/>
  <c r="I58" i="2"/>
  <c r="F58" i="2" s="1"/>
  <c r="L59" i="2"/>
  <c r="G58" i="2"/>
  <c r="T58" i="2"/>
  <c r="T528" i="2" l="1"/>
  <c r="M527" i="3"/>
  <c r="V529" i="2"/>
  <c r="AB526" i="3"/>
  <c r="E527" i="4" s="1"/>
  <c r="C527" i="4"/>
  <c r="W530" i="2"/>
  <c r="S529" i="3" s="1"/>
  <c r="S528" i="3"/>
  <c r="Y528" i="3" s="1"/>
  <c r="Z528" i="3" s="1"/>
  <c r="U529" i="2"/>
  <c r="G527" i="3"/>
  <c r="D56" i="4"/>
  <c r="A57" i="4"/>
  <c r="N56" i="3"/>
  <c r="C56" i="3"/>
  <c r="G56" i="3"/>
  <c r="S56" i="3"/>
  <c r="Y56" i="3" s="1"/>
  <c r="Z56" i="3" s="1"/>
  <c r="AA56" i="3" s="1"/>
  <c r="T56" i="3"/>
  <c r="E56" i="3"/>
  <c r="F56" i="3" s="1"/>
  <c r="V56" i="3"/>
  <c r="H56" i="3"/>
  <c r="P56" i="3"/>
  <c r="J56" i="3"/>
  <c r="M56" i="3"/>
  <c r="M60" i="2"/>
  <c r="J59" i="2"/>
  <c r="G59" i="2" s="1"/>
  <c r="O55" i="3"/>
  <c r="U55" i="3"/>
  <c r="J56" i="4" s="1"/>
  <c r="I55" i="3"/>
  <c r="F56" i="4" s="1"/>
  <c r="H59" i="2"/>
  <c r="E59" i="2" s="1"/>
  <c r="K60" i="2"/>
  <c r="C56" i="4"/>
  <c r="AB55" i="3"/>
  <c r="E56" i="4" s="1"/>
  <c r="G56" i="4"/>
  <c r="L56" i="4" s="1"/>
  <c r="H56" i="4"/>
  <c r="I56" i="4"/>
  <c r="M56" i="4" s="1"/>
  <c r="K56" i="4"/>
  <c r="N56" i="4" s="1"/>
  <c r="L60" i="2"/>
  <c r="I59" i="2"/>
  <c r="F59" i="2" s="1"/>
  <c r="D58" i="3"/>
  <c r="T60" i="2"/>
  <c r="D61" i="2"/>
  <c r="C60" i="2"/>
  <c r="Y530" i="3" l="1"/>
  <c r="Z530" i="3" s="1"/>
  <c r="Y529" i="3"/>
  <c r="Z529" i="3" s="1"/>
  <c r="G528" i="3"/>
  <c r="U530" i="2"/>
  <c r="G529" i="3" s="1"/>
  <c r="M528" i="3"/>
  <c r="V530" i="2"/>
  <c r="T529" i="2"/>
  <c r="AB527" i="3"/>
  <c r="E528" i="4" s="1"/>
  <c r="C528" i="4"/>
  <c r="D57" i="4"/>
  <c r="A58" i="4"/>
  <c r="P57" i="3"/>
  <c r="H57" i="3"/>
  <c r="M57" i="3"/>
  <c r="N57" i="3"/>
  <c r="E57" i="3"/>
  <c r="F57" i="3" s="1"/>
  <c r="S57" i="3"/>
  <c r="Y57" i="3" s="1"/>
  <c r="Z57" i="3" s="1"/>
  <c r="AA57" i="3" s="1"/>
  <c r="T57" i="3"/>
  <c r="C57" i="3"/>
  <c r="G57" i="3"/>
  <c r="J57" i="3"/>
  <c r="V57" i="3"/>
  <c r="K61" i="2"/>
  <c r="H60" i="2"/>
  <c r="D59" i="3"/>
  <c r="O56" i="3"/>
  <c r="I56" i="3"/>
  <c r="F57" i="4" s="1"/>
  <c r="U56" i="3"/>
  <c r="L61" i="2"/>
  <c r="I60" i="2"/>
  <c r="F60" i="2" s="1"/>
  <c r="M61" i="2"/>
  <c r="J60" i="2"/>
  <c r="G60" i="2" s="1"/>
  <c r="C61" i="2"/>
  <c r="E60" i="2"/>
  <c r="C57" i="4"/>
  <c r="AB56" i="3"/>
  <c r="E57" i="4" s="1"/>
  <c r="G57" i="4"/>
  <c r="L57" i="4" s="1"/>
  <c r="I57" i="4"/>
  <c r="M57" i="4" s="1"/>
  <c r="H57" i="4"/>
  <c r="J57" i="4"/>
  <c r="K57" i="4"/>
  <c r="N57" i="4" s="1"/>
  <c r="D62" i="2"/>
  <c r="AB528" i="3" l="1"/>
  <c r="E529" i="4" s="1"/>
  <c r="C529" i="4"/>
  <c r="T530" i="2"/>
  <c r="M529" i="3"/>
  <c r="D58" i="4"/>
  <c r="L62" i="2"/>
  <c r="I61" i="2"/>
  <c r="I57" i="3"/>
  <c r="U57" i="3"/>
  <c r="O57" i="3"/>
  <c r="A59" i="4"/>
  <c r="H58" i="3"/>
  <c r="T58" i="3"/>
  <c r="M58" i="3"/>
  <c r="N58" i="3"/>
  <c r="P58" i="3"/>
  <c r="G58" i="3"/>
  <c r="E58" i="3"/>
  <c r="F58" i="3" s="1"/>
  <c r="J58" i="3"/>
  <c r="S58" i="3"/>
  <c r="Y58" i="3" s="1"/>
  <c r="Z58" i="3" s="1"/>
  <c r="AA58" i="3" s="1"/>
  <c r="C58" i="3"/>
  <c r="V58" i="3"/>
  <c r="D60" i="3"/>
  <c r="C58" i="4"/>
  <c r="AB57" i="3"/>
  <c r="E58" i="4" s="1"/>
  <c r="D63" i="2"/>
  <c r="F61" i="2"/>
  <c r="C62" i="2"/>
  <c r="H61" i="2"/>
  <c r="E61" i="2" s="1"/>
  <c r="K62" i="2"/>
  <c r="F58" i="4"/>
  <c r="H58" i="4"/>
  <c r="J58" i="4"/>
  <c r="G58" i="4"/>
  <c r="L58" i="4" s="1"/>
  <c r="I58" i="4"/>
  <c r="M58" i="4" s="1"/>
  <c r="K58" i="4"/>
  <c r="N58" i="4" s="1"/>
  <c r="T61" i="2"/>
  <c r="M62" i="2"/>
  <c r="J61" i="2"/>
  <c r="G61" i="2" s="1"/>
  <c r="C530" i="4" l="1"/>
  <c r="AB529" i="3"/>
  <c r="E530" i="4" s="1"/>
  <c r="D59" i="4"/>
  <c r="C59" i="4"/>
  <c r="AB58" i="3"/>
  <c r="E59" i="4" s="1"/>
  <c r="D61" i="3"/>
  <c r="H62" i="2"/>
  <c r="E62" i="2" s="1"/>
  <c r="K63" i="2"/>
  <c r="G59" i="4"/>
  <c r="L59" i="4" s="1"/>
  <c r="I59" i="4"/>
  <c r="M59" i="4" s="1"/>
  <c r="J59" i="4"/>
  <c r="K59" i="4"/>
  <c r="N59" i="4" s="1"/>
  <c r="C63" i="2"/>
  <c r="J62" i="2"/>
  <c r="G62" i="2" s="1"/>
  <c r="M63" i="2"/>
  <c r="O58" i="3"/>
  <c r="H59" i="4" s="1"/>
  <c r="U58" i="3"/>
  <c r="I58" i="3"/>
  <c r="F59" i="4" s="1"/>
  <c r="T63" i="2"/>
  <c r="D64" i="2"/>
  <c r="I62" i="2"/>
  <c r="F62" i="2" s="1"/>
  <c r="L63" i="2"/>
  <c r="T62" i="2"/>
  <c r="A60" i="4"/>
  <c r="C59" i="3"/>
  <c r="E59" i="3"/>
  <c r="F59" i="3" s="1"/>
  <c r="J59" i="3"/>
  <c r="V59" i="3"/>
  <c r="P59" i="3"/>
  <c r="S59" i="3"/>
  <c r="Y59" i="3" s="1"/>
  <c r="Z59" i="3" s="1"/>
  <c r="AA59" i="3" s="1"/>
  <c r="T59" i="3"/>
  <c r="G59" i="3"/>
  <c r="M59" i="3"/>
  <c r="H59" i="3"/>
  <c r="N59" i="3"/>
  <c r="D60" i="4" l="1"/>
  <c r="A61" i="4"/>
  <c r="N60" i="3"/>
  <c r="G60" i="3"/>
  <c r="S60" i="3"/>
  <c r="Y60" i="3" s="1"/>
  <c r="Z60" i="3" s="1"/>
  <c r="AA60" i="3" s="1"/>
  <c r="H60" i="3"/>
  <c r="V60" i="3"/>
  <c r="J60" i="3"/>
  <c r="M60" i="3"/>
  <c r="P60" i="3"/>
  <c r="T60" i="3"/>
  <c r="E60" i="3"/>
  <c r="F60" i="3" s="1"/>
  <c r="C60" i="3"/>
  <c r="O59" i="3"/>
  <c r="U59" i="3"/>
  <c r="J60" i="4" s="1"/>
  <c r="I59" i="3"/>
  <c r="H63" i="2"/>
  <c r="K64" i="2"/>
  <c r="J63" i="2"/>
  <c r="G63" i="2" s="1"/>
  <c r="M64" i="2"/>
  <c r="F60" i="4"/>
  <c r="H60" i="4"/>
  <c r="I60" i="4"/>
  <c r="M60" i="4" s="1"/>
  <c r="K60" i="4"/>
  <c r="N60" i="4" s="1"/>
  <c r="G60" i="4"/>
  <c r="L60" i="4" s="1"/>
  <c r="D62" i="3"/>
  <c r="C60" i="4"/>
  <c r="AB59" i="3"/>
  <c r="E60" i="4" s="1"/>
  <c r="C64" i="2"/>
  <c r="E63" i="2"/>
  <c r="F63" i="2"/>
  <c r="L64" i="2"/>
  <c r="I63" i="2"/>
  <c r="D65" i="2"/>
  <c r="D61" i="4" l="1"/>
  <c r="M65" i="2"/>
  <c r="J64" i="2"/>
  <c r="G64" i="2" s="1"/>
  <c r="C61" i="4"/>
  <c r="AB60" i="3"/>
  <c r="E61" i="4" s="1"/>
  <c r="E64" i="2"/>
  <c r="F64" i="2"/>
  <c r="C65" i="2"/>
  <c r="H64" i="2"/>
  <c r="K65" i="2"/>
  <c r="D63" i="3"/>
  <c r="D66" i="2"/>
  <c r="K61" i="4"/>
  <c r="N61" i="4" s="1"/>
  <c r="G61" i="4"/>
  <c r="L61" i="4" s="1"/>
  <c r="I61" i="4"/>
  <c r="M61" i="4" s="1"/>
  <c r="T64" i="2"/>
  <c r="U60" i="3"/>
  <c r="J61" i="4" s="1"/>
  <c r="I60" i="3"/>
  <c r="F61" i="4" s="1"/>
  <c r="O60" i="3"/>
  <c r="H61" i="4" s="1"/>
  <c r="L65" i="2"/>
  <c r="I64" i="2"/>
  <c r="A62" i="4"/>
  <c r="S61" i="3"/>
  <c r="Y61" i="3" s="1"/>
  <c r="Z61" i="3" s="1"/>
  <c r="AA61" i="3" s="1"/>
  <c r="H61" i="3"/>
  <c r="V61" i="3"/>
  <c r="J61" i="3"/>
  <c r="N61" i="3"/>
  <c r="C61" i="3"/>
  <c r="P61" i="3"/>
  <c r="E61" i="3"/>
  <c r="F61" i="3" s="1"/>
  <c r="G61" i="3"/>
  <c r="M61" i="3"/>
  <c r="T61" i="3"/>
  <c r="D62" i="4" l="1"/>
  <c r="H65" i="2"/>
  <c r="K66" i="2"/>
  <c r="C66" i="2"/>
  <c r="F65" i="2"/>
  <c r="E65" i="2"/>
  <c r="G62" i="4"/>
  <c r="L62" i="4" s="1"/>
  <c r="I62" i="4"/>
  <c r="M62" i="4" s="1"/>
  <c r="K62" i="4"/>
  <c r="N62" i="4" s="1"/>
  <c r="C62" i="4"/>
  <c r="AB61" i="3"/>
  <c r="E62" i="4" s="1"/>
  <c r="T65" i="2"/>
  <c r="I65" i="2"/>
  <c r="L66" i="2"/>
  <c r="T66" i="2"/>
  <c r="D67" i="2"/>
  <c r="I61" i="3"/>
  <c r="F62" i="4" s="1"/>
  <c r="U61" i="3"/>
  <c r="J62" i="4" s="1"/>
  <c r="O61" i="3"/>
  <c r="H62" i="4" s="1"/>
  <c r="G65" i="2"/>
  <c r="M66" i="2"/>
  <c r="J65" i="2"/>
  <c r="A63" i="4"/>
  <c r="H62" i="3"/>
  <c r="T62" i="3"/>
  <c r="E62" i="3"/>
  <c r="F62" i="3" s="1"/>
  <c r="J62" i="3"/>
  <c r="N62" i="3"/>
  <c r="P62" i="3"/>
  <c r="C62" i="3"/>
  <c r="G62" i="3"/>
  <c r="M62" i="3"/>
  <c r="S62" i="3"/>
  <c r="Y62" i="3" s="1"/>
  <c r="Z62" i="3" s="1"/>
  <c r="AA62" i="3" s="1"/>
  <c r="V62" i="3"/>
  <c r="D64" i="3"/>
  <c r="D63" i="4" l="1"/>
  <c r="D68" i="2"/>
  <c r="U62" i="3"/>
  <c r="I62" i="3"/>
  <c r="O62" i="3"/>
  <c r="L67" i="2"/>
  <c r="I66" i="2"/>
  <c r="F66" i="2" s="1"/>
  <c r="D65" i="3"/>
  <c r="C67" i="2"/>
  <c r="A64" i="4"/>
  <c r="C63" i="3"/>
  <c r="E63" i="3"/>
  <c r="F63" i="3" s="1"/>
  <c r="H63" i="3"/>
  <c r="J63" i="3"/>
  <c r="M63" i="3"/>
  <c r="P63" i="3"/>
  <c r="S63" i="3"/>
  <c r="Y63" i="3" s="1"/>
  <c r="Z63" i="3" s="1"/>
  <c r="AA63" i="3" s="1"/>
  <c r="G63" i="3"/>
  <c r="N63" i="3"/>
  <c r="T63" i="3"/>
  <c r="V63" i="3"/>
  <c r="I63" i="4"/>
  <c r="M63" i="4" s="1"/>
  <c r="K63" i="4"/>
  <c r="N63" i="4" s="1"/>
  <c r="F63" i="4"/>
  <c r="H63" i="4"/>
  <c r="J63" i="4"/>
  <c r="G63" i="4"/>
  <c r="L63" i="4" s="1"/>
  <c r="K67" i="2"/>
  <c r="H66" i="2"/>
  <c r="E66" i="2" s="1"/>
  <c r="M67" i="2"/>
  <c r="J66" i="2"/>
  <c r="G66" i="2" s="1"/>
  <c r="C63" i="4"/>
  <c r="AB62" i="3"/>
  <c r="E63" i="4" s="1"/>
  <c r="D64" i="4" l="1"/>
  <c r="C64" i="4"/>
  <c r="AB63" i="3"/>
  <c r="E64" i="4" s="1"/>
  <c r="L68" i="2"/>
  <c r="I67" i="2"/>
  <c r="A65" i="4"/>
  <c r="G64" i="3"/>
  <c r="T64" i="3"/>
  <c r="V64" i="3"/>
  <c r="J64" i="3"/>
  <c r="M64" i="3"/>
  <c r="E64" i="3"/>
  <c r="F64" i="3" s="1"/>
  <c r="N64" i="3"/>
  <c r="P64" i="3"/>
  <c r="C64" i="3"/>
  <c r="H64" i="3"/>
  <c r="S64" i="3"/>
  <c r="Y64" i="3" s="1"/>
  <c r="Z64" i="3" s="1"/>
  <c r="AA64" i="3" s="1"/>
  <c r="O63" i="3"/>
  <c r="H64" i="4" s="1"/>
  <c r="U63" i="3"/>
  <c r="J64" i="4" s="1"/>
  <c r="I63" i="3"/>
  <c r="F64" i="4" s="1"/>
  <c r="K68" i="2"/>
  <c r="H67" i="2"/>
  <c r="E67" i="2" s="1"/>
  <c r="K64" i="4"/>
  <c r="N64" i="4" s="1"/>
  <c r="G64" i="4"/>
  <c r="L64" i="4" s="1"/>
  <c r="I64" i="4"/>
  <c r="M64" i="4" s="1"/>
  <c r="D69" i="2"/>
  <c r="T68" i="2"/>
  <c r="D66" i="3"/>
  <c r="F67" i="2"/>
  <c r="C68" i="2"/>
  <c r="T67" i="2"/>
  <c r="M68" i="2"/>
  <c r="J67" i="2"/>
  <c r="G67" i="2" s="1"/>
  <c r="D65" i="4" l="1"/>
  <c r="C65" i="4"/>
  <c r="AB64" i="3"/>
  <c r="E65" i="4" s="1"/>
  <c r="D67" i="3"/>
  <c r="D70" i="2"/>
  <c r="A66" i="4"/>
  <c r="S65" i="3"/>
  <c r="Y65" i="3" s="1"/>
  <c r="Z65" i="3" s="1"/>
  <c r="AA65" i="3" s="1"/>
  <c r="H65" i="3"/>
  <c r="V65" i="3"/>
  <c r="J65" i="3"/>
  <c r="N65" i="3"/>
  <c r="C65" i="3"/>
  <c r="P65" i="3"/>
  <c r="G65" i="3"/>
  <c r="M65" i="3"/>
  <c r="E65" i="3"/>
  <c r="F65" i="3" s="1"/>
  <c r="T65" i="3"/>
  <c r="G65" i="4"/>
  <c r="L65" i="4" s="1"/>
  <c r="I65" i="4"/>
  <c r="M65" i="4" s="1"/>
  <c r="K65" i="4"/>
  <c r="N65" i="4" s="1"/>
  <c r="L69" i="2"/>
  <c r="I68" i="2"/>
  <c r="F68" i="2" s="1"/>
  <c r="M69" i="2"/>
  <c r="J68" i="2"/>
  <c r="G68" i="2" s="1"/>
  <c r="K69" i="2"/>
  <c r="H68" i="2"/>
  <c r="E68" i="2" s="1"/>
  <c r="C69" i="2"/>
  <c r="T69" i="2" s="1"/>
  <c r="I64" i="3"/>
  <c r="F65" i="4" s="1"/>
  <c r="O64" i="3"/>
  <c r="H65" i="4" s="1"/>
  <c r="U64" i="3"/>
  <c r="J65" i="4" s="1"/>
  <c r="D66" i="4" l="1"/>
  <c r="I66" i="4"/>
  <c r="M66" i="4" s="1"/>
  <c r="G66" i="4"/>
  <c r="L66" i="4" s="1"/>
  <c r="K66" i="4"/>
  <c r="N66" i="4" s="1"/>
  <c r="K70" i="2"/>
  <c r="H69" i="2"/>
  <c r="E69" i="2" s="1"/>
  <c r="I65" i="3"/>
  <c r="F66" i="4" s="1"/>
  <c r="U65" i="3"/>
  <c r="J66" i="4" s="1"/>
  <c r="O65" i="3"/>
  <c r="H66" i="4" s="1"/>
  <c r="T70" i="2"/>
  <c r="D71" i="2"/>
  <c r="M70" i="2"/>
  <c r="J69" i="2"/>
  <c r="G69" i="2" s="1"/>
  <c r="A67" i="4"/>
  <c r="E66" i="3"/>
  <c r="F66" i="3" s="1"/>
  <c r="S66" i="3"/>
  <c r="Y66" i="3" s="1"/>
  <c r="Z66" i="3" s="1"/>
  <c r="AA66" i="3" s="1"/>
  <c r="H66" i="3"/>
  <c r="V66" i="3"/>
  <c r="J66" i="3"/>
  <c r="M66" i="3"/>
  <c r="C66" i="3"/>
  <c r="P66" i="3"/>
  <c r="N66" i="3"/>
  <c r="T66" i="3"/>
  <c r="G66" i="3"/>
  <c r="D68" i="3"/>
  <c r="L70" i="2"/>
  <c r="I69" i="2"/>
  <c r="F69" i="2" s="1"/>
  <c r="C66" i="4"/>
  <c r="AB65" i="3"/>
  <c r="E66" i="4" s="1"/>
  <c r="C70" i="2"/>
  <c r="D67" i="4" l="1"/>
  <c r="H70" i="2"/>
  <c r="K71" i="2"/>
  <c r="D69" i="3"/>
  <c r="U66" i="3"/>
  <c r="I66" i="3"/>
  <c r="F67" i="4" s="1"/>
  <c r="O66" i="3"/>
  <c r="G67" i="4"/>
  <c r="L67" i="4" s="1"/>
  <c r="H67" i="4"/>
  <c r="I67" i="4"/>
  <c r="M67" i="4" s="1"/>
  <c r="K67" i="4"/>
  <c r="N67" i="4" s="1"/>
  <c r="J67" i="4"/>
  <c r="M71" i="2"/>
  <c r="J70" i="2"/>
  <c r="I70" i="2"/>
  <c r="L71" i="2"/>
  <c r="F70" i="2"/>
  <c r="C71" i="2"/>
  <c r="E70" i="2"/>
  <c r="A68" i="4"/>
  <c r="C67" i="3"/>
  <c r="E67" i="3"/>
  <c r="F67" i="3" s="1"/>
  <c r="G67" i="3"/>
  <c r="T67" i="3"/>
  <c r="H67" i="3"/>
  <c r="V67" i="3"/>
  <c r="J67" i="3"/>
  <c r="N67" i="3"/>
  <c r="P67" i="3"/>
  <c r="M67" i="3"/>
  <c r="S67" i="3"/>
  <c r="Y67" i="3" s="1"/>
  <c r="Z67" i="3" s="1"/>
  <c r="AA67" i="3" s="1"/>
  <c r="D72" i="2"/>
  <c r="G70" i="2"/>
  <c r="C67" i="4"/>
  <c r="AB66" i="3"/>
  <c r="E67" i="4" s="1"/>
  <c r="D68" i="4" l="1"/>
  <c r="C68" i="4"/>
  <c r="AB67" i="3"/>
  <c r="E68" i="4" s="1"/>
  <c r="A69" i="4"/>
  <c r="C68" i="3"/>
  <c r="E68" i="3"/>
  <c r="F68" i="3" s="1"/>
  <c r="G68" i="3"/>
  <c r="S68" i="3"/>
  <c r="Y68" i="3" s="1"/>
  <c r="Z68" i="3" s="1"/>
  <c r="AA68" i="3" s="1"/>
  <c r="H68" i="3"/>
  <c r="T68" i="3"/>
  <c r="J68" i="3"/>
  <c r="V68" i="3"/>
  <c r="M68" i="3"/>
  <c r="N68" i="3"/>
  <c r="P68" i="3"/>
  <c r="E71" i="2"/>
  <c r="C72" i="2"/>
  <c r="L72" i="2"/>
  <c r="I71" i="2"/>
  <c r="F71" i="2" s="1"/>
  <c r="D70" i="3"/>
  <c r="M72" i="2"/>
  <c r="J71" i="2"/>
  <c r="G71" i="2" s="1"/>
  <c r="H71" i="2"/>
  <c r="K72" i="2"/>
  <c r="G68" i="4"/>
  <c r="L68" i="4" s="1"/>
  <c r="I68" i="4"/>
  <c r="M68" i="4" s="1"/>
  <c r="K68" i="4"/>
  <c r="N68" i="4" s="1"/>
  <c r="T71" i="2"/>
  <c r="D73" i="2"/>
  <c r="O67" i="3"/>
  <c r="H68" i="4" s="1"/>
  <c r="U67" i="3"/>
  <c r="J68" i="4" s="1"/>
  <c r="I67" i="3"/>
  <c r="F68" i="4" s="1"/>
  <c r="D69" i="4" l="1"/>
  <c r="D71" i="3"/>
  <c r="I72" i="2"/>
  <c r="L73" i="2"/>
  <c r="C73" i="2"/>
  <c r="F72" i="2"/>
  <c r="A70" i="4"/>
  <c r="N69" i="3"/>
  <c r="C69" i="3"/>
  <c r="P69" i="3"/>
  <c r="E69" i="3"/>
  <c r="F69" i="3" s="1"/>
  <c r="G69" i="3"/>
  <c r="S69" i="3"/>
  <c r="Y69" i="3" s="1"/>
  <c r="Z69" i="3" s="1"/>
  <c r="AA69" i="3" s="1"/>
  <c r="J69" i="3"/>
  <c r="V69" i="3"/>
  <c r="H69" i="3"/>
  <c r="M69" i="3"/>
  <c r="T69" i="3"/>
  <c r="O68" i="3"/>
  <c r="U68" i="3"/>
  <c r="J69" i="4" s="1"/>
  <c r="I68" i="3"/>
  <c r="F69" i="4"/>
  <c r="G69" i="4"/>
  <c r="L69" i="4" s="1"/>
  <c r="I69" i="4"/>
  <c r="M69" i="4" s="1"/>
  <c r="K69" i="4"/>
  <c r="N69" i="4" s="1"/>
  <c r="H69" i="4"/>
  <c r="H72" i="2"/>
  <c r="E72" i="2" s="1"/>
  <c r="K73" i="2"/>
  <c r="C69" i="4"/>
  <c r="AB68" i="3"/>
  <c r="E69" i="4" s="1"/>
  <c r="T72" i="2"/>
  <c r="D74" i="2"/>
  <c r="T73" i="2"/>
  <c r="J72" i="2"/>
  <c r="G72" i="2" s="1"/>
  <c r="M73" i="2"/>
  <c r="D70" i="4" l="1"/>
  <c r="G70" i="4"/>
  <c r="L70" i="4" s="1"/>
  <c r="K70" i="4"/>
  <c r="N70" i="4" s="1"/>
  <c r="I70" i="4"/>
  <c r="M70" i="4" s="1"/>
  <c r="K74" i="2"/>
  <c r="H73" i="2"/>
  <c r="E73" i="2" s="1"/>
  <c r="C70" i="4"/>
  <c r="AB69" i="3"/>
  <c r="E70" i="4" s="1"/>
  <c r="C74" i="2"/>
  <c r="L74" i="2"/>
  <c r="I73" i="2"/>
  <c r="F73" i="2" s="1"/>
  <c r="M74" i="2"/>
  <c r="J73" i="2"/>
  <c r="D72" i="3"/>
  <c r="A71" i="4"/>
  <c r="M70" i="3"/>
  <c r="N70" i="3"/>
  <c r="P70" i="3"/>
  <c r="G70" i="3"/>
  <c r="S70" i="3"/>
  <c r="Y70" i="3" s="1"/>
  <c r="Z70" i="3" s="1"/>
  <c r="AA70" i="3" s="1"/>
  <c r="E70" i="3"/>
  <c r="F70" i="3" s="1"/>
  <c r="H70" i="3"/>
  <c r="J70" i="3"/>
  <c r="C70" i="3"/>
  <c r="T70" i="3"/>
  <c r="V70" i="3"/>
  <c r="D75" i="2"/>
  <c r="O69" i="3"/>
  <c r="H70" i="4" s="1"/>
  <c r="I69" i="3"/>
  <c r="F70" i="4" s="1"/>
  <c r="U69" i="3"/>
  <c r="J70" i="4" s="1"/>
  <c r="G73" i="2"/>
  <c r="D71" i="4" l="1"/>
  <c r="C71" i="4"/>
  <c r="AB70" i="3"/>
  <c r="E71" i="4" s="1"/>
  <c r="G71" i="4"/>
  <c r="L71" i="4" s="1"/>
  <c r="I71" i="4"/>
  <c r="M71" i="4" s="1"/>
  <c r="J71" i="4"/>
  <c r="K71" i="4"/>
  <c r="N71" i="4" s="1"/>
  <c r="T75" i="2"/>
  <c r="D76" i="2"/>
  <c r="D73" i="3"/>
  <c r="H74" i="2"/>
  <c r="K75" i="2"/>
  <c r="M75" i="2"/>
  <c r="J74" i="2"/>
  <c r="G74" i="2" s="1"/>
  <c r="I70" i="3"/>
  <c r="F71" i="4" s="1"/>
  <c r="U70" i="3"/>
  <c r="O70" i="3"/>
  <c r="H71" i="4" s="1"/>
  <c r="A72" i="4"/>
  <c r="H71" i="3"/>
  <c r="T71" i="3"/>
  <c r="J71" i="3"/>
  <c r="V71" i="3"/>
  <c r="M71" i="3"/>
  <c r="C71" i="3"/>
  <c r="P71" i="3"/>
  <c r="G71" i="3"/>
  <c r="N71" i="3"/>
  <c r="S71" i="3"/>
  <c r="Y71" i="3" s="1"/>
  <c r="Z71" i="3" s="1"/>
  <c r="AA71" i="3" s="1"/>
  <c r="E71" i="3"/>
  <c r="F71" i="3" s="1"/>
  <c r="L75" i="2"/>
  <c r="I74" i="2"/>
  <c r="F74" i="2" s="1"/>
  <c r="C75" i="2"/>
  <c r="E74" i="2"/>
  <c r="T74" i="2"/>
  <c r="D72" i="4" l="1"/>
  <c r="I71" i="3"/>
  <c r="U71" i="3"/>
  <c r="O71" i="3"/>
  <c r="F72" i="4"/>
  <c r="K72" i="4"/>
  <c r="N72" i="4" s="1"/>
  <c r="G72" i="4"/>
  <c r="L72" i="4" s="1"/>
  <c r="H72" i="4"/>
  <c r="I72" i="4"/>
  <c r="M72" i="4" s="1"/>
  <c r="J72" i="4"/>
  <c r="A73" i="4"/>
  <c r="C72" i="3"/>
  <c r="E72" i="3"/>
  <c r="F72" i="3" s="1"/>
  <c r="G72" i="3"/>
  <c r="S72" i="3"/>
  <c r="Y72" i="3" s="1"/>
  <c r="Z72" i="3" s="1"/>
  <c r="AA72" i="3" s="1"/>
  <c r="H72" i="3"/>
  <c r="T72" i="3"/>
  <c r="J72" i="3"/>
  <c r="V72" i="3"/>
  <c r="M72" i="3"/>
  <c r="N72" i="3"/>
  <c r="P72" i="3"/>
  <c r="L76" i="2"/>
  <c r="I75" i="2"/>
  <c r="J75" i="2"/>
  <c r="G75" i="2" s="1"/>
  <c r="M76" i="2"/>
  <c r="K76" i="2"/>
  <c r="H75" i="2"/>
  <c r="C72" i="4"/>
  <c r="AB71" i="3"/>
  <c r="E72" i="4" s="1"/>
  <c r="E75" i="2"/>
  <c r="F75" i="2"/>
  <c r="C76" i="2"/>
  <c r="D74" i="3"/>
  <c r="D77" i="2"/>
  <c r="D73" i="4" l="1"/>
  <c r="C77" i="2"/>
  <c r="D75" i="3"/>
  <c r="K73" i="4"/>
  <c r="N73" i="4" s="1"/>
  <c r="G73" i="4"/>
  <c r="L73" i="4" s="1"/>
  <c r="I73" i="4"/>
  <c r="M73" i="4" s="1"/>
  <c r="J73" i="4"/>
  <c r="H73" i="4"/>
  <c r="C73" i="4"/>
  <c r="AB72" i="3"/>
  <c r="E73" i="4" s="1"/>
  <c r="K77" i="2"/>
  <c r="H76" i="2"/>
  <c r="E76" i="2" s="1"/>
  <c r="D78" i="2"/>
  <c r="T77" i="2"/>
  <c r="J76" i="2"/>
  <c r="M77" i="2"/>
  <c r="G76" i="2"/>
  <c r="A74" i="4"/>
  <c r="N73" i="3"/>
  <c r="C73" i="3"/>
  <c r="P73" i="3"/>
  <c r="E73" i="3"/>
  <c r="F73" i="3" s="1"/>
  <c r="G73" i="3"/>
  <c r="S73" i="3"/>
  <c r="Y73" i="3" s="1"/>
  <c r="Z73" i="3" s="1"/>
  <c r="AA73" i="3" s="1"/>
  <c r="J73" i="3"/>
  <c r="V73" i="3"/>
  <c r="T73" i="3"/>
  <c r="H73" i="3"/>
  <c r="M73" i="3"/>
  <c r="T76" i="2"/>
  <c r="O72" i="3"/>
  <c r="I72" i="3"/>
  <c r="F73" i="4" s="1"/>
  <c r="U72" i="3"/>
  <c r="L77" i="2"/>
  <c r="I76" i="2"/>
  <c r="F76" i="2" s="1"/>
  <c r="D74" i="4" l="1"/>
  <c r="J77" i="2"/>
  <c r="G77" i="2" s="1"/>
  <c r="M78" i="2"/>
  <c r="C74" i="4"/>
  <c r="AB73" i="3"/>
  <c r="E74" i="4" s="1"/>
  <c r="D76" i="3"/>
  <c r="D79" i="2"/>
  <c r="L78" i="2"/>
  <c r="I77" i="2"/>
  <c r="A75" i="4"/>
  <c r="M74" i="3"/>
  <c r="N74" i="3"/>
  <c r="P74" i="3"/>
  <c r="G74" i="3"/>
  <c r="S74" i="3"/>
  <c r="Y74" i="3" s="1"/>
  <c r="Z74" i="3" s="1"/>
  <c r="AA74" i="3" s="1"/>
  <c r="T74" i="3"/>
  <c r="V74" i="3"/>
  <c r="C74" i="3"/>
  <c r="E74" i="3"/>
  <c r="F74" i="3" s="1"/>
  <c r="H74" i="3"/>
  <c r="J74" i="3"/>
  <c r="C78" i="2"/>
  <c r="T78" i="2" s="1"/>
  <c r="F77" i="2"/>
  <c r="O73" i="3"/>
  <c r="H74" i="4" s="1"/>
  <c r="I73" i="3"/>
  <c r="U73" i="3"/>
  <c r="H77" i="2"/>
  <c r="E77" i="2" s="1"/>
  <c r="K78" i="2"/>
  <c r="J74" i="4"/>
  <c r="G74" i="4"/>
  <c r="L74" i="4" s="1"/>
  <c r="I74" i="4"/>
  <c r="M74" i="4" s="1"/>
  <c r="K74" i="4"/>
  <c r="N74" i="4" s="1"/>
  <c r="F74" i="4"/>
  <c r="D75" i="4" l="1"/>
  <c r="I74" i="3"/>
  <c r="U74" i="3"/>
  <c r="O74" i="3"/>
  <c r="D80" i="2"/>
  <c r="L79" i="2"/>
  <c r="I78" i="2"/>
  <c r="H78" i="2"/>
  <c r="E78" i="2" s="1"/>
  <c r="K79" i="2"/>
  <c r="D77" i="3"/>
  <c r="M79" i="2"/>
  <c r="J78" i="2"/>
  <c r="G78" i="2" s="1"/>
  <c r="C79" i="2"/>
  <c r="F78" i="2"/>
  <c r="C75" i="4"/>
  <c r="AB74" i="3"/>
  <c r="E75" i="4" s="1"/>
  <c r="A76" i="4"/>
  <c r="H75" i="3"/>
  <c r="T75" i="3"/>
  <c r="J75" i="3"/>
  <c r="V75" i="3"/>
  <c r="M75" i="3"/>
  <c r="C75" i="3"/>
  <c r="P75" i="3"/>
  <c r="E75" i="3"/>
  <c r="F75" i="3" s="1"/>
  <c r="N75" i="3"/>
  <c r="S75" i="3"/>
  <c r="Y75" i="3" s="1"/>
  <c r="Z75" i="3" s="1"/>
  <c r="AA75" i="3" s="1"/>
  <c r="G75" i="3"/>
  <c r="I75" i="4"/>
  <c r="M75" i="4" s="1"/>
  <c r="H75" i="4"/>
  <c r="K75" i="4"/>
  <c r="N75" i="4" s="1"/>
  <c r="J75" i="4"/>
  <c r="G75" i="4"/>
  <c r="L75" i="4" s="1"/>
  <c r="F75" i="4"/>
  <c r="D76" i="4" l="1"/>
  <c r="K76" i="4"/>
  <c r="N76" i="4" s="1"/>
  <c r="G76" i="4"/>
  <c r="L76" i="4" s="1"/>
  <c r="I76" i="4"/>
  <c r="M76" i="4" s="1"/>
  <c r="H79" i="2"/>
  <c r="K80" i="2"/>
  <c r="I79" i="2"/>
  <c r="L80" i="2"/>
  <c r="I75" i="3"/>
  <c r="F76" i="4" s="1"/>
  <c r="U75" i="3"/>
  <c r="J76" i="4" s="1"/>
  <c r="O75" i="3"/>
  <c r="H76" i="4" s="1"/>
  <c r="D81" i="2"/>
  <c r="A77" i="4"/>
  <c r="C76" i="3"/>
  <c r="E76" i="3"/>
  <c r="F76" i="3" s="1"/>
  <c r="G76" i="3"/>
  <c r="S76" i="3"/>
  <c r="Y76" i="3" s="1"/>
  <c r="Z76" i="3" s="1"/>
  <c r="AA76" i="3" s="1"/>
  <c r="H76" i="3"/>
  <c r="T76" i="3"/>
  <c r="J76" i="3"/>
  <c r="V76" i="3"/>
  <c r="P76" i="3"/>
  <c r="M76" i="3"/>
  <c r="N76" i="3"/>
  <c r="C80" i="2"/>
  <c r="E79" i="2"/>
  <c r="F79" i="2"/>
  <c r="G79" i="2"/>
  <c r="T79" i="2"/>
  <c r="C76" i="4"/>
  <c r="AB75" i="3"/>
  <c r="E76" i="4" s="1"/>
  <c r="M80" i="2"/>
  <c r="J79" i="2"/>
  <c r="D78" i="3"/>
  <c r="D77" i="4" l="1"/>
  <c r="A78" i="4"/>
  <c r="N77" i="3"/>
  <c r="C77" i="3"/>
  <c r="P77" i="3"/>
  <c r="E77" i="3"/>
  <c r="F77" i="3" s="1"/>
  <c r="G77" i="3"/>
  <c r="S77" i="3"/>
  <c r="Y77" i="3" s="1"/>
  <c r="Z77" i="3" s="1"/>
  <c r="AA77" i="3" s="1"/>
  <c r="V77" i="3"/>
  <c r="H77" i="3"/>
  <c r="M77" i="3"/>
  <c r="T77" i="3"/>
  <c r="J77" i="3"/>
  <c r="K81" i="2"/>
  <c r="H80" i="2"/>
  <c r="L81" i="2"/>
  <c r="I80" i="2"/>
  <c r="O76" i="3"/>
  <c r="H77" i="4" s="1"/>
  <c r="I76" i="3"/>
  <c r="F77" i="4" s="1"/>
  <c r="U76" i="3"/>
  <c r="J77" i="4" s="1"/>
  <c r="E80" i="2"/>
  <c r="F80" i="2"/>
  <c r="C81" i="2"/>
  <c r="G77" i="4"/>
  <c r="L77" i="4" s="1"/>
  <c r="K77" i="4"/>
  <c r="N77" i="4" s="1"/>
  <c r="I77" i="4"/>
  <c r="M77" i="4" s="1"/>
  <c r="C77" i="4"/>
  <c r="AB76" i="3"/>
  <c r="E77" i="4" s="1"/>
  <c r="D82" i="2"/>
  <c r="T81" i="2"/>
  <c r="D79" i="3"/>
  <c r="T80" i="2"/>
  <c r="M81" i="2"/>
  <c r="J80" i="2"/>
  <c r="G80" i="2" s="1"/>
  <c r="D78" i="4" l="1"/>
  <c r="D83" i="2"/>
  <c r="A79" i="4"/>
  <c r="M78" i="3"/>
  <c r="N78" i="3"/>
  <c r="P78" i="3"/>
  <c r="T78" i="3"/>
  <c r="V78" i="3"/>
  <c r="C78" i="3"/>
  <c r="G78" i="3"/>
  <c r="E78" i="3"/>
  <c r="F78" i="3" s="1"/>
  <c r="H78" i="3"/>
  <c r="J78" i="3"/>
  <c r="S78" i="3"/>
  <c r="Y78" i="3" s="1"/>
  <c r="Z78" i="3" s="1"/>
  <c r="AA78" i="3" s="1"/>
  <c r="O77" i="3"/>
  <c r="I77" i="3"/>
  <c r="F78" i="4" s="1"/>
  <c r="U77" i="3"/>
  <c r="J78" i="4" s="1"/>
  <c r="L82" i="2"/>
  <c r="I81" i="2"/>
  <c r="M82" i="2"/>
  <c r="J81" i="2"/>
  <c r="G81" i="2" s="1"/>
  <c r="K82" i="2"/>
  <c r="H81" i="2"/>
  <c r="E81" i="2" s="1"/>
  <c r="I78" i="4"/>
  <c r="M78" i="4" s="1"/>
  <c r="H78" i="4"/>
  <c r="K78" i="4"/>
  <c r="N78" i="4" s="1"/>
  <c r="G78" i="4"/>
  <c r="L78" i="4" s="1"/>
  <c r="D80" i="3"/>
  <c r="F81" i="2"/>
  <c r="C82" i="2"/>
  <c r="T82" i="2" s="1"/>
  <c r="C78" i="4"/>
  <c r="AB77" i="3"/>
  <c r="E78" i="4" s="1"/>
  <c r="D79" i="4" l="1"/>
  <c r="D81" i="3"/>
  <c r="M83" i="2"/>
  <c r="J82" i="2"/>
  <c r="I82" i="2"/>
  <c r="L83" i="2"/>
  <c r="C79" i="4"/>
  <c r="AB78" i="3"/>
  <c r="E79" i="4" s="1"/>
  <c r="H79" i="4"/>
  <c r="I79" i="4"/>
  <c r="M79" i="4" s="1"/>
  <c r="K79" i="4"/>
  <c r="N79" i="4" s="1"/>
  <c r="G79" i="4"/>
  <c r="L79" i="4" s="1"/>
  <c r="G82" i="2"/>
  <c r="I78" i="3"/>
  <c r="F79" i="4" s="1"/>
  <c r="U78" i="3"/>
  <c r="J79" i="4" s="1"/>
  <c r="O78" i="3"/>
  <c r="D84" i="2"/>
  <c r="K83" i="2"/>
  <c r="H82" i="2"/>
  <c r="A80" i="4"/>
  <c r="H79" i="3"/>
  <c r="T79" i="3"/>
  <c r="J79" i="3"/>
  <c r="V79" i="3"/>
  <c r="M79" i="3"/>
  <c r="C79" i="3"/>
  <c r="N79" i="3"/>
  <c r="S79" i="3"/>
  <c r="Y79" i="3" s="1"/>
  <c r="Z79" i="3" s="1"/>
  <c r="AA79" i="3" s="1"/>
  <c r="E79" i="3"/>
  <c r="F79" i="3" s="1"/>
  <c r="G79" i="3"/>
  <c r="P79" i="3"/>
  <c r="E82" i="2"/>
  <c r="F82" i="2"/>
  <c r="C83" i="2"/>
  <c r="T83" i="2" s="1"/>
  <c r="D80" i="4" l="1"/>
  <c r="K84" i="2"/>
  <c r="H83" i="2"/>
  <c r="D85" i="2"/>
  <c r="T84" i="2"/>
  <c r="I83" i="2"/>
  <c r="F83" i="2" s="1"/>
  <c r="L84" i="2"/>
  <c r="C80" i="4"/>
  <c r="AB79" i="3"/>
  <c r="E80" i="4" s="1"/>
  <c r="E83" i="2"/>
  <c r="C84" i="2"/>
  <c r="M84" i="2"/>
  <c r="J83" i="2"/>
  <c r="G83" i="2" s="1"/>
  <c r="D82" i="3"/>
  <c r="A81" i="4"/>
  <c r="C80" i="3"/>
  <c r="E80" i="3"/>
  <c r="F80" i="3" s="1"/>
  <c r="G80" i="3"/>
  <c r="S80" i="3"/>
  <c r="Y80" i="3" s="1"/>
  <c r="Z80" i="3" s="1"/>
  <c r="AA80" i="3" s="1"/>
  <c r="H80" i="3"/>
  <c r="T80" i="3"/>
  <c r="J80" i="3"/>
  <c r="V80" i="3"/>
  <c r="M80" i="3"/>
  <c r="P80" i="3"/>
  <c r="N80" i="3"/>
  <c r="G80" i="4"/>
  <c r="L80" i="4" s="1"/>
  <c r="I80" i="4"/>
  <c r="M80" i="4" s="1"/>
  <c r="K80" i="4"/>
  <c r="N80" i="4" s="1"/>
  <c r="F80" i="4"/>
  <c r="I79" i="3"/>
  <c r="U79" i="3"/>
  <c r="J80" i="4" s="1"/>
  <c r="O79" i="3"/>
  <c r="H80" i="4" s="1"/>
  <c r="D81" i="4" l="1"/>
  <c r="A82" i="4"/>
  <c r="N81" i="3"/>
  <c r="C81" i="3"/>
  <c r="P81" i="3"/>
  <c r="E81" i="3"/>
  <c r="F81" i="3" s="1"/>
  <c r="G81" i="3"/>
  <c r="S81" i="3"/>
  <c r="Y81" i="3" s="1"/>
  <c r="Z81" i="3" s="1"/>
  <c r="AA81" i="3" s="1"/>
  <c r="T81" i="3"/>
  <c r="V81" i="3"/>
  <c r="J81" i="3"/>
  <c r="H81" i="3"/>
  <c r="M81" i="3"/>
  <c r="O80" i="3"/>
  <c r="U80" i="3"/>
  <c r="I80" i="3"/>
  <c r="I84" i="2"/>
  <c r="F84" i="2" s="1"/>
  <c r="L85" i="2"/>
  <c r="F81" i="4"/>
  <c r="G81" i="4"/>
  <c r="L81" i="4" s="1"/>
  <c r="I81" i="4"/>
  <c r="M81" i="4" s="1"/>
  <c r="H81" i="4"/>
  <c r="J81" i="4"/>
  <c r="K81" i="4"/>
  <c r="N81" i="4" s="1"/>
  <c r="C81" i="4"/>
  <c r="AB80" i="3"/>
  <c r="E81" i="4" s="1"/>
  <c r="D83" i="3"/>
  <c r="D86" i="2"/>
  <c r="T85" i="2"/>
  <c r="J84" i="2"/>
  <c r="G84" i="2" s="1"/>
  <c r="M85" i="2"/>
  <c r="K85" i="2"/>
  <c r="H84" i="2"/>
  <c r="C85" i="2"/>
  <c r="E84" i="2"/>
  <c r="D82" i="4" l="1"/>
  <c r="M86" i="2"/>
  <c r="J85" i="2"/>
  <c r="G85" i="2" s="1"/>
  <c r="L86" i="2"/>
  <c r="I85" i="2"/>
  <c r="A83" i="4"/>
  <c r="M82" i="3"/>
  <c r="N82" i="3"/>
  <c r="P82" i="3"/>
  <c r="J82" i="3"/>
  <c r="S82" i="3"/>
  <c r="Y82" i="3" s="1"/>
  <c r="Z82" i="3" s="1"/>
  <c r="AA82" i="3" s="1"/>
  <c r="T82" i="3"/>
  <c r="H82" i="3"/>
  <c r="E82" i="3"/>
  <c r="F82" i="3" s="1"/>
  <c r="G82" i="3"/>
  <c r="V82" i="3"/>
  <c r="C82" i="3"/>
  <c r="D87" i="2"/>
  <c r="T86" i="2"/>
  <c r="O81" i="3"/>
  <c r="H82" i="4" s="1"/>
  <c r="I81" i="3"/>
  <c r="F82" i="4" s="1"/>
  <c r="U81" i="3"/>
  <c r="D84" i="3"/>
  <c r="K86" i="2"/>
  <c r="H85" i="2"/>
  <c r="C82" i="4"/>
  <c r="AB81" i="3"/>
  <c r="E82" i="4" s="1"/>
  <c r="I82" i="4"/>
  <c r="M82" i="4" s="1"/>
  <c r="K82" i="4"/>
  <c r="N82" i="4" s="1"/>
  <c r="G82" i="4"/>
  <c r="L82" i="4" s="1"/>
  <c r="J82" i="4"/>
  <c r="F85" i="2"/>
  <c r="E85" i="2"/>
  <c r="C86" i="2"/>
  <c r="D83" i="4" l="1"/>
  <c r="D88" i="2"/>
  <c r="C83" i="4"/>
  <c r="AB82" i="3"/>
  <c r="E83" i="4" s="1"/>
  <c r="G83" i="4"/>
  <c r="L83" i="4" s="1"/>
  <c r="F83" i="4"/>
  <c r="H83" i="4"/>
  <c r="I83" i="4"/>
  <c r="M83" i="4" s="1"/>
  <c r="K83" i="4"/>
  <c r="N83" i="4" s="1"/>
  <c r="A84" i="4"/>
  <c r="H83" i="3"/>
  <c r="T83" i="3"/>
  <c r="J83" i="3"/>
  <c r="V83" i="3"/>
  <c r="M83" i="3"/>
  <c r="C83" i="3"/>
  <c r="G83" i="3"/>
  <c r="N83" i="3"/>
  <c r="P83" i="3"/>
  <c r="E83" i="3"/>
  <c r="F83" i="3" s="1"/>
  <c r="S83" i="3"/>
  <c r="Y83" i="3" s="1"/>
  <c r="Z83" i="3" s="1"/>
  <c r="AA83" i="3" s="1"/>
  <c r="L87" i="2"/>
  <c r="I86" i="2"/>
  <c r="F86" i="2"/>
  <c r="C87" i="2"/>
  <c r="H86" i="2"/>
  <c r="E86" i="2" s="1"/>
  <c r="K87" i="2"/>
  <c r="D85" i="3"/>
  <c r="I82" i="3"/>
  <c r="U82" i="3"/>
  <c r="J83" i="4" s="1"/>
  <c r="O82" i="3"/>
  <c r="M87" i="2"/>
  <c r="J86" i="2"/>
  <c r="G86" i="2" s="1"/>
  <c r="D84" i="4" l="1"/>
  <c r="K88" i="2"/>
  <c r="H87" i="2"/>
  <c r="C84" i="4"/>
  <c r="AB83" i="3"/>
  <c r="E84" i="4" s="1"/>
  <c r="E87" i="2"/>
  <c r="F87" i="2"/>
  <c r="C88" i="2"/>
  <c r="T88" i="2"/>
  <c r="D89" i="2"/>
  <c r="J87" i="2"/>
  <c r="G87" i="2" s="1"/>
  <c r="M88" i="2"/>
  <c r="L88" i="2"/>
  <c r="I87" i="2"/>
  <c r="T87" i="2"/>
  <c r="D86" i="3"/>
  <c r="G84" i="4"/>
  <c r="L84" i="4" s="1"/>
  <c r="H84" i="4"/>
  <c r="K84" i="4"/>
  <c r="N84" i="4" s="1"/>
  <c r="I84" i="4"/>
  <c r="M84" i="4" s="1"/>
  <c r="A85" i="4"/>
  <c r="C84" i="3"/>
  <c r="E84" i="3"/>
  <c r="F84" i="3" s="1"/>
  <c r="G84" i="3"/>
  <c r="S84" i="3"/>
  <c r="Y84" i="3" s="1"/>
  <c r="Z84" i="3" s="1"/>
  <c r="AA84" i="3" s="1"/>
  <c r="H84" i="3"/>
  <c r="T84" i="3"/>
  <c r="J84" i="3"/>
  <c r="M84" i="3"/>
  <c r="N84" i="3"/>
  <c r="P84" i="3"/>
  <c r="V84" i="3"/>
  <c r="I83" i="3"/>
  <c r="F84" i="4" s="1"/>
  <c r="U83" i="3"/>
  <c r="J84" i="4" s="1"/>
  <c r="O83" i="3"/>
  <c r="D85" i="4" l="1"/>
  <c r="C89" i="2"/>
  <c r="D87" i="3"/>
  <c r="A86" i="4"/>
  <c r="N85" i="3"/>
  <c r="C85" i="3"/>
  <c r="P85" i="3"/>
  <c r="E85" i="3"/>
  <c r="F85" i="3" s="1"/>
  <c r="V85" i="3"/>
  <c r="G85" i="3"/>
  <c r="H85" i="3"/>
  <c r="J85" i="3"/>
  <c r="M85" i="3"/>
  <c r="T85" i="3"/>
  <c r="S85" i="3"/>
  <c r="Y85" i="3" s="1"/>
  <c r="Z85" i="3" s="1"/>
  <c r="AA85" i="3" s="1"/>
  <c r="O84" i="3"/>
  <c r="I84" i="3"/>
  <c r="F85" i="4" s="1"/>
  <c r="U84" i="3"/>
  <c r="J85" i="4" s="1"/>
  <c r="C85" i="4"/>
  <c r="AB84" i="3"/>
  <c r="E85" i="4" s="1"/>
  <c r="L89" i="2"/>
  <c r="I88" i="2"/>
  <c r="F88" i="2" s="1"/>
  <c r="K85" i="4"/>
  <c r="N85" i="4" s="1"/>
  <c r="H85" i="4"/>
  <c r="I85" i="4"/>
  <c r="M85" i="4" s="1"/>
  <c r="G85" i="4"/>
  <c r="L85" i="4" s="1"/>
  <c r="J88" i="2"/>
  <c r="G88" i="2" s="1"/>
  <c r="M89" i="2"/>
  <c r="K89" i="2"/>
  <c r="H88" i="2"/>
  <c r="E88" i="2" s="1"/>
  <c r="D90" i="2"/>
  <c r="T89" i="2"/>
  <c r="D86" i="4" l="1"/>
  <c r="J89" i="2"/>
  <c r="G89" i="2" s="1"/>
  <c r="M90" i="2"/>
  <c r="K90" i="2"/>
  <c r="H89" i="2"/>
  <c r="O85" i="3"/>
  <c r="H86" i="4" s="1"/>
  <c r="I85" i="3"/>
  <c r="U85" i="3"/>
  <c r="J86" i="4"/>
  <c r="I86" i="4"/>
  <c r="M86" i="4" s="1"/>
  <c r="F86" i="4"/>
  <c r="K86" i="4"/>
  <c r="N86" i="4" s="1"/>
  <c r="G86" i="4"/>
  <c r="L86" i="4" s="1"/>
  <c r="D88" i="3"/>
  <c r="C86" i="4"/>
  <c r="AB85" i="3"/>
  <c r="E86" i="4" s="1"/>
  <c r="C90" i="2"/>
  <c r="E89" i="2"/>
  <c r="F89" i="2"/>
  <c r="T90" i="2"/>
  <c r="D91" i="2"/>
  <c r="L90" i="2"/>
  <c r="I89" i="2"/>
  <c r="A87" i="4"/>
  <c r="M86" i="3"/>
  <c r="N86" i="3"/>
  <c r="S86" i="3"/>
  <c r="Y86" i="3" s="1"/>
  <c r="Z86" i="3" s="1"/>
  <c r="AA86" i="3" s="1"/>
  <c r="C86" i="3"/>
  <c r="T86" i="3"/>
  <c r="V86" i="3"/>
  <c r="G86" i="3"/>
  <c r="E86" i="3"/>
  <c r="F86" i="3" s="1"/>
  <c r="H86" i="3"/>
  <c r="J86" i="3"/>
  <c r="P86" i="3"/>
  <c r="D87" i="4" l="1"/>
  <c r="A88" i="4"/>
  <c r="H87" i="3"/>
  <c r="T87" i="3"/>
  <c r="J87" i="3"/>
  <c r="V87" i="3"/>
  <c r="C87" i="3"/>
  <c r="E87" i="3"/>
  <c r="F87" i="3" s="1"/>
  <c r="M87" i="3"/>
  <c r="P87" i="3"/>
  <c r="G87" i="3"/>
  <c r="N87" i="3"/>
  <c r="S87" i="3"/>
  <c r="Y87" i="3" s="1"/>
  <c r="Z87" i="3" s="1"/>
  <c r="AA87" i="3" s="1"/>
  <c r="C91" i="2"/>
  <c r="C87" i="4"/>
  <c r="AB86" i="3"/>
  <c r="E87" i="4" s="1"/>
  <c r="D89" i="3"/>
  <c r="H90" i="2"/>
  <c r="E90" i="2" s="1"/>
  <c r="K91" i="2"/>
  <c r="I87" i="4"/>
  <c r="M87" i="4" s="1"/>
  <c r="G87" i="4"/>
  <c r="L87" i="4" s="1"/>
  <c r="H87" i="4"/>
  <c r="J87" i="4"/>
  <c r="K87" i="4"/>
  <c r="N87" i="4" s="1"/>
  <c r="M91" i="2"/>
  <c r="J90" i="2"/>
  <c r="G90" i="2" s="1"/>
  <c r="L91" i="2"/>
  <c r="I90" i="2"/>
  <c r="F90" i="2" s="1"/>
  <c r="I86" i="3"/>
  <c r="F87" i="4" s="1"/>
  <c r="U86" i="3"/>
  <c r="O86" i="3"/>
  <c r="T91" i="2"/>
  <c r="D92" i="2"/>
  <c r="D88" i="4" l="1"/>
  <c r="H91" i="2"/>
  <c r="K92" i="2"/>
  <c r="A89" i="4"/>
  <c r="C88" i="3"/>
  <c r="E88" i="3"/>
  <c r="F88" i="3" s="1"/>
  <c r="G88" i="3"/>
  <c r="S88" i="3"/>
  <c r="Y88" i="3" s="1"/>
  <c r="Z88" i="3" s="1"/>
  <c r="AA88" i="3" s="1"/>
  <c r="N88" i="3"/>
  <c r="T88" i="3"/>
  <c r="H88" i="3"/>
  <c r="M88" i="3"/>
  <c r="J88" i="3"/>
  <c r="P88" i="3"/>
  <c r="V88" i="3"/>
  <c r="I91" i="2"/>
  <c r="L92" i="2"/>
  <c r="D90" i="3"/>
  <c r="O87" i="3"/>
  <c r="I87" i="3"/>
  <c r="F88" i="4" s="1"/>
  <c r="U87" i="3"/>
  <c r="M92" i="2"/>
  <c r="J91" i="2"/>
  <c r="G91" i="2" s="1"/>
  <c r="C88" i="4"/>
  <c r="AB87" i="3"/>
  <c r="E88" i="4" s="1"/>
  <c r="C92" i="2"/>
  <c r="T92" i="2" s="1"/>
  <c r="E91" i="2"/>
  <c r="F91" i="2"/>
  <c r="D93" i="2"/>
  <c r="H88" i="4"/>
  <c r="K88" i="4"/>
  <c r="N88" i="4" s="1"/>
  <c r="G88" i="4"/>
  <c r="L88" i="4" s="1"/>
  <c r="I88" i="4"/>
  <c r="M88" i="4" s="1"/>
  <c r="J88" i="4"/>
  <c r="D89" i="4" l="1"/>
  <c r="D94" i="2"/>
  <c r="D91" i="3"/>
  <c r="A90" i="4"/>
  <c r="N89" i="3"/>
  <c r="P89" i="3"/>
  <c r="E89" i="3"/>
  <c r="F89" i="3" s="1"/>
  <c r="V89" i="3"/>
  <c r="G89" i="3"/>
  <c r="H89" i="3"/>
  <c r="J89" i="3"/>
  <c r="C89" i="3"/>
  <c r="T89" i="3"/>
  <c r="M89" i="3"/>
  <c r="S89" i="3"/>
  <c r="Y89" i="3" s="1"/>
  <c r="Z89" i="3" s="1"/>
  <c r="AA89" i="3" s="1"/>
  <c r="L93" i="2"/>
  <c r="I92" i="2"/>
  <c r="F92" i="2" s="1"/>
  <c r="O88" i="3"/>
  <c r="U88" i="3"/>
  <c r="I88" i="3"/>
  <c r="F89" i="4" s="1"/>
  <c r="C93" i="2"/>
  <c r="G89" i="4"/>
  <c r="L89" i="4" s="1"/>
  <c r="J89" i="4"/>
  <c r="K89" i="4"/>
  <c r="N89" i="4" s="1"/>
  <c r="I89" i="4"/>
  <c r="M89" i="4" s="1"/>
  <c r="H89" i="4"/>
  <c r="K93" i="2"/>
  <c r="H92" i="2"/>
  <c r="E92" i="2" s="1"/>
  <c r="C89" i="4"/>
  <c r="AB88" i="3"/>
  <c r="E89" i="4" s="1"/>
  <c r="M93" i="2"/>
  <c r="J92" i="2"/>
  <c r="G92" i="2" s="1"/>
  <c r="D90" i="4" l="1"/>
  <c r="K94" i="2"/>
  <c r="H93" i="2"/>
  <c r="I89" i="3"/>
  <c r="U89" i="3"/>
  <c r="O89" i="3"/>
  <c r="H90" i="4" s="1"/>
  <c r="F90" i="4"/>
  <c r="I90" i="4"/>
  <c r="M90" i="4" s="1"/>
  <c r="J90" i="4"/>
  <c r="G90" i="4"/>
  <c r="L90" i="4" s="1"/>
  <c r="K90" i="4"/>
  <c r="N90" i="4" s="1"/>
  <c r="C90" i="4"/>
  <c r="AB89" i="3"/>
  <c r="E90" i="4" s="1"/>
  <c r="D92" i="3"/>
  <c r="C94" i="2"/>
  <c r="E93" i="2"/>
  <c r="A91" i="4"/>
  <c r="M90" i="3"/>
  <c r="P90" i="3"/>
  <c r="C90" i="3"/>
  <c r="S90" i="3"/>
  <c r="Y90" i="3" s="1"/>
  <c r="Z90" i="3" s="1"/>
  <c r="AA90" i="3" s="1"/>
  <c r="E90" i="3"/>
  <c r="F90" i="3" s="1"/>
  <c r="V90" i="3"/>
  <c r="T90" i="3"/>
  <c r="G90" i="3"/>
  <c r="H90" i="3"/>
  <c r="J90" i="3"/>
  <c r="N90" i="3"/>
  <c r="T93" i="2"/>
  <c r="M94" i="2"/>
  <c r="J93" i="2"/>
  <c r="G93" i="2" s="1"/>
  <c r="D95" i="2"/>
  <c r="L94" i="2"/>
  <c r="I93" i="2"/>
  <c r="F93" i="2" s="1"/>
  <c r="D91" i="4" l="1"/>
  <c r="I91" i="4"/>
  <c r="M91" i="4" s="1"/>
  <c r="K91" i="4"/>
  <c r="N91" i="4" s="1"/>
  <c r="G91" i="4"/>
  <c r="L91" i="4" s="1"/>
  <c r="F94" i="2"/>
  <c r="C95" i="2"/>
  <c r="L95" i="2"/>
  <c r="I94" i="2"/>
  <c r="A92" i="4"/>
  <c r="H91" i="3"/>
  <c r="T91" i="3"/>
  <c r="J91" i="3"/>
  <c r="V91" i="3"/>
  <c r="C91" i="3"/>
  <c r="S91" i="3"/>
  <c r="Y91" i="3" s="1"/>
  <c r="Z91" i="3" s="1"/>
  <c r="AA91" i="3" s="1"/>
  <c r="E91" i="3"/>
  <c r="F91" i="3" s="1"/>
  <c r="G91" i="3"/>
  <c r="M91" i="3"/>
  <c r="N91" i="3"/>
  <c r="P91" i="3"/>
  <c r="D93" i="3"/>
  <c r="M95" i="2"/>
  <c r="J94" i="2"/>
  <c r="G94" i="2" s="1"/>
  <c r="C91" i="4"/>
  <c r="AB90" i="3"/>
  <c r="E91" i="4" s="1"/>
  <c r="K95" i="2"/>
  <c r="H94" i="2"/>
  <c r="E94" i="2" s="1"/>
  <c r="T94" i="2"/>
  <c r="I90" i="3"/>
  <c r="F91" i="4" s="1"/>
  <c r="U90" i="3"/>
  <c r="J91" i="4" s="1"/>
  <c r="O90" i="3"/>
  <c r="H91" i="4" s="1"/>
  <c r="D96" i="2"/>
  <c r="D92" i="4" l="1"/>
  <c r="C92" i="4"/>
  <c r="AB91" i="3"/>
  <c r="E92" i="4" s="1"/>
  <c r="I95" i="2"/>
  <c r="F95" i="2" s="1"/>
  <c r="L96" i="2"/>
  <c r="K96" i="2"/>
  <c r="H95" i="2"/>
  <c r="O91" i="3"/>
  <c r="I91" i="3"/>
  <c r="F92" i="4" s="1"/>
  <c r="U91" i="3"/>
  <c r="E95" i="2"/>
  <c r="C96" i="2"/>
  <c r="M96" i="2"/>
  <c r="J95" i="2"/>
  <c r="G95" i="2" s="1"/>
  <c r="D97" i="2"/>
  <c r="T96" i="2"/>
  <c r="A93" i="4"/>
  <c r="C92" i="3"/>
  <c r="E92" i="3"/>
  <c r="F92" i="3" s="1"/>
  <c r="G92" i="3"/>
  <c r="S92" i="3"/>
  <c r="Y92" i="3" s="1"/>
  <c r="Z92" i="3" s="1"/>
  <c r="AA92" i="3" s="1"/>
  <c r="J92" i="3"/>
  <c r="M92" i="3"/>
  <c r="N92" i="3"/>
  <c r="P92" i="3"/>
  <c r="T92" i="3"/>
  <c r="H92" i="3"/>
  <c r="V92" i="3"/>
  <c r="T95" i="2"/>
  <c r="D94" i="3"/>
  <c r="G92" i="4"/>
  <c r="L92" i="4" s="1"/>
  <c r="H92" i="4"/>
  <c r="I92" i="4"/>
  <c r="M92" i="4" s="1"/>
  <c r="J92" i="4"/>
  <c r="K92" i="4"/>
  <c r="N92" i="4" s="1"/>
  <c r="D93" i="4" l="1"/>
  <c r="D95" i="3"/>
  <c r="A94" i="4"/>
  <c r="N93" i="3"/>
  <c r="P93" i="3"/>
  <c r="C93" i="3"/>
  <c r="T93" i="3"/>
  <c r="E93" i="3"/>
  <c r="F93" i="3" s="1"/>
  <c r="V93" i="3"/>
  <c r="G93" i="3"/>
  <c r="J93" i="3"/>
  <c r="M93" i="3"/>
  <c r="S93" i="3"/>
  <c r="Y93" i="3" s="1"/>
  <c r="Z93" i="3" s="1"/>
  <c r="AA93" i="3" s="1"/>
  <c r="H93" i="3"/>
  <c r="G93" i="4"/>
  <c r="L93" i="4" s="1"/>
  <c r="K93" i="4"/>
  <c r="N93" i="4" s="1"/>
  <c r="I93" i="4"/>
  <c r="M93" i="4" s="1"/>
  <c r="K97" i="2"/>
  <c r="H96" i="2"/>
  <c r="D98" i="2"/>
  <c r="T97" i="2"/>
  <c r="I96" i="2"/>
  <c r="F96" i="2" s="1"/>
  <c r="L97" i="2"/>
  <c r="C93" i="4"/>
  <c r="AB92" i="3"/>
  <c r="E93" i="4" s="1"/>
  <c r="J96" i="2"/>
  <c r="G96" i="2" s="1"/>
  <c r="M97" i="2"/>
  <c r="O92" i="3"/>
  <c r="H93" i="4" s="1"/>
  <c r="I92" i="3"/>
  <c r="F93" i="4" s="1"/>
  <c r="U92" i="3"/>
  <c r="J93" i="4" s="1"/>
  <c r="C97" i="2"/>
  <c r="E96" i="2"/>
  <c r="D94" i="4" l="1"/>
  <c r="K98" i="2"/>
  <c r="H97" i="2"/>
  <c r="M98" i="2"/>
  <c r="J97" i="2"/>
  <c r="G97" i="2" s="1"/>
  <c r="L98" i="2"/>
  <c r="I97" i="2"/>
  <c r="F94" i="4"/>
  <c r="G94" i="4"/>
  <c r="L94" i="4" s="1"/>
  <c r="I94" i="4"/>
  <c r="M94" i="4" s="1"/>
  <c r="J94" i="4"/>
  <c r="K94" i="4"/>
  <c r="N94" i="4" s="1"/>
  <c r="D96" i="3"/>
  <c r="I93" i="3"/>
  <c r="U93" i="3"/>
  <c r="O93" i="3"/>
  <c r="H94" i="4" s="1"/>
  <c r="D99" i="2"/>
  <c r="T98" i="2"/>
  <c r="C94" i="4"/>
  <c r="AB93" i="3"/>
  <c r="E94" i="4" s="1"/>
  <c r="F97" i="2"/>
  <c r="C98" i="2"/>
  <c r="E97" i="2"/>
  <c r="A95" i="4"/>
  <c r="M94" i="3"/>
  <c r="G94" i="3"/>
  <c r="V94" i="3"/>
  <c r="J94" i="3"/>
  <c r="N94" i="3"/>
  <c r="P94" i="3"/>
  <c r="T94" i="3"/>
  <c r="S94" i="3"/>
  <c r="Y94" i="3" s="1"/>
  <c r="Z94" i="3" s="1"/>
  <c r="AA94" i="3" s="1"/>
  <c r="C94" i="3"/>
  <c r="E94" i="3"/>
  <c r="F94" i="3" s="1"/>
  <c r="H94" i="3"/>
  <c r="D95" i="4" l="1"/>
  <c r="L99" i="2"/>
  <c r="I98" i="2"/>
  <c r="C95" i="4"/>
  <c r="AB94" i="3"/>
  <c r="E95" i="4" s="1"/>
  <c r="F95" i="4"/>
  <c r="I95" i="4"/>
  <c r="M95" i="4" s="1"/>
  <c r="J95" i="4"/>
  <c r="K95" i="4"/>
  <c r="N95" i="4" s="1"/>
  <c r="G95" i="4"/>
  <c r="L95" i="4" s="1"/>
  <c r="M99" i="2"/>
  <c r="J98" i="2"/>
  <c r="G98" i="2" s="1"/>
  <c r="D100" i="2"/>
  <c r="I94" i="3"/>
  <c r="U94" i="3"/>
  <c r="O94" i="3"/>
  <c r="H95" i="4" s="1"/>
  <c r="D97" i="3"/>
  <c r="H98" i="2"/>
  <c r="E98" i="2" s="1"/>
  <c r="K99" i="2"/>
  <c r="A96" i="4"/>
  <c r="H95" i="3"/>
  <c r="T95" i="3"/>
  <c r="J95" i="3"/>
  <c r="V95" i="3"/>
  <c r="M95" i="3"/>
  <c r="N95" i="3"/>
  <c r="P95" i="3"/>
  <c r="C95" i="3"/>
  <c r="S95" i="3"/>
  <c r="Y95" i="3" s="1"/>
  <c r="Z95" i="3" s="1"/>
  <c r="AA95" i="3" s="1"/>
  <c r="E95" i="3"/>
  <c r="F95" i="3" s="1"/>
  <c r="G95" i="3"/>
  <c r="F98" i="2"/>
  <c r="C99" i="2"/>
  <c r="D96" i="4" l="1"/>
  <c r="A97" i="4"/>
  <c r="C96" i="3"/>
  <c r="E96" i="3"/>
  <c r="F96" i="3" s="1"/>
  <c r="G96" i="3"/>
  <c r="S96" i="3"/>
  <c r="Y96" i="3" s="1"/>
  <c r="Z96" i="3" s="1"/>
  <c r="AA96" i="3" s="1"/>
  <c r="N96" i="3"/>
  <c r="T96" i="3"/>
  <c r="M96" i="3"/>
  <c r="H96" i="3"/>
  <c r="J96" i="3"/>
  <c r="P96" i="3"/>
  <c r="V96" i="3"/>
  <c r="C96" i="4"/>
  <c r="AB95" i="3"/>
  <c r="E96" i="4" s="1"/>
  <c r="T100" i="2"/>
  <c r="D101" i="2"/>
  <c r="D98" i="3"/>
  <c r="E99" i="2"/>
  <c r="F99" i="2"/>
  <c r="C100" i="2"/>
  <c r="G99" i="2"/>
  <c r="T99" i="2"/>
  <c r="L100" i="2"/>
  <c r="I99" i="2"/>
  <c r="G96" i="4"/>
  <c r="L96" i="4" s="1"/>
  <c r="I96" i="4"/>
  <c r="M96" i="4" s="1"/>
  <c r="K96" i="4"/>
  <c r="N96" i="4" s="1"/>
  <c r="M100" i="2"/>
  <c r="J99" i="2"/>
  <c r="O95" i="3"/>
  <c r="H96" i="4" s="1"/>
  <c r="I95" i="3"/>
  <c r="F96" i="4" s="1"/>
  <c r="U95" i="3"/>
  <c r="J96" i="4" s="1"/>
  <c r="K100" i="2"/>
  <c r="H99" i="2"/>
  <c r="D97" i="4" l="1"/>
  <c r="C97" i="4"/>
  <c r="AB96" i="3"/>
  <c r="E97" i="4" s="1"/>
  <c r="D99" i="3"/>
  <c r="D102" i="2"/>
  <c r="A98" i="4"/>
  <c r="N97" i="3"/>
  <c r="P97" i="3"/>
  <c r="C97" i="3"/>
  <c r="S97" i="3"/>
  <c r="Y97" i="3" s="1"/>
  <c r="Z97" i="3" s="1"/>
  <c r="AA97" i="3" s="1"/>
  <c r="G97" i="3"/>
  <c r="V97" i="3"/>
  <c r="H97" i="3"/>
  <c r="E97" i="3"/>
  <c r="F97" i="3" s="1"/>
  <c r="J97" i="3"/>
  <c r="M97" i="3"/>
  <c r="T97" i="3"/>
  <c r="O96" i="3"/>
  <c r="U96" i="3"/>
  <c r="J97" i="4" s="1"/>
  <c r="I96" i="3"/>
  <c r="F97" i="4" s="1"/>
  <c r="K101" i="2"/>
  <c r="H100" i="2"/>
  <c r="E100" i="2" s="1"/>
  <c r="L101" i="2"/>
  <c r="I100" i="2"/>
  <c r="F100" i="2" s="1"/>
  <c r="K97" i="4"/>
  <c r="N97" i="4" s="1"/>
  <c r="G97" i="4"/>
  <c r="L97" i="4" s="1"/>
  <c r="H97" i="4"/>
  <c r="I97" i="4"/>
  <c r="M97" i="4" s="1"/>
  <c r="J100" i="2"/>
  <c r="G100" i="2" s="1"/>
  <c r="M101" i="2"/>
  <c r="C101" i="2"/>
  <c r="T101" i="2" s="1"/>
  <c r="D98" i="4" l="1"/>
  <c r="G98" i="4"/>
  <c r="L98" i="4" s="1"/>
  <c r="I98" i="4"/>
  <c r="M98" i="4" s="1"/>
  <c r="K98" i="4"/>
  <c r="N98" i="4" s="1"/>
  <c r="C98" i="4"/>
  <c r="AB97" i="3"/>
  <c r="E98" i="4" s="1"/>
  <c r="U97" i="3"/>
  <c r="J98" i="4" s="1"/>
  <c r="I97" i="3"/>
  <c r="F98" i="4" s="1"/>
  <c r="O97" i="3"/>
  <c r="H98" i="4" s="1"/>
  <c r="T102" i="2"/>
  <c r="D103" i="2"/>
  <c r="A99" i="4"/>
  <c r="M98" i="3"/>
  <c r="G98" i="3"/>
  <c r="V98" i="3"/>
  <c r="J98" i="3"/>
  <c r="N98" i="3"/>
  <c r="P98" i="3"/>
  <c r="T98" i="3"/>
  <c r="C98" i="3"/>
  <c r="E98" i="3"/>
  <c r="F98" i="3" s="1"/>
  <c r="H98" i="3"/>
  <c r="S98" i="3"/>
  <c r="Y98" i="3" s="1"/>
  <c r="Z98" i="3" s="1"/>
  <c r="AA98" i="3" s="1"/>
  <c r="D100" i="3"/>
  <c r="L102" i="2"/>
  <c r="I101" i="2"/>
  <c r="F101" i="2" s="1"/>
  <c r="K102" i="2"/>
  <c r="H101" i="2"/>
  <c r="E101" i="2" s="1"/>
  <c r="C102" i="2"/>
  <c r="J101" i="2"/>
  <c r="G101" i="2" s="1"/>
  <c r="M102" i="2"/>
  <c r="D99" i="4" l="1"/>
  <c r="H102" i="2"/>
  <c r="K103" i="2"/>
  <c r="L103" i="2"/>
  <c r="I102" i="2"/>
  <c r="D101" i="3"/>
  <c r="C99" i="4"/>
  <c r="AB98" i="3"/>
  <c r="E99" i="4" s="1"/>
  <c r="A100" i="4"/>
  <c r="H99" i="3"/>
  <c r="J99" i="3"/>
  <c r="V99" i="3"/>
  <c r="M99" i="3"/>
  <c r="N99" i="3"/>
  <c r="P99" i="3"/>
  <c r="C99" i="3"/>
  <c r="S99" i="3"/>
  <c r="Y99" i="3" s="1"/>
  <c r="Z99" i="3" s="1"/>
  <c r="AA99" i="3" s="1"/>
  <c r="E99" i="3"/>
  <c r="F99" i="3" s="1"/>
  <c r="G99" i="3"/>
  <c r="T99" i="3"/>
  <c r="I99" i="4"/>
  <c r="M99" i="4" s="1"/>
  <c r="K99" i="4"/>
  <c r="N99" i="4" s="1"/>
  <c r="F99" i="4"/>
  <c r="G99" i="4"/>
  <c r="L99" i="4" s="1"/>
  <c r="D104" i="2"/>
  <c r="I98" i="3"/>
  <c r="U98" i="3"/>
  <c r="J99" i="4" s="1"/>
  <c r="O98" i="3"/>
  <c r="H99" i="4" s="1"/>
  <c r="M103" i="2"/>
  <c r="J102" i="2"/>
  <c r="G102" i="2" s="1"/>
  <c r="E102" i="2"/>
  <c r="C103" i="2"/>
  <c r="T103" i="2" s="1"/>
  <c r="F102" i="2"/>
  <c r="D100" i="4" l="1"/>
  <c r="K100" i="4"/>
  <c r="N100" i="4" s="1"/>
  <c r="I100" i="4"/>
  <c r="M100" i="4" s="1"/>
  <c r="G100" i="4"/>
  <c r="L100" i="4" s="1"/>
  <c r="F100" i="4"/>
  <c r="O99" i="3"/>
  <c r="H100" i="4" s="1"/>
  <c r="I99" i="3"/>
  <c r="U99" i="3"/>
  <c r="J100" i="4" s="1"/>
  <c r="T104" i="2"/>
  <c r="D105" i="2"/>
  <c r="D102" i="3"/>
  <c r="A101" i="4"/>
  <c r="C100" i="3"/>
  <c r="G100" i="3"/>
  <c r="S100" i="3"/>
  <c r="Y100" i="3" s="1"/>
  <c r="Z100" i="3" s="1"/>
  <c r="AA100" i="3" s="1"/>
  <c r="N100" i="3"/>
  <c r="P100" i="3"/>
  <c r="J100" i="3"/>
  <c r="M100" i="3"/>
  <c r="T100" i="3"/>
  <c r="V100" i="3"/>
  <c r="E100" i="3"/>
  <c r="F100" i="3" s="1"/>
  <c r="H100" i="3"/>
  <c r="I103" i="2"/>
  <c r="F103" i="2" s="1"/>
  <c r="L104" i="2"/>
  <c r="H103" i="2"/>
  <c r="E103" i="2" s="1"/>
  <c r="K104" i="2"/>
  <c r="M104" i="2"/>
  <c r="J103" i="2"/>
  <c r="G103" i="2" s="1"/>
  <c r="C104" i="2"/>
  <c r="C100" i="4"/>
  <c r="AB99" i="3"/>
  <c r="E100" i="4" s="1"/>
  <c r="D101" i="4" l="1"/>
  <c r="M105" i="2"/>
  <c r="J104" i="2"/>
  <c r="A102" i="4"/>
  <c r="P101" i="3"/>
  <c r="N101" i="3"/>
  <c r="C101" i="3"/>
  <c r="E101" i="3"/>
  <c r="F101" i="3" s="1"/>
  <c r="S101" i="3"/>
  <c r="Y101" i="3" s="1"/>
  <c r="Z101" i="3" s="1"/>
  <c r="AA101" i="3" s="1"/>
  <c r="T101" i="3"/>
  <c r="H101" i="3"/>
  <c r="V101" i="3"/>
  <c r="M101" i="3"/>
  <c r="G101" i="3"/>
  <c r="J101" i="3"/>
  <c r="K105" i="2"/>
  <c r="H104" i="2"/>
  <c r="E104" i="2" s="1"/>
  <c r="L105" i="2"/>
  <c r="I104" i="2"/>
  <c r="G101" i="4"/>
  <c r="L101" i="4" s="1"/>
  <c r="I101" i="4"/>
  <c r="M101" i="4" s="1"/>
  <c r="J101" i="4"/>
  <c r="K101" i="4"/>
  <c r="N101" i="4" s="1"/>
  <c r="H101" i="4"/>
  <c r="O100" i="3"/>
  <c r="U100" i="3"/>
  <c r="I100" i="3"/>
  <c r="F101" i="4" s="1"/>
  <c r="D103" i="3"/>
  <c r="C101" i="4"/>
  <c r="AB100" i="3"/>
  <c r="E101" i="4" s="1"/>
  <c r="D106" i="2"/>
  <c r="T105" i="2"/>
  <c r="F104" i="2"/>
  <c r="C105" i="2"/>
  <c r="G104" i="2"/>
  <c r="D102" i="4" l="1"/>
  <c r="O101" i="3"/>
  <c r="U101" i="3"/>
  <c r="I101" i="3"/>
  <c r="L106" i="2"/>
  <c r="I105" i="2"/>
  <c r="A103" i="4"/>
  <c r="M102" i="3"/>
  <c r="P102" i="3"/>
  <c r="E102" i="3"/>
  <c r="F102" i="3" s="1"/>
  <c r="S102" i="3"/>
  <c r="Y102" i="3" s="1"/>
  <c r="Z102" i="3" s="1"/>
  <c r="AA102" i="3" s="1"/>
  <c r="T102" i="3"/>
  <c r="G102" i="3"/>
  <c r="V102" i="3"/>
  <c r="J102" i="3"/>
  <c r="C102" i="3"/>
  <c r="H102" i="3"/>
  <c r="N102" i="3"/>
  <c r="D104" i="3"/>
  <c r="F102" i="4"/>
  <c r="H102" i="4"/>
  <c r="I102" i="4"/>
  <c r="M102" i="4" s="1"/>
  <c r="J102" i="4"/>
  <c r="K102" i="4"/>
  <c r="N102" i="4" s="1"/>
  <c r="G102" i="4"/>
  <c r="L102" i="4" s="1"/>
  <c r="F105" i="2"/>
  <c r="C106" i="2"/>
  <c r="C102" i="4"/>
  <c r="AB101" i="3"/>
  <c r="E102" i="4" s="1"/>
  <c r="M106" i="2"/>
  <c r="J105" i="2"/>
  <c r="G105" i="2" s="1"/>
  <c r="D107" i="2"/>
  <c r="T106" i="2"/>
  <c r="K106" i="2"/>
  <c r="H105" i="2"/>
  <c r="E105" i="2" s="1"/>
  <c r="D103" i="4" l="1"/>
  <c r="A104" i="4"/>
  <c r="E103" i="3"/>
  <c r="F103" i="3" s="1"/>
  <c r="S103" i="3"/>
  <c r="Y103" i="3" s="1"/>
  <c r="Z103" i="3" s="1"/>
  <c r="AA103" i="3" s="1"/>
  <c r="G103" i="3"/>
  <c r="T103" i="3"/>
  <c r="H103" i="3"/>
  <c r="J103" i="3"/>
  <c r="N103" i="3"/>
  <c r="V103" i="3"/>
  <c r="C103" i="3"/>
  <c r="M103" i="3"/>
  <c r="P103" i="3"/>
  <c r="M107" i="2"/>
  <c r="J106" i="2"/>
  <c r="G106" i="2" s="1"/>
  <c r="D105" i="3"/>
  <c r="C103" i="4"/>
  <c r="AB102" i="3"/>
  <c r="E103" i="4" s="1"/>
  <c r="G103" i="4"/>
  <c r="L103" i="4" s="1"/>
  <c r="I103" i="4"/>
  <c r="M103" i="4" s="1"/>
  <c r="K103" i="4"/>
  <c r="N103" i="4" s="1"/>
  <c r="C107" i="2"/>
  <c r="L107" i="2"/>
  <c r="I106" i="2"/>
  <c r="F106" i="2" s="1"/>
  <c r="I102" i="3"/>
  <c r="F103" i="4" s="1"/>
  <c r="U102" i="3"/>
  <c r="J103" i="4" s="1"/>
  <c r="O102" i="3"/>
  <c r="H103" i="4" s="1"/>
  <c r="T107" i="2"/>
  <c r="D108" i="2"/>
  <c r="K107" i="2"/>
  <c r="H106" i="2"/>
  <c r="E106" i="2" s="1"/>
  <c r="D104" i="4" l="1"/>
  <c r="I107" i="2"/>
  <c r="F107" i="2" s="1"/>
  <c r="L108" i="2"/>
  <c r="E107" i="2"/>
  <c r="C108" i="2"/>
  <c r="D106" i="3"/>
  <c r="M108" i="2"/>
  <c r="J107" i="2"/>
  <c r="G107" i="2" s="1"/>
  <c r="O103" i="3"/>
  <c r="H104" i="4" s="1"/>
  <c r="U103" i="3"/>
  <c r="J104" i="4" s="1"/>
  <c r="I103" i="3"/>
  <c r="F104" i="4" s="1"/>
  <c r="K108" i="2"/>
  <c r="H107" i="2"/>
  <c r="G104" i="4"/>
  <c r="L104" i="4" s="1"/>
  <c r="I104" i="4"/>
  <c r="M104" i="4" s="1"/>
  <c r="K104" i="4"/>
  <c r="N104" i="4" s="1"/>
  <c r="C104" i="4"/>
  <c r="AB103" i="3"/>
  <c r="E104" i="4" s="1"/>
  <c r="D109" i="2"/>
  <c r="A105" i="4"/>
  <c r="C104" i="3"/>
  <c r="N104" i="3"/>
  <c r="E104" i="3"/>
  <c r="F104" i="3" s="1"/>
  <c r="S104" i="3"/>
  <c r="Y104" i="3" s="1"/>
  <c r="Z104" i="3" s="1"/>
  <c r="AA104" i="3" s="1"/>
  <c r="G104" i="3"/>
  <c r="T104" i="3"/>
  <c r="V104" i="3"/>
  <c r="M104" i="3"/>
  <c r="H104" i="3"/>
  <c r="J104" i="3"/>
  <c r="P104" i="3"/>
  <c r="D105" i="4" l="1"/>
  <c r="C105" i="4"/>
  <c r="AB104" i="3"/>
  <c r="E105" i="4" s="1"/>
  <c r="J108" i="2"/>
  <c r="G108" i="2" s="1"/>
  <c r="M109" i="2"/>
  <c r="D107" i="3"/>
  <c r="O104" i="3"/>
  <c r="H105" i="4" s="1"/>
  <c r="I104" i="3"/>
  <c r="F105" i="4" s="1"/>
  <c r="U104" i="3"/>
  <c r="J105" i="4" s="1"/>
  <c r="C109" i="2"/>
  <c r="E108" i="2"/>
  <c r="G105" i="4"/>
  <c r="L105" i="4" s="1"/>
  <c r="K105" i="4"/>
  <c r="N105" i="4" s="1"/>
  <c r="I105" i="4"/>
  <c r="M105" i="4" s="1"/>
  <c r="I108" i="2"/>
  <c r="F108" i="2" s="1"/>
  <c r="L109" i="2"/>
  <c r="T108" i="2"/>
  <c r="K109" i="2"/>
  <c r="H108" i="2"/>
  <c r="A106" i="4"/>
  <c r="N105" i="3"/>
  <c r="C105" i="3"/>
  <c r="P105" i="3"/>
  <c r="E105" i="3"/>
  <c r="F105" i="3" s="1"/>
  <c r="S105" i="3"/>
  <c r="Y105" i="3" s="1"/>
  <c r="Z105" i="3" s="1"/>
  <c r="AA105" i="3" s="1"/>
  <c r="H105" i="3"/>
  <c r="M105" i="3"/>
  <c r="V105" i="3"/>
  <c r="G105" i="3"/>
  <c r="J105" i="3"/>
  <c r="T105" i="3"/>
  <c r="D110" i="2"/>
  <c r="D106" i="4" l="1"/>
  <c r="C106" i="4"/>
  <c r="AB105" i="3"/>
  <c r="E106" i="4" s="1"/>
  <c r="L110" i="2"/>
  <c r="I109" i="2"/>
  <c r="K110" i="2"/>
  <c r="H109" i="2"/>
  <c r="U105" i="3"/>
  <c r="I105" i="3"/>
  <c r="F106" i="4" s="1"/>
  <c r="O105" i="3"/>
  <c r="H106" i="4" s="1"/>
  <c r="A107" i="4"/>
  <c r="M106" i="3"/>
  <c r="C106" i="3"/>
  <c r="P106" i="3"/>
  <c r="E106" i="3"/>
  <c r="F106" i="3" s="1"/>
  <c r="G106" i="3"/>
  <c r="T106" i="3"/>
  <c r="H106" i="3"/>
  <c r="J106" i="3"/>
  <c r="N106" i="3"/>
  <c r="S106" i="3"/>
  <c r="Y106" i="3" s="1"/>
  <c r="Z106" i="3" s="1"/>
  <c r="AA106" i="3" s="1"/>
  <c r="V106" i="3"/>
  <c r="D108" i="3"/>
  <c r="T109" i="2"/>
  <c r="M110" i="2"/>
  <c r="J109" i="2"/>
  <c r="G109" i="2" s="1"/>
  <c r="D111" i="2"/>
  <c r="T110" i="2"/>
  <c r="G106" i="4"/>
  <c r="L106" i="4" s="1"/>
  <c r="I106" i="4"/>
  <c r="M106" i="4" s="1"/>
  <c r="J106" i="4"/>
  <c r="K106" i="4"/>
  <c r="N106" i="4" s="1"/>
  <c r="F109" i="2"/>
  <c r="C110" i="2"/>
  <c r="E109" i="2"/>
  <c r="D107" i="4" l="1"/>
  <c r="D112" i="2"/>
  <c r="H110" i="2"/>
  <c r="E110" i="2" s="1"/>
  <c r="K111" i="2"/>
  <c r="I106" i="3"/>
  <c r="U106" i="3"/>
  <c r="J107" i="4" s="1"/>
  <c r="O106" i="3"/>
  <c r="H107" i="4" s="1"/>
  <c r="L111" i="2"/>
  <c r="I110" i="2"/>
  <c r="F110" i="2"/>
  <c r="C111" i="2"/>
  <c r="M111" i="2"/>
  <c r="J110" i="2"/>
  <c r="G110" i="2" s="1"/>
  <c r="A108" i="4"/>
  <c r="N107" i="3"/>
  <c r="C107" i="3"/>
  <c r="P107" i="3"/>
  <c r="G107" i="3"/>
  <c r="T107" i="3"/>
  <c r="V107" i="3"/>
  <c r="E107" i="3"/>
  <c r="F107" i="3" s="1"/>
  <c r="H107" i="3"/>
  <c r="J107" i="3"/>
  <c r="M107" i="3"/>
  <c r="S107" i="3"/>
  <c r="Y107" i="3" s="1"/>
  <c r="Z107" i="3" s="1"/>
  <c r="AA107" i="3" s="1"/>
  <c r="D109" i="3"/>
  <c r="C107" i="4"/>
  <c r="AB106" i="3"/>
  <c r="E107" i="4" s="1"/>
  <c r="F107" i="4"/>
  <c r="I107" i="4"/>
  <c r="M107" i="4" s="1"/>
  <c r="G107" i="4"/>
  <c r="L107" i="4" s="1"/>
  <c r="K107" i="4"/>
  <c r="N107" i="4" s="1"/>
  <c r="D108" i="4" l="1"/>
  <c r="L112" i="2"/>
  <c r="I111" i="2"/>
  <c r="A109" i="4"/>
  <c r="C108" i="3"/>
  <c r="M108" i="3"/>
  <c r="N108" i="3"/>
  <c r="P108" i="3"/>
  <c r="S108" i="3"/>
  <c r="Y108" i="3" s="1"/>
  <c r="Z108" i="3" s="1"/>
  <c r="AA108" i="3" s="1"/>
  <c r="J108" i="3"/>
  <c r="V108" i="3"/>
  <c r="E108" i="3"/>
  <c r="F108" i="3" s="1"/>
  <c r="G108" i="3"/>
  <c r="H108" i="3"/>
  <c r="T108" i="3"/>
  <c r="D110" i="3"/>
  <c r="K112" i="2"/>
  <c r="H111" i="2"/>
  <c r="G108" i="4"/>
  <c r="L108" i="4" s="1"/>
  <c r="H108" i="4"/>
  <c r="I108" i="4"/>
  <c r="M108" i="4" s="1"/>
  <c r="K108" i="4"/>
  <c r="N108" i="4" s="1"/>
  <c r="C108" i="4"/>
  <c r="AB107" i="3"/>
  <c r="E108" i="4" s="1"/>
  <c r="D113" i="2"/>
  <c r="M112" i="2"/>
  <c r="J111" i="2"/>
  <c r="G111" i="2" s="1"/>
  <c r="E111" i="2"/>
  <c r="F111" i="2"/>
  <c r="C112" i="2"/>
  <c r="T112" i="2" s="1"/>
  <c r="T111" i="2"/>
  <c r="O107" i="3"/>
  <c r="I107" i="3"/>
  <c r="F108" i="4" s="1"/>
  <c r="U107" i="3"/>
  <c r="J108" i="4" s="1"/>
  <c r="D109" i="4" l="1"/>
  <c r="A110" i="4"/>
  <c r="J109" i="3"/>
  <c r="M109" i="3"/>
  <c r="N109" i="3"/>
  <c r="C109" i="3"/>
  <c r="P109" i="3"/>
  <c r="E109" i="3"/>
  <c r="F109" i="3" s="1"/>
  <c r="V109" i="3"/>
  <c r="G109" i="3"/>
  <c r="H109" i="3"/>
  <c r="S109" i="3"/>
  <c r="Y109" i="3" s="1"/>
  <c r="Z109" i="3" s="1"/>
  <c r="AA109" i="3" s="1"/>
  <c r="T109" i="3"/>
  <c r="J112" i="2"/>
  <c r="G112" i="2" s="1"/>
  <c r="M113" i="2"/>
  <c r="D114" i="2"/>
  <c r="K113" i="2"/>
  <c r="H112" i="2"/>
  <c r="E112" i="2" s="1"/>
  <c r="C109" i="4"/>
  <c r="AB108" i="3"/>
  <c r="E109" i="4" s="1"/>
  <c r="D111" i="3"/>
  <c r="K109" i="4"/>
  <c r="N109" i="4" s="1"/>
  <c r="F109" i="4"/>
  <c r="G109" i="4"/>
  <c r="L109" i="4" s="1"/>
  <c r="I109" i="4"/>
  <c r="M109" i="4" s="1"/>
  <c r="L113" i="2"/>
  <c r="I112" i="2"/>
  <c r="F112" i="2" s="1"/>
  <c r="O108" i="3"/>
  <c r="H109" i="4" s="1"/>
  <c r="U108" i="3"/>
  <c r="J109" i="4" s="1"/>
  <c r="I108" i="3"/>
  <c r="C113" i="2"/>
  <c r="T113" i="2" s="1"/>
  <c r="D110" i="4" l="1"/>
  <c r="O109" i="3"/>
  <c r="I109" i="3"/>
  <c r="U109" i="3"/>
  <c r="L114" i="2"/>
  <c r="I113" i="2"/>
  <c r="H113" i="2"/>
  <c r="E113" i="2" s="1"/>
  <c r="K114" i="2"/>
  <c r="A111" i="4"/>
  <c r="J110" i="3"/>
  <c r="M110" i="3"/>
  <c r="N110" i="3"/>
  <c r="H110" i="3"/>
  <c r="V110" i="3"/>
  <c r="T110" i="3"/>
  <c r="C110" i="3"/>
  <c r="E110" i="3"/>
  <c r="F110" i="3" s="1"/>
  <c r="G110" i="3"/>
  <c r="P110" i="3"/>
  <c r="S110" i="3"/>
  <c r="Y110" i="3" s="1"/>
  <c r="Z110" i="3" s="1"/>
  <c r="AA110" i="3" s="1"/>
  <c r="G113" i="2"/>
  <c r="T114" i="2"/>
  <c r="D115" i="2"/>
  <c r="J113" i="2"/>
  <c r="M114" i="2"/>
  <c r="C110" i="4"/>
  <c r="AB109" i="3"/>
  <c r="E110" i="4" s="1"/>
  <c r="J110" i="4"/>
  <c r="F110" i="4"/>
  <c r="G110" i="4"/>
  <c r="L110" i="4" s="1"/>
  <c r="I110" i="4"/>
  <c r="M110" i="4" s="1"/>
  <c r="K110" i="4"/>
  <c r="N110" i="4" s="1"/>
  <c r="H110" i="4"/>
  <c r="C114" i="2"/>
  <c r="F113" i="2"/>
  <c r="D112" i="3"/>
  <c r="D111" i="4" l="1"/>
  <c r="I111" i="4"/>
  <c r="M111" i="4" s="1"/>
  <c r="K111" i="4"/>
  <c r="N111" i="4" s="1"/>
  <c r="G111" i="4"/>
  <c r="L111" i="4" s="1"/>
  <c r="H114" i="2"/>
  <c r="E114" i="2" s="1"/>
  <c r="K115" i="2"/>
  <c r="I110" i="3"/>
  <c r="F111" i="4" s="1"/>
  <c r="U110" i="3"/>
  <c r="J111" i="4" s="1"/>
  <c r="O110" i="3"/>
  <c r="H111" i="4" s="1"/>
  <c r="C111" i="4"/>
  <c r="AB110" i="3"/>
  <c r="E111" i="4" s="1"/>
  <c r="A112" i="4"/>
  <c r="H111" i="3"/>
  <c r="T111" i="3"/>
  <c r="J111" i="3"/>
  <c r="V111" i="3"/>
  <c r="M111" i="3"/>
  <c r="C111" i="3"/>
  <c r="G111" i="3"/>
  <c r="S111" i="3"/>
  <c r="Y111" i="3" s="1"/>
  <c r="Z111" i="3" s="1"/>
  <c r="AA111" i="3" s="1"/>
  <c r="E111" i="3"/>
  <c r="F111" i="3" s="1"/>
  <c r="N111" i="3"/>
  <c r="P111" i="3"/>
  <c r="L115" i="2"/>
  <c r="I114" i="2"/>
  <c r="F114" i="2" s="1"/>
  <c r="D113" i="3"/>
  <c r="M115" i="2"/>
  <c r="J114" i="2"/>
  <c r="T115" i="2"/>
  <c r="D116" i="2"/>
  <c r="C115" i="2"/>
  <c r="G114" i="2"/>
  <c r="D112" i="4" l="1"/>
  <c r="H115" i="2"/>
  <c r="K116" i="2"/>
  <c r="M116" i="2"/>
  <c r="J115" i="2"/>
  <c r="G115" i="2" s="1"/>
  <c r="C112" i="4"/>
  <c r="AB111" i="3"/>
  <c r="E112" i="4" s="1"/>
  <c r="D114" i="3"/>
  <c r="I115" i="2"/>
  <c r="L116" i="2"/>
  <c r="K112" i="4"/>
  <c r="N112" i="4" s="1"/>
  <c r="G112" i="4"/>
  <c r="L112" i="4" s="1"/>
  <c r="I112" i="4"/>
  <c r="M112" i="4" s="1"/>
  <c r="C116" i="2"/>
  <c r="E115" i="2"/>
  <c r="F115" i="2"/>
  <c r="A113" i="4"/>
  <c r="E112" i="3"/>
  <c r="F112" i="3" s="1"/>
  <c r="G112" i="3"/>
  <c r="S112" i="3"/>
  <c r="Y112" i="3" s="1"/>
  <c r="Z112" i="3" s="1"/>
  <c r="AA112" i="3" s="1"/>
  <c r="H112" i="3"/>
  <c r="J112" i="3"/>
  <c r="P112" i="3"/>
  <c r="T112" i="3"/>
  <c r="V112" i="3"/>
  <c r="C112" i="3"/>
  <c r="M112" i="3"/>
  <c r="N112" i="3"/>
  <c r="T116" i="2"/>
  <c r="D117" i="2"/>
  <c r="O111" i="3"/>
  <c r="H112" i="4" s="1"/>
  <c r="U111" i="3"/>
  <c r="J112" i="4" s="1"/>
  <c r="I111" i="3"/>
  <c r="F112" i="4" s="1"/>
  <c r="D113" i="4" l="1"/>
  <c r="A114" i="4"/>
  <c r="N113" i="3"/>
  <c r="P113" i="3"/>
  <c r="M113" i="3"/>
  <c r="H113" i="3"/>
  <c r="J113" i="3"/>
  <c r="S113" i="3"/>
  <c r="Y113" i="3" s="1"/>
  <c r="Z113" i="3" s="1"/>
  <c r="AA113" i="3" s="1"/>
  <c r="T113" i="3"/>
  <c r="C113" i="3"/>
  <c r="E113" i="3"/>
  <c r="F113" i="3" s="1"/>
  <c r="G113" i="3"/>
  <c r="V113" i="3"/>
  <c r="L117" i="2"/>
  <c r="I116" i="2"/>
  <c r="F116" i="2" s="1"/>
  <c r="I112" i="3"/>
  <c r="U112" i="3"/>
  <c r="O112" i="3"/>
  <c r="H113" i="4" s="1"/>
  <c r="D115" i="3"/>
  <c r="C113" i="4"/>
  <c r="AB112" i="3"/>
  <c r="E113" i="4" s="1"/>
  <c r="C117" i="2"/>
  <c r="T117" i="2" s="1"/>
  <c r="M117" i="2"/>
  <c r="J116" i="2"/>
  <c r="G116" i="2" s="1"/>
  <c r="K117" i="2"/>
  <c r="H116" i="2"/>
  <c r="E116" i="2" s="1"/>
  <c r="G113" i="4"/>
  <c r="L113" i="4" s="1"/>
  <c r="I113" i="4"/>
  <c r="M113" i="4" s="1"/>
  <c r="J113" i="4"/>
  <c r="K113" i="4"/>
  <c r="N113" i="4" s="1"/>
  <c r="F113" i="4"/>
  <c r="D118" i="2"/>
  <c r="D114" i="4" l="1"/>
  <c r="D116" i="3"/>
  <c r="A115" i="4"/>
  <c r="M114" i="3"/>
  <c r="C114" i="3"/>
  <c r="J114" i="3"/>
  <c r="V114" i="3"/>
  <c r="P114" i="3"/>
  <c r="S114" i="3"/>
  <c r="Y114" i="3" s="1"/>
  <c r="Z114" i="3" s="1"/>
  <c r="AA114" i="3" s="1"/>
  <c r="E114" i="3"/>
  <c r="F114" i="3" s="1"/>
  <c r="T114" i="3"/>
  <c r="G114" i="3"/>
  <c r="H114" i="3"/>
  <c r="N114" i="3"/>
  <c r="K118" i="2"/>
  <c r="H117" i="2"/>
  <c r="C114" i="4"/>
  <c r="AB113" i="3"/>
  <c r="E114" i="4" s="1"/>
  <c r="M118" i="2"/>
  <c r="J117" i="2"/>
  <c r="G117" i="2" s="1"/>
  <c r="L118" i="2"/>
  <c r="I117" i="2"/>
  <c r="D119" i="2"/>
  <c r="F117" i="2"/>
  <c r="C118" i="2"/>
  <c r="E117" i="2"/>
  <c r="I114" i="4"/>
  <c r="M114" i="4" s="1"/>
  <c r="K114" i="4"/>
  <c r="N114" i="4" s="1"/>
  <c r="G114" i="4"/>
  <c r="L114" i="4" s="1"/>
  <c r="I113" i="3"/>
  <c r="F114" i="4" s="1"/>
  <c r="O113" i="3"/>
  <c r="H114" i="4" s="1"/>
  <c r="U113" i="3"/>
  <c r="J114" i="4" s="1"/>
  <c r="D115" i="4" l="1"/>
  <c r="M119" i="2"/>
  <c r="J118" i="2"/>
  <c r="O114" i="3"/>
  <c r="U114" i="3"/>
  <c r="I114" i="3"/>
  <c r="F118" i="2"/>
  <c r="C119" i="2"/>
  <c r="K119" i="2"/>
  <c r="H118" i="2"/>
  <c r="E118" i="2" s="1"/>
  <c r="C115" i="4"/>
  <c r="AB114" i="3"/>
  <c r="E115" i="4" s="1"/>
  <c r="A116" i="4"/>
  <c r="H115" i="3"/>
  <c r="T115" i="3"/>
  <c r="J115" i="3"/>
  <c r="V115" i="3"/>
  <c r="G115" i="3"/>
  <c r="E115" i="3"/>
  <c r="F115" i="3" s="1"/>
  <c r="M115" i="3"/>
  <c r="N115" i="3"/>
  <c r="P115" i="3"/>
  <c r="C115" i="3"/>
  <c r="S115" i="3"/>
  <c r="Y115" i="3" s="1"/>
  <c r="Z115" i="3" s="1"/>
  <c r="AA115" i="3" s="1"/>
  <c r="G115" i="4"/>
  <c r="L115" i="4" s="1"/>
  <c r="H115" i="4"/>
  <c r="I115" i="4"/>
  <c r="M115" i="4" s="1"/>
  <c r="J115" i="4"/>
  <c r="F115" i="4"/>
  <c r="K115" i="4"/>
  <c r="N115" i="4" s="1"/>
  <c r="G118" i="2"/>
  <c r="D117" i="3"/>
  <c r="T118" i="2"/>
  <c r="I118" i="2"/>
  <c r="L119" i="2"/>
  <c r="T119" i="2"/>
  <c r="D120" i="2"/>
  <c r="D116" i="4" l="1"/>
  <c r="D118" i="3"/>
  <c r="K120" i="2"/>
  <c r="H119" i="2"/>
  <c r="C116" i="4"/>
  <c r="AB115" i="3"/>
  <c r="E116" i="4" s="1"/>
  <c r="E119" i="2"/>
  <c r="C120" i="2"/>
  <c r="U115" i="3"/>
  <c r="J116" i="4" s="1"/>
  <c r="I115" i="3"/>
  <c r="F116" i="4" s="1"/>
  <c r="O115" i="3"/>
  <c r="H116" i="4" s="1"/>
  <c r="A117" i="4"/>
  <c r="E116" i="3"/>
  <c r="F116" i="3" s="1"/>
  <c r="G116" i="3"/>
  <c r="S116" i="3"/>
  <c r="Y116" i="3" s="1"/>
  <c r="Z116" i="3" s="1"/>
  <c r="AA116" i="3" s="1"/>
  <c r="M116" i="3"/>
  <c r="N116" i="3"/>
  <c r="P116" i="3"/>
  <c r="C116" i="3"/>
  <c r="T116" i="3"/>
  <c r="V116" i="3"/>
  <c r="H116" i="3"/>
  <c r="J116" i="3"/>
  <c r="I119" i="2"/>
  <c r="F119" i="2" s="1"/>
  <c r="L120" i="2"/>
  <c r="G116" i="4"/>
  <c r="L116" i="4" s="1"/>
  <c r="I116" i="4"/>
  <c r="M116" i="4" s="1"/>
  <c r="K116" i="4"/>
  <c r="N116" i="4" s="1"/>
  <c r="M120" i="2"/>
  <c r="J119" i="2"/>
  <c r="G119" i="2" s="1"/>
  <c r="D121" i="2"/>
  <c r="T120" i="2"/>
  <c r="D117" i="4" l="1"/>
  <c r="C121" i="2"/>
  <c r="C117" i="4"/>
  <c r="AB116" i="3"/>
  <c r="E117" i="4" s="1"/>
  <c r="I120" i="2"/>
  <c r="F120" i="2" s="1"/>
  <c r="L121" i="2"/>
  <c r="A118" i="4"/>
  <c r="N117" i="3"/>
  <c r="P117" i="3"/>
  <c r="M117" i="3"/>
  <c r="S117" i="3"/>
  <c r="Y117" i="3" s="1"/>
  <c r="Z117" i="3" s="1"/>
  <c r="AA117" i="3" s="1"/>
  <c r="C117" i="3"/>
  <c r="T117" i="3"/>
  <c r="E117" i="3"/>
  <c r="F117" i="3" s="1"/>
  <c r="G117" i="3"/>
  <c r="V117" i="3"/>
  <c r="H117" i="3"/>
  <c r="J117" i="3"/>
  <c r="K121" i="2"/>
  <c r="H120" i="2"/>
  <c r="E120" i="2" s="1"/>
  <c r="I116" i="3"/>
  <c r="F117" i="4" s="1"/>
  <c r="U116" i="3"/>
  <c r="J117" i="4" s="1"/>
  <c r="O116" i="3"/>
  <c r="H117" i="4" s="1"/>
  <c r="D119" i="3"/>
  <c r="J120" i="2"/>
  <c r="M121" i="2"/>
  <c r="G120" i="2"/>
  <c r="G117" i="4"/>
  <c r="L117" i="4" s="1"/>
  <c r="K117" i="4"/>
  <c r="N117" i="4" s="1"/>
  <c r="I117" i="4"/>
  <c r="M117" i="4" s="1"/>
  <c r="D122" i="2"/>
  <c r="T121" i="2"/>
  <c r="D118" i="4" l="1"/>
  <c r="K122" i="2"/>
  <c r="H121" i="2"/>
  <c r="A119" i="4"/>
  <c r="M118" i="3"/>
  <c r="C118" i="3"/>
  <c r="E118" i="3"/>
  <c r="F118" i="3" s="1"/>
  <c r="S118" i="3"/>
  <c r="Y118" i="3" s="1"/>
  <c r="Z118" i="3" s="1"/>
  <c r="AA118" i="3" s="1"/>
  <c r="T118" i="3"/>
  <c r="G118" i="3"/>
  <c r="H118" i="3"/>
  <c r="V118" i="3"/>
  <c r="J118" i="3"/>
  <c r="N118" i="3"/>
  <c r="P118" i="3"/>
  <c r="G118" i="4"/>
  <c r="L118" i="4" s="1"/>
  <c r="K118" i="4"/>
  <c r="N118" i="4" s="1"/>
  <c r="H118" i="4"/>
  <c r="J118" i="4"/>
  <c r="I118" i="4"/>
  <c r="M118" i="4" s="1"/>
  <c r="L122" i="2"/>
  <c r="I121" i="2"/>
  <c r="M122" i="2"/>
  <c r="J121" i="2"/>
  <c r="G121" i="2" s="1"/>
  <c r="D120" i="3"/>
  <c r="O117" i="3"/>
  <c r="U117" i="3"/>
  <c r="I117" i="3"/>
  <c r="F118" i="4" s="1"/>
  <c r="D123" i="2"/>
  <c r="T122" i="2"/>
  <c r="F121" i="2"/>
  <c r="E121" i="2"/>
  <c r="C122" i="2"/>
  <c r="C118" i="4"/>
  <c r="AB117" i="3"/>
  <c r="E118" i="4" s="1"/>
  <c r="D119" i="4" l="1"/>
  <c r="D124" i="2"/>
  <c r="O118" i="3"/>
  <c r="U118" i="3"/>
  <c r="I118" i="3"/>
  <c r="F119" i="4" s="1"/>
  <c r="L123" i="2"/>
  <c r="I122" i="2"/>
  <c r="C119" i="4"/>
  <c r="AB118" i="3"/>
  <c r="E119" i="4" s="1"/>
  <c r="D121" i="3"/>
  <c r="J119" i="4"/>
  <c r="H119" i="4"/>
  <c r="K119" i="4"/>
  <c r="N119" i="4" s="1"/>
  <c r="G119" i="4"/>
  <c r="L119" i="4" s="1"/>
  <c r="I119" i="4"/>
  <c r="M119" i="4" s="1"/>
  <c r="A120" i="4"/>
  <c r="H119" i="3"/>
  <c r="T119" i="3"/>
  <c r="J119" i="3"/>
  <c r="V119" i="3"/>
  <c r="E119" i="3"/>
  <c r="F119" i="3" s="1"/>
  <c r="G119" i="3"/>
  <c r="M119" i="3"/>
  <c r="N119" i="3"/>
  <c r="P119" i="3"/>
  <c r="C119" i="3"/>
  <c r="S119" i="3"/>
  <c r="Y119" i="3" s="1"/>
  <c r="Z119" i="3" s="1"/>
  <c r="AA119" i="3" s="1"/>
  <c r="H122" i="2"/>
  <c r="E122" i="2" s="1"/>
  <c r="K123" i="2"/>
  <c r="F122" i="2"/>
  <c r="C123" i="2"/>
  <c r="T123" i="2" s="1"/>
  <c r="M123" i="2"/>
  <c r="J122" i="2"/>
  <c r="G122" i="2" s="1"/>
  <c r="D120" i="4" l="1"/>
  <c r="K124" i="2"/>
  <c r="H123" i="2"/>
  <c r="I120" i="4"/>
  <c r="M120" i="4" s="1"/>
  <c r="K120" i="4"/>
  <c r="N120" i="4" s="1"/>
  <c r="G120" i="4"/>
  <c r="L120" i="4" s="1"/>
  <c r="L124" i="2"/>
  <c r="I123" i="2"/>
  <c r="F123" i="2" s="1"/>
  <c r="A121" i="4"/>
  <c r="E120" i="3"/>
  <c r="F120" i="3" s="1"/>
  <c r="G120" i="3"/>
  <c r="S120" i="3"/>
  <c r="Y120" i="3" s="1"/>
  <c r="Z120" i="3" s="1"/>
  <c r="AA120" i="3" s="1"/>
  <c r="M120" i="3"/>
  <c r="N120" i="3"/>
  <c r="P120" i="3"/>
  <c r="C120" i="3"/>
  <c r="T120" i="3"/>
  <c r="V120" i="3"/>
  <c r="J120" i="3"/>
  <c r="H120" i="3"/>
  <c r="D125" i="2"/>
  <c r="C120" i="4"/>
  <c r="AB119" i="3"/>
  <c r="E120" i="4" s="1"/>
  <c r="J123" i="2"/>
  <c r="G123" i="2" s="1"/>
  <c r="M124" i="2"/>
  <c r="U119" i="3"/>
  <c r="J120" i="4" s="1"/>
  <c r="I119" i="3"/>
  <c r="F120" i="4" s="1"/>
  <c r="O119" i="3"/>
  <c r="H120" i="4" s="1"/>
  <c r="E123" i="2"/>
  <c r="C124" i="2"/>
  <c r="D122" i="3"/>
  <c r="D121" i="4" l="1"/>
  <c r="L125" i="2"/>
  <c r="I124" i="2"/>
  <c r="F124" i="2" s="1"/>
  <c r="J124" i="2"/>
  <c r="G124" i="2" s="1"/>
  <c r="M125" i="2"/>
  <c r="C121" i="4"/>
  <c r="AB120" i="3"/>
  <c r="E121" i="4" s="1"/>
  <c r="D126" i="2"/>
  <c r="T125" i="2"/>
  <c r="C125" i="2"/>
  <c r="A122" i="4"/>
  <c r="N121" i="3"/>
  <c r="P121" i="3"/>
  <c r="M121" i="3"/>
  <c r="S121" i="3"/>
  <c r="Y121" i="3" s="1"/>
  <c r="Z121" i="3" s="1"/>
  <c r="AA121" i="3" s="1"/>
  <c r="C121" i="3"/>
  <c r="T121" i="3"/>
  <c r="E121" i="3"/>
  <c r="F121" i="3" s="1"/>
  <c r="G121" i="3"/>
  <c r="V121" i="3"/>
  <c r="H121" i="3"/>
  <c r="J121" i="3"/>
  <c r="K125" i="2"/>
  <c r="H124" i="2"/>
  <c r="E124" i="2" s="1"/>
  <c r="T124" i="2"/>
  <c r="I120" i="3"/>
  <c r="F121" i="4" s="1"/>
  <c r="U120" i="3"/>
  <c r="O120" i="3"/>
  <c r="H121" i="4" s="1"/>
  <c r="D123" i="3"/>
  <c r="K121" i="4"/>
  <c r="N121" i="4" s="1"/>
  <c r="I121" i="4"/>
  <c r="M121" i="4" s="1"/>
  <c r="J121" i="4"/>
  <c r="G121" i="4"/>
  <c r="L121" i="4" s="1"/>
  <c r="D122" i="4" l="1"/>
  <c r="D124" i="3"/>
  <c r="O121" i="3"/>
  <c r="U121" i="3"/>
  <c r="J122" i="4" s="1"/>
  <c r="I121" i="3"/>
  <c r="T126" i="2"/>
  <c r="D127" i="2"/>
  <c r="C122" i="4"/>
  <c r="AB121" i="3"/>
  <c r="E122" i="4" s="1"/>
  <c r="J125" i="2"/>
  <c r="G125" i="2" s="1"/>
  <c r="M126" i="2"/>
  <c r="H125" i="2"/>
  <c r="K126" i="2"/>
  <c r="A123" i="4"/>
  <c r="M122" i="3"/>
  <c r="C122" i="3"/>
  <c r="E122" i="3"/>
  <c r="F122" i="3" s="1"/>
  <c r="S122" i="3"/>
  <c r="Y122" i="3" s="1"/>
  <c r="Z122" i="3" s="1"/>
  <c r="AA122" i="3" s="1"/>
  <c r="T122" i="3"/>
  <c r="G122" i="3"/>
  <c r="H122" i="3"/>
  <c r="V122" i="3"/>
  <c r="J122" i="3"/>
  <c r="N122" i="3"/>
  <c r="P122" i="3"/>
  <c r="G122" i="4"/>
  <c r="L122" i="4" s="1"/>
  <c r="F122" i="4"/>
  <c r="H122" i="4"/>
  <c r="I122" i="4"/>
  <c r="M122" i="4" s="1"/>
  <c r="K122" i="4"/>
  <c r="N122" i="4" s="1"/>
  <c r="L126" i="2"/>
  <c r="I125" i="2"/>
  <c r="C126" i="2"/>
  <c r="E125" i="2"/>
  <c r="F125" i="2"/>
  <c r="D123" i="4" l="1"/>
  <c r="D128" i="2"/>
  <c r="O122" i="3"/>
  <c r="U122" i="3"/>
  <c r="J123" i="4" s="1"/>
  <c r="I122" i="3"/>
  <c r="F123" i="4" s="1"/>
  <c r="C123" i="4"/>
  <c r="AB122" i="3"/>
  <c r="E123" i="4" s="1"/>
  <c r="I123" i="4"/>
  <c r="M123" i="4" s="1"/>
  <c r="K123" i="4"/>
  <c r="N123" i="4" s="1"/>
  <c r="G123" i="4"/>
  <c r="L123" i="4" s="1"/>
  <c r="H123" i="4"/>
  <c r="A124" i="4"/>
  <c r="H123" i="3"/>
  <c r="T123" i="3"/>
  <c r="J123" i="3"/>
  <c r="V123" i="3"/>
  <c r="E123" i="3"/>
  <c r="F123" i="3" s="1"/>
  <c r="G123" i="3"/>
  <c r="M123" i="3"/>
  <c r="N123" i="3"/>
  <c r="P123" i="3"/>
  <c r="C123" i="3"/>
  <c r="S123" i="3"/>
  <c r="Y123" i="3" s="1"/>
  <c r="Z123" i="3" s="1"/>
  <c r="AA123" i="3" s="1"/>
  <c r="H126" i="2"/>
  <c r="K127" i="2"/>
  <c r="D125" i="3"/>
  <c r="L127" i="2"/>
  <c r="I126" i="2"/>
  <c r="F126" i="2" s="1"/>
  <c r="E126" i="2"/>
  <c r="C127" i="2"/>
  <c r="T127" i="2" s="1"/>
  <c r="M127" i="2"/>
  <c r="J126" i="2"/>
  <c r="G126" i="2" s="1"/>
  <c r="D124" i="4" l="1"/>
  <c r="C124" i="4"/>
  <c r="AB123" i="3"/>
  <c r="E124" i="4" s="1"/>
  <c r="D126" i="3"/>
  <c r="H127" i="2"/>
  <c r="K128" i="2"/>
  <c r="U123" i="3"/>
  <c r="J124" i="4" s="1"/>
  <c r="I123" i="3"/>
  <c r="F124" i="4" s="1"/>
  <c r="O123" i="3"/>
  <c r="H124" i="4" s="1"/>
  <c r="K124" i="4"/>
  <c r="N124" i="4" s="1"/>
  <c r="G124" i="4"/>
  <c r="L124" i="4" s="1"/>
  <c r="I124" i="4"/>
  <c r="M124" i="4" s="1"/>
  <c r="D129" i="2"/>
  <c r="I127" i="2"/>
  <c r="L128" i="2"/>
  <c r="G127" i="2"/>
  <c r="M128" i="2"/>
  <c r="J127" i="2"/>
  <c r="A125" i="4"/>
  <c r="E124" i="3"/>
  <c r="F124" i="3" s="1"/>
  <c r="G124" i="3"/>
  <c r="S124" i="3"/>
  <c r="Y124" i="3" s="1"/>
  <c r="Z124" i="3" s="1"/>
  <c r="AA124" i="3" s="1"/>
  <c r="M124" i="3"/>
  <c r="N124" i="3"/>
  <c r="P124" i="3"/>
  <c r="C124" i="3"/>
  <c r="T124" i="3"/>
  <c r="V124" i="3"/>
  <c r="J124" i="3"/>
  <c r="H124" i="3"/>
  <c r="C128" i="2"/>
  <c r="T128" i="2" s="1"/>
  <c r="E127" i="2"/>
  <c r="F127" i="2"/>
  <c r="D125" i="4" l="1"/>
  <c r="J128" i="2"/>
  <c r="M129" i="2"/>
  <c r="L129" i="2"/>
  <c r="I128" i="2"/>
  <c r="D130" i="2"/>
  <c r="K129" i="2"/>
  <c r="H128" i="2"/>
  <c r="E128" i="2" s="1"/>
  <c r="C125" i="4"/>
  <c r="AB124" i="3"/>
  <c r="E125" i="4" s="1"/>
  <c r="G128" i="2"/>
  <c r="D127" i="3"/>
  <c r="A126" i="4"/>
  <c r="N125" i="3"/>
  <c r="P125" i="3"/>
  <c r="M125" i="3"/>
  <c r="C125" i="3"/>
  <c r="S125" i="3"/>
  <c r="Y125" i="3" s="1"/>
  <c r="Z125" i="3" s="1"/>
  <c r="AA125" i="3" s="1"/>
  <c r="E125" i="3"/>
  <c r="F125" i="3" s="1"/>
  <c r="T125" i="3"/>
  <c r="G125" i="3"/>
  <c r="H125" i="3"/>
  <c r="V125" i="3"/>
  <c r="J125" i="3"/>
  <c r="F128" i="2"/>
  <c r="C129" i="2"/>
  <c r="T129" i="2" s="1"/>
  <c r="I124" i="3"/>
  <c r="U124" i="3"/>
  <c r="O124" i="3"/>
  <c r="H125" i="4" s="1"/>
  <c r="F125" i="4"/>
  <c r="G125" i="4"/>
  <c r="L125" i="4" s="1"/>
  <c r="I125" i="4"/>
  <c r="M125" i="4" s="1"/>
  <c r="J125" i="4"/>
  <c r="K125" i="4"/>
  <c r="N125" i="4" s="1"/>
  <c r="D126" i="4" l="1"/>
  <c r="K130" i="2"/>
  <c r="H129" i="2"/>
  <c r="A127" i="4"/>
  <c r="N126" i="3"/>
  <c r="C126" i="3"/>
  <c r="P126" i="3"/>
  <c r="E126" i="3"/>
  <c r="F126" i="3" s="1"/>
  <c r="G126" i="3"/>
  <c r="S126" i="3"/>
  <c r="Y126" i="3" s="1"/>
  <c r="Z126" i="3" s="1"/>
  <c r="AA126" i="3" s="1"/>
  <c r="H126" i="3"/>
  <c r="T126" i="3"/>
  <c r="J126" i="3"/>
  <c r="V126" i="3"/>
  <c r="M126" i="3"/>
  <c r="C130" i="2"/>
  <c r="E129" i="2"/>
  <c r="C126" i="4"/>
  <c r="AB125" i="3"/>
  <c r="E126" i="4" s="1"/>
  <c r="D131" i="2"/>
  <c r="T130" i="2"/>
  <c r="F126" i="4"/>
  <c r="I126" i="4"/>
  <c r="M126" i="4" s="1"/>
  <c r="G126" i="4"/>
  <c r="L126" i="4" s="1"/>
  <c r="K126" i="4"/>
  <c r="N126" i="4" s="1"/>
  <c r="L130" i="2"/>
  <c r="I129" i="2"/>
  <c r="F129" i="2" s="1"/>
  <c r="O125" i="3"/>
  <c r="H126" i="4" s="1"/>
  <c r="U125" i="3"/>
  <c r="J126" i="4" s="1"/>
  <c r="I125" i="3"/>
  <c r="D128" i="3"/>
  <c r="M130" i="2"/>
  <c r="J129" i="2"/>
  <c r="G129" i="2" s="1"/>
  <c r="D127" i="4" l="1"/>
  <c r="D132" i="2"/>
  <c r="A128" i="4"/>
  <c r="H127" i="3"/>
  <c r="T127" i="3"/>
  <c r="M127" i="3"/>
  <c r="N127" i="3"/>
  <c r="C127" i="3"/>
  <c r="P127" i="3"/>
  <c r="E127" i="3"/>
  <c r="F127" i="3" s="1"/>
  <c r="S127" i="3"/>
  <c r="Y127" i="3" s="1"/>
  <c r="Z127" i="3" s="1"/>
  <c r="AA127" i="3" s="1"/>
  <c r="G127" i="3"/>
  <c r="V127" i="3"/>
  <c r="J127" i="3"/>
  <c r="L131" i="2"/>
  <c r="I130" i="2"/>
  <c r="F130" i="2" s="1"/>
  <c r="O126" i="3"/>
  <c r="H127" i="4" s="1"/>
  <c r="I126" i="3"/>
  <c r="F127" i="4" s="1"/>
  <c r="U126" i="3"/>
  <c r="J127" i="4" s="1"/>
  <c r="E130" i="2"/>
  <c r="C131" i="2"/>
  <c r="T131" i="2" s="1"/>
  <c r="C127" i="4"/>
  <c r="AB126" i="3"/>
  <c r="E127" i="4" s="1"/>
  <c r="G127" i="4"/>
  <c r="L127" i="4" s="1"/>
  <c r="K127" i="4"/>
  <c r="N127" i="4" s="1"/>
  <c r="I127" i="4"/>
  <c r="M127" i="4" s="1"/>
  <c r="M131" i="2"/>
  <c r="J130" i="2"/>
  <c r="G130" i="2" s="1"/>
  <c r="H130" i="2"/>
  <c r="K131" i="2"/>
  <c r="D129" i="3"/>
  <c r="D128" i="4" l="1"/>
  <c r="M132" i="2"/>
  <c r="J131" i="2"/>
  <c r="G131" i="2" s="1"/>
  <c r="C128" i="4"/>
  <c r="AB127" i="3"/>
  <c r="E128" i="4" s="1"/>
  <c r="I131" i="2"/>
  <c r="L132" i="2"/>
  <c r="K128" i="4"/>
  <c r="N128" i="4" s="1"/>
  <c r="G128" i="4"/>
  <c r="L128" i="4" s="1"/>
  <c r="J128" i="4"/>
  <c r="I128" i="4"/>
  <c r="M128" i="4" s="1"/>
  <c r="D130" i="3"/>
  <c r="D133" i="2"/>
  <c r="T132" i="2"/>
  <c r="K132" i="2"/>
  <c r="H131" i="2"/>
  <c r="E131" i="2" s="1"/>
  <c r="O127" i="3"/>
  <c r="H128" i="4" s="1"/>
  <c r="U127" i="3"/>
  <c r="I127" i="3"/>
  <c r="F128" i="4" s="1"/>
  <c r="F131" i="2"/>
  <c r="C132" i="2"/>
  <c r="A129" i="4"/>
  <c r="E128" i="3"/>
  <c r="F128" i="3" s="1"/>
  <c r="M128" i="3"/>
  <c r="N128" i="3"/>
  <c r="C128" i="3"/>
  <c r="P128" i="3"/>
  <c r="G128" i="3"/>
  <c r="S128" i="3"/>
  <c r="Y128" i="3" s="1"/>
  <c r="Z128" i="3" s="1"/>
  <c r="AA128" i="3" s="1"/>
  <c r="H128" i="3"/>
  <c r="T128" i="3"/>
  <c r="V128" i="3"/>
  <c r="J128" i="3"/>
  <c r="D129" i="4" l="1"/>
  <c r="A130" i="4"/>
  <c r="H129" i="3"/>
  <c r="T129" i="3"/>
  <c r="J129" i="3"/>
  <c r="V129" i="3"/>
  <c r="M129" i="3"/>
  <c r="N129" i="3"/>
  <c r="C129" i="3"/>
  <c r="P129" i="3"/>
  <c r="E129" i="3"/>
  <c r="F129" i="3" s="1"/>
  <c r="G129" i="3"/>
  <c r="S129" i="3"/>
  <c r="Y129" i="3" s="1"/>
  <c r="Z129" i="3" s="1"/>
  <c r="AA129" i="3" s="1"/>
  <c r="K133" i="2"/>
  <c r="H132" i="2"/>
  <c r="I132" i="2"/>
  <c r="L133" i="2"/>
  <c r="C129" i="4"/>
  <c r="AB128" i="3"/>
  <c r="E129" i="4" s="1"/>
  <c r="O128" i="3"/>
  <c r="H129" i="4" s="1"/>
  <c r="U128" i="3"/>
  <c r="J129" i="4" s="1"/>
  <c r="I128" i="3"/>
  <c r="F129" i="4" s="1"/>
  <c r="D134" i="2"/>
  <c r="I129" i="4"/>
  <c r="M129" i="4" s="1"/>
  <c r="G129" i="4"/>
  <c r="L129" i="4" s="1"/>
  <c r="K129" i="4"/>
  <c r="N129" i="4" s="1"/>
  <c r="C133" i="2"/>
  <c r="F132" i="2"/>
  <c r="E132" i="2"/>
  <c r="D131" i="3"/>
  <c r="J132" i="2"/>
  <c r="G132" i="2" s="1"/>
  <c r="M133" i="2"/>
  <c r="D130" i="4" l="1"/>
  <c r="I129" i="3"/>
  <c r="U129" i="3"/>
  <c r="O129" i="3"/>
  <c r="C134" i="2"/>
  <c r="E133" i="2"/>
  <c r="C130" i="4"/>
  <c r="AB129" i="3"/>
  <c r="E130" i="4" s="1"/>
  <c r="L134" i="2"/>
  <c r="I133" i="2"/>
  <c r="F133" i="2" s="1"/>
  <c r="K134" i="2"/>
  <c r="H133" i="2"/>
  <c r="T133" i="2"/>
  <c r="I130" i="4"/>
  <c r="M130" i="4" s="1"/>
  <c r="K130" i="4"/>
  <c r="N130" i="4" s="1"/>
  <c r="H130" i="4"/>
  <c r="J130" i="4"/>
  <c r="F130" i="4"/>
  <c r="G130" i="4"/>
  <c r="L130" i="4" s="1"/>
  <c r="D132" i="3"/>
  <c r="D135" i="2"/>
  <c r="M134" i="2"/>
  <c r="J133" i="2"/>
  <c r="G133" i="2"/>
  <c r="A131" i="4"/>
  <c r="E130" i="3"/>
  <c r="F130" i="3" s="1"/>
  <c r="G130" i="3"/>
  <c r="S130" i="3"/>
  <c r="Y130" i="3" s="1"/>
  <c r="Z130" i="3" s="1"/>
  <c r="AA130" i="3" s="1"/>
  <c r="H130" i="3"/>
  <c r="T130" i="3"/>
  <c r="J130" i="3"/>
  <c r="V130" i="3"/>
  <c r="M130" i="3"/>
  <c r="N130" i="3"/>
  <c r="C130" i="3"/>
  <c r="P130" i="3"/>
  <c r="D131" i="4" l="1"/>
  <c r="D133" i="3"/>
  <c r="L135" i="2"/>
  <c r="I134" i="2"/>
  <c r="A132" i="4"/>
  <c r="N131" i="3"/>
  <c r="C131" i="3"/>
  <c r="P131" i="3"/>
  <c r="E131" i="3"/>
  <c r="F131" i="3" s="1"/>
  <c r="G131" i="3"/>
  <c r="S131" i="3"/>
  <c r="Y131" i="3" s="1"/>
  <c r="Z131" i="3" s="1"/>
  <c r="AA131" i="3" s="1"/>
  <c r="H131" i="3"/>
  <c r="T131" i="3"/>
  <c r="J131" i="3"/>
  <c r="V131" i="3"/>
  <c r="M131" i="3"/>
  <c r="I130" i="3"/>
  <c r="F131" i="4" s="1"/>
  <c r="U130" i="3"/>
  <c r="O130" i="3"/>
  <c r="H131" i="4" s="1"/>
  <c r="F134" i="2"/>
  <c r="E134" i="2"/>
  <c r="C135" i="2"/>
  <c r="J131" i="4"/>
  <c r="K131" i="4"/>
  <c r="N131" i="4" s="1"/>
  <c r="G131" i="4"/>
  <c r="L131" i="4" s="1"/>
  <c r="I131" i="4"/>
  <c r="M131" i="4" s="1"/>
  <c r="C131" i="4"/>
  <c r="AB130" i="3"/>
  <c r="E131" i="4" s="1"/>
  <c r="M135" i="2"/>
  <c r="J134" i="2"/>
  <c r="G134" i="2" s="1"/>
  <c r="T134" i="2"/>
  <c r="T135" i="2"/>
  <c r="D136" i="2"/>
  <c r="H134" i="2"/>
  <c r="K135" i="2"/>
  <c r="D132" i="4" l="1"/>
  <c r="O131" i="3"/>
  <c r="I131" i="3"/>
  <c r="F132" i="4" s="1"/>
  <c r="U131" i="3"/>
  <c r="J135" i="2"/>
  <c r="G135" i="2" s="1"/>
  <c r="M136" i="2"/>
  <c r="A133" i="4"/>
  <c r="M132" i="3"/>
  <c r="N132" i="3"/>
  <c r="C132" i="3"/>
  <c r="P132" i="3"/>
  <c r="E132" i="3"/>
  <c r="F132" i="3" s="1"/>
  <c r="G132" i="3"/>
  <c r="S132" i="3"/>
  <c r="Y132" i="3" s="1"/>
  <c r="Z132" i="3" s="1"/>
  <c r="AA132" i="3" s="1"/>
  <c r="H132" i="3"/>
  <c r="T132" i="3"/>
  <c r="J132" i="3"/>
  <c r="V132" i="3"/>
  <c r="C132" i="4"/>
  <c r="AB131" i="3"/>
  <c r="E132" i="4" s="1"/>
  <c r="G132" i="4"/>
  <c r="L132" i="4" s="1"/>
  <c r="I132" i="4"/>
  <c r="M132" i="4" s="1"/>
  <c r="J132" i="4"/>
  <c r="K132" i="4"/>
  <c r="N132" i="4" s="1"/>
  <c r="H132" i="4"/>
  <c r="I135" i="2"/>
  <c r="L136" i="2"/>
  <c r="D134" i="3"/>
  <c r="K136" i="2"/>
  <c r="H135" i="2"/>
  <c r="E135" i="2" s="1"/>
  <c r="T136" i="2"/>
  <c r="D137" i="2"/>
  <c r="F135" i="2"/>
  <c r="C136" i="2"/>
  <c r="D133" i="4" l="1"/>
  <c r="K137" i="2"/>
  <c r="H136" i="2"/>
  <c r="C133" i="4"/>
  <c r="AB132" i="3"/>
  <c r="E133" i="4" s="1"/>
  <c r="I133" i="4"/>
  <c r="M133" i="4" s="1"/>
  <c r="K133" i="4"/>
  <c r="N133" i="4" s="1"/>
  <c r="G133" i="4"/>
  <c r="L133" i="4" s="1"/>
  <c r="J136" i="2"/>
  <c r="G136" i="2" s="1"/>
  <c r="M137" i="2"/>
  <c r="D135" i="3"/>
  <c r="L137" i="2"/>
  <c r="I136" i="2"/>
  <c r="E136" i="2"/>
  <c r="F136" i="2"/>
  <c r="C137" i="2"/>
  <c r="A134" i="4"/>
  <c r="H133" i="3"/>
  <c r="T133" i="3"/>
  <c r="J133" i="3"/>
  <c r="V133" i="3"/>
  <c r="M133" i="3"/>
  <c r="N133" i="3"/>
  <c r="C133" i="3"/>
  <c r="P133" i="3"/>
  <c r="E133" i="3"/>
  <c r="F133" i="3" s="1"/>
  <c r="G133" i="3"/>
  <c r="S133" i="3"/>
  <c r="Y133" i="3" s="1"/>
  <c r="Z133" i="3" s="1"/>
  <c r="AA133" i="3" s="1"/>
  <c r="D138" i="2"/>
  <c r="O132" i="3"/>
  <c r="H133" i="4" s="1"/>
  <c r="I132" i="3"/>
  <c r="F133" i="4" s="1"/>
  <c r="U132" i="3"/>
  <c r="J133" i="4" s="1"/>
  <c r="D134" i="4" l="1"/>
  <c r="G134" i="4"/>
  <c r="L134" i="4" s="1"/>
  <c r="I134" i="4"/>
  <c r="M134" i="4" s="1"/>
  <c r="K134" i="4"/>
  <c r="N134" i="4" s="1"/>
  <c r="C138" i="2"/>
  <c r="F137" i="2"/>
  <c r="A135" i="4"/>
  <c r="E134" i="3"/>
  <c r="F134" i="3" s="1"/>
  <c r="G134" i="3"/>
  <c r="S134" i="3"/>
  <c r="Y134" i="3" s="1"/>
  <c r="Z134" i="3" s="1"/>
  <c r="AA134" i="3" s="1"/>
  <c r="H134" i="3"/>
  <c r="T134" i="3"/>
  <c r="J134" i="3"/>
  <c r="V134" i="3"/>
  <c r="M134" i="3"/>
  <c r="N134" i="3"/>
  <c r="P134" i="3"/>
  <c r="C134" i="3"/>
  <c r="L138" i="2"/>
  <c r="I137" i="2"/>
  <c r="C134" i="4"/>
  <c r="AB133" i="3"/>
  <c r="E134" i="4" s="1"/>
  <c r="D136" i="3"/>
  <c r="H137" i="2"/>
  <c r="E137" i="2" s="1"/>
  <c r="K138" i="2"/>
  <c r="O133" i="3"/>
  <c r="H134" i="4" s="1"/>
  <c r="I133" i="3"/>
  <c r="F134" i="4" s="1"/>
  <c r="U133" i="3"/>
  <c r="J134" i="4" s="1"/>
  <c r="J137" i="2"/>
  <c r="G137" i="2" s="1"/>
  <c r="M138" i="2"/>
  <c r="D139" i="2"/>
  <c r="T137" i="2"/>
  <c r="D135" i="4" l="1"/>
  <c r="H138" i="2"/>
  <c r="E138" i="2" s="1"/>
  <c r="K139" i="2"/>
  <c r="G135" i="4"/>
  <c r="L135" i="4" s="1"/>
  <c r="I135" i="4"/>
  <c r="M135" i="4" s="1"/>
  <c r="K135" i="4"/>
  <c r="N135" i="4" s="1"/>
  <c r="C135" i="4"/>
  <c r="AB134" i="3"/>
  <c r="E135" i="4" s="1"/>
  <c r="C139" i="2"/>
  <c r="D137" i="3"/>
  <c r="T138" i="2"/>
  <c r="A136" i="4"/>
  <c r="N135" i="3"/>
  <c r="P135" i="3"/>
  <c r="E135" i="3"/>
  <c r="F135" i="3" s="1"/>
  <c r="G135" i="3"/>
  <c r="S135" i="3"/>
  <c r="Y135" i="3" s="1"/>
  <c r="Z135" i="3" s="1"/>
  <c r="AA135" i="3" s="1"/>
  <c r="H135" i="3"/>
  <c r="T135" i="3"/>
  <c r="J135" i="3"/>
  <c r="V135" i="3"/>
  <c r="C135" i="3"/>
  <c r="M135" i="3"/>
  <c r="T139" i="2"/>
  <c r="D140" i="2"/>
  <c r="M139" i="2"/>
  <c r="J138" i="2"/>
  <c r="G138" i="2" s="1"/>
  <c r="I138" i="2"/>
  <c r="F138" i="2" s="1"/>
  <c r="L139" i="2"/>
  <c r="I134" i="3"/>
  <c r="F135" i="4" s="1"/>
  <c r="U134" i="3"/>
  <c r="J135" i="4" s="1"/>
  <c r="O134" i="3"/>
  <c r="H135" i="4" s="1"/>
  <c r="D136" i="4" l="1"/>
  <c r="M140" i="2"/>
  <c r="J139" i="2"/>
  <c r="G139" i="2" s="1"/>
  <c r="A137" i="4"/>
  <c r="M136" i="3"/>
  <c r="N136" i="3"/>
  <c r="C136" i="3"/>
  <c r="P136" i="3"/>
  <c r="E136" i="3"/>
  <c r="F136" i="3" s="1"/>
  <c r="G136" i="3"/>
  <c r="S136" i="3"/>
  <c r="Y136" i="3" s="1"/>
  <c r="Z136" i="3" s="1"/>
  <c r="AA136" i="3" s="1"/>
  <c r="H136" i="3"/>
  <c r="T136" i="3"/>
  <c r="V136" i="3"/>
  <c r="J136" i="3"/>
  <c r="I135" i="3"/>
  <c r="U135" i="3"/>
  <c r="J136" i="4" s="1"/>
  <c r="O135" i="3"/>
  <c r="C136" i="4"/>
  <c r="AB135" i="3"/>
  <c r="E136" i="4" s="1"/>
  <c r="F136" i="4"/>
  <c r="G136" i="4"/>
  <c r="L136" i="4" s="1"/>
  <c r="H136" i="4"/>
  <c r="K136" i="4"/>
  <c r="N136" i="4" s="1"/>
  <c r="I136" i="4"/>
  <c r="M136" i="4" s="1"/>
  <c r="D138" i="3"/>
  <c r="H139" i="2"/>
  <c r="K140" i="2"/>
  <c r="T140" i="2"/>
  <c r="D141" i="2"/>
  <c r="I139" i="2"/>
  <c r="F139" i="2" s="1"/>
  <c r="L140" i="2"/>
  <c r="C140" i="2"/>
  <c r="E139" i="2"/>
  <c r="D137" i="4" l="1"/>
  <c r="D142" i="2"/>
  <c r="T141" i="2"/>
  <c r="A138" i="4"/>
  <c r="H137" i="3"/>
  <c r="T137" i="3"/>
  <c r="J137" i="3"/>
  <c r="V137" i="3"/>
  <c r="M137" i="3"/>
  <c r="N137" i="3"/>
  <c r="C137" i="3"/>
  <c r="P137" i="3"/>
  <c r="E137" i="3"/>
  <c r="F137" i="3" s="1"/>
  <c r="G137" i="3"/>
  <c r="S137" i="3"/>
  <c r="Y137" i="3" s="1"/>
  <c r="Z137" i="3" s="1"/>
  <c r="AA137" i="3" s="1"/>
  <c r="O136" i="3"/>
  <c r="H137" i="4" s="1"/>
  <c r="I136" i="3"/>
  <c r="F137" i="4" s="1"/>
  <c r="U136" i="3"/>
  <c r="J137" i="4" s="1"/>
  <c r="K141" i="2"/>
  <c r="H140" i="2"/>
  <c r="E140" i="2" s="1"/>
  <c r="C137" i="4"/>
  <c r="AB136" i="3"/>
  <c r="E137" i="4" s="1"/>
  <c r="D139" i="3"/>
  <c r="G137" i="4"/>
  <c r="L137" i="4" s="1"/>
  <c r="I137" i="4"/>
  <c r="M137" i="4" s="1"/>
  <c r="K137" i="4"/>
  <c r="N137" i="4" s="1"/>
  <c r="J140" i="2"/>
  <c r="G140" i="2" s="1"/>
  <c r="M141" i="2"/>
  <c r="F140" i="2"/>
  <c r="C141" i="2"/>
  <c r="L141" i="2"/>
  <c r="I140" i="2"/>
  <c r="D138" i="4" l="1"/>
  <c r="M142" i="2"/>
  <c r="J141" i="2"/>
  <c r="G141" i="2" s="1"/>
  <c r="C138" i="4"/>
  <c r="AB137" i="3"/>
  <c r="E138" i="4" s="1"/>
  <c r="K142" i="2"/>
  <c r="H141" i="2"/>
  <c r="I138" i="4"/>
  <c r="M138" i="4" s="1"/>
  <c r="G138" i="4"/>
  <c r="L138" i="4" s="1"/>
  <c r="K138" i="4"/>
  <c r="N138" i="4" s="1"/>
  <c r="A139" i="4"/>
  <c r="E138" i="3"/>
  <c r="F138" i="3" s="1"/>
  <c r="G138" i="3"/>
  <c r="S138" i="3"/>
  <c r="Y138" i="3" s="1"/>
  <c r="Z138" i="3" s="1"/>
  <c r="AA138" i="3" s="1"/>
  <c r="H138" i="3"/>
  <c r="T138" i="3"/>
  <c r="J138" i="3"/>
  <c r="V138" i="3"/>
  <c r="M138" i="3"/>
  <c r="N138" i="3"/>
  <c r="C138" i="3"/>
  <c r="P138" i="3"/>
  <c r="D143" i="2"/>
  <c r="T142" i="2"/>
  <c r="L142" i="2"/>
  <c r="I141" i="2"/>
  <c r="F141" i="2" s="1"/>
  <c r="O137" i="3"/>
  <c r="H138" i="4" s="1"/>
  <c r="I137" i="3"/>
  <c r="F138" i="4" s="1"/>
  <c r="U137" i="3"/>
  <c r="J138" i="4" s="1"/>
  <c r="D140" i="3"/>
  <c r="E141" i="2"/>
  <c r="C142" i="2"/>
  <c r="D139" i="4" l="1"/>
  <c r="H142" i="2"/>
  <c r="K143" i="2"/>
  <c r="A140" i="4"/>
  <c r="N139" i="3"/>
  <c r="P139" i="3"/>
  <c r="E139" i="3"/>
  <c r="F139" i="3" s="1"/>
  <c r="G139" i="3"/>
  <c r="S139" i="3"/>
  <c r="Y139" i="3" s="1"/>
  <c r="Z139" i="3" s="1"/>
  <c r="AA139" i="3" s="1"/>
  <c r="J139" i="3"/>
  <c r="V139" i="3"/>
  <c r="H139" i="3"/>
  <c r="M139" i="3"/>
  <c r="T139" i="3"/>
  <c r="C139" i="3"/>
  <c r="E142" i="2"/>
  <c r="C143" i="2"/>
  <c r="T143" i="2" s="1"/>
  <c r="F142" i="2"/>
  <c r="D144" i="2"/>
  <c r="I138" i="3"/>
  <c r="F139" i="4" s="1"/>
  <c r="U138" i="3"/>
  <c r="J139" i="4" s="1"/>
  <c r="O138" i="3"/>
  <c r="H139" i="4" s="1"/>
  <c r="I142" i="2"/>
  <c r="L143" i="2"/>
  <c r="G139" i="4"/>
  <c r="L139" i="4" s="1"/>
  <c r="K139" i="4"/>
  <c r="N139" i="4" s="1"/>
  <c r="I139" i="4"/>
  <c r="M139" i="4" s="1"/>
  <c r="M143" i="2"/>
  <c r="J142" i="2"/>
  <c r="G142" i="2" s="1"/>
  <c r="D141" i="3"/>
  <c r="C139" i="4"/>
  <c r="AB138" i="3"/>
  <c r="E139" i="4" s="1"/>
  <c r="D140" i="4" l="1"/>
  <c r="J143" i="2"/>
  <c r="G143" i="2" s="1"/>
  <c r="M144" i="2"/>
  <c r="D145" i="2"/>
  <c r="A141" i="4"/>
  <c r="M140" i="3"/>
  <c r="N140" i="3"/>
  <c r="C140" i="3"/>
  <c r="P140" i="3"/>
  <c r="G140" i="3"/>
  <c r="S140" i="3"/>
  <c r="Y140" i="3" s="1"/>
  <c r="Z140" i="3" s="1"/>
  <c r="AA140" i="3" s="1"/>
  <c r="H140" i="3"/>
  <c r="T140" i="3"/>
  <c r="J140" i="3"/>
  <c r="V140" i="3"/>
  <c r="E140" i="3"/>
  <c r="F140" i="3" s="1"/>
  <c r="I139" i="3"/>
  <c r="U139" i="3"/>
  <c r="O139" i="3"/>
  <c r="H140" i="4" s="1"/>
  <c r="C144" i="2"/>
  <c r="T144" i="2" s="1"/>
  <c r="K140" i="4"/>
  <c r="N140" i="4" s="1"/>
  <c r="F140" i="4"/>
  <c r="G140" i="4"/>
  <c r="L140" i="4" s="1"/>
  <c r="J140" i="4"/>
  <c r="I140" i="4"/>
  <c r="M140" i="4" s="1"/>
  <c r="I143" i="2"/>
  <c r="F143" i="2" s="1"/>
  <c r="L144" i="2"/>
  <c r="K144" i="2"/>
  <c r="H143" i="2"/>
  <c r="E143" i="2" s="1"/>
  <c r="C140" i="4"/>
  <c r="AB139" i="3"/>
  <c r="E140" i="4" s="1"/>
  <c r="D142" i="3"/>
  <c r="D141" i="4" l="1"/>
  <c r="K145" i="2"/>
  <c r="H144" i="2"/>
  <c r="I144" i="2"/>
  <c r="L145" i="2"/>
  <c r="C141" i="4"/>
  <c r="AB140" i="3"/>
  <c r="E141" i="4" s="1"/>
  <c r="O140" i="3"/>
  <c r="H141" i="4" s="1"/>
  <c r="I140" i="3"/>
  <c r="F141" i="4" s="1"/>
  <c r="U140" i="3"/>
  <c r="J141" i="4"/>
  <c r="I141" i="4"/>
  <c r="M141" i="4" s="1"/>
  <c r="K141" i="4"/>
  <c r="N141" i="4" s="1"/>
  <c r="G141" i="4"/>
  <c r="L141" i="4" s="1"/>
  <c r="A142" i="4"/>
  <c r="H141" i="3"/>
  <c r="T141" i="3"/>
  <c r="J141" i="3"/>
  <c r="V141" i="3"/>
  <c r="M141" i="3"/>
  <c r="C141" i="3"/>
  <c r="P141" i="3"/>
  <c r="E141" i="3"/>
  <c r="F141" i="3" s="1"/>
  <c r="N141" i="3"/>
  <c r="S141" i="3"/>
  <c r="Y141" i="3" s="1"/>
  <c r="Z141" i="3" s="1"/>
  <c r="AA141" i="3" s="1"/>
  <c r="G141" i="3"/>
  <c r="D146" i="2"/>
  <c r="J144" i="2"/>
  <c r="G144" i="2" s="1"/>
  <c r="M145" i="2"/>
  <c r="C145" i="2"/>
  <c r="F144" i="2"/>
  <c r="E144" i="2"/>
  <c r="D143" i="3"/>
  <c r="D142" i="4" l="1"/>
  <c r="J145" i="2"/>
  <c r="M146" i="2"/>
  <c r="C142" i="4"/>
  <c r="AB141" i="3"/>
  <c r="E142" i="4" s="1"/>
  <c r="C146" i="2"/>
  <c r="E145" i="2"/>
  <c r="T145" i="2"/>
  <c r="G145" i="2"/>
  <c r="D147" i="2"/>
  <c r="I142" i="4"/>
  <c r="M142" i="4" s="1"/>
  <c r="K142" i="4"/>
  <c r="N142" i="4" s="1"/>
  <c r="G142" i="4"/>
  <c r="L142" i="4" s="1"/>
  <c r="L146" i="2"/>
  <c r="I145" i="2"/>
  <c r="F145" i="2" s="1"/>
  <c r="D144" i="3"/>
  <c r="A143" i="4"/>
  <c r="E142" i="3"/>
  <c r="F142" i="3" s="1"/>
  <c r="G142" i="3"/>
  <c r="S142" i="3"/>
  <c r="Y142" i="3" s="1"/>
  <c r="Z142" i="3" s="1"/>
  <c r="AA142" i="3" s="1"/>
  <c r="H142" i="3"/>
  <c r="T142" i="3"/>
  <c r="J142" i="3"/>
  <c r="V142" i="3"/>
  <c r="M142" i="3"/>
  <c r="N142" i="3"/>
  <c r="P142" i="3"/>
  <c r="C142" i="3"/>
  <c r="H145" i="2"/>
  <c r="K146" i="2"/>
  <c r="O141" i="3"/>
  <c r="H142" i="4" s="1"/>
  <c r="I141" i="3"/>
  <c r="F142" i="4" s="1"/>
  <c r="U141" i="3"/>
  <c r="J142" i="4" s="1"/>
  <c r="D143" i="4" l="1"/>
  <c r="D145" i="3"/>
  <c r="C143" i="4"/>
  <c r="AB142" i="3"/>
  <c r="E143" i="4" s="1"/>
  <c r="L147" i="2"/>
  <c r="I146" i="2"/>
  <c r="C147" i="2"/>
  <c r="E146" i="2"/>
  <c r="F146" i="2"/>
  <c r="J146" i="2"/>
  <c r="G146" i="2" s="1"/>
  <c r="M147" i="2"/>
  <c r="H146" i="2"/>
  <c r="K147" i="2"/>
  <c r="A144" i="4"/>
  <c r="N143" i="3"/>
  <c r="P143" i="3"/>
  <c r="E143" i="3"/>
  <c r="F143" i="3" s="1"/>
  <c r="G143" i="3"/>
  <c r="S143" i="3"/>
  <c r="Y143" i="3" s="1"/>
  <c r="Z143" i="3" s="1"/>
  <c r="AA143" i="3" s="1"/>
  <c r="J143" i="3"/>
  <c r="V143" i="3"/>
  <c r="M143" i="3"/>
  <c r="T143" i="3"/>
  <c r="C143" i="3"/>
  <c r="H143" i="3"/>
  <c r="I142" i="3"/>
  <c r="U142" i="3"/>
  <c r="O142" i="3"/>
  <c r="T146" i="2"/>
  <c r="H143" i="4"/>
  <c r="J143" i="4"/>
  <c r="K143" i="4"/>
  <c r="N143" i="4" s="1"/>
  <c r="G143" i="4"/>
  <c r="L143" i="4" s="1"/>
  <c r="I143" i="4"/>
  <c r="M143" i="4" s="1"/>
  <c r="F143" i="4"/>
  <c r="D148" i="2"/>
  <c r="D144" i="4" l="1"/>
  <c r="C148" i="2"/>
  <c r="A145" i="4"/>
  <c r="M144" i="3"/>
  <c r="N144" i="3"/>
  <c r="C144" i="3"/>
  <c r="P144" i="3"/>
  <c r="G144" i="3"/>
  <c r="S144" i="3"/>
  <c r="Y144" i="3" s="1"/>
  <c r="Z144" i="3" s="1"/>
  <c r="AA144" i="3" s="1"/>
  <c r="H144" i="3"/>
  <c r="T144" i="3"/>
  <c r="V144" i="3"/>
  <c r="E144" i="3"/>
  <c r="F144" i="3" s="1"/>
  <c r="J144" i="3"/>
  <c r="I143" i="3"/>
  <c r="F144" i="4" s="1"/>
  <c r="U143" i="3"/>
  <c r="J144" i="4" s="1"/>
  <c r="O143" i="3"/>
  <c r="H144" i="4" s="1"/>
  <c r="I147" i="2"/>
  <c r="F147" i="2" s="1"/>
  <c r="L148" i="2"/>
  <c r="T148" i="2"/>
  <c r="D149" i="2"/>
  <c r="G144" i="4"/>
  <c r="L144" i="4" s="1"/>
  <c r="I144" i="4"/>
  <c r="M144" i="4" s="1"/>
  <c r="K144" i="4"/>
  <c r="N144" i="4" s="1"/>
  <c r="D146" i="3"/>
  <c r="T147" i="2"/>
  <c r="H147" i="2"/>
  <c r="E147" i="2" s="1"/>
  <c r="K148" i="2"/>
  <c r="C144" i="4"/>
  <c r="AB143" i="3"/>
  <c r="E144" i="4" s="1"/>
  <c r="J147" i="2"/>
  <c r="G147" i="2" s="1"/>
  <c r="M148" i="2"/>
  <c r="D145" i="4" l="1"/>
  <c r="L149" i="2"/>
  <c r="I148" i="2"/>
  <c r="D147" i="3"/>
  <c r="C145" i="4"/>
  <c r="AB144" i="3"/>
  <c r="E145" i="4" s="1"/>
  <c r="F145" i="4"/>
  <c r="H145" i="4"/>
  <c r="I145" i="4"/>
  <c r="M145" i="4" s="1"/>
  <c r="J145" i="4"/>
  <c r="K145" i="4"/>
  <c r="N145" i="4" s="1"/>
  <c r="G145" i="4"/>
  <c r="L145" i="4" s="1"/>
  <c r="J148" i="2"/>
  <c r="G148" i="2" s="1"/>
  <c r="M149" i="2"/>
  <c r="O144" i="3"/>
  <c r="U144" i="3"/>
  <c r="I144" i="3"/>
  <c r="A146" i="4"/>
  <c r="H145" i="3"/>
  <c r="T145" i="3"/>
  <c r="J145" i="3"/>
  <c r="V145" i="3"/>
  <c r="M145" i="3"/>
  <c r="C145" i="3"/>
  <c r="P145" i="3"/>
  <c r="E145" i="3"/>
  <c r="F145" i="3" s="1"/>
  <c r="S145" i="3"/>
  <c r="Y145" i="3" s="1"/>
  <c r="Z145" i="3" s="1"/>
  <c r="AA145" i="3" s="1"/>
  <c r="G145" i="3"/>
  <c r="N145" i="3"/>
  <c r="E148" i="2"/>
  <c r="C149" i="2"/>
  <c r="F148" i="2"/>
  <c r="T149" i="2"/>
  <c r="D150" i="2"/>
  <c r="H148" i="2"/>
  <c r="K149" i="2"/>
  <c r="D146" i="4" l="1"/>
  <c r="G146" i="4"/>
  <c r="L146" i="4" s="1"/>
  <c r="I146" i="4"/>
  <c r="M146" i="4" s="1"/>
  <c r="K146" i="4"/>
  <c r="N146" i="4" s="1"/>
  <c r="A147" i="4"/>
  <c r="E146" i="3"/>
  <c r="F146" i="3" s="1"/>
  <c r="G146" i="3"/>
  <c r="S146" i="3"/>
  <c r="Y146" i="3" s="1"/>
  <c r="Z146" i="3" s="1"/>
  <c r="AA146" i="3" s="1"/>
  <c r="H146" i="3"/>
  <c r="T146" i="3"/>
  <c r="J146" i="3"/>
  <c r="V146" i="3"/>
  <c r="M146" i="3"/>
  <c r="N146" i="3"/>
  <c r="C146" i="3"/>
  <c r="P146" i="3"/>
  <c r="D148" i="3"/>
  <c r="K150" i="2"/>
  <c r="H149" i="2"/>
  <c r="O145" i="3"/>
  <c r="H146" i="4" s="1"/>
  <c r="U145" i="3"/>
  <c r="J146" i="4" s="1"/>
  <c r="I145" i="3"/>
  <c r="F146" i="4" s="1"/>
  <c r="J149" i="2"/>
  <c r="G149" i="2" s="1"/>
  <c r="M150" i="2"/>
  <c r="L150" i="2"/>
  <c r="I149" i="2"/>
  <c r="F149" i="2" s="1"/>
  <c r="C150" i="2"/>
  <c r="E149" i="2"/>
  <c r="D151" i="2"/>
  <c r="C146" i="4"/>
  <c r="AB145" i="3"/>
  <c r="E146" i="4" s="1"/>
  <c r="D147" i="4" l="1"/>
  <c r="D152" i="2"/>
  <c r="H150" i="2"/>
  <c r="E150" i="2" s="1"/>
  <c r="K151" i="2"/>
  <c r="D149" i="3"/>
  <c r="A148" i="4"/>
  <c r="N147" i="3"/>
  <c r="P147" i="3"/>
  <c r="E147" i="3"/>
  <c r="F147" i="3" s="1"/>
  <c r="G147" i="3"/>
  <c r="S147" i="3"/>
  <c r="Y147" i="3" s="1"/>
  <c r="Z147" i="3" s="1"/>
  <c r="AA147" i="3" s="1"/>
  <c r="J147" i="3"/>
  <c r="V147" i="3"/>
  <c r="T147" i="3"/>
  <c r="C147" i="3"/>
  <c r="H147" i="3"/>
  <c r="M147" i="3"/>
  <c r="I146" i="3"/>
  <c r="U146" i="3"/>
  <c r="J147" i="4" s="1"/>
  <c r="O146" i="3"/>
  <c r="H147" i="4" s="1"/>
  <c r="C151" i="2"/>
  <c r="T151" i="2" s="1"/>
  <c r="F147" i="4"/>
  <c r="G147" i="4"/>
  <c r="L147" i="4" s="1"/>
  <c r="I147" i="4"/>
  <c r="M147" i="4" s="1"/>
  <c r="K147" i="4"/>
  <c r="N147" i="4" s="1"/>
  <c r="I150" i="2"/>
  <c r="F150" i="2" s="1"/>
  <c r="L151" i="2"/>
  <c r="M151" i="2"/>
  <c r="J150" i="2"/>
  <c r="C147" i="4"/>
  <c r="AB146" i="3"/>
  <c r="E147" i="4" s="1"/>
  <c r="G150" i="2"/>
  <c r="T150" i="2"/>
  <c r="D148" i="4" l="1"/>
  <c r="C148" i="4"/>
  <c r="AB147" i="3"/>
  <c r="E148" i="4" s="1"/>
  <c r="G148" i="4"/>
  <c r="L148" i="4" s="1"/>
  <c r="K148" i="4"/>
  <c r="N148" i="4" s="1"/>
  <c r="I148" i="4"/>
  <c r="M148" i="4" s="1"/>
  <c r="D150" i="3"/>
  <c r="H151" i="2"/>
  <c r="K152" i="2"/>
  <c r="D153" i="2"/>
  <c r="E151" i="2"/>
  <c r="C152" i="2"/>
  <c r="G151" i="2"/>
  <c r="A149" i="4"/>
  <c r="M148" i="3"/>
  <c r="N148" i="3"/>
  <c r="C148" i="3"/>
  <c r="P148" i="3"/>
  <c r="G148" i="3"/>
  <c r="S148" i="3"/>
  <c r="Y148" i="3" s="1"/>
  <c r="Z148" i="3" s="1"/>
  <c r="AA148" i="3" s="1"/>
  <c r="H148" i="3"/>
  <c r="T148" i="3"/>
  <c r="V148" i="3"/>
  <c r="E148" i="3"/>
  <c r="F148" i="3" s="1"/>
  <c r="J148" i="3"/>
  <c r="I151" i="2"/>
  <c r="F151" i="2" s="1"/>
  <c r="L152" i="2"/>
  <c r="M152" i="2"/>
  <c r="J151" i="2"/>
  <c r="I147" i="3"/>
  <c r="F148" i="4" s="1"/>
  <c r="U147" i="3"/>
  <c r="J148" i="4" s="1"/>
  <c r="O147" i="3"/>
  <c r="H148" i="4" s="1"/>
  <c r="D149" i="4" l="1"/>
  <c r="D151" i="3"/>
  <c r="C149" i="4"/>
  <c r="AB148" i="3"/>
  <c r="E149" i="4" s="1"/>
  <c r="G149" i="4"/>
  <c r="L149" i="4" s="1"/>
  <c r="I149" i="4"/>
  <c r="M149" i="4" s="1"/>
  <c r="K149" i="4"/>
  <c r="N149" i="4" s="1"/>
  <c r="O148" i="3"/>
  <c r="H149" i="4" s="1"/>
  <c r="I148" i="3"/>
  <c r="F149" i="4" s="1"/>
  <c r="U148" i="3"/>
  <c r="J149" i="4" s="1"/>
  <c r="A150" i="4"/>
  <c r="H149" i="3"/>
  <c r="T149" i="3"/>
  <c r="J149" i="3"/>
  <c r="V149" i="3"/>
  <c r="M149" i="3"/>
  <c r="C149" i="3"/>
  <c r="P149" i="3"/>
  <c r="E149" i="3"/>
  <c r="F149" i="3" s="1"/>
  <c r="G149" i="3"/>
  <c r="N149" i="3"/>
  <c r="S149" i="3"/>
  <c r="Y149" i="3" s="1"/>
  <c r="Z149" i="3" s="1"/>
  <c r="AA149" i="3" s="1"/>
  <c r="F152" i="2"/>
  <c r="E152" i="2"/>
  <c r="C153" i="2"/>
  <c r="D154" i="2"/>
  <c r="T153" i="2"/>
  <c r="G152" i="2"/>
  <c r="T152" i="2"/>
  <c r="K153" i="2"/>
  <c r="H152" i="2"/>
  <c r="L153" i="2"/>
  <c r="I152" i="2"/>
  <c r="M153" i="2"/>
  <c r="J152" i="2"/>
  <c r="D150" i="4" l="1"/>
  <c r="C150" i="4"/>
  <c r="AB149" i="3"/>
  <c r="E150" i="4" s="1"/>
  <c r="C154" i="2"/>
  <c r="O149" i="3"/>
  <c r="H150" i="4" s="1"/>
  <c r="U149" i="3"/>
  <c r="J150" i="4" s="1"/>
  <c r="I149" i="3"/>
  <c r="F150" i="4"/>
  <c r="I150" i="4"/>
  <c r="M150" i="4" s="1"/>
  <c r="K150" i="4"/>
  <c r="N150" i="4" s="1"/>
  <c r="G150" i="4"/>
  <c r="L150" i="4" s="1"/>
  <c r="I153" i="2"/>
  <c r="F153" i="2" s="1"/>
  <c r="L154" i="2"/>
  <c r="D152" i="3"/>
  <c r="D155" i="2"/>
  <c r="T154" i="2"/>
  <c r="J153" i="2"/>
  <c r="G153" i="2" s="1"/>
  <c r="M154" i="2"/>
  <c r="K154" i="2"/>
  <c r="H153" i="2"/>
  <c r="E153" i="2" s="1"/>
  <c r="A151" i="4"/>
  <c r="E150" i="3"/>
  <c r="F150" i="3" s="1"/>
  <c r="G150" i="3"/>
  <c r="S150" i="3"/>
  <c r="Y150" i="3" s="1"/>
  <c r="Z150" i="3" s="1"/>
  <c r="AA150" i="3" s="1"/>
  <c r="H150" i="3"/>
  <c r="T150" i="3"/>
  <c r="J150" i="3"/>
  <c r="V150" i="3"/>
  <c r="M150" i="3"/>
  <c r="N150" i="3"/>
  <c r="C150" i="3"/>
  <c r="P150" i="3"/>
  <c r="D151" i="4" l="1"/>
  <c r="D156" i="2"/>
  <c r="D153" i="3"/>
  <c r="C155" i="2"/>
  <c r="A152" i="4"/>
  <c r="N151" i="3"/>
  <c r="P151" i="3"/>
  <c r="E151" i="3"/>
  <c r="F151" i="3" s="1"/>
  <c r="G151" i="3"/>
  <c r="S151" i="3"/>
  <c r="Y151" i="3" s="1"/>
  <c r="Z151" i="3" s="1"/>
  <c r="AA151" i="3" s="1"/>
  <c r="J151" i="3"/>
  <c r="V151" i="3"/>
  <c r="C151" i="3"/>
  <c r="H151" i="3"/>
  <c r="M151" i="3"/>
  <c r="T151" i="3"/>
  <c r="I154" i="2"/>
  <c r="F154" i="2" s="1"/>
  <c r="L155" i="2"/>
  <c r="I150" i="3"/>
  <c r="F151" i="4" s="1"/>
  <c r="U150" i="3"/>
  <c r="J151" i="4" s="1"/>
  <c r="O150" i="3"/>
  <c r="H151" i="4" s="1"/>
  <c r="G151" i="4"/>
  <c r="L151" i="4" s="1"/>
  <c r="K151" i="4"/>
  <c r="N151" i="4" s="1"/>
  <c r="I151" i="4"/>
  <c r="M151" i="4" s="1"/>
  <c r="H154" i="2"/>
  <c r="E154" i="2" s="1"/>
  <c r="K155" i="2"/>
  <c r="C151" i="4"/>
  <c r="AB150" i="3"/>
  <c r="E151" i="4" s="1"/>
  <c r="J154" i="2"/>
  <c r="G154" i="2" s="1"/>
  <c r="M155" i="2"/>
  <c r="D152" i="4" l="1"/>
  <c r="K152" i="4"/>
  <c r="N152" i="4" s="1"/>
  <c r="G152" i="4"/>
  <c r="L152" i="4" s="1"/>
  <c r="I152" i="4"/>
  <c r="M152" i="4" s="1"/>
  <c r="C152" i="4"/>
  <c r="AB151" i="3"/>
  <c r="E152" i="4" s="1"/>
  <c r="F155" i="2"/>
  <c r="C156" i="2"/>
  <c r="D154" i="3"/>
  <c r="T156" i="2"/>
  <c r="D157" i="2"/>
  <c r="A153" i="4"/>
  <c r="M152" i="3"/>
  <c r="N152" i="3"/>
  <c r="C152" i="3"/>
  <c r="P152" i="3"/>
  <c r="G152" i="3"/>
  <c r="S152" i="3"/>
  <c r="Y152" i="3" s="1"/>
  <c r="Z152" i="3" s="1"/>
  <c r="AA152" i="3" s="1"/>
  <c r="H152" i="3"/>
  <c r="T152" i="3"/>
  <c r="E152" i="3"/>
  <c r="F152" i="3" s="1"/>
  <c r="J152" i="3"/>
  <c r="V152" i="3"/>
  <c r="T155" i="2"/>
  <c r="M156" i="2"/>
  <c r="J155" i="2"/>
  <c r="G155" i="2" s="1"/>
  <c r="I151" i="3"/>
  <c r="F152" i="4" s="1"/>
  <c r="U151" i="3"/>
  <c r="J152" i="4" s="1"/>
  <c r="O151" i="3"/>
  <c r="H152" i="4" s="1"/>
  <c r="K156" i="2"/>
  <c r="H155" i="2"/>
  <c r="E155" i="2" s="1"/>
  <c r="I155" i="2"/>
  <c r="L156" i="2"/>
  <c r="D153" i="4" l="1"/>
  <c r="J156" i="2"/>
  <c r="G156" i="2" s="1"/>
  <c r="M157" i="2"/>
  <c r="C153" i="4"/>
  <c r="AB152" i="3"/>
  <c r="E153" i="4" s="1"/>
  <c r="J153" i="4"/>
  <c r="G153" i="4"/>
  <c r="L153" i="4" s="1"/>
  <c r="H153" i="4"/>
  <c r="I153" i="4"/>
  <c r="M153" i="4" s="1"/>
  <c r="K153" i="4"/>
  <c r="N153" i="4" s="1"/>
  <c r="I156" i="2"/>
  <c r="L157" i="2"/>
  <c r="O152" i="3"/>
  <c r="I152" i="3"/>
  <c r="F153" i="4" s="1"/>
  <c r="U152" i="3"/>
  <c r="A154" i="4"/>
  <c r="H153" i="3"/>
  <c r="T153" i="3"/>
  <c r="J153" i="3"/>
  <c r="V153" i="3"/>
  <c r="M153" i="3"/>
  <c r="C153" i="3"/>
  <c r="P153" i="3"/>
  <c r="E153" i="3"/>
  <c r="F153" i="3" s="1"/>
  <c r="G153" i="3"/>
  <c r="N153" i="3"/>
  <c r="S153" i="3"/>
  <c r="Y153" i="3" s="1"/>
  <c r="Z153" i="3" s="1"/>
  <c r="AA153" i="3" s="1"/>
  <c r="D158" i="2"/>
  <c r="T157" i="2"/>
  <c r="K157" i="2"/>
  <c r="H156" i="2"/>
  <c r="E156" i="2" s="1"/>
  <c r="D155" i="3"/>
  <c r="F156" i="2"/>
  <c r="C157" i="2"/>
  <c r="D154" i="4" l="1"/>
  <c r="C154" i="4"/>
  <c r="AB153" i="3"/>
  <c r="E154" i="4" s="1"/>
  <c r="D156" i="3"/>
  <c r="T158" i="2"/>
  <c r="D159" i="2"/>
  <c r="I154" i="4"/>
  <c r="M154" i="4" s="1"/>
  <c r="K154" i="4"/>
  <c r="N154" i="4" s="1"/>
  <c r="H154" i="4"/>
  <c r="G154" i="4"/>
  <c r="L154" i="4" s="1"/>
  <c r="C158" i="2"/>
  <c r="M158" i="2"/>
  <c r="J157" i="2"/>
  <c r="G157" i="2" s="1"/>
  <c r="A155" i="4"/>
  <c r="E154" i="3"/>
  <c r="F154" i="3" s="1"/>
  <c r="G154" i="3"/>
  <c r="S154" i="3"/>
  <c r="Y154" i="3" s="1"/>
  <c r="Z154" i="3" s="1"/>
  <c r="AA154" i="3" s="1"/>
  <c r="H154" i="3"/>
  <c r="T154" i="3"/>
  <c r="J154" i="3"/>
  <c r="V154" i="3"/>
  <c r="M154" i="3"/>
  <c r="N154" i="3"/>
  <c r="C154" i="3"/>
  <c r="P154" i="3"/>
  <c r="O153" i="3"/>
  <c r="I153" i="3"/>
  <c r="F154" i="4" s="1"/>
  <c r="U153" i="3"/>
  <c r="J154" i="4" s="1"/>
  <c r="L158" i="2"/>
  <c r="I157" i="2"/>
  <c r="F157" i="2" s="1"/>
  <c r="H157" i="2"/>
  <c r="E157" i="2" s="1"/>
  <c r="K158" i="2"/>
  <c r="D155" i="4" l="1"/>
  <c r="A156" i="4"/>
  <c r="N155" i="3"/>
  <c r="P155" i="3"/>
  <c r="E155" i="3"/>
  <c r="F155" i="3" s="1"/>
  <c r="G155" i="3"/>
  <c r="S155" i="3"/>
  <c r="Y155" i="3" s="1"/>
  <c r="Z155" i="3" s="1"/>
  <c r="AA155" i="3" s="1"/>
  <c r="H155" i="3"/>
  <c r="J155" i="3"/>
  <c r="M155" i="3"/>
  <c r="T155" i="3"/>
  <c r="V155" i="3"/>
  <c r="C155" i="3"/>
  <c r="I154" i="3"/>
  <c r="U154" i="3"/>
  <c r="O154" i="3"/>
  <c r="H155" i="4"/>
  <c r="J155" i="4"/>
  <c r="K155" i="4"/>
  <c r="N155" i="4" s="1"/>
  <c r="F155" i="4"/>
  <c r="G155" i="4"/>
  <c r="L155" i="4" s="1"/>
  <c r="I155" i="4"/>
  <c r="M155" i="4" s="1"/>
  <c r="D160" i="2"/>
  <c r="M159" i="2"/>
  <c r="J158" i="2"/>
  <c r="G158" i="2" s="1"/>
  <c r="C155" i="4"/>
  <c r="AB154" i="3"/>
  <c r="E155" i="4" s="1"/>
  <c r="E158" i="2"/>
  <c r="F158" i="2"/>
  <c r="C159" i="2"/>
  <c r="D157" i="3"/>
  <c r="K159" i="2"/>
  <c r="H158" i="2"/>
  <c r="L159" i="2"/>
  <c r="I158" i="2"/>
  <c r="D156" i="4" l="1"/>
  <c r="C156" i="4"/>
  <c r="AB155" i="3"/>
  <c r="E156" i="4" s="1"/>
  <c r="A157" i="4"/>
  <c r="M156" i="3"/>
  <c r="N156" i="3"/>
  <c r="C156" i="3"/>
  <c r="P156" i="3"/>
  <c r="H156" i="3"/>
  <c r="T156" i="3"/>
  <c r="E156" i="3"/>
  <c r="F156" i="3" s="1"/>
  <c r="G156" i="3"/>
  <c r="J156" i="3"/>
  <c r="S156" i="3"/>
  <c r="Y156" i="3" s="1"/>
  <c r="Z156" i="3" s="1"/>
  <c r="AA156" i="3" s="1"/>
  <c r="V156" i="3"/>
  <c r="I155" i="3"/>
  <c r="U155" i="3"/>
  <c r="J156" i="4" s="1"/>
  <c r="O155" i="3"/>
  <c r="H156" i="4" s="1"/>
  <c r="M160" i="2"/>
  <c r="J159" i="2"/>
  <c r="G159" i="2" s="1"/>
  <c r="L160" i="2"/>
  <c r="I159" i="2"/>
  <c r="F159" i="2" s="1"/>
  <c r="D161" i="2"/>
  <c r="G156" i="4"/>
  <c r="L156" i="4" s="1"/>
  <c r="I156" i="4"/>
  <c r="M156" i="4" s="1"/>
  <c r="K156" i="4"/>
  <c r="N156" i="4" s="1"/>
  <c r="F156" i="4"/>
  <c r="D158" i="3"/>
  <c r="E159" i="2"/>
  <c r="C160" i="2"/>
  <c r="T160" i="2" s="1"/>
  <c r="K160" i="2"/>
  <c r="H159" i="2"/>
  <c r="T159" i="2"/>
  <c r="D157" i="4" l="1"/>
  <c r="D159" i="3"/>
  <c r="L161" i="2"/>
  <c r="I160" i="2"/>
  <c r="O156" i="3"/>
  <c r="H157" i="4" s="1"/>
  <c r="I156" i="3"/>
  <c r="F157" i="4" s="1"/>
  <c r="U156" i="3"/>
  <c r="J157" i="4" s="1"/>
  <c r="J160" i="2"/>
  <c r="G160" i="2" s="1"/>
  <c r="M161" i="2"/>
  <c r="C157" i="4"/>
  <c r="AB156" i="3"/>
  <c r="E157" i="4" s="1"/>
  <c r="I157" i="4"/>
  <c r="M157" i="4" s="1"/>
  <c r="K157" i="4"/>
  <c r="N157" i="4" s="1"/>
  <c r="G157" i="4"/>
  <c r="L157" i="4" s="1"/>
  <c r="K161" i="2"/>
  <c r="H160" i="2"/>
  <c r="E160" i="2" s="1"/>
  <c r="C161" i="2"/>
  <c r="F160" i="2"/>
  <c r="D162" i="2"/>
  <c r="A158" i="4"/>
  <c r="H157" i="3"/>
  <c r="T157" i="3"/>
  <c r="J157" i="3"/>
  <c r="V157" i="3"/>
  <c r="M157" i="3"/>
  <c r="C157" i="3"/>
  <c r="E157" i="3"/>
  <c r="F157" i="3" s="1"/>
  <c r="G157" i="3"/>
  <c r="N157" i="3"/>
  <c r="P157" i="3"/>
  <c r="S157" i="3"/>
  <c r="Y157" i="3" s="1"/>
  <c r="Z157" i="3" s="1"/>
  <c r="AA157" i="3" s="1"/>
  <c r="D158" i="4" l="1"/>
  <c r="O157" i="3"/>
  <c r="U157" i="3"/>
  <c r="I157" i="3"/>
  <c r="M162" i="2"/>
  <c r="J161" i="2"/>
  <c r="A159" i="4"/>
  <c r="E158" i="3"/>
  <c r="F158" i="3" s="1"/>
  <c r="G158" i="3"/>
  <c r="S158" i="3"/>
  <c r="Y158" i="3" s="1"/>
  <c r="Z158" i="3" s="1"/>
  <c r="AA158" i="3" s="1"/>
  <c r="H158" i="3"/>
  <c r="T158" i="3"/>
  <c r="J158" i="3"/>
  <c r="V158" i="3"/>
  <c r="N158" i="3"/>
  <c r="C158" i="3"/>
  <c r="M158" i="3"/>
  <c r="P158" i="3"/>
  <c r="E161" i="2"/>
  <c r="F161" i="2"/>
  <c r="C162" i="2"/>
  <c r="C158" i="4"/>
  <c r="AB157" i="3"/>
  <c r="E158" i="4" s="1"/>
  <c r="K162" i="2"/>
  <c r="H161" i="2"/>
  <c r="L162" i="2"/>
  <c r="I161" i="2"/>
  <c r="G158" i="4"/>
  <c r="L158" i="4" s="1"/>
  <c r="H158" i="4"/>
  <c r="I158" i="4"/>
  <c r="M158" i="4" s="1"/>
  <c r="J158" i="4"/>
  <c r="F158" i="4"/>
  <c r="K158" i="4"/>
  <c r="N158" i="4" s="1"/>
  <c r="D163" i="2"/>
  <c r="D160" i="3"/>
  <c r="G161" i="2"/>
  <c r="T161" i="2"/>
  <c r="D159" i="4" l="1"/>
  <c r="C163" i="2"/>
  <c r="A160" i="4"/>
  <c r="N159" i="3"/>
  <c r="P159" i="3"/>
  <c r="E159" i="3"/>
  <c r="F159" i="3" s="1"/>
  <c r="G159" i="3"/>
  <c r="S159" i="3"/>
  <c r="Y159" i="3" s="1"/>
  <c r="Z159" i="3" s="1"/>
  <c r="AA159" i="3" s="1"/>
  <c r="M159" i="3"/>
  <c r="T159" i="3"/>
  <c r="V159" i="3"/>
  <c r="C159" i="3"/>
  <c r="H159" i="3"/>
  <c r="J159" i="3"/>
  <c r="I158" i="3"/>
  <c r="U158" i="3"/>
  <c r="J159" i="4" s="1"/>
  <c r="O158" i="3"/>
  <c r="F159" i="4"/>
  <c r="G159" i="4"/>
  <c r="L159" i="4" s="1"/>
  <c r="H159" i="4"/>
  <c r="I159" i="4"/>
  <c r="M159" i="4" s="1"/>
  <c r="K159" i="4"/>
  <c r="N159" i="4" s="1"/>
  <c r="C159" i="4"/>
  <c r="AB158" i="3"/>
  <c r="E159" i="4" s="1"/>
  <c r="M163" i="2"/>
  <c r="J162" i="2"/>
  <c r="G162" i="2" s="1"/>
  <c r="D161" i="3"/>
  <c r="I162" i="2"/>
  <c r="F162" i="2" s="1"/>
  <c r="L163" i="2"/>
  <c r="T163" i="2"/>
  <c r="D164" i="2"/>
  <c r="H162" i="2"/>
  <c r="E162" i="2" s="1"/>
  <c r="K163" i="2"/>
  <c r="T162" i="2"/>
  <c r="D160" i="4" l="1"/>
  <c r="C160" i="4"/>
  <c r="AB159" i="3"/>
  <c r="E160" i="4" s="1"/>
  <c r="D162" i="3"/>
  <c r="O159" i="3"/>
  <c r="U159" i="3"/>
  <c r="I159" i="3"/>
  <c r="M164" i="2"/>
  <c r="J163" i="2"/>
  <c r="G163" i="2" s="1"/>
  <c r="A161" i="4"/>
  <c r="M160" i="3"/>
  <c r="C160" i="3"/>
  <c r="P160" i="3"/>
  <c r="H160" i="3"/>
  <c r="T160" i="3"/>
  <c r="G160" i="3"/>
  <c r="J160" i="3"/>
  <c r="N160" i="3"/>
  <c r="S160" i="3"/>
  <c r="Y160" i="3" s="1"/>
  <c r="Z160" i="3" s="1"/>
  <c r="AA160" i="3" s="1"/>
  <c r="V160" i="3"/>
  <c r="E160" i="3"/>
  <c r="F160" i="3" s="1"/>
  <c r="F160" i="4"/>
  <c r="G160" i="4"/>
  <c r="L160" i="4" s="1"/>
  <c r="H160" i="4"/>
  <c r="I160" i="4"/>
  <c r="M160" i="4" s="1"/>
  <c r="K160" i="4"/>
  <c r="N160" i="4" s="1"/>
  <c r="J160" i="4"/>
  <c r="K164" i="2"/>
  <c r="H163" i="2"/>
  <c r="E163" i="2" s="1"/>
  <c r="L164" i="2"/>
  <c r="I163" i="2"/>
  <c r="F163" i="2"/>
  <c r="C164" i="2"/>
  <c r="D165" i="2"/>
  <c r="T164" i="2"/>
  <c r="D161" i="4" l="1"/>
  <c r="M165" i="2"/>
  <c r="J164" i="2"/>
  <c r="G164" i="2" s="1"/>
  <c r="L165" i="2"/>
  <c r="I164" i="2"/>
  <c r="A162" i="4"/>
  <c r="H161" i="3"/>
  <c r="T161" i="3"/>
  <c r="J161" i="3"/>
  <c r="V161" i="3"/>
  <c r="M161" i="3"/>
  <c r="E161" i="3"/>
  <c r="F161" i="3" s="1"/>
  <c r="P161" i="3"/>
  <c r="S161" i="3"/>
  <c r="Y161" i="3" s="1"/>
  <c r="Z161" i="3" s="1"/>
  <c r="AA161" i="3" s="1"/>
  <c r="C161" i="3"/>
  <c r="G161" i="3"/>
  <c r="N161" i="3"/>
  <c r="G161" i="4"/>
  <c r="L161" i="4" s="1"/>
  <c r="I161" i="4"/>
  <c r="M161" i="4" s="1"/>
  <c r="J161" i="4"/>
  <c r="K161" i="4"/>
  <c r="N161" i="4" s="1"/>
  <c r="K165" i="2"/>
  <c r="H164" i="2"/>
  <c r="E164" i="2" s="1"/>
  <c r="O160" i="3"/>
  <c r="H161" i="4" s="1"/>
  <c r="I160" i="3"/>
  <c r="F161" i="4" s="1"/>
  <c r="U160" i="3"/>
  <c r="D163" i="3"/>
  <c r="D166" i="2"/>
  <c r="T165" i="2"/>
  <c r="F164" i="2"/>
  <c r="C165" i="2"/>
  <c r="C161" i="4"/>
  <c r="AB160" i="3"/>
  <c r="E161" i="4" s="1"/>
  <c r="D162" i="4" l="1"/>
  <c r="G162" i="4"/>
  <c r="L162" i="4" s="1"/>
  <c r="K162" i="4"/>
  <c r="N162" i="4" s="1"/>
  <c r="I162" i="4"/>
  <c r="M162" i="4" s="1"/>
  <c r="D167" i="2"/>
  <c r="D164" i="3"/>
  <c r="L166" i="2"/>
  <c r="I165" i="2"/>
  <c r="M166" i="2"/>
  <c r="J165" i="2"/>
  <c r="G165" i="2" s="1"/>
  <c r="K166" i="2"/>
  <c r="H165" i="2"/>
  <c r="E165" i="2" s="1"/>
  <c r="A163" i="4"/>
  <c r="E162" i="3"/>
  <c r="F162" i="3" s="1"/>
  <c r="G162" i="3"/>
  <c r="S162" i="3"/>
  <c r="Y162" i="3" s="1"/>
  <c r="Z162" i="3" s="1"/>
  <c r="AA162" i="3" s="1"/>
  <c r="J162" i="3"/>
  <c r="V162" i="3"/>
  <c r="N162" i="3"/>
  <c r="H162" i="3"/>
  <c r="M162" i="3"/>
  <c r="P162" i="3"/>
  <c r="T162" i="3"/>
  <c r="C162" i="3"/>
  <c r="F165" i="2"/>
  <c r="C166" i="2"/>
  <c r="U161" i="3"/>
  <c r="J162" i="4" s="1"/>
  <c r="I161" i="3"/>
  <c r="F162" i="4" s="1"/>
  <c r="O161" i="3"/>
  <c r="H162" i="4" s="1"/>
  <c r="C162" i="4"/>
  <c r="AB161" i="3"/>
  <c r="E162" i="4" s="1"/>
  <c r="D163" i="4" l="1"/>
  <c r="D168" i="2"/>
  <c r="A164" i="4"/>
  <c r="N163" i="3"/>
  <c r="P163" i="3"/>
  <c r="G163" i="3"/>
  <c r="S163" i="3"/>
  <c r="Y163" i="3" s="1"/>
  <c r="Z163" i="3" s="1"/>
  <c r="AA163" i="3" s="1"/>
  <c r="T163" i="3"/>
  <c r="C163" i="3"/>
  <c r="V163" i="3"/>
  <c r="E163" i="3"/>
  <c r="F163" i="3" s="1"/>
  <c r="H163" i="3"/>
  <c r="J163" i="3"/>
  <c r="M163" i="3"/>
  <c r="E166" i="2"/>
  <c r="C167" i="2"/>
  <c r="I162" i="3"/>
  <c r="F163" i="4" s="1"/>
  <c r="U162" i="3"/>
  <c r="J163" i="4" s="1"/>
  <c r="O162" i="3"/>
  <c r="T166" i="2"/>
  <c r="G163" i="4"/>
  <c r="L163" i="4" s="1"/>
  <c r="H163" i="4"/>
  <c r="I163" i="4"/>
  <c r="M163" i="4" s="1"/>
  <c r="K163" i="4"/>
  <c r="N163" i="4" s="1"/>
  <c r="K167" i="2"/>
  <c r="H166" i="2"/>
  <c r="C163" i="4"/>
  <c r="AB162" i="3"/>
  <c r="E163" i="4" s="1"/>
  <c r="M167" i="2"/>
  <c r="J166" i="2"/>
  <c r="G166" i="2" s="1"/>
  <c r="L167" i="2"/>
  <c r="I166" i="2"/>
  <c r="F166" i="2" s="1"/>
  <c r="D165" i="3"/>
  <c r="D164" i="4" l="1"/>
  <c r="C168" i="2"/>
  <c r="K168" i="2"/>
  <c r="H167" i="2"/>
  <c r="E167" i="2" s="1"/>
  <c r="C164" i="4"/>
  <c r="AB163" i="3"/>
  <c r="E164" i="4" s="1"/>
  <c r="K164" i="4"/>
  <c r="N164" i="4" s="1"/>
  <c r="I164" i="4"/>
  <c r="M164" i="4" s="1"/>
  <c r="J164" i="4"/>
  <c r="G164" i="4"/>
  <c r="L164" i="4" s="1"/>
  <c r="A165" i="4"/>
  <c r="M164" i="3"/>
  <c r="C164" i="3"/>
  <c r="P164" i="3"/>
  <c r="H164" i="3"/>
  <c r="J164" i="3"/>
  <c r="N164" i="3"/>
  <c r="S164" i="3"/>
  <c r="Y164" i="3" s="1"/>
  <c r="Z164" i="3" s="1"/>
  <c r="AA164" i="3" s="1"/>
  <c r="T164" i="3"/>
  <c r="E164" i="3"/>
  <c r="F164" i="3" s="1"/>
  <c r="V164" i="3"/>
  <c r="G164" i="3"/>
  <c r="T167" i="2"/>
  <c r="T168" i="2"/>
  <c r="D169" i="2"/>
  <c r="U163" i="3"/>
  <c r="I163" i="3"/>
  <c r="F164" i="4" s="1"/>
  <c r="O163" i="3"/>
  <c r="H164" i="4" s="1"/>
  <c r="D166" i="3"/>
  <c r="I167" i="2"/>
  <c r="F167" i="2" s="1"/>
  <c r="L168" i="2"/>
  <c r="J167" i="2"/>
  <c r="G167" i="2" s="1"/>
  <c r="M168" i="2"/>
  <c r="D165" i="4" l="1"/>
  <c r="A166" i="4"/>
  <c r="H165" i="3"/>
  <c r="T165" i="3"/>
  <c r="J165" i="3"/>
  <c r="V165" i="3"/>
  <c r="M165" i="3"/>
  <c r="C165" i="3"/>
  <c r="S165" i="3"/>
  <c r="Y165" i="3" s="1"/>
  <c r="Z165" i="3" s="1"/>
  <c r="AA165" i="3" s="1"/>
  <c r="E165" i="3"/>
  <c r="F165" i="3" s="1"/>
  <c r="G165" i="3"/>
  <c r="N165" i="3"/>
  <c r="P165" i="3"/>
  <c r="D170" i="2"/>
  <c r="M169" i="2"/>
  <c r="J168" i="2"/>
  <c r="G168" i="2" s="1"/>
  <c r="K169" i="2"/>
  <c r="H168" i="2"/>
  <c r="E168" i="2" s="1"/>
  <c r="C165" i="4"/>
  <c r="AB164" i="3"/>
  <c r="E165" i="4" s="1"/>
  <c r="L169" i="2"/>
  <c r="I168" i="2"/>
  <c r="G165" i="4"/>
  <c r="L165" i="4" s="1"/>
  <c r="I165" i="4"/>
  <c r="M165" i="4" s="1"/>
  <c r="K165" i="4"/>
  <c r="N165" i="4" s="1"/>
  <c r="F168" i="2"/>
  <c r="C169" i="2"/>
  <c r="D167" i="3"/>
  <c r="O164" i="3"/>
  <c r="H165" i="4" s="1"/>
  <c r="U164" i="3"/>
  <c r="J165" i="4" s="1"/>
  <c r="I164" i="3"/>
  <c r="F165" i="4" s="1"/>
  <c r="D166" i="4" l="1"/>
  <c r="D168" i="3"/>
  <c r="C170" i="2"/>
  <c r="U165" i="3"/>
  <c r="J166" i="4" s="1"/>
  <c r="I165" i="3"/>
  <c r="O165" i="3"/>
  <c r="H166" i="4" s="1"/>
  <c r="H169" i="2"/>
  <c r="E169" i="2" s="1"/>
  <c r="K170" i="2"/>
  <c r="C166" i="4"/>
  <c r="AB165" i="3"/>
  <c r="E166" i="4" s="1"/>
  <c r="M170" i="2"/>
  <c r="J169" i="2"/>
  <c r="T169" i="2"/>
  <c r="T170" i="2"/>
  <c r="D171" i="2"/>
  <c r="G169" i="2"/>
  <c r="I166" i="4"/>
  <c r="M166" i="4" s="1"/>
  <c r="K166" i="4"/>
  <c r="N166" i="4" s="1"/>
  <c r="F166" i="4"/>
  <c r="G166" i="4"/>
  <c r="L166" i="4" s="1"/>
  <c r="L170" i="2"/>
  <c r="I169" i="2"/>
  <c r="F169" i="2" s="1"/>
  <c r="A167" i="4"/>
  <c r="E166" i="3"/>
  <c r="F166" i="3" s="1"/>
  <c r="G166" i="3"/>
  <c r="S166" i="3"/>
  <c r="Y166" i="3" s="1"/>
  <c r="Z166" i="3" s="1"/>
  <c r="AA166" i="3" s="1"/>
  <c r="J166" i="3"/>
  <c r="V166" i="3"/>
  <c r="H166" i="3"/>
  <c r="M166" i="3"/>
  <c r="N166" i="3"/>
  <c r="P166" i="3"/>
  <c r="C166" i="3"/>
  <c r="T166" i="3"/>
  <c r="D167" i="4" l="1"/>
  <c r="A168" i="4"/>
  <c r="N167" i="3"/>
  <c r="P167" i="3"/>
  <c r="G167" i="3"/>
  <c r="S167" i="3"/>
  <c r="Y167" i="3" s="1"/>
  <c r="Z167" i="3" s="1"/>
  <c r="AA167" i="3" s="1"/>
  <c r="T167" i="3"/>
  <c r="C167" i="3"/>
  <c r="V167" i="3"/>
  <c r="E167" i="3"/>
  <c r="F167" i="3" s="1"/>
  <c r="H167" i="3"/>
  <c r="J167" i="3"/>
  <c r="M167" i="3"/>
  <c r="D172" i="2"/>
  <c r="I166" i="3"/>
  <c r="U166" i="3"/>
  <c r="O166" i="3"/>
  <c r="H167" i="4"/>
  <c r="J167" i="4"/>
  <c r="G167" i="4"/>
  <c r="L167" i="4" s="1"/>
  <c r="I167" i="4"/>
  <c r="M167" i="4" s="1"/>
  <c r="K167" i="4"/>
  <c r="N167" i="4" s="1"/>
  <c r="F167" i="4"/>
  <c r="C171" i="2"/>
  <c r="K171" i="2"/>
  <c r="H170" i="2"/>
  <c r="E170" i="2" s="1"/>
  <c r="L171" i="2"/>
  <c r="I170" i="2"/>
  <c r="F170" i="2" s="1"/>
  <c r="D169" i="3"/>
  <c r="M171" i="2"/>
  <c r="J170" i="2"/>
  <c r="G170" i="2" s="1"/>
  <c r="C167" i="4"/>
  <c r="AB166" i="3"/>
  <c r="E167" i="4" s="1"/>
  <c r="D168" i="4" l="1"/>
  <c r="O167" i="3"/>
  <c r="U167" i="3"/>
  <c r="I167" i="3"/>
  <c r="L172" i="2"/>
  <c r="I171" i="2"/>
  <c r="F171" i="2" s="1"/>
  <c r="D170" i="3"/>
  <c r="K172" i="2"/>
  <c r="H171" i="2"/>
  <c r="E171" i="2" s="1"/>
  <c r="C172" i="2"/>
  <c r="D173" i="2"/>
  <c r="T172" i="2"/>
  <c r="T171" i="2"/>
  <c r="C168" i="4"/>
  <c r="AB167" i="3"/>
  <c r="E168" i="4" s="1"/>
  <c r="G168" i="4"/>
  <c r="L168" i="4" s="1"/>
  <c r="I168" i="4"/>
  <c r="M168" i="4" s="1"/>
  <c r="K168" i="4"/>
  <c r="N168" i="4" s="1"/>
  <c r="J168" i="4"/>
  <c r="F168" i="4"/>
  <c r="H168" i="4"/>
  <c r="A169" i="4"/>
  <c r="M168" i="3"/>
  <c r="C168" i="3"/>
  <c r="P168" i="3"/>
  <c r="G168" i="3"/>
  <c r="V168" i="3"/>
  <c r="H168" i="3"/>
  <c r="J168" i="3"/>
  <c r="N168" i="3"/>
  <c r="S168" i="3"/>
  <c r="Y168" i="3" s="1"/>
  <c r="Z168" i="3" s="1"/>
  <c r="AA168" i="3" s="1"/>
  <c r="E168" i="3"/>
  <c r="F168" i="3" s="1"/>
  <c r="T168" i="3"/>
  <c r="M172" i="2"/>
  <c r="J171" i="2"/>
  <c r="G171" i="2" s="1"/>
  <c r="D169" i="4" l="1"/>
  <c r="A170" i="4"/>
  <c r="H169" i="3"/>
  <c r="T169" i="3"/>
  <c r="J169" i="3"/>
  <c r="V169" i="3"/>
  <c r="M169" i="3"/>
  <c r="N169" i="3"/>
  <c r="P169" i="3"/>
  <c r="C169" i="3"/>
  <c r="S169" i="3"/>
  <c r="Y169" i="3" s="1"/>
  <c r="Z169" i="3" s="1"/>
  <c r="AA169" i="3" s="1"/>
  <c r="E169" i="3"/>
  <c r="F169" i="3" s="1"/>
  <c r="G169" i="3"/>
  <c r="K173" i="2"/>
  <c r="H172" i="2"/>
  <c r="E172" i="2" s="1"/>
  <c r="D171" i="3"/>
  <c r="L173" i="2"/>
  <c r="I172" i="2"/>
  <c r="F172" i="2" s="1"/>
  <c r="C169" i="4"/>
  <c r="AB168" i="3"/>
  <c r="E169" i="4" s="1"/>
  <c r="F169" i="4"/>
  <c r="K169" i="4"/>
  <c r="N169" i="4" s="1"/>
  <c r="I169" i="4"/>
  <c r="M169" i="4" s="1"/>
  <c r="G169" i="4"/>
  <c r="L169" i="4" s="1"/>
  <c r="J172" i="2"/>
  <c r="G172" i="2" s="1"/>
  <c r="M173" i="2"/>
  <c r="O168" i="3"/>
  <c r="H169" i="4" s="1"/>
  <c r="I168" i="3"/>
  <c r="U168" i="3"/>
  <c r="J169" i="4" s="1"/>
  <c r="D174" i="2"/>
  <c r="C173" i="2"/>
  <c r="T173" i="2" s="1"/>
  <c r="D170" i="4" l="1"/>
  <c r="L174" i="2"/>
  <c r="I173" i="2"/>
  <c r="C170" i="4"/>
  <c r="AB169" i="3"/>
  <c r="E170" i="4" s="1"/>
  <c r="M174" i="2"/>
  <c r="J173" i="2"/>
  <c r="G173" i="2" s="1"/>
  <c r="D172" i="3"/>
  <c r="K174" i="2"/>
  <c r="H173" i="2"/>
  <c r="A171" i="4"/>
  <c r="E170" i="3"/>
  <c r="F170" i="3" s="1"/>
  <c r="G170" i="3"/>
  <c r="S170" i="3"/>
  <c r="Y170" i="3" s="1"/>
  <c r="Z170" i="3" s="1"/>
  <c r="AA170" i="3" s="1"/>
  <c r="J170" i="3"/>
  <c r="V170" i="3"/>
  <c r="C170" i="3"/>
  <c r="T170" i="3"/>
  <c r="H170" i="3"/>
  <c r="M170" i="3"/>
  <c r="N170" i="3"/>
  <c r="P170" i="3"/>
  <c r="G170" i="4"/>
  <c r="L170" i="4" s="1"/>
  <c r="I170" i="4"/>
  <c r="M170" i="4" s="1"/>
  <c r="K170" i="4"/>
  <c r="N170" i="4" s="1"/>
  <c r="E173" i="2"/>
  <c r="F173" i="2"/>
  <c r="C174" i="2"/>
  <c r="D175" i="2"/>
  <c r="T174" i="2"/>
  <c r="O169" i="3"/>
  <c r="H170" i="4" s="1"/>
  <c r="U169" i="3"/>
  <c r="J170" i="4" s="1"/>
  <c r="I169" i="3"/>
  <c r="F170" i="4" s="1"/>
  <c r="D171" i="4" l="1"/>
  <c r="D176" i="2"/>
  <c r="D173" i="3"/>
  <c r="H174" i="2"/>
  <c r="E174" i="2" s="1"/>
  <c r="K175" i="2"/>
  <c r="C171" i="4"/>
  <c r="AB170" i="3"/>
  <c r="E171" i="4" s="1"/>
  <c r="C175" i="2"/>
  <c r="M175" i="2"/>
  <c r="J174" i="2"/>
  <c r="A172" i="4"/>
  <c r="N171" i="3"/>
  <c r="P171" i="3"/>
  <c r="G171" i="3"/>
  <c r="S171" i="3"/>
  <c r="Y171" i="3" s="1"/>
  <c r="Z171" i="3" s="1"/>
  <c r="AA171" i="3" s="1"/>
  <c r="M171" i="3"/>
  <c r="T171" i="3"/>
  <c r="C171" i="3"/>
  <c r="V171" i="3"/>
  <c r="E171" i="3"/>
  <c r="F171" i="3" s="1"/>
  <c r="H171" i="3"/>
  <c r="J171" i="3"/>
  <c r="I174" i="2"/>
  <c r="F174" i="2" s="1"/>
  <c r="L175" i="2"/>
  <c r="I170" i="3"/>
  <c r="U170" i="3"/>
  <c r="O170" i="3"/>
  <c r="G174" i="2"/>
  <c r="F171" i="4"/>
  <c r="H171" i="4"/>
  <c r="J171" i="4"/>
  <c r="K171" i="4"/>
  <c r="N171" i="4" s="1"/>
  <c r="G171" i="4"/>
  <c r="L171" i="4" s="1"/>
  <c r="I171" i="4"/>
  <c r="M171" i="4" s="1"/>
  <c r="D172" i="4" l="1"/>
  <c r="C172" i="4"/>
  <c r="AB171" i="3"/>
  <c r="E172" i="4" s="1"/>
  <c r="A173" i="4"/>
  <c r="M172" i="3"/>
  <c r="C172" i="3"/>
  <c r="E172" i="3"/>
  <c r="F172" i="3" s="1"/>
  <c r="S172" i="3"/>
  <c r="Y172" i="3" s="1"/>
  <c r="Z172" i="3" s="1"/>
  <c r="AA172" i="3" s="1"/>
  <c r="T172" i="3"/>
  <c r="G172" i="3"/>
  <c r="H172" i="3"/>
  <c r="V172" i="3"/>
  <c r="J172" i="3"/>
  <c r="N172" i="3"/>
  <c r="P172" i="3"/>
  <c r="K176" i="2"/>
  <c r="H175" i="2"/>
  <c r="E175" i="2"/>
  <c r="C176" i="2"/>
  <c r="L176" i="2"/>
  <c r="I175" i="2"/>
  <c r="F175" i="2" s="1"/>
  <c r="D174" i="3"/>
  <c r="G172" i="4"/>
  <c r="L172" i="4" s="1"/>
  <c r="J172" i="4"/>
  <c r="H172" i="4"/>
  <c r="I172" i="4"/>
  <c r="M172" i="4" s="1"/>
  <c r="K172" i="4"/>
  <c r="N172" i="4" s="1"/>
  <c r="D177" i="2"/>
  <c r="T176" i="2"/>
  <c r="G175" i="2"/>
  <c r="O171" i="3"/>
  <c r="U171" i="3"/>
  <c r="I171" i="3"/>
  <c r="F172" i="4" s="1"/>
  <c r="M176" i="2"/>
  <c r="J175" i="2"/>
  <c r="T175" i="2"/>
  <c r="D173" i="4" l="1"/>
  <c r="D178" i="2"/>
  <c r="C177" i="2"/>
  <c r="E176" i="2"/>
  <c r="L177" i="2"/>
  <c r="I176" i="2"/>
  <c r="F176" i="2" s="1"/>
  <c r="O172" i="3"/>
  <c r="H173" i="4" s="1"/>
  <c r="U172" i="3"/>
  <c r="J173" i="4" s="1"/>
  <c r="I172" i="3"/>
  <c r="F173" i="4" s="1"/>
  <c r="K177" i="2"/>
  <c r="H176" i="2"/>
  <c r="C173" i="4"/>
  <c r="AB172" i="3"/>
  <c r="E173" i="4" s="1"/>
  <c r="A174" i="4"/>
  <c r="H173" i="3"/>
  <c r="T173" i="3"/>
  <c r="J173" i="3"/>
  <c r="V173" i="3"/>
  <c r="S173" i="3"/>
  <c r="Y173" i="3" s="1"/>
  <c r="Z173" i="3" s="1"/>
  <c r="AA173" i="3" s="1"/>
  <c r="E173" i="3"/>
  <c r="F173" i="3" s="1"/>
  <c r="G173" i="3"/>
  <c r="M173" i="3"/>
  <c r="N173" i="3"/>
  <c r="P173" i="3"/>
  <c r="C173" i="3"/>
  <c r="I173" i="4"/>
  <c r="M173" i="4" s="1"/>
  <c r="G173" i="4"/>
  <c r="L173" i="4" s="1"/>
  <c r="K173" i="4"/>
  <c r="N173" i="4" s="1"/>
  <c r="D175" i="3"/>
  <c r="M177" i="2"/>
  <c r="J176" i="2"/>
  <c r="G176" i="2" s="1"/>
  <c r="D174" i="4" l="1"/>
  <c r="U173" i="3"/>
  <c r="I173" i="3"/>
  <c r="O173" i="3"/>
  <c r="L178" i="2"/>
  <c r="I177" i="2"/>
  <c r="F177" i="2"/>
  <c r="C178" i="2"/>
  <c r="F174" i="4"/>
  <c r="G174" i="4"/>
  <c r="L174" i="4" s="1"/>
  <c r="H174" i="4"/>
  <c r="J174" i="4"/>
  <c r="K174" i="4"/>
  <c r="N174" i="4" s="1"/>
  <c r="I174" i="4"/>
  <c r="M174" i="4" s="1"/>
  <c r="A175" i="4"/>
  <c r="E174" i="3"/>
  <c r="F174" i="3" s="1"/>
  <c r="G174" i="3"/>
  <c r="S174" i="3"/>
  <c r="Y174" i="3" s="1"/>
  <c r="Z174" i="3" s="1"/>
  <c r="AA174" i="3" s="1"/>
  <c r="J174" i="3"/>
  <c r="M174" i="3"/>
  <c r="N174" i="3"/>
  <c r="P174" i="3"/>
  <c r="C174" i="3"/>
  <c r="T174" i="3"/>
  <c r="H174" i="3"/>
  <c r="V174" i="3"/>
  <c r="T177" i="2"/>
  <c r="M178" i="2"/>
  <c r="J177" i="2"/>
  <c r="G177" i="2" s="1"/>
  <c r="T178" i="2"/>
  <c r="D179" i="2"/>
  <c r="C174" i="4"/>
  <c r="AB173" i="3"/>
  <c r="E174" i="4" s="1"/>
  <c r="K178" i="2"/>
  <c r="H177" i="2"/>
  <c r="E177" i="2" s="1"/>
  <c r="D176" i="3"/>
  <c r="D175" i="4" l="1"/>
  <c r="C179" i="2"/>
  <c r="C175" i="4"/>
  <c r="AB174" i="3"/>
  <c r="E175" i="4" s="1"/>
  <c r="M179" i="2"/>
  <c r="J178" i="2"/>
  <c r="G178" i="2" s="1"/>
  <c r="A176" i="4"/>
  <c r="P175" i="3"/>
  <c r="M175" i="3"/>
  <c r="N175" i="3"/>
  <c r="C175" i="3"/>
  <c r="S175" i="3"/>
  <c r="Y175" i="3" s="1"/>
  <c r="Z175" i="3" s="1"/>
  <c r="AA175" i="3" s="1"/>
  <c r="E175" i="3"/>
  <c r="F175" i="3" s="1"/>
  <c r="T175" i="3"/>
  <c r="G175" i="3"/>
  <c r="H175" i="3"/>
  <c r="V175" i="3"/>
  <c r="J175" i="3"/>
  <c r="I174" i="3"/>
  <c r="F175" i="4" s="1"/>
  <c r="U174" i="3"/>
  <c r="J175" i="4" s="1"/>
  <c r="O174" i="3"/>
  <c r="H175" i="4" s="1"/>
  <c r="D177" i="3"/>
  <c r="G175" i="4"/>
  <c r="L175" i="4" s="1"/>
  <c r="I175" i="4"/>
  <c r="M175" i="4" s="1"/>
  <c r="K175" i="4"/>
  <c r="N175" i="4" s="1"/>
  <c r="L179" i="2"/>
  <c r="I178" i="2"/>
  <c r="F178" i="2" s="1"/>
  <c r="D180" i="2"/>
  <c r="T179" i="2"/>
  <c r="K179" i="2"/>
  <c r="H178" i="2"/>
  <c r="E178" i="2" s="1"/>
  <c r="D176" i="4" l="1"/>
  <c r="D181" i="2"/>
  <c r="C176" i="4"/>
  <c r="AB175" i="3"/>
  <c r="E176" i="4" s="1"/>
  <c r="I179" i="2"/>
  <c r="L180" i="2"/>
  <c r="H176" i="4"/>
  <c r="I176" i="4"/>
  <c r="M176" i="4" s="1"/>
  <c r="J176" i="4"/>
  <c r="K176" i="4"/>
  <c r="N176" i="4" s="1"/>
  <c r="G176" i="4"/>
  <c r="L176" i="4" s="1"/>
  <c r="J179" i="2"/>
  <c r="M180" i="2"/>
  <c r="O175" i="3"/>
  <c r="U175" i="3"/>
  <c r="I175" i="3"/>
  <c r="F176" i="4" s="1"/>
  <c r="C180" i="2"/>
  <c r="E179" i="2"/>
  <c r="F179" i="2"/>
  <c r="K180" i="2"/>
  <c r="H179" i="2"/>
  <c r="G179" i="2"/>
  <c r="D178" i="3"/>
  <c r="A177" i="4"/>
  <c r="M176" i="3"/>
  <c r="C176" i="3"/>
  <c r="N176" i="3"/>
  <c r="P176" i="3"/>
  <c r="E176" i="3"/>
  <c r="F176" i="3" s="1"/>
  <c r="S176" i="3"/>
  <c r="Y176" i="3" s="1"/>
  <c r="Z176" i="3" s="1"/>
  <c r="AA176" i="3" s="1"/>
  <c r="T176" i="3"/>
  <c r="G176" i="3"/>
  <c r="H176" i="3"/>
  <c r="V176" i="3"/>
  <c r="J176" i="3"/>
  <c r="D177" i="4" l="1"/>
  <c r="O176" i="3"/>
  <c r="U176" i="3"/>
  <c r="I176" i="3"/>
  <c r="K181" i="2"/>
  <c r="H180" i="2"/>
  <c r="A178" i="4"/>
  <c r="J177" i="3"/>
  <c r="V177" i="3"/>
  <c r="C177" i="3"/>
  <c r="P177" i="3"/>
  <c r="E177" i="3"/>
  <c r="F177" i="3" s="1"/>
  <c r="S177" i="3"/>
  <c r="Y177" i="3" s="1"/>
  <c r="Z177" i="3" s="1"/>
  <c r="AA177" i="3" s="1"/>
  <c r="G177" i="3"/>
  <c r="T177" i="3"/>
  <c r="H177" i="3"/>
  <c r="N177" i="3"/>
  <c r="M177" i="3"/>
  <c r="E180" i="2"/>
  <c r="F180" i="2"/>
  <c r="C181" i="2"/>
  <c r="L181" i="2"/>
  <c r="I180" i="2"/>
  <c r="C177" i="4"/>
  <c r="AB176" i="3"/>
  <c r="E177" i="4" s="1"/>
  <c r="I177" i="4"/>
  <c r="M177" i="4" s="1"/>
  <c r="J177" i="4"/>
  <c r="K177" i="4"/>
  <c r="N177" i="4" s="1"/>
  <c r="G177" i="4"/>
  <c r="L177" i="4" s="1"/>
  <c r="H177" i="4"/>
  <c r="F177" i="4"/>
  <c r="M181" i="2"/>
  <c r="J180" i="2"/>
  <c r="G180" i="2" s="1"/>
  <c r="D182" i="2"/>
  <c r="D179" i="3"/>
  <c r="T180" i="2"/>
  <c r="D178" i="4" l="1"/>
  <c r="C182" i="2"/>
  <c r="L182" i="2"/>
  <c r="I181" i="2"/>
  <c r="F181" i="2" s="1"/>
  <c r="M182" i="2"/>
  <c r="J181" i="2"/>
  <c r="G181" i="2" s="1"/>
  <c r="C178" i="4"/>
  <c r="AB177" i="3"/>
  <c r="E178" i="4" s="1"/>
  <c r="K178" i="4"/>
  <c r="N178" i="4" s="1"/>
  <c r="I178" i="4"/>
  <c r="M178" i="4" s="1"/>
  <c r="F178" i="4"/>
  <c r="G178" i="4"/>
  <c r="L178" i="4" s="1"/>
  <c r="H181" i="2"/>
  <c r="E181" i="2" s="1"/>
  <c r="K182" i="2"/>
  <c r="D180" i="3"/>
  <c r="T181" i="2"/>
  <c r="O177" i="3"/>
  <c r="H178" i="4" s="1"/>
  <c r="U177" i="3"/>
  <c r="J178" i="4" s="1"/>
  <c r="I177" i="3"/>
  <c r="T182" i="2"/>
  <c r="D183" i="2"/>
  <c r="A179" i="4"/>
  <c r="M178" i="3"/>
  <c r="N178" i="3"/>
  <c r="C178" i="3"/>
  <c r="P178" i="3"/>
  <c r="E178" i="3"/>
  <c r="F178" i="3" s="1"/>
  <c r="G178" i="3"/>
  <c r="S178" i="3"/>
  <c r="Y178" i="3" s="1"/>
  <c r="Z178" i="3" s="1"/>
  <c r="AA178" i="3" s="1"/>
  <c r="H178" i="3"/>
  <c r="T178" i="3"/>
  <c r="J178" i="3"/>
  <c r="V178" i="3"/>
  <c r="D179" i="4" l="1"/>
  <c r="A180" i="4"/>
  <c r="J179" i="3"/>
  <c r="V179" i="3"/>
  <c r="M179" i="3"/>
  <c r="N179" i="3"/>
  <c r="C179" i="3"/>
  <c r="P179" i="3"/>
  <c r="E179" i="3"/>
  <c r="F179" i="3" s="1"/>
  <c r="G179" i="3"/>
  <c r="S179" i="3"/>
  <c r="Y179" i="3" s="1"/>
  <c r="Z179" i="3" s="1"/>
  <c r="AA179" i="3" s="1"/>
  <c r="T179" i="3"/>
  <c r="H179" i="3"/>
  <c r="O178" i="3"/>
  <c r="I178" i="3"/>
  <c r="F179" i="4" s="1"/>
  <c r="U178" i="3"/>
  <c r="J179" i="4" s="1"/>
  <c r="D181" i="3"/>
  <c r="M183" i="2"/>
  <c r="J182" i="2"/>
  <c r="G182" i="2" s="1"/>
  <c r="K183" i="2"/>
  <c r="H182" i="2"/>
  <c r="E182" i="2" s="1"/>
  <c r="C179" i="4"/>
  <c r="AB178" i="3"/>
  <c r="E179" i="4" s="1"/>
  <c r="L183" i="2"/>
  <c r="I182" i="2"/>
  <c r="F182" i="2" s="1"/>
  <c r="I179" i="4"/>
  <c r="M179" i="4" s="1"/>
  <c r="G179" i="4"/>
  <c r="L179" i="4" s="1"/>
  <c r="H179" i="4"/>
  <c r="K179" i="4"/>
  <c r="N179" i="4" s="1"/>
  <c r="T183" i="2"/>
  <c r="D184" i="2"/>
  <c r="C183" i="2"/>
  <c r="D180" i="4" l="1"/>
  <c r="K184" i="2"/>
  <c r="H183" i="2"/>
  <c r="A181" i="4"/>
  <c r="G180" i="3"/>
  <c r="S180" i="3"/>
  <c r="Y180" i="3" s="1"/>
  <c r="Z180" i="3" s="1"/>
  <c r="AA180" i="3" s="1"/>
  <c r="H180" i="3"/>
  <c r="T180" i="3"/>
  <c r="J180" i="3"/>
  <c r="V180" i="3"/>
  <c r="M180" i="3"/>
  <c r="N180" i="3"/>
  <c r="C180" i="3"/>
  <c r="P180" i="3"/>
  <c r="E180" i="3"/>
  <c r="F180" i="3" s="1"/>
  <c r="O179" i="3"/>
  <c r="U179" i="3"/>
  <c r="I179" i="3"/>
  <c r="F180" i="4" s="1"/>
  <c r="M184" i="2"/>
  <c r="J183" i="2"/>
  <c r="G183" i="2" s="1"/>
  <c r="D182" i="3"/>
  <c r="C180" i="4"/>
  <c r="AB179" i="3"/>
  <c r="E180" i="4" s="1"/>
  <c r="E183" i="2"/>
  <c r="C184" i="2"/>
  <c r="L184" i="2"/>
  <c r="I183" i="2"/>
  <c r="F183" i="2" s="1"/>
  <c r="G180" i="4"/>
  <c r="L180" i="4" s="1"/>
  <c r="J180" i="4"/>
  <c r="H180" i="4"/>
  <c r="K180" i="4"/>
  <c r="N180" i="4" s="1"/>
  <c r="I180" i="4"/>
  <c r="M180" i="4" s="1"/>
  <c r="D185" i="2"/>
  <c r="T184" i="2"/>
  <c r="D181" i="4" l="1"/>
  <c r="D183" i="3"/>
  <c r="C181" i="4"/>
  <c r="AB180" i="3"/>
  <c r="E181" i="4" s="1"/>
  <c r="J184" i="2"/>
  <c r="M185" i="2"/>
  <c r="L185" i="2"/>
  <c r="I184" i="2"/>
  <c r="F184" i="2" s="1"/>
  <c r="C185" i="2"/>
  <c r="E184" i="2"/>
  <c r="A182" i="4"/>
  <c r="P181" i="3"/>
  <c r="E181" i="3"/>
  <c r="F181" i="3" s="1"/>
  <c r="G181" i="3"/>
  <c r="S181" i="3"/>
  <c r="Y181" i="3" s="1"/>
  <c r="Z181" i="3" s="1"/>
  <c r="AA181" i="3" s="1"/>
  <c r="H181" i="3"/>
  <c r="T181" i="3"/>
  <c r="J181" i="3"/>
  <c r="V181" i="3"/>
  <c r="M181" i="3"/>
  <c r="C181" i="3"/>
  <c r="N181" i="3"/>
  <c r="K181" i="4"/>
  <c r="N181" i="4" s="1"/>
  <c r="I181" i="4"/>
  <c r="M181" i="4" s="1"/>
  <c r="G181" i="4"/>
  <c r="L181" i="4" s="1"/>
  <c r="G184" i="2"/>
  <c r="I180" i="3"/>
  <c r="F181" i="4" s="1"/>
  <c r="U180" i="3"/>
  <c r="J181" i="4" s="1"/>
  <c r="O180" i="3"/>
  <c r="H181" i="4" s="1"/>
  <c r="K185" i="2"/>
  <c r="H184" i="2"/>
  <c r="T185" i="2"/>
  <c r="D186" i="2"/>
  <c r="D182" i="4" l="1"/>
  <c r="C182" i="4"/>
  <c r="AB181" i="3"/>
  <c r="E182" i="4" s="1"/>
  <c r="C186" i="2"/>
  <c r="L186" i="2"/>
  <c r="I185" i="2"/>
  <c r="F185" i="2" s="1"/>
  <c r="M186" i="2"/>
  <c r="J185" i="2"/>
  <c r="G185" i="2" s="1"/>
  <c r="D187" i="2"/>
  <c r="A183" i="4"/>
  <c r="M182" i="3"/>
  <c r="N182" i="3"/>
  <c r="C182" i="3"/>
  <c r="P182" i="3"/>
  <c r="E182" i="3"/>
  <c r="F182" i="3" s="1"/>
  <c r="G182" i="3"/>
  <c r="S182" i="3"/>
  <c r="Y182" i="3" s="1"/>
  <c r="Z182" i="3" s="1"/>
  <c r="AA182" i="3" s="1"/>
  <c r="H182" i="3"/>
  <c r="T182" i="3"/>
  <c r="J182" i="3"/>
  <c r="V182" i="3"/>
  <c r="I181" i="3"/>
  <c r="F182" i="4" s="1"/>
  <c r="U181" i="3"/>
  <c r="J182" i="4" s="1"/>
  <c r="O181" i="3"/>
  <c r="H182" i="4" s="1"/>
  <c r="D184" i="3"/>
  <c r="K182" i="4"/>
  <c r="N182" i="4" s="1"/>
  <c r="G182" i="4"/>
  <c r="L182" i="4" s="1"/>
  <c r="I182" i="4"/>
  <c r="M182" i="4" s="1"/>
  <c r="K186" i="2"/>
  <c r="H185" i="2"/>
  <c r="E185" i="2" s="1"/>
  <c r="D183" i="4" l="1"/>
  <c r="M187" i="2"/>
  <c r="J186" i="2"/>
  <c r="D188" i="2"/>
  <c r="A184" i="4"/>
  <c r="J183" i="3"/>
  <c r="V183" i="3"/>
  <c r="M183" i="3"/>
  <c r="N183" i="3"/>
  <c r="C183" i="3"/>
  <c r="P183" i="3"/>
  <c r="E183" i="3"/>
  <c r="F183" i="3" s="1"/>
  <c r="G183" i="3"/>
  <c r="S183" i="3"/>
  <c r="Y183" i="3" s="1"/>
  <c r="Z183" i="3" s="1"/>
  <c r="AA183" i="3" s="1"/>
  <c r="H183" i="3"/>
  <c r="T183" i="3"/>
  <c r="D185" i="3"/>
  <c r="O182" i="3"/>
  <c r="H183" i="4" s="1"/>
  <c r="I182" i="3"/>
  <c r="F183" i="4" s="1"/>
  <c r="U182" i="3"/>
  <c r="I186" i="2"/>
  <c r="L187" i="2"/>
  <c r="C187" i="2"/>
  <c r="T187" i="2" s="1"/>
  <c r="F186" i="2"/>
  <c r="C183" i="4"/>
  <c r="AB182" i="3"/>
  <c r="E183" i="4" s="1"/>
  <c r="H186" i="2"/>
  <c r="E186" i="2" s="1"/>
  <c r="K187" i="2"/>
  <c r="I183" i="4"/>
  <c r="M183" i="4" s="1"/>
  <c r="J183" i="4"/>
  <c r="K183" i="4"/>
  <c r="N183" i="4" s="1"/>
  <c r="G183" i="4"/>
  <c r="L183" i="4" s="1"/>
  <c r="G186" i="2"/>
  <c r="T186" i="2"/>
  <c r="D184" i="4" l="1"/>
  <c r="C184" i="4"/>
  <c r="AB183" i="3"/>
  <c r="E184" i="4" s="1"/>
  <c r="K188" i="2"/>
  <c r="H187" i="2"/>
  <c r="D186" i="3"/>
  <c r="H184" i="4"/>
  <c r="I184" i="4"/>
  <c r="M184" i="4" s="1"/>
  <c r="J184" i="4"/>
  <c r="K184" i="4"/>
  <c r="N184" i="4" s="1"/>
  <c r="G184" i="4"/>
  <c r="L184" i="4" s="1"/>
  <c r="D189" i="2"/>
  <c r="E187" i="2"/>
  <c r="C188" i="2"/>
  <c r="A185" i="4"/>
  <c r="G184" i="3"/>
  <c r="S184" i="3"/>
  <c r="Y184" i="3" s="1"/>
  <c r="Z184" i="3" s="1"/>
  <c r="AA184" i="3" s="1"/>
  <c r="H184" i="3"/>
  <c r="T184" i="3"/>
  <c r="J184" i="3"/>
  <c r="V184" i="3"/>
  <c r="M184" i="3"/>
  <c r="N184" i="3"/>
  <c r="C184" i="3"/>
  <c r="P184" i="3"/>
  <c r="E184" i="3"/>
  <c r="F184" i="3" s="1"/>
  <c r="L188" i="2"/>
  <c r="I187" i="2"/>
  <c r="F187" i="2" s="1"/>
  <c r="O183" i="3"/>
  <c r="I183" i="3"/>
  <c r="F184" i="4" s="1"/>
  <c r="U183" i="3"/>
  <c r="M188" i="2"/>
  <c r="J187" i="2"/>
  <c r="G187" i="2" s="1"/>
  <c r="D185" i="4" l="1"/>
  <c r="I184" i="3"/>
  <c r="U184" i="3"/>
  <c r="O184" i="3"/>
  <c r="G185" i="4"/>
  <c r="L185" i="4" s="1"/>
  <c r="H185" i="4"/>
  <c r="I185" i="4"/>
  <c r="M185" i="4" s="1"/>
  <c r="J185" i="4"/>
  <c r="K185" i="4"/>
  <c r="N185" i="4" s="1"/>
  <c r="F185" i="4"/>
  <c r="F188" i="2"/>
  <c r="C189" i="2"/>
  <c r="D187" i="3"/>
  <c r="A186" i="4"/>
  <c r="P185" i="3"/>
  <c r="E185" i="3"/>
  <c r="F185" i="3" s="1"/>
  <c r="G185" i="3"/>
  <c r="S185" i="3"/>
  <c r="Y185" i="3" s="1"/>
  <c r="Z185" i="3" s="1"/>
  <c r="AA185" i="3" s="1"/>
  <c r="H185" i="3"/>
  <c r="T185" i="3"/>
  <c r="J185" i="3"/>
  <c r="V185" i="3"/>
  <c r="M185" i="3"/>
  <c r="C185" i="3"/>
  <c r="N185" i="3"/>
  <c r="L189" i="2"/>
  <c r="I188" i="2"/>
  <c r="C185" i="4"/>
  <c r="AB184" i="3"/>
  <c r="E185" i="4" s="1"/>
  <c r="T188" i="2"/>
  <c r="K189" i="2"/>
  <c r="H188" i="2"/>
  <c r="E188" i="2" s="1"/>
  <c r="D190" i="2"/>
  <c r="T189" i="2"/>
  <c r="M189" i="2"/>
  <c r="J188" i="2"/>
  <c r="G188" i="2"/>
  <c r="D186" i="4" l="1"/>
  <c r="I185" i="3"/>
  <c r="U185" i="3"/>
  <c r="O185" i="3"/>
  <c r="K190" i="2"/>
  <c r="H189" i="2"/>
  <c r="F186" i="4"/>
  <c r="G186" i="4"/>
  <c r="L186" i="4" s="1"/>
  <c r="H186" i="4"/>
  <c r="I186" i="4"/>
  <c r="M186" i="4" s="1"/>
  <c r="J186" i="4"/>
  <c r="K186" i="4"/>
  <c r="N186" i="4" s="1"/>
  <c r="L190" i="2"/>
  <c r="I189" i="2"/>
  <c r="M190" i="2"/>
  <c r="J189" i="2"/>
  <c r="G189" i="2" s="1"/>
  <c r="D188" i="3"/>
  <c r="C186" i="4"/>
  <c r="AB185" i="3"/>
  <c r="E186" i="4" s="1"/>
  <c r="A187" i="4"/>
  <c r="M186" i="3"/>
  <c r="N186" i="3"/>
  <c r="C186" i="3"/>
  <c r="P186" i="3"/>
  <c r="E186" i="3"/>
  <c r="F186" i="3" s="1"/>
  <c r="G186" i="3"/>
  <c r="S186" i="3"/>
  <c r="Y186" i="3" s="1"/>
  <c r="Z186" i="3" s="1"/>
  <c r="AA186" i="3" s="1"/>
  <c r="H186" i="3"/>
  <c r="T186" i="3"/>
  <c r="J186" i="3"/>
  <c r="V186" i="3"/>
  <c r="T190" i="2"/>
  <c r="D191" i="2"/>
  <c r="E189" i="2"/>
  <c r="F189" i="2"/>
  <c r="C190" i="2"/>
  <c r="D187" i="4" l="1"/>
  <c r="G187" i="4"/>
  <c r="L187" i="4" s="1"/>
  <c r="I187" i="4"/>
  <c r="M187" i="4" s="1"/>
  <c r="K187" i="4"/>
  <c r="N187" i="4" s="1"/>
  <c r="D189" i="3"/>
  <c r="K191" i="2"/>
  <c r="H190" i="2"/>
  <c r="E190" i="2" s="1"/>
  <c r="C191" i="2"/>
  <c r="A188" i="4"/>
  <c r="J187" i="3"/>
  <c r="V187" i="3"/>
  <c r="M187" i="3"/>
  <c r="N187" i="3"/>
  <c r="C187" i="3"/>
  <c r="P187" i="3"/>
  <c r="E187" i="3"/>
  <c r="F187" i="3" s="1"/>
  <c r="G187" i="3"/>
  <c r="S187" i="3"/>
  <c r="Y187" i="3" s="1"/>
  <c r="Z187" i="3" s="1"/>
  <c r="AA187" i="3" s="1"/>
  <c r="H187" i="3"/>
  <c r="T187" i="3"/>
  <c r="M191" i="2"/>
  <c r="J190" i="2"/>
  <c r="G190" i="2" s="1"/>
  <c r="O186" i="3"/>
  <c r="H187" i="4" s="1"/>
  <c r="I186" i="3"/>
  <c r="F187" i="4" s="1"/>
  <c r="U186" i="3"/>
  <c r="J187" i="4" s="1"/>
  <c r="L191" i="2"/>
  <c r="I190" i="2"/>
  <c r="F190" i="2" s="1"/>
  <c r="C187" i="4"/>
  <c r="AB186" i="3"/>
  <c r="E187" i="4" s="1"/>
  <c r="D192" i="2"/>
  <c r="T191" i="2"/>
  <c r="D188" i="4" l="1"/>
  <c r="O187" i="3"/>
  <c r="I187" i="3"/>
  <c r="U187" i="3"/>
  <c r="K192" i="2"/>
  <c r="H191" i="2"/>
  <c r="I191" i="2"/>
  <c r="F191" i="2" s="1"/>
  <c r="L192" i="2"/>
  <c r="D190" i="3"/>
  <c r="C188" i="4"/>
  <c r="AB187" i="3"/>
  <c r="E188" i="4" s="1"/>
  <c r="A189" i="4"/>
  <c r="G188" i="3"/>
  <c r="S188" i="3"/>
  <c r="Y188" i="3" s="1"/>
  <c r="Z188" i="3" s="1"/>
  <c r="AA188" i="3" s="1"/>
  <c r="H188" i="3"/>
  <c r="J188" i="3"/>
  <c r="V188" i="3"/>
  <c r="M188" i="3"/>
  <c r="N188" i="3"/>
  <c r="C188" i="3"/>
  <c r="P188" i="3"/>
  <c r="T188" i="3"/>
  <c r="E188" i="3"/>
  <c r="F188" i="3" s="1"/>
  <c r="J191" i="2"/>
  <c r="G191" i="2" s="1"/>
  <c r="M192" i="2"/>
  <c r="F188" i="4"/>
  <c r="G188" i="4"/>
  <c r="L188" i="4" s="1"/>
  <c r="H188" i="4"/>
  <c r="J188" i="4"/>
  <c r="K188" i="4"/>
  <c r="N188" i="4" s="1"/>
  <c r="I188" i="4"/>
  <c r="M188" i="4" s="1"/>
  <c r="C192" i="2"/>
  <c r="E191" i="2"/>
  <c r="D193" i="2"/>
  <c r="D189" i="4" l="1"/>
  <c r="C193" i="2"/>
  <c r="D191" i="3"/>
  <c r="L193" i="2"/>
  <c r="I192" i="2"/>
  <c r="F192" i="2" s="1"/>
  <c r="C189" i="4"/>
  <c r="AB188" i="3"/>
  <c r="E189" i="4" s="1"/>
  <c r="K193" i="2"/>
  <c r="H192" i="2"/>
  <c r="E192" i="2" s="1"/>
  <c r="D194" i="2"/>
  <c r="T193" i="2"/>
  <c r="T192" i="2"/>
  <c r="I188" i="3"/>
  <c r="U188" i="3"/>
  <c r="O188" i="3"/>
  <c r="F189" i="4"/>
  <c r="G189" i="4"/>
  <c r="L189" i="4" s="1"/>
  <c r="I189" i="4"/>
  <c r="M189" i="4" s="1"/>
  <c r="J189" i="4"/>
  <c r="H189" i="4"/>
  <c r="K189" i="4"/>
  <c r="N189" i="4" s="1"/>
  <c r="M193" i="2"/>
  <c r="J192" i="2"/>
  <c r="G192" i="2" s="1"/>
  <c r="A190" i="4"/>
  <c r="P189" i="3"/>
  <c r="G189" i="3"/>
  <c r="S189" i="3"/>
  <c r="Y189" i="3" s="1"/>
  <c r="Z189" i="3" s="1"/>
  <c r="AA189" i="3" s="1"/>
  <c r="H189" i="3"/>
  <c r="T189" i="3"/>
  <c r="J189" i="3"/>
  <c r="V189" i="3"/>
  <c r="M189" i="3"/>
  <c r="C189" i="3"/>
  <c r="E189" i="3"/>
  <c r="F189" i="3" s="1"/>
  <c r="N189" i="3"/>
  <c r="D190" i="4" l="1"/>
  <c r="H193" i="2"/>
  <c r="K194" i="2"/>
  <c r="L194" i="2"/>
  <c r="I193" i="2"/>
  <c r="D192" i="3"/>
  <c r="H190" i="4"/>
  <c r="I190" i="4"/>
  <c r="M190" i="4" s="1"/>
  <c r="J190" i="4"/>
  <c r="K190" i="4"/>
  <c r="N190" i="4" s="1"/>
  <c r="G190" i="4"/>
  <c r="L190" i="4" s="1"/>
  <c r="I189" i="3"/>
  <c r="F190" i="4" s="1"/>
  <c r="U189" i="3"/>
  <c r="O189" i="3"/>
  <c r="C194" i="2"/>
  <c r="F193" i="2"/>
  <c r="E193" i="2"/>
  <c r="M194" i="2"/>
  <c r="J193" i="2"/>
  <c r="G193" i="2" s="1"/>
  <c r="T194" i="2"/>
  <c r="D195" i="2"/>
  <c r="A191" i="4"/>
  <c r="M190" i="3"/>
  <c r="C190" i="3"/>
  <c r="P190" i="3"/>
  <c r="E190" i="3"/>
  <c r="F190" i="3" s="1"/>
  <c r="G190" i="3"/>
  <c r="S190" i="3"/>
  <c r="Y190" i="3" s="1"/>
  <c r="Z190" i="3" s="1"/>
  <c r="AA190" i="3" s="1"/>
  <c r="H190" i="3"/>
  <c r="T190" i="3"/>
  <c r="J190" i="3"/>
  <c r="V190" i="3"/>
  <c r="N190" i="3"/>
  <c r="C190" i="4"/>
  <c r="AB189" i="3"/>
  <c r="E190" i="4" s="1"/>
  <c r="D191" i="4" l="1"/>
  <c r="D193" i="3"/>
  <c r="A192" i="4"/>
  <c r="J191" i="3"/>
  <c r="V191" i="3"/>
  <c r="M191" i="3"/>
  <c r="N191" i="3"/>
  <c r="C191" i="3"/>
  <c r="P191" i="3"/>
  <c r="E191" i="3"/>
  <c r="F191" i="3" s="1"/>
  <c r="G191" i="3"/>
  <c r="S191" i="3"/>
  <c r="Y191" i="3" s="1"/>
  <c r="Z191" i="3" s="1"/>
  <c r="AA191" i="3" s="1"/>
  <c r="H191" i="3"/>
  <c r="T191" i="3"/>
  <c r="O190" i="3"/>
  <c r="I190" i="3"/>
  <c r="U190" i="3"/>
  <c r="J191" i="4" s="1"/>
  <c r="E194" i="2"/>
  <c r="F194" i="2"/>
  <c r="C195" i="2"/>
  <c r="L195" i="2"/>
  <c r="I194" i="2"/>
  <c r="M195" i="2"/>
  <c r="J194" i="2"/>
  <c r="G194" i="2" s="1"/>
  <c r="K195" i="2"/>
  <c r="H194" i="2"/>
  <c r="C191" i="4"/>
  <c r="AB190" i="3"/>
  <c r="E191" i="4" s="1"/>
  <c r="G191" i="4"/>
  <c r="L191" i="4" s="1"/>
  <c r="H191" i="4"/>
  <c r="K191" i="4"/>
  <c r="N191" i="4" s="1"/>
  <c r="F191" i="4"/>
  <c r="I191" i="4"/>
  <c r="M191" i="4" s="1"/>
  <c r="D196" i="2"/>
  <c r="D192" i="4" l="1"/>
  <c r="L196" i="2"/>
  <c r="I195" i="2"/>
  <c r="O191" i="3"/>
  <c r="H192" i="4" s="1"/>
  <c r="I191" i="3"/>
  <c r="U191" i="3"/>
  <c r="C192" i="4"/>
  <c r="AB191" i="3"/>
  <c r="E192" i="4" s="1"/>
  <c r="F192" i="4"/>
  <c r="G192" i="4"/>
  <c r="L192" i="4" s="1"/>
  <c r="J192" i="4"/>
  <c r="K192" i="4"/>
  <c r="N192" i="4" s="1"/>
  <c r="I192" i="4"/>
  <c r="M192" i="4" s="1"/>
  <c r="D197" i="2"/>
  <c r="K196" i="2"/>
  <c r="H195" i="2"/>
  <c r="E195" i="2"/>
  <c r="F195" i="2"/>
  <c r="C196" i="2"/>
  <c r="G195" i="2"/>
  <c r="D194" i="3"/>
  <c r="T195" i="2"/>
  <c r="M196" i="2"/>
  <c r="J195" i="2"/>
  <c r="A193" i="4"/>
  <c r="G192" i="3"/>
  <c r="S192" i="3"/>
  <c r="Y192" i="3" s="1"/>
  <c r="Z192" i="3" s="1"/>
  <c r="AA192" i="3" s="1"/>
  <c r="J192" i="3"/>
  <c r="V192" i="3"/>
  <c r="M192" i="3"/>
  <c r="N192" i="3"/>
  <c r="C192" i="3"/>
  <c r="P192" i="3"/>
  <c r="T192" i="3"/>
  <c r="E192" i="3"/>
  <c r="F192" i="3" s="1"/>
  <c r="H192" i="3"/>
  <c r="D193" i="4" l="1"/>
  <c r="C193" i="4"/>
  <c r="AB192" i="3"/>
  <c r="E193" i="4" s="1"/>
  <c r="C197" i="2"/>
  <c r="K197" i="2"/>
  <c r="H196" i="2"/>
  <c r="E196" i="2" s="1"/>
  <c r="K193" i="4"/>
  <c r="N193" i="4" s="1"/>
  <c r="I193" i="4"/>
  <c r="M193" i="4" s="1"/>
  <c r="G193" i="4"/>
  <c r="L193" i="4" s="1"/>
  <c r="I192" i="3"/>
  <c r="F193" i="4" s="1"/>
  <c r="U192" i="3"/>
  <c r="J193" i="4" s="1"/>
  <c r="O192" i="3"/>
  <c r="H193" i="4" s="1"/>
  <c r="T196" i="2"/>
  <c r="A194" i="4"/>
  <c r="P193" i="3"/>
  <c r="G193" i="3"/>
  <c r="S193" i="3"/>
  <c r="Y193" i="3" s="1"/>
  <c r="Z193" i="3" s="1"/>
  <c r="AA193" i="3" s="1"/>
  <c r="H193" i="3"/>
  <c r="T193" i="3"/>
  <c r="M193" i="3"/>
  <c r="V193" i="3"/>
  <c r="C193" i="3"/>
  <c r="E193" i="3"/>
  <c r="F193" i="3" s="1"/>
  <c r="J193" i="3"/>
  <c r="N193" i="3"/>
  <c r="J196" i="2"/>
  <c r="G196" i="2" s="1"/>
  <c r="M197" i="2"/>
  <c r="T197" i="2"/>
  <c r="D198" i="2"/>
  <c r="L197" i="2"/>
  <c r="I196" i="2"/>
  <c r="F196" i="2" s="1"/>
  <c r="D195" i="3"/>
  <c r="D194" i="4" l="1"/>
  <c r="K194" i="4"/>
  <c r="N194" i="4" s="1"/>
  <c r="I194" i="4"/>
  <c r="M194" i="4" s="1"/>
  <c r="G194" i="4"/>
  <c r="L194" i="4" s="1"/>
  <c r="K198" i="2"/>
  <c r="H197" i="2"/>
  <c r="I193" i="3"/>
  <c r="F194" i="4" s="1"/>
  <c r="U193" i="3"/>
  <c r="J194" i="4" s="1"/>
  <c r="O193" i="3"/>
  <c r="H194" i="4" s="1"/>
  <c r="D196" i="3"/>
  <c r="A195" i="4"/>
  <c r="M194" i="3"/>
  <c r="C194" i="3"/>
  <c r="P194" i="3"/>
  <c r="E194" i="3"/>
  <c r="F194" i="3" s="1"/>
  <c r="H194" i="3"/>
  <c r="T194" i="3"/>
  <c r="J194" i="3"/>
  <c r="V194" i="3"/>
  <c r="G194" i="3"/>
  <c r="N194" i="3"/>
  <c r="S194" i="3"/>
  <c r="Y194" i="3" s="1"/>
  <c r="Z194" i="3" s="1"/>
  <c r="AA194" i="3" s="1"/>
  <c r="E197" i="2"/>
  <c r="F197" i="2"/>
  <c r="C198" i="2"/>
  <c r="L198" i="2"/>
  <c r="I197" i="2"/>
  <c r="C194" i="4"/>
  <c r="AB193" i="3"/>
  <c r="E194" i="4" s="1"/>
  <c r="D199" i="2"/>
  <c r="M198" i="2"/>
  <c r="J197" i="2"/>
  <c r="G197" i="2" s="1"/>
  <c r="D195" i="4" l="1"/>
  <c r="D200" i="2"/>
  <c r="A196" i="4"/>
  <c r="J195" i="3"/>
  <c r="V195" i="3"/>
  <c r="M195" i="3"/>
  <c r="N195" i="3"/>
  <c r="C195" i="3"/>
  <c r="E195" i="3"/>
  <c r="F195" i="3" s="1"/>
  <c r="G195" i="3"/>
  <c r="S195" i="3"/>
  <c r="Y195" i="3" s="1"/>
  <c r="Z195" i="3" s="1"/>
  <c r="AA195" i="3" s="1"/>
  <c r="H195" i="3"/>
  <c r="P195" i="3"/>
  <c r="T195" i="3"/>
  <c r="H198" i="2"/>
  <c r="E198" i="2" s="1"/>
  <c r="K199" i="2"/>
  <c r="I198" i="2"/>
  <c r="F198" i="2" s="1"/>
  <c r="L199" i="2"/>
  <c r="O194" i="3"/>
  <c r="I194" i="3"/>
  <c r="U194" i="3"/>
  <c r="C199" i="2"/>
  <c r="T199" i="2" s="1"/>
  <c r="C195" i="4"/>
  <c r="AB194" i="3"/>
  <c r="E195" i="4" s="1"/>
  <c r="I195" i="4"/>
  <c r="M195" i="4" s="1"/>
  <c r="J195" i="4"/>
  <c r="K195" i="4"/>
  <c r="N195" i="4" s="1"/>
  <c r="G195" i="4"/>
  <c r="L195" i="4" s="1"/>
  <c r="H195" i="4"/>
  <c r="F195" i="4"/>
  <c r="D197" i="3"/>
  <c r="M199" i="2"/>
  <c r="J198" i="2"/>
  <c r="G198" i="2" s="1"/>
  <c r="T198" i="2"/>
  <c r="D196" i="4" l="1"/>
  <c r="O195" i="3"/>
  <c r="I195" i="3"/>
  <c r="U195" i="3"/>
  <c r="J196" i="4" s="1"/>
  <c r="I199" i="2"/>
  <c r="L200" i="2"/>
  <c r="C196" i="4"/>
  <c r="AB195" i="3"/>
  <c r="E196" i="4" s="1"/>
  <c r="K200" i="2"/>
  <c r="H199" i="2"/>
  <c r="H196" i="4"/>
  <c r="I196" i="4"/>
  <c r="M196" i="4" s="1"/>
  <c r="K196" i="4"/>
  <c r="N196" i="4" s="1"/>
  <c r="F196" i="4"/>
  <c r="G196" i="4"/>
  <c r="L196" i="4" s="1"/>
  <c r="D201" i="2"/>
  <c r="T200" i="2"/>
  <c r="M200" i="2"/>
  <c r="J199" i="2"/>
  <c r="G199" i="2" s="1"/>
  <c r="E199" i="2"/>
  <c r="F199" i="2"/>
  <c r="C200" i="2"/>
  <c r="D198" i="3"/>
  <c r="A197" i="4"/>
  <c r="G196" i="3"/>
  <c r="S196" i="3"/>
  <c r="Y196" i="3" s="1"/>
  <c r="Z196" i="3" s="1"/>
  <c r="AA196" i="3" s="1"/>
  <c r="J196" i="3"/>
  <c r="V196" i="3"/>
  <c r="N196" i="3"/>
  <c r="C196" i="3"/>
  <c r="P196" i="3"/>
  <c r="E196" i="3"/>
  <c r="F196" i="3" s="1"/>
  <c r="H196" i="3"/>
  <c r="M196" i="3"/>
  <c r="T196" i="3"/>
  <c r="D197" i="4" l="1"/>
  <c r="K201" i="2"/>
  <c r="H200" i="2"/>
  <c r="M201" i="2"/>
  <c r="J200" i="2"/>
  <c r="G200" i="2" s="1"/>
  <c r="D202" i="2"/>
  <c r="T201" i="2"/>
  <c r="L201" i="2"/>
  <c r="I200" i="2"/>
  <c r="A198" i="4"/>
  <c r="P197" i="3"/>
  <c r="G197" i="3"/>
  <c r="S197" i="3"/>
  <c r="Y197" i="3" s="1"/>
  <c r="Z197" i="3" s="1"/>
  <c r="AA197" i="3" s="1"/>
  <c r="H197" i="3"/>
  <c r="T197" i="3"/>
  <c r="M197" i="3"/>
  <c r="E197" i="3"/>
  <c r="F197" i="3" s="1"/>
  <c r="J197" i="3"/>
  <c r="N197" i="3"/>
  <c r="V197" i="3"/>
  <c r="C197" i="3"/>
  <c r="G197" i="4"/>
  <c r="L197" i="4" s="1"/>
  <c r="I197" i="4"/>
  <c r="M197" i="4" s="1"/>
  <c r="J197" i="4"/>
  <c r="K197" i="4"/>
  <c r="N197" i="4" s="1"/>
  <c r="F197" i="4"/>
  <c r="D199" i="3"/>
  <c r="C197" i="4"/>
  <c r="AB196" i="3"/>
  <c r="E197" i="4" s="1"/>
  <c r="F200" i="2"/>
  <c r="C201" i="2"/>
  <c r="E200" i="2"/>
  <c r="I196" i="3"/>
  <c r="U196" i="3"/>
  <c r="O196" i="3"/>
  <c r="H197" i="4" s="1"/>
  <c r="D198" i="4" l="1"/>
  <c r="A199" i="4"/>
  <c r="M198" i="3"/>
  <c r="C198" i="3"/>
  <c r="P198" i="3"/>
  <c r="E198" i="3"/>
  <c r="F198" i="3" s="1"/>
  <c r="H198" i="3"/>
  <c r="T198" i="3"/>
  <c r="J198" i="3"/>
  <c r="V198" i="3"/>
  <c r="N198" i="3"/>
  <c r="S198" i="3"/>
  <c r="Y198" i="3" s="1"/>
  <c r="Z198" i="3" s="1"/>
  <c r="AA198" i="3" s="1"/>
  <c r="G198" i="3"/>
  <c r="L202" i="2"/>
  <c r="I201" i="2"/>
  <c r="D200" i="3"/>
  <c r="I197" i="3"/>
  <c r="U197" i="3"/>
  <c r="O197" i="3"/>
  <c r="H198" i="4" s="1"/>
  <c r="T202" i="2"/>
  <c r="D203" i="2"/>
  <c r="C198" i="4"/>
  <c r="AB197" i="3"/>
  <c r="E198" i="4" s="1"/>
  <c r="M202" i="2"/>
  <c r="J201" i="2"/>
  <c r="G201" i="2" s="1"/>
  <c r="K202" i="2"/>
  <c r="H201" i="2"/>
  <c r="F201" i="2"/>
  <c r="C202" i="2"/>
  <c r="E201" i="2"/>
  <c r="F198" i="4"/>
  <c r="G198" i="4"/>
  <c r="L198" i="4" s="1"/>
  <c r="I198" i="4"/>
  <c r="M198" i="4" s="1"/>
  <c r="J198" i="4"/>
  <c r="K198" i="4"/>
  <c r="N198" i="4" s="1"/>
  <c r="D199" i="4" l="1"/>
  <c r="A200" i="4"/>
  <c r="J199" i="3"/>
  <c r="V199" i="3"/>
  <c r="M199" i="3"/>
  <c r="N199" i="3"/>
  <c r="C199" i="3"/>
  <c r="E199" i="3"/>
  <c r="F199" i="3" s="1"/>
  <c r="G199" i="3"/>
  <c r="S199" i="3"/>
  <c r="Y199" i="3" s="1"/>
  <c r="Z199" i="3" s="1"/>
  <c r="AA199" i="3" s="1"/>
  <c r="P199" i="3"/>
  <c r="T199" i="3"/>
  <c r="H199" i="3"/>
  <c r="E202" i="2"/>
  <c r="C203" i="2"/>
  <c r="D201" i="3"/>
  <c r="O198" i="3"/>
  <c r="I198" i="3"/>
  <c r="F199" i="4" s="1"/>
  <c r="U198" i="3"/>
  <c r="K203" i="2"/>
  <c r="H202" i="2"/>
  <c r="M203" i="2"/>
  <c r="J202" i="2"/>
  <c r="G202" i="2" s="1"/>
  <c r="L203" i="2"/>
  <c r="I202" i="2"/>
  <c r="F202" i="2" s="1"/>
  <c r="C199" i="4"/>
  <c r="AB198" i="3"/>
  <c r="E199" i="4" s="1"/>
  <c r="G199" i="4"/>
  <c r="L199" i="4" s="1"/>
  <c r="H199" i="4"/>
  <c r="I199" i="4"/>
  <c r="M199" i="4" s="1"/>
  <c r="J199" i="4"/>
  <c r="K199" i="4"/>
  <c r="N199" i="4" s="1"/>
  <c r="D204" i="2"/>
  <c r="D200" i="4" l="1"/>
  <c r="A201" i="4"/>
  <c r="G200" i="3"/>
  <c r="S200" i="3"/>
  <c r="Y200" i="3" s="1"/>
  <c r="Z200" i="3" s="1"/>
  <c r="AA200" i="3" s="1"/>
  <c r="J200" i="3"/>
  <c r="V200" i="3"/>
  <c r="N200" i="3"/>
  <c r="C200" i="3"/>
  <c r="P200" i="3"/>
  <c r="T200" i="3"/>
  <c r="E200" i="3"/>
  <c r="F200" i="3" s="1"/>
  <c r="H200" i="3"/>
  <c r="M200" i="3"/>
  <c r="O199" i="3"/>
  <c r="U199" i="3"/>
  <c r="J200" i="4" s="1"/>
  <c r="I199" i="3"/>
  <c r="K204" i="2"/>
  <c r="H203" i="2"/>
  <c r="D202" i="3"/>
  <c r="C204" i="2"/>
  <c r="E203" i="2"/>
  <c r="C200" i="4"/>
  <c r="AB199" i="3"/>
  <c r="E200" i="4" s="1"/>
  <c r="I203" i="2"/>
  <c r="F203" i="2" s="1"/>
  <c r="L204" i="2"/>
  <c r="T203" i="2"/>
  <c r="F200" i="4"/>
  <c r="G200" i="4"/>
  <c r="L200" i="4" s="1"/>
  <c r="H200" i="4"/>
  <c r="K200" i="4"/>
  <c r="N200" i="4" s="1"/>
  <c r="I200" i="4"/>
  <c r="M200" i="4" s="1"/>
  <c r="D205" i="2"/>
  <c r="J203" i="2"/>
  <c r="G203" i="2" s="1"/>
  <c r="M204" i="2"/>
  <c r="D201" i="4" l="1"/>
  <c r="F204" i="2"/>
  <c r="C205" i="2"/>
  <c r="D203" i="3"/>
  <c r="K205" i="2"/>
  <c r="H204" i="2"/>
  <c r="E204" i="2" s="1"/>
  <c r="J204" i="2"/>
  <c r="G204" i="2" s="1"/>
  <c r="M205" i="2"/>
  <c r="L205" i="2"/>
  <c r="I204" i="2"/>
  <c r="D206" i="2"/>
  <c r="C201" i="4"/>
  <c r="AB200" i="3"/>
  <c r="E201" i="4" s="1"/>
  <c r="G201" i="4"/>
  <c r="L201" i="4" s="1"/>
  <c r="K201" i="4"/>
  <c r="N201" i="4" s="1"/>
  <c r="I201" i="4"/>
  <c r="M201" i="4" s="1"/>
  <c r="T204" i="2"/>
  <c r="A202" i="4"/>
  <c r="P201" i="3"/>
  <c r="G201" i="3"/>
  <c r="S201" i="3"/>
  <c r="Y201" i="3" s="1"/>
  <c r="Z201" i="3" s="1"/>
  <c r="AA201" i="3" s="1"/>
  <c r="H201" i="3"/>
  <c r="T201" i="3"/>
  <c r="M201" i="3"/>
  <c r="V201" i="3"/>
  <c r="C201" i="3"/>
  <c r="E201" i="3"/>
  <c r="F201" i="3" s="1"/>
  <c r="J201" i="3"/>
  <c r="N201" i="3"/>
  <c r="I200" i="3"/>
  <c r="F201" i="4" s="1"/>
  <c r="U200" i="3"/>
  <c r="J201" i="4" s="1"/>
  <c r="O200" i="3"/>
  <c r="H201" i="4" s="1"/>
  <c r="D202" i="4" l="1"/>
  <c r="L206" i="2"/>
  <c r="I205" i="2"/>
  <c r="A203" i="4"/>
  <c r="M202" i="3"/>
  <c r="C202" i="3"/>
  <c r="P202" i="3"/>
  <c r="E202" i="3"/>
  <c r="F202" i="3" s="1"/>
  <c r="H202" i="3"/>
  <c r="T202" i="3"/>
  <c r="J202" i="3"/>
  <c r="V202" i="3"/>
  <c r="G202" i="3"/>
  <c r="N202" i="3"/>
  <c r="S202" i="3"/>
  <c r="Y202" i="3" s="1"/>
  <c r="Z202" i="3" s="1"/>
  <c r="AA202" i="3" s="1"/>
  <c r="M206" i="2"/>
  <c r="J205" i="2"/>
  <c r="C202" i="4"/>
  <c r="AB201" i="3"/>
  <c r="E202" i="4" s="1"/>
  <c r="H205" i="2"/>
  <c r="K206" i="2"/>
  <c r="D204" i="3"/>
  <c r="C206" i="2"/>
  <c r="F205" i="2"/>
  <c r="E205" i="2"/>
  <c r="T205" i="2"/>
  <c r="I202" i="4"/>
  <c r="M202" i="4" s="1"/>
  <c r="K202" i="4"/>
  <c r="N202" i="4" s="1"/>
  <c r="G202" i="4"/>
  <c r="L202" i="4" s="1"/>
  <c r="T206" i="2"/>
  <c r="D207" i="2"/>
  <c r="G205" i="2"/>
  <c r="I201" i="3"/>
  <c r="F202" i="4" s="1"/>
  <c r="U201" i="3"/>
  <c r="J202" i="4" s="1"/>
  <c r="O201" i="3"/>
  <c r="H202" i="4" s="1"/>
  <c r="D203" i="4" l="1"/>
  <c r="H206" i="2"/>
  <c r="K207" i="2"/>
  <c r="A204" i="4"/>
  <c r="J203" i="3"/>
  <c r="V203" i="3"/>
  <c r="M203" i="3"/>
  <c r="N203" i="3"/>
  <c r="C203" i="3"/>
  <c r="E203" i="3"/>
  <c r="F203" i="3" s="1"/>
  <c r="G203" i="3"/>
  <c r="S203" i="3"/>
  <c r="Y203" i="3" s="1"/>
  <c r="Z203" i="3" s="1"/>
  <c r="AA203" i="3" s="1"/>
  <c r="H203" i="3"/>
  <c r="P203" i="3"/>
  <c r="T203" i="3"/>
  <c r="O202" i="3"/>
  <c r="I202" i="3"/>
  <c r="U202" i="3"/>
  <c r="J203" i="4" s="1"/>
  <c r="M207" i="2"/>
  <c r="J206" i="2"/>
  <c r="C203" i="4"/>
  <c r="AB202" i="3"/>
  <c r="E203" i="4" s="1"/>
  <c r="K203" i="4"/>
  <c r="N203" i="4" s="1"/>
  <c r="F203" i="4"/>
  <c r="H203" i="4"/>
  <c r="I203" i="4"/>
  <c r="M203" i="4" s="1"/>
  <c r="G203" i="4"/>
  <c r="L203" i="4" s="1"/>
  <c r="L207" i="2"/>
  <c r="I206" i="2"/>
  <c r="F206" i="2" s="1"/>
  <c r="D208" i="2"/>
  <c r="E206" i="2"/>
  <c r="C207" i="2"/>
  <c r="T207" i="2" s="1"/>
  <c r="G206" i="2"/>
  <c r="D205" i="3"/>
  <c r="D204" i="4" l="1"/>
  <c r="A205" i="4"/>
  <c r="G204" i="3"/>
  <c r="S204" i="3"/>
  <c r="Y204" i="3" s="1"/>
  <c r="Z204" i="3" s="1"/>
  <c r="AA204" i="3" s="1"/>
  <c r="J204" i="3"/>
  <c r="V204" i="3"/>
  <c r="N204" i="3"/>
  <c r="C204" i="3"/>
  <c r="P204" i="3"/>
  <c r="E204" i="3"/>
  <c r="F204" i="3" s="1"/>
  <c r="H204" i="3"/>
  <c r="M204" i="3"/>
  <c r="T204" i="3"/>
  <c r="D209" i="2"/>
  <c r="O203" i="3"/>
  <c r="H204" i="4" s="1"/>
  <c r="I203" i="3"/>
  <c r="F204" i="4" s="1"/>
  <c r="U203" i="3"/>
  <c r="J204" i="4" s="1"/>
  <c r="M208" i="2"/>
  <c r="J207" i="2"/>
  <c r="G207" i="2" s="1"/>
  <c r="C204" i="4"/>
  <c r="AB203" i="3"/>
  <c r="E204" i="4" s="1"/>
  <c r="L208" i="2"/>
  <c r="I207" i="2"/>
  <c r="G204" i="4"/>
  <c r="L204" i="4" s="1"/>
  <c r="I204" i="4"/>
  <c r="M204" i="4" s="1"/>
  <c r="K204" i="4"/>
  <c r="N204" i="4" s="1"/>
  <c r="D206" i="3"/>
  <c r="K208" i="2"/>
  <c r="H207" i="2"/>
  <c r="E207" i="2" s="1"/>
  <c r="F207" i="2"/>
  <c r="C208" i="2"/>
  <c r="D205" i="4" l="1"/>
  <c r="D207" i="3"/>
  <c r="J208" i="2"/>
  <c r="G208" i="2" s="1"/>
  <c r="M209" i="2"/>
  <c r="I204" i="3"/>
  <c r="U204" i="3"/>
  <c r="O204" i="3"/>
  <c r="T209" i="2"/>
  <c r="D210" i="2"/>
  <c r="C209" i="2"/>
  <c r="T208" i="2"/>
  <c r="L209" i="2"/>
  <c r="I208" i="2"/>
  <c r="F208" i="2" s="1"/>
  <c r="A206" i="4"/>
  <c r="P205" i="3"/>
  <c r="G205" i="3"/>
  <c r="S205" i="3"/>
  <c r="Y205" i="3" s="1"/>
  <c r="Z205" i="3" s="1"/>
  <c r="AA205" i="3" s="1"/>
  <c r="H205" i="3"/>
  <c r="T205" i="3"/>
  <c r="M205" i="3"/>
  <c r="E205" i="3"/>
  <c r="F205" i="3" s="1"/>
  <c r="J205" i="3"/>
  <c r="N205" i="3"/>
  <c r="V205" i="3"/>
  <c r="C205" i="3"/>
  <c r="K205" i="4"/>
  <c r="N205" i="4" s="1"/>
  <c r="F205" i="4"/>
  <c r="G205" i="4"/>
  <c r="L205" i="4" s="1"/>
  <c r="J205" i="4"/>
  <c r="H205" i="4"/>
  <c r="I205" i="4"/>
  <c r="M205" i="4" s="1"/>
  <c r="K209" i="2"/>
  <c r="H208" i="2"/>
  <c r="E208" i="2" s="1"/>
  <c r="C205" i="4"/>
  <c r="AB204" i="3"/>
  <c r="E205" i="4" s="1"/>
  <c r="D206" i="4" l="1"/>
  <c r="D211" i="2"/>
  <c r="A207" i="4"/>
  <c r="M206" i="3"/>
  <c r="C206" i="3"/>
  <c r="P206" i="3"/>
  <c r="E206" i="3"/>
  <c r="F206" i="3" s="1"/>
  <c r="H206" i="3"/>
  <c r="T206" i="3"/>
  <c r="J206" i="3"/>
  <c r="V206" i="3"/>
  <c r="N206" i="3"/>
  <c r="S206" i="3"/>
  <c r="Y206" i="3" s="1"/>
  <c r="Z206" i="3" s="1"/>
  <c r="AA206" i="3" s="1"/>
  <c r="G206" i="3"/>
  <c r="K206" i="4"/>
  <c r="N206" i="4" s="1"/>
  <c r="F206" i="4"/>
  <c r="G206" i="4"/>
  <c r="L206" i="4" s="1"/>
  <c r="I206" i="4"/>
  <c r="M206" i="4" s="1"/>
  <c r="L210" i="2"/>
  <c r="I209" i="2"/>
  <c r="M210" i="2"/>
  <c r="J209" i="2"/>
  <c r="G209" i="2" s="1"/>
  <c r="D208" i="3"/>
  <c r="K210" i="2"/>
  <c r="H209" i="2"/>
  <c r="E209" i="2" s="1"/>
  <c r="I205" i="3"/>
  <c r="U205" i="3"/>
  <c r="J206" i="4" s="1"/>
  <c r="O205" i="3"/>
  <c r="H206" i="4" s="1"/>
  <c r="C206" i="4"/>
  <c r="AB205" i="3"/>
  <c r="E206" i="4" s="1"/>
  <c r="F209" i="2"/>
  <c r="C210" i="2"/>
  <c r="D207" i="4" l="1"/>
  <c r="A208" i="4"/>
  <c r="J207" i="3"/>
  <c r="V207" i="3"/>
  <c r="M207" i="3"/>
  <c r="N207" i="3"/>
  <c r="C207" i="3"/>
  <c r="E207" i="3"/>
  <c r="F207" i="3" s="1"/>
  <c r="G207" i="3"/>
  <c r="S207" i="3"/>
  <c r="Y207" i="3" s="1"/>
  <c r="Z207" i="3" s="1"/>
  <c r="AA207" i="3" s="1"/>
  <c r="P207" i="3"/>
  <c r="T207" i="3"/>
  <c r="H207" i="3"/>
  <c r="O206" i="3"/>
  <c r="H207" i="4" s="1"/>
  <c r="I206" i="3"/>
  <c r="F207" i="4" s="1"/>
  <c r="U206" i="3"/>
  <c r="C207" i="4"/>
  <c r="AB206" i="3"/>
  <c r="E207" i="4" s="1"/>
  <c r="H210" i="2"/>
  <c r="K211" i="2"/>
  <c r="D209" i="3"/>
  <c r="I207" i="4"/>
  <c r="M207" i="4" s="1"/>
  <c r="J207" i="4"/>
  <c r="K207" i="4"/>
  <c r="N207" i="4" s="1"/>
  <c r="G207" i="4"/>
  <c r="L207" i="4" s="1"/>
  <c r="C211" i="2"/>
  <c r="E210" i="2"/>
  <c r="T210" i="2"/>
  <c r="M211" i="2"/>
  <c r="J210" i="2"/>
  <c r="G210" i="2" s="1"/>
  <c r="D212" i="2"/>
  <c r="L211" i="2"/>
  <c r="I210" i="2"/>
  <c r="F210" i="2" s="1"/>
  <c r="D208" i="4" l="1"/>
  <c r="M212" i="2"/>
  <c r="J211" i="2"/>
  <c r="D210" i="3"/>
  <c r="A209" i="4"/>
  <c r="G208" i="3"/>
  <c r="S208" i="3"/>
  <c r="Y208" i="3" s="1"/>
  <c r="Z208" i="3" s="1"/>
  <c r="AA208" i="3" s="1"/>
  <c r="J208" i="3"/>
  <c r="V208" i="3"/>
  <c r="N208" i="3"/>
  <c r="C208" i="3"/>
  <c r="P208" i="3"/>
  <c r="T208" i="3"/>
  <c r="E208" i="3"/>
  <c r="F208" i="3" s="1"/>
  <c r="H208" i="3"/>
  <c r="M208" i="3"/>
  <c r="O207" i="3"/>
  <c r="U207" i="3"/>
  <c r="I207" i="3"/>
  <c r="F208" i="4" s="1"/>
  <c r="K212" i="2"/>
  <c r="H211" i="2"/>
  <c r="E211" i="2" s="1"/>
  <c r="C212" i="2"/>
  <c r="T212" i="2" s="1"/>
  <c r="C208" i="4"/>
  <c r="AB207" i="3"/>
  <c r="E208" i="4" s="1"/>
  <c r="I211" i="2"/>
  <c r="F211" i="2" s="1"/>
  <c r="L212" i="2"/>
  <c r="G211" i="2"/>
  <c r="H208" i="4"/>
  <c r="I208" i="4"/>
  <c r="M208" i="4" s="1"/>
  <c r="J208" i="4"/>
  <c r="K208" i="4"/>
  <c r="N208" i="4" s="1"/>
  <c r="G208" i="4"/>
  <c r="L208" i="4" s="1"/>
  <c r="D213" i="2"/>
  <c r="T211" i="2"/>
  <c r="D209" i="4" l="1"/>
  <c r="K213" i="2"/>
  <c r="H212" i="2"/>
  <c r="I212" i="2"/>
  <c r="L213" i="2"/>
  <c r="C209" i="4"/>
  <c r="AB208" i="3"/>
  <c r="E209" i="4" s="1"/>
  <c r="G209" i="4"/>
  <c r="L209" i="4" s="1"/>
  <c r="H209" i="4"/>
  <c r="I209" i="4"/>
  <c r="M209" i="4" s="1"/>
  <c r="J209" i="4"/>
  <c r="K209" i="4"/>
  <c r="N209" i="4" s="1"/>
  <c r="D211" i="3"/>
  <c r="I208" i="3"/>
  <c r="F209" i="4" s="1"/>
  <c r="U208" i="3"/>
  <c r="O208" i="3"/>
  <c r="A210" i="4"/>
  <c r="P209" i="3"/>
  <c r="G209" i="3"/>
  <c r="S209" i="3"/>
  <c r="Y209" i="3" s="1"/>
  <c r="Z209" i="3" s="1"/>
  <c r="AA209" i="3" s="1"/>
  <c r="H209" i="3"/>
  <c r="T209" i="3"/>
  <c r="M209" i="3"/>
  <c r="V209" i="3"/>
  <c r="C209" i="3"/>
  <c r="E209" i="3"/>
  <c r="F209" i="3" s="1"/>
  <c r="J209" i="3"/>
  <c r="N209" i="3"/>
  <c r="D214" i="2"/>
  <c r="T213" i="2"/>
  <c r="F212" i="2"/>
  <c r="C213" i="2"/>
  <c r="E212" i="2"/>
  <c r="M213" i="2"/>
  <c r="J212" i="2"/>
  <c r="G212" i="2" s="1"/>
  <c r="D210" i="4" l="1"/>
  <c r="G210" i="4"/>
  <c r="L210" i="4" s="1"/>
  <c r="I210" i="4"/>
  <c r="M210" i="4" s="1"/>
  <c r="K210" i="4"/>
  <c r="N210" i="4" s="1"/>
  <c r="I209" i="3"/>
  <c r="F210" i="4" s="1"/>
  <c r="U209" i="3"/>
  <c r="J210" i="4" s="1"/>
  <c r="O209" i="3"/>
  <c r="H210" i="4" s="1"/>
  <c r="L214" i="2"/>
  <c r="I213" i="2"/>
  <c r="D215" i="2"/>
  <c r="A211" i="4"/>
  <c r="M210" i="3"/>
  <c r="C210" i="3"/>
  <c r="P210" i="3"/>
  <c r="E210" i="3"/>
  <c r="F210" i="3" s="1"/>
  <c r="J210" i="3"/>
  <c r="V210" i="3"/>
  <c r="S210" i="3"/>
  <c r="Y210" i="3" s="1"/>
  <c r="Z210" i="3" s="1"/>
  <c r="AA210" i="3" s="1"/>
  <c r="T210" i="3"/>
  <c r="G210" i="3"/>
  <c r="H210" i="3"/>
  <c r="N210" i="3"/>
  <c r="D212" i="3"/>
  <c r="M214" i="2"/>
  <c r="J213" i="2"/>
  <c r="G213" i="2" s="1"/>
  <c r="H213" i="2"/>
  <c r="K214" i="2"/>
  <c r="C210" i="4"/>
  <c r="AB209" i="3"/>
  <c r="E210" i="4" s="1"/>
  <c r="F213" i="2"/>
  <c r="C214" i="2"/>
  <c r="E213" i="2"/>
  <c r="D211" i="4" l="1"/>
  <c r="K215" i="2"/>
  <c r="H214" i="2"/>
  <c r="A212" i="4"/>
  <c r="J211" i="3"/>
  <c r="V211" i="3"/>
  <c r="M211" i="3"/>
  <c r="N211" i="3"/>
  <c r="C211" i="3"/>
  <c r="G211" i="3"/>
  <c r="S211" i="3"/>
  <c r="Y211" i="3" s="1"/>
  <c r="Z211" i="3" s="1"/>
  <c r="AA211" i="3" s="1"/>
  <c r="P211" i="3"/>
  <c r="T211" i="3"/>
  <c r="E211" i="3"/>
  <c r="F211" i="3" s="1"/>
  <c r="H211" i="3"/>
  <c r="I214" i="2"/>
  <c r="L215" i="2"/>
  <c r="O210" i="3"/>
  <c r="H211" i="4" s="1"/>
  <c r="U210" i="3"/>
  <c r="J211" i="4" s="1"/>
  <c r="I210" i="3"/>
  <c r="F211" i="4" s="1"/>
  <c r="M215" i="2"/>
  <c r="J214" i="2"/>
  <c r="G214" i="2" s="1"/>
  <c r="C211" i="4"/>
  <c r="AB210" i="3"/>
  <c r="E211" i="4" s="1"/>
  <c r="G211" i="4"/>
  <c r="L211" i="4" s="1"/>
  <c r="I211" i="4"/>
  <c r="M211" i="4" s="1"/>
  <c r="K211" i="4"/>
  <c r="N211" i="4" s="1"/>
  <c r="D216" i="2"/>
  <c r="F214" i="2"/>
  <c r="E214" i="2"/>
  <c r="C215" i="2"/>
  <c r="T215" i="2" s="1"/>
  <c r="T214" i="2"/>
  <c r="D213" i="3"/>
  <c r="D212" i="4" l="1"/>
  <c r="M216" i="2"/>
  <c r="J215" i="2"/>
  <c r="G215" i="2" s="1"/>
  <c r="D217" i="2"/>
  <c r="C212" i="4"/>
  <c r="AB211" i="3"/>
  <c r="E212" i="4" s="1"/>
  <c r="I215" i="2"/>
  <c r="L216" i="2"/>
  <c r="G212" i="4"/>
  <c r="L212" i="4" s="1"/>
  <c r="I212" i="4"/>
  <c r="M212" i="4" s="1"/>
  <c r="K212" i="4"/>
  <c r="N212" i="4" s="1"/>
  <c r="A213" i="4"/>
  <c r="G212" i="3"/>
  <c r="S212" i="3"/>
  <c r="Y212" i="3" s="1"/>
  <c r="Z212" i="3" s="1"/>
  <c r="AA212" i="3" s="1"/>
  <c r="J212" i="3"/>
  <c r="V212" i="3"/>
  <c r="P212" i="3"/>
  <c r="H212" i="3"/>
  <c r="M212" i="3"/>
  <c r="N212" i="3"/>
  <c r="T212" i="3"/>
  <c r="C212" i="3"/>
  <c r="E212" i="3"/>
  <c r="F212" i="3" s="1"/>
  <c r="O211" i="3"/>
  <c r="H212" i="4" s="1"/>
  <c r="U211" i="3"/>
  <c r="J212" i="4" s="1"/>
  <c r="I211" i="3"/>
  <c r="F212" i="4" s="1"/>
  <c r="K216" i="2"/>
  <c r="H215" i="2"/>
  <c r="E215" i="2" s="1"/>
  <c r="D214" i="3"/>
  <c r="F215" i="2"/>
  <c r="C216" i="2"/>
  <c r="D213" i="4" l="1"/>
  <c r="L217" i="2"/>
  <c r="I216" i="2"/>
  <c r="K217" i="2"/>
  <c r="H216" i="2"/>
  <c r="T216" i="2"/>
  <c r="I212" i="3"/>
  <c r="U212" i="3"/>
  <c r="J213" i="4" s="1"/>
  <c r="O212" i="3"/>
  <c r="H213" i="4" s="1"/>
  <c r="F213" i="4"/>
  <c r="K213" i="4"/>
  <c r="N213" i="4" s="1"/>
  <c r="I213" i="4"/>
  <c r="M213" i="4" s="1"/>
  <c r="G213" i="4"/>
  <c r="L213" i="4" s="1"/>
  <c r="D218" i="2"/>
  <c r="F216" i="2"/>
  <c r="C217" i="2"/>
  <c r="E216" i="2"/>
  <c r="J216" i="2"/>
  <c r="G216" i="2" s="1"/>
  <c r="M217" i="2"/>
  <c r="C213" i="4"/>
  <c r="AB212" i="3"/>
  <c r="E213" i="4" s="1"/>
  <c r="D215" i="3"/>
  <c r="A214" i="4"/>
  <c r="P213" i="3"/>
  <c r="H213" i="3"/>
  <c r="T213" i="3"/>
  <c r="M213" i="3"/>
  <c r="C213" i="3"/>
  <c r="V213" i="3"/>
  <c r="E213" i="3"/>
  <c r="F213" i="3" s="1"/>
  <c r="G213" i="3"/>
  <c r="J213" i="3"/>
  <c r="N213" i="3"/>
  <c r="S213" i="3"/>
  <c r="Y213" i="3" s="1"/>
  <c r="Z213" i="3" s="1"/>
  <c r="AA213" i="3" s="1"/>
  <c r="D214" i="4" l="1"/>
  <c r="C214" i="4"/>
  <c r="AB213" i="3"/>
  <c r="E214" i="4" s="1"/>
  <c r="C218" i="2"/>
  <c r="T217" i="2"/>
  <c r="T218" i="2"/>
  <c r="D219" i="2"/>
  <c r="F214" i="4"/>
  <c r="G214" i="4"/>
  <c r="L214" i="4" s="1"/>
  <c r="I214" i="4"/>
  <c r="M214" i="4" s="1"/>
  <c r="K214" i="4"/>
  <c r="N214" i="4" s="1"/>
  <c r="K218" i="2"/>
  <c r="H217" i="2"/>
  <c r="E217" i="2" s="1"/>
  <c r="A215" i="4"/>
  <c r="M214" i="3"/>
  <c r="C214" i="3"/>
  <c r="E214" i="3"/>
  <c r="F214" i="3" s="1"/>
  <c r="J214" i="3"/>
  <c r="V214" i="3"/>
  <c r="N214" i="3"/>
  <c r="P214" i="3"/>
  <c r="S214" i="3"/>
  <c r="Y214" i="3" s="1"/>
  <c r="Z214" i="3" s="1"/>
  <c r="AA214" i="3" s="1"/>
  <c r="T214" i="3"/>
  <c r="G214" i="3"/>
  <c r="H214" i="3"/>
  <c r="D216" i="3"/>
  <c r="L218" i="2"/>
  <c r="I217" i="2"/>
  <c r="F217" i="2" s="1"/>
  <c r="U213" i="3"/>
  <c r="J214" i="4" s="1"/>
  <c r="I213" i="3"/>
  <c r="O213" i="3"/>
  <c r="H214" i="4" s="1"/>
  <c r="M218" i="2"/>
  <c r="J217" i="2"/>
  <c r="G217" i="2" s="1"/>
  <c r="D215" i="4" l="1"/>
  <c r="I218" i="2"/>
  <c r="L219" i="2"/>
  <c r="D217" i="3"/>
  <c r="C215" i="4"/>
  <c r="AB214" i="3"/>
  <c r="E215" i="4" s="1"/>
  <c r="D220" i="2"/>
  <c r="O214" i="3"/>
  <c r="H215" i="4" s="1"/>
  <c r="U214" i="3"/>
  <c r="J215" i="4" s="1"/>
  <c r="I214" i="3"/>
  <c r="F215" i="4"/>
  <c r="I215" i="4"/>
  <c r="M215" i="4" s="1"/>
  <c r="G215" i="4"/>
  <c r="L215" i="4" s="1"/>
  <c r="K215" i="4"/>
  <c r="N215" i="4" s="1"/>
  <c r="H218" i="2"/>
  <c r="K219" i="2"/>
  <c r="E218" i="2"/>
  <c r="C219" i="2"/>
  <c r="F218" i="2"/>
  <c r="M219" i="2"/>
  <c r="J218" i="2"/>
  <c r="G218" i="2" s="1"/>
  <c r="A216" i="4"/>
  <c r="J215" i="3"/>
  <c r="V215" i="3"/>
  <c r="N215" i="3"/>
  <c r="G215" i="3"/>
  <c r="S215" i="3"/>
  <c r="Y215" i="3" s="1"/>
  <c r="Z215" i="3" s="1"/>
  <c r="AA215" i="3" s="1"/>
  <c r="C215" i="3"/>
  <c r="T215" i="3"/>
  <c r="E215" i="3"/>
  <c r="F215" i="3" s="1"/>
  <c r="H215" i="3"/>
  <c r="M215" i="3"/>
  <c r="P215" i="3"/>
  <c r="D216" i="4" l="1"/>
  <c r="D221" i="2"/>
  <c r="U215" i="3"/>
  <c r="J216" i="4" s="1"/>
  <c r="I215" i="3"/>
  <c r="O215" i="3"/>
  <c r="E219" i="2"/>
  <c r="C220" i="2"/>
  <c r="F219" i="2"/>
  <c r="K220" i="2"/>
  <c r="H219" i="2"/>
  <c r="T219" i="2"/>
  <c r="D218" i="3"/>
  <c r="F216" i="4"/>
  <c r="G216" i="4"/>
  <c r="L216" i="4" s="1"/>
  <c r="H216" i="4"/>
  <c r="K216" i="4"/>
  <c r="N216" i="4" s="1"/>
  <c r="I216" i="4"/>
  <c r="M216" i="4" s="1"/>
  <c r="L220" i="2"/>
  <c r="I219" i="2"/>
  <c r="C216" i="4"/>
  <c r="AB215" i="3"/>
  <c r="E216" i="4" s="1"/>
  <c r="A217" i="4"/>
  <c r="G216" i="3"/>
  <c r="S216" i="3"/>
  <c r="Y216" i="3" s="1"/>
  <c r="Z216" i="3" s="1"/>
  <c r="AA216" i="3" s="1"/>
  <c r="P216" i="3"/>
  <c r="J216" i="3"/>
  <c r="M216" i="3"/>
  <c r="N216" i="3"/>
  <c r="C216" i="3"/>
  <c r="T216" i="3"/>
  <c r="E216" i="3"/>
  <c r="F216" i="3" s="1"/>
  <c r="V216" i="3"/>
  <c r="H216" i="3"/>
  <c r="J219" i="2"/>
  <c r="G219" i="2" s="1"/>
  <c r="M220" i="2"/>
  <c r="D217" i="4" l="1"/>
  <c r="L221" i="2"/>
  <c r="I220" i="2"/>
  <c r="K221" i="2"/>
  <c r="H220" i="2"/>
  <c r="A218" i="4"/>
  <c r="P217" i="3"/>
  <c r="H217" i="3"/>
  <c r="T217" i="3"/>
  <c r="M217" i="3"/>
  <c r="S217" i="3"/>
  <c r="Y217" i="3" s="1"/>
  <c r="Z217" i="3" s="1"/>
  <c r="AA217" i="3" s="1"/>
  <c r="C217" i="3"/>
  <c r="V217" i="3"/>
  <c r="E217" i="3"/>
  <c r="F217" i="3" s="1"/>
  <c r="G217" i="3"/>
  <c r="J217" i="3"/>
  <c r="N217" i="3"/>
  <c r="C221" i="2"/>
  <c r="F220" i="2"/>
  <c r="E220" i="2"/>
  <c r="C217" i="4"/>
  <c r="AB216" i="3"/>
  <c r="E217" i="4" s="1"/>
  <c r="D219" i="3"/>
  <c r="D222" i="2"/>
  <c r="K217" i="4"/>
  <c r="N217" i="4" s="1"/>
  <c r="G217" i="4"/>
  <c r="L217" i="4" s="1"/>
  <c r="I217" i="4"/>
  <c r="M217" i="4" s="1"/>
  <c r="T220" i="2"/>
  <c r="J220" i="2"/>
  <c r="G220" i="2" s="1"/>
  <c r="M221" i="2"/>
  <c r="I216" i="3"/>
  <c r="F217" i="4" s="1"/>
  <c r="U216" i="3"/>
  <c r="J217" i="4" s="1"/>
  <c r="O216" i="3"/>
  <c r="H217" i="4" s="1"/>
  <c r="D218" i="4" l="1"/>
  <c r="C218" i="4"/>
  <c r="AB217" i="3"/>
  <c r="E218" i="4" s="1"/>
  <c r="C222" i="2"/>
  <c r="K218" i="4"/>
  <c r="N218" i="4" s="1"/>
  <c r="I218" i="4"/>
  <c r="M218" i="4" s="1"/>
  <c r="G218" i="4"/>
  <c r="L218" i="4" s="1"/>
  <c r="A219" i="4"/>
  <c r="M218" i="3"/>
  <c r="C218" i="3"/>
  <c r="E218" i="3"/>
  <c r="F218" i="3" s="1"/>
  <c r="J218" i="3"/>
  <c r="V218" i="3"/>
  <c r="G218" i="3"/>
  <c r="H218" i="3"/>
  <c r="N218" i="3"/>
  <c r="P218" i="3"/>
  <c r="S218" i="3"/>
  <c r="Y218" i="3" s="1"/>
  <c r="Z218" i="3" s="1"/>
  <c r="AA218" i="3" s="1"/>
  <c r="T218" i="3"/>
  <c r="H221" i="2"/>
  <c r="E221" i="2" s="1"/>
  <c r="K222" i="2"/>
  <c r="M222" i="2"/>
  <c r="J221" i="2"/>
  <c r="G221" i="2" s="1"/>
  <c r="T221" i="2"/>
  <c r="O217" i="3"/>
  <c r="H218" i="4" s="1"/>
  <c r="U217" i="3"/>
  <c r="J218" i="4" s="1"/>
  <c r="I217" i="3"/>
  <c r="F218" i="4" s="1"/>
  <c r="L222" i="2"/>
  <c r="I221" i="2"/>
  <c r="F221" i="2" s="1"/>
  <c r="T222" i="2"/>
  <c r="D223" i="2"/>
  <c r="D220" i="3"/>
  <c r="D219" i="4" l="1"/>
  <c r="A220" i="4"/>
  <c r="J219" i="3"/>
  <c r="V219" i="3"/>
  <c r="N219" i="3"/>
  <c r="G219" i="3"/>
  <c r="S219" i="3"/>
  <c r="Y219" i="3" s="1"/>
  <c r="Z219" i="3" s="1"/>
  <c r="AA219" i="3" s="1"/>
  <c r="P219" i="3"/>
  <c r="C219" i="3"/>
  <c r="T219" i="3"/>
  <c r="E219" i="3"/>
  <c r="F219" i="3" s="1"/>
  <c r="H219" i="3"/>
  <c r="M219" i="3"/>
  <c r="C223" i="2"/>
  <c r="E222" i="2"/>
  <c r="M223" i="2"/>
  <c r="J222" i="2"/>
  <c r="G222" i="2" s="1"/>
  <c r="O218" i="3"/>
  <c r="I218" i="3"/>
  <c r="U218" i="3"/>
  <c r="J219" i="4" s="1"/>
  <c r="D221" i="3"/>
  <c r="H222" i="2"/>
  <c r="K223" i="2"/>
  <c r="L223" i="2"/>
  <c r="I222" i="2"/>
  <c r="F222" i="2" s="1"/>
  <c r="T223" i="2"/>
  <c r="D224" i="2"/>
  <c r="C219" i="4"/>
  <c r="AB218" i="3"/>
  <c r="E219" i="4" s="1"/>
  <c r="I219" i="4"/>
  <c r="M219" i="4" s="1"/>
  <c r="H219" i="4"/>
  <c r="G219" i="4"/>
  <c r="L219" i="4" s="1"/>
  <c r="K219" i="4"/>
  <c r="N219" i="4" s="1"/>
  <c r="F219" i="4"/>
  <c r="D220" i="4" l="1"/>
  <c r="D222" i="3"/>
  <c r="O219" i="3"/>
  <c r="U219" i="3"/>
  <c r="I219" i="3"/>
  <c r="D225" i="2"/>
  <c r="T224" i="2"/>
  <c r="J223" i="2"/>
  <c r="G223" i="2" s="1"/>
  <c r="M224" i="2"/>
  <c r="I223" i="2"/>
  <c r="L224" i="2"/>
  <c r="F223" i="2"/>
  <c r="C224" i="2"/>
  <c r="K224" i="2"/>
  <c r="H223" i="2"/>
  <c r="E223" i="2" s="1"/>
  <c r="A221" i="4"/>
  <c r="G220" i="3"/>
  <c r="S220" i="3"/>
  <c r="Y220" i="3" s="1"/>
  <c r="Z220" i="3" s="1"/>
  <c r="AA220" i="3" s="1"/>
  <c r="P220" i="3"/>
  <c r="E220" i="3"/>
  <c r="F220" i="3" s="1"/>
  <c r="V220" i="3"/>
  <c r="H220" i="3"/>
  <c r="J220" i="3"/>
  <c r="M220" i="3"/>
  <c r="N220" i="3"/>
  <c r="T220" i="3"/>
  <c r="C220" i="3"/>
  <c r="H220" i="4"/>
  <c r="I220" i="4"/>
  <c r="M220" i="4" s="1"/>
  <c r="K220" i="4"/>
  <c r="N220" i="4" s="1"/>
  <c r="F220" i="4"/>
  <c r="G220" i="4"/>
  <c r="L220" i="4" s="1"/>
  <c r="J220" i="4"/>
  <c r="C220" i="4"/>
  <c r="AB219" i="3"/>
  <c r="E220" i="4" s="1"/>
  <c r="D221" i="4" l="1"/>
  <c r="G221" i="4"/>
  <c r="L221" i="4" s="1"/>
  <c r="K221" i="4"/>
  <c r="N221" i="4" s="1"/>
  <c r="I221" i="4"/>
  <c r="M221" i="4" s="1"/>
  <c r="D226" i="2"/>
  <c r="A222" i="4"/>
  <c r="P221" i="3"/>
  <c r="H221" i="3"/>
  <c r="T221" i="3"/>
  <c r="J221" i="3"/>
  <c r="M221" i="3"/>
  <c r="N221" i="3"/>
  <c r="S221" i="3"/>
  <c r="Y221" i="3" s="1"/>
  <c r="Z221" i="3" s="1"/>
  <c r="AA221" i="3" s="1"/>
  <c r="C221" i="3"/>
  <c r="E221" i="3"/>
  <c r="F221" i="3" s="1"/>
  <c r="V221" i="3"/>
  <c r="G221" i="3"/>
  <c r="K225" i="2"/>
  <c r="H224" i="2"/>
  <c r="C225" i="2"/>
  <c r="T225" i="2" s="1"/>
  <c r="E224" i="2"/>
  <c r="M225" i="2"/>
  <c r="J224" i="2"/>
  <c r="G224" i="2" s="1"/>
  <c r="C221" i="4"/>
  <c r="AB220" i="3"/>
  <c r="E221" i="4" s="1"/>
  <c r="D223" i="3"/>
  <c r="I220" i="3"/>
  <c r="F221" i="4" s="1"/>
  <c r="U220" i="3"/>
  <c r="J221" i="4" s="1"/>
  <c r="O220" i="3"/>
  <c r="H221" i="4" s="1"/>
  <c r="I224" i="2"/>
  <c r="F224" i="2" s="1"/>
  <c r="L225" i="2"/>
  <c r="D222" i="4" l="1"/>
  <c r="D224" i="3"/>
  <c r="O221" i="3"/>
  <c r="U221" i="3"/>
  <c r="J222" i="4" s="1"/>
  <c r="I221" i="3"/>
  <c r="F222" i="4"/>
  <c r="G222" i="4"/>
  <c r="L222" i="4" s="1"/>
  <c r="I222" i="4"/>
  <c r="M222" i="4" s="1"/>
  <c r="H222" i="4"/>
  <c r="K222" i="4"/>
  <c r="N222" i="4" s="1"/>
  <c r="D227" i="2"/>
  <c r="M226" i="2"/>
  <c r="J225" i="2"/>
  <c r="G225" i="2" s="1"/>
  <c r="A223" i="4"/>
  <c r="M222" i="3"/>
  <c r="C222" i="3"/>
  <c r="E222" i="3"/>
  <c r="F222" i="3" s="1"/>
  <c r="N222" i="3"/>
  <c r="P222" i="3"/>
  <c r="S222" i="3"/>
  <c r="Y222" i="3" s="1"/>
  <c r="Z222" i="3" s="1"/>
  <c r="AA222" i="3" s="1"/>
  <c r="T222" i="3"/>
  <c r="G222" i="3"/>
  <c r="H222" i="3"/>
  <c r="V222" i="3"/>
  <c r="J222" i="3"/>
  <c r="C222" i="4"/>
  <c r="AB221" i="3"/>
  <c r="E222" i="4" s="1"/>
  <c r="L226" i="2"/>
  <c r="I225" i="2"/>
  <c r="F225" i="2" s="1"/>
  <c r="E225" i="2"/>
  <c r="C226" i="2"/>
  <c r="T226" i="2" s="1"/>
  <c r="H225" i="2"/>
  <c r="K226" i="2"/>
  <c r="D223" i="4" l="1"/>
  <c r="L227" i="2"/>
  <c r="I226" i="2"/>
  <c r="O222" i="3"/>
  <c r="U222" i="3"/>
  <c r="I222" i="3"/>
  <c r="C223" i="4"/>
  <c r="AB222" i="3"/>
  <c r="E223" i="4" s="1"/>
  <c r="F223" i="4"/>
  <c r="H223" i="4"/>
  <c r="I223" i="4"/>
  <c r="M223" i="4" s="1"/>
  <c r="J223" i="4"/>
  <c r="K223" i="4"/>
  <c r="N223" i="4" s="1"/>
  <c r="G223" i="4"/>
  <c r="L223" i="4" s="1"/>
  <c r="M227" i="2"/>
  <c r="J226" i="2"/>
  <c r="H226" i="2"/>
  <c r="K227" i="2"/>
  <c r="G226" i="2"/>
  <c r="D225" i="3"/>
  <c r="T227" i="2"/>
  <c r="D228" i="2"/>
  <c r="A224" i="4"/>
  <c r="J223" i="3"/>
  <c r="V223" i="3"/>
  <c r="N223" i="3"/>
  <c r="C223" i="3"/>
  <c r="S223" i="3"/>
  <c r="Y223" i="3" s="1"/>
  <c r="Z223" i="3" s="1"/>
  <c r="AA223" i="3" s="1"/>
  <c r="E223" i="3"/>
  <c r="F223" i="3" s="1"/>
  <c r="T223" i="3"/>
  <c r="G223" i="3"/>
  <c r="H223" i="3"/>
  <c r="M223" i="3"/>
  <c r="P223" i="3"/>
  <c r="F226" i="2"/>
  <c r="C227" i="2"/>
  <c r="E226" i="2"/>
  <c r="D224" i="4" l="1"/>
  <c r="D226" i="3"/>
  <c r="U223" i="3"/>
  <c r="I223" i="3"/>
  <c r="O223" i="3"/>
  <c r="K228" i="2"/>
  <c r="H227" i="2"/>
  <c r="F227" i="2"/>
  <c r="E227" i="2"/>
  <c r="C228" i="2"/>
  <c r="J227" i="2"/>
  <c r="G227" i="2" s="1"/>
  <c r="M228" i="2"/>
  <c r="I227" i="2"/>
  <c r="L228" i="2"/>
  <c r="C224" i="4"/>
  <c r="AB223" i="3"/>
  <c r="E224" i="4" s="1"/>
  <c r="G224" i="4"/>
  <c r="L224" i="4" s="1"/>
  <c r="J224" i="4"/>
  <c r="K224" i="4"/>
  <c r="N224" i="4" s="1"/>
  <c r="H224" i="4"/>
  <c r="I224" i="4"/>
  <c r="M224" i="4" s="1"/>
  <c r="F224" i="4"/>
  <c r="A225" i="4"/>
  <c r="G224" i="3"/>
  <c r="S224" i="3"/>
  <c r="Y224" i="3" s="1"/>
  <c r="Z224" i="3" s="1"/>
  <c r="AA224" i="3" s="1"/>
  <c r="V224" i="3"/>
  <c r="H224" i="3"/>
  <c r="J224" i="3"/>
  <c r="M224" i="3"/>
  <c r="N224" i="3"/>
  <c r="P224" i="3"/>
  <c r="C224" i="3"/>
  <c r="T224" i="3"/>
  <c r="E224" i="3"/>
  <c r="F224" i="3" s="1"/>
  <c r="D229" i="2"/>
  <c r="D225" i="4" l="1"/>
  <c r="A226" i="4"/>
  <c r="P225" i="3"/>
  <c r="J225" i="3"/>
  <c r="M225" i="3"/>
  <c r="N225" i="3"/>
  <c r="C225" i="3"/>
  <c r="S225" i="3"/>
  <c r="Y225" i="3" s="1"/>
  <c r="Z225" i="3" s="1"/>
  <c r="AA225" i="3" s="1"/>
  <c r="E225" i="3"/>
  <c r="F225" i="3" s="1"/>
  <c r="T225" i="3"/>
  <c r="G225" i="3"/>
  <c r="H225" i="3"/>
  <c r="V225" i="3"/>
  <c r="K229" i="2"/>
  <c r="H228" i="2"/>
  <c r="E228" i="2" s="1"/>
  <c r="C225" i="4"/>
  <c r="AB224" i="3"/>
  <c r="E225" i="4" s="1"/>
  <c r="T228" i="2"/>
  <c r="I228" i="2"/>
  <c r="F228" i="2" s="1"/>
  <c r="L229" i="2"/>
  <c r="D227" i="3"/>
  <c r="C229" i="2"/>
  <c r="D230" i="2"/>
  <c r="T229" i="2"/>
  <c r="J228" i="2"/>
  <c r="G228" i="2" s="1"/>
  <c r="M229" i="2"/>
  <c r="I224" i="3"/>
  <c r="U224" i="3"/>
  <c r="J225" i="4" s="1"/>
  <c r="O224" i="3"/>
  <c r="H225" i="4" s="1"/>
  <c r="I225" i="4"/>
  <c r="M225" i="4" s="1"/>
  <c r="K225" i="4"/>
  <c r="N225" i="4" s="1"/>
  <c r="G225" i="4"/>
  <c r="L225" i="4" s="1"/>
  <c r="F225" i="4"/>
  <c r="D226" i="4" l="1"/>
  <c r="L230" i="2"/>
  <c r="I229" i="2"/>
  <c r="I225" i="3"/>
  <c r="O225" i="3"/>
  <c r="U225" i="3"/>
  <c r="D228" i="3"/>
  <c r="J229" i="2"/>
  <c r="G229" i="2" s="1"/>
  <c r="M230" i="2"/>
  <c r="A227" i="4"/>
  <c r="C226" i="3"/>
  <c r="V226" i="3"/>
  <c r="J226" i="3"/>
  <c r="M226" i="3"/>
  <c r="N226" i="3"/>
  <c r="P226" i="3"/>
  <c r="E226" i="3"/>
  <c r="F226" i="3" s="1"/>
  <c r="S226" i="3"/>
  <c r="Y226" i="3" s="1"/>
  <c r="Z226" i="3" s="1"/>
  <c r="AA226" i="3" s="1"/>
  <c r="T226" i="3"/>
  <c r="G226" i="3"/>
  <c r="H226" i="3"/>
  <c r="C226" i="4"/>
  <c r="AB225" i="3"/>
  <c r="E226" i="4" s="1"/>
  <c r="D231" i="2"/>
  <c r="H229" i="2"/>
  <c r="K230" i="2"/>
  <c r="H226" i="4"/>
  <c r="I226" i="4"/>
  <c r="M226" i="4" s="1"/>
  <c r="J226" i="4"/>
  <c r="K226" i="4"/>
  <c r="N226" i="4" s="1"/>
  <c r="F226" i="4"/>
  <c r="G226" i="4"/>
  <c r="L226" i="4" s="1"/>
  <c r="E229" i="2"/>
  <c r="F229" i="2"/>
  <c r="C230" i="2"/>
  <c r="D227" i="4" l="1"/>
  <c r="M231" i="2"/>
  <c r="J230" i="2"/>
  <c r="G227" i="4"/>
  <c r="L227" i="4" s="1"/>
  <c r="H227" i="4"/>
  <c r="I227" i="4"/>
  <c r="M227" i="4" s="1"/>
  <c r="K227" i="4"/>
  <c r="N227" i="4" s="1"/>
  <c r="O226" i="3"/>
  <c r="I226" i="3"/>
  <c r="F227" i="4" s="1"/>
  <c r="U226" i="3"/>
  <c r="J227" i="4" s="1"/>
  <c r="D229" i="3"/>
  <c r="H230" i="2"/>
  <c r="K231" i="2"/>
  <c r="A228" i="4"/>
  <c r="H227" i="3"/>
  <c r="V227" i="3"/>
  <c r="J227" i="3"/>
  <c r="M227" i="3"/>
  <c r="N227" i="3"/>
  <c r="C227" i="3"/>
  <c r="P227" i="3"/>
  <c r="E227" i="3"/>
  <c r="F227" i="3" s="1"/>
  <c r="G227" i="3"/>
  <c r="T227" i="3"/>
  <c r="S227" i="3"/>
  <c r="Y227" i="3" s="1"/>
  <c r="Z227" i="3" s="1"/>
  <c r="AA227" i="3" s="1"/>
  <c r="D232" i="2"/>
  <c r="E230" i="2"/>
  <c r="F230" i="2"/>
  <c r="C231" i="2"/>
  <c r="G230" i="2"/>
  <c r="C227" i="4"/>
  <c r="AB226" i="3"/>
  <c r="E227" i="4" s="1"/>
  <c r="T230" i="2"/>
  <c r="I230" i="2"/>
  <c r="L231" i="2"/>
  <c r="D228" i="4" l="1"/>
  <c r="C232" i="2"/>
  <c r="C228" i="4"/>
  <c r="AB227" i="3"/>
  <c r="E228" i="4" s="1"/>
  <c r="T232" i="2"/>
  <c r="D233" i="2"/>
  <c r="G228" i="4"/>
  <c r="L228" i="4" s="1"/>
  <c r="I228" i="4"/>
  <c r="M228" i="4" s="1"/>
  <c r="K228" i="4"/>
  <c r="N228" i="4" s="1"/>
  <c r="I231" i="2"/>
  <c r="F231" i="2" s="1"/>
  <c r="L232" i="2"/>
  <c r="K232" i="2"/>
  <c r="H231" i="2"/>
  <c r="E231" i="2" s="1"/>
  <c r="U227" i="3"/>
  <c r="J228" i="4" s="1"/>
  <c r="I227" i="3"/>
  <c r="F228" i="4" s="1"/>
  <c r="O227" i="3"/>
  <c r="H228" i="4" s="1"/>
  <c r="D230" i="3"/>
  <c r="M232" i="2"/>
  <c r="J231" i="2"/>
  <c r="G231" i="2" s="1"/>
  <c r="A229" i="4"/>
  <c r="G228" i="3"/>
  <c r="T228" i="3"/>
  <c r="H228" i="3"/>
  <c r="V228" i="3"/>
  <c r="J228" i="3"/>
  <c r="M228" i="3"/>
  <c r="N228" i="3"/>
  <c r="C228" i="3"/>
  <c r="P228" i="3"/>
  <c r="S228" i="3"/>
  <c r="Y228" i="3" s="1"/>
  <c r="Z228" i="3" s="1"/>
  <c r="AA228" i="3" s="1"/>
  <c r="E228" i="3"/>
  <c r="F228" i="3" s="1"/>
  <c r="T231" i="2"/>
  <c r="D229" i="4" l="1"/>
  <c r="C229" i="4"/>
  <c r="AB228" i="3"/>
  <c r="E229" i="4" s="1"/>
  <c r="D234" i="2"/>
  <c r="T233" i="2"/>
  <c r="K233" i="2"/>
  <c r="H232" i="2"/>
  <c r="E232" i="2" s="1"/>
  <c r="L233" i="2"/>
  <c r="I232" i="2"/>
  <c r="I228" i="3"/>
  <c r="F229" i="4" s="1"/>
  <c r="U228" i="3"/>
  <c r="J229" i="4" s="1"/>
  <c r="O228" i="3"/>
  <c r="H229" i="4" s="1"/>
  <c r="G229" i="4"/>
  <c r="L229" i="4" s="1"/>
  <c r="I229" i="4"/>
  <c r="M229" i="4" s="1"/>
  <c r="K229" i="4"/>
  <c r="N229" i="4" s="1"/>
  <c r="C233" i="2"/>
  <c r="F232" i="2"/>
  <c r="A230" i="4"/>
  <c r="G229" i="3"/>
  <c r="T229" i="3"/>
  <c r="H229" i="3"/>
  <c r="V229" i="3"/>
  <c r="J229" i="3"/>
  <c r="M229" i="3"/>
  <c r="N229" i="3"/>
  <c r="C229" i="3"/>
  <c r="P229" i="3"/>
  <c r="E229" i="3"/>
  <c r="F229" i="3" s="1"/>
  <c r="S229" i="3"/>
  <c r="Y229" i="3" s="1"/>
  <c r="Z229" i="3" s="1"/>
  <c r="AA229" i="3" s="1"/>
  <c r="J232" i="2"/>
  <c r="G232" i="2" s="1"/>
  <c r="M233" i="2"/>
  <c r="D231" i="3"/>
  <c r="D230" i="4" l="1"/>
  <c r="U229" i="3"/>
  <c r="I229" i="3"/>
  <c r="O229" i="3"/>
  <c r="F230" i="4"/>
  <c r="G230" i="4"/>
  <c r="L230" i="4" s="1"/>
  <c r="H230" i="4"/>
  <c r="J230" i="4"/>
  <c r="K230" i="4"/>
  <c r="N230" i="4" s="1"/>
  <c r="I230" i="4"/>
  <c r="M230" i="4" s="1"/>
  <c r="A231" i="4"/>
  <c r="E230" i="3"/>
  <c r="F230" i="3" s="1"/>
  <c r="G230" i="3"/>
  <c r="S230" i="3"/>
  <c r="Y230" i="3" s="1"/>
  <c r="Z230" i="3" s="1"/>
  <c r="AA230" i="3" s="1"/>
  <c r="H230" i="3"/>
  <c r="T230" i="3"/>
  <c r="J230" i="3"/>
  <c r="V230" i="3"/>
  <c r="M230" i="3"/>
  <c r="N230" i="3"/>
  <c r="C230" i="3"/>
  <c r="P230" i="3"/>
  <c r="I233" i="2"/>
  <c r="L234" i="2"/>
  <c r="C234" i="2"/>
  <c r="F233" i="2"/>
  <c r="H233" i="2"/>
  <c r="E233" i="2" s="1"/>
  <c r="K234" i="2"/>
  <c r="C230" i="4"/>
  <c r="AB229" i="3"/>
  <c r="E230" i="4" s="1"/>
  <c r="T234" i="2"/>
  <c r="D235" i="2"/>
  <c r="G233" i="2"/>
  <c r="J233" i="2"/>
  <c r="M234" i="2"/>
  <c r="D232" i="3"/>
  <c r="D231" i="4" l="1"/>
  <c r="G231" i="4"/>
  <c r="L231" i="4" s="1"/>
  <c r="I231" i="4"/>
  <c r="M231" i="4" s="1"/>
  <c r="K231" i="4"/>
  <c r="N231" i="4" s="1"/>
  <c r="C231" i="4"/>
  <c r="AB230" i="3"/>
  <c r="E231" i="4" s="1"/>
  <c r="D236" i="2"/>
  <c r="T235" i="2"/>
  <c r="D233" i="3"/>
  <c r="C235" i="2"/>
  <c r="H234" i="2"/>
  <c r="E234" i="2" s="1"/>
  <c r="K235" i="2"/>
  <c r="M235" i="2"/>
  <c r="J234" i="2"/>
  <c r="G234" i="2" s="1"/>
  <c r="L235" i="2"/>
  <c r="I234" i="2"/>
  <c r="F234" i="2" s="1"/>
  <c r="A232" i="4"/>
  <c r="N231" i="3"/>
  <c r="C231" i="3"/>
  <c r="P231" i="3"/>
  <c r="E231" i="3"/>
  <c r="F231" i="3" s="1"/>
  <c r="G231" i="3"/>
  <c r="S231" i="3"/>
  <c r="Y231" i="3" s="1"/>
  <c r="Z231" i="3" s="1"/>
  <c r="AA231" i="3" s="1"/>
  <c r="H231" i="3"/>
  <c r="T231" i="3"/>
  <c r="J231" i="3"/>
  <c r="V231" i="3"/>
  <c r="M231" i="3"/>
  <c r="I230" i="3"/>
  <c r="F231" i="4" s="1"/>
  <c r="U230" i="3"/>
  <c r="J231" i="4" s="1"/>
  <c r="O230" i="3"/>
  <c r="H231" i="4" s="1"/>
  <c r="D232" i="4" l="1"/>
  <c r="I235" i="2"/>
  <c r="L236" i="2"/>
  <c r="D237" i="2"/>
  <c r="M236" i="2"/>
  <c r="J235" i="2"/>
  <c r="A233" i="4"/>
  <c r="M232" i="3"/>
  <c r="N232" i="3"/>
  <c r="C232" i="3"/>
  <c r="P232" i="3"/>
  <c r="E232" i="3"/>
  <c r="F232" i="3" s="1"/>
  <c r="G232" i="3"/>
  <c r="S232" i="3"/>
  <c r="Y232" i="3" s="1"/>
  <c r="Z232" i="3" s="1"/>
  <c r="AA232" i="3" s="1"/>
  <c r="H232" i="3"/>
  <c r="T232" i="3"/>
  <c r="J232" i="3"/>
  <c r="V232" i="3"/>
  <c r="C236" i="2"/>
  <c r="E235" i="2"/>
  <c r="F235" i="2"/>
  <c r="O231" i="3"/>
  <c r="I231" i="3"/>
  <c r="U231" i="3"/>
  <c r="D234" i="3"/>
  <c r="H235" i="2"/>
  <c r="K236" i="2"/>
  <c r="C232" i="4"/>
  <c r="AB231" i="3"/>
  <c r="E232" i="4" s="1"/>
  <c r="F232" i="4"/>
  <c r="H232" i="4"/>
  <c r="I232" i="4"/>
  <c r="M232" i="4" s="1"/>
  <c r="G232" i="4"/>
  <c r="L232" i="4" s="1"/>
  <c r="J232" i="4"/>
  <c r="K232" i="4"/>
  <c r="N232" i="4" s="1"/>
  <c r="G235" i="2"/>
  <c r="D233" i="4" l="1"/>
  <c r="C237" i="2"/>
  <c r="C233" i="4"/>
  <c r="AB232" i="3"/>
  <c r="E233" i="4" s="1"/>
  <c r="G233" i="4"/>
  <c r="L233" i="4" s="1"/>
  <c r="K233" i="4"/>
  <c r="N233" i="4" s="1"/>
  <c r="I233" i="4"/>
  <c r="M233" i="4" s="1"/>
  <c r="M237" i="2"/>
  <c r="J236" i="2"/>
  <c r="K237" i="2"/>
  <c r="H236" i="2"/>
  <c r="E236" i="2" s="1"/>
  <c r="D238" i="2"/>
  <c r="T237" i="2"/>
  <c r="G236" i="2"/>
  <c r="D235" i="3"/>
  <c r="T236" i="2"/>
  <c r="A234" i="4"/>
  <c r="H233" i="3"/>
  <c r="T233" i="3"/>
  <c r="J233" i="3"/>
  <c r="V233" i="3"/>
  <c r="M233" i="3"/>
  <c r="N233" i="3"/>
  <c r="C233" i="3"/>
  <c r="P233" i="3"/>
  <c r="E233" i="3"/>
  <c r="F233" i="3" s="1"/>
  <c r="G233" i="3"/>
  <c r="S233" i="3"/>
  <c r="Y233" i="3" s="1"/>
  <c r="Z233" i="3" s="1"/>
  <c r="AA233" i="3" s="1"/>
  <c r="L237" i="2"/>
  <c r="I236" i="2"/>
  <c r="F236" i="2" s="1"/>
  <c r="O232" i="3"/>
  <c r="H233" i="4" s="1"/>
  <c r="I232" i="3"/>
  <c r="F233" i="4" s="1"/>
  <c r="U232" i="3"/>
  <c r="J233" i="4" s="1"/>
  <c r="D234" i="4" l="1"/>
  <c r="I233" i="3"/>
  <c r="U233" i="3"/>
  <c r="O233" i="3"/>
  <c r="D239" i="2"/>
  <c r="C234" i="4"/>
  <c r="AB233" i="3"/>
  <c r="E234" i="4" s="1"/>
  <c r="F237" i="2"/>
  <c r="C238" i="2"/>
  <c r="K238" i="2"/>
  <c r="H237" i="2"/>
  <c r="E237" i="2" s="1"/>
  <c r="D236" i="3"/>
  <c r="L238" i="2"/>
  <c r="I237" i="2"/>
  <c r="M238" i="2"/>
  <c r="J237" i="2"/>
  <c r="G237" i="2" s="1"/>
  <c r="A235" i="4"/>
  <c r="E234" i="3"/>
  <c r="F234" i="3" s="1"/>
  <c r="G234" i="3"/>
  <c r="S234" i="3"/>
  <c r="Y234" i="3" s="1"/>
  <c r="Z234" i="3" s="1"/>
  <c r="AA234" i="3" s="1"/>
  <c r="H234" i="3"/>
  <c r="T234" i="3"/>
  <c r="J234" i="3"/>
  <c r="V234" i="3"/>
  <c r="M234" i="3"/>
  <c r="N234" i="3"/>
  <c r="C234" i="3"/>
  <c r="P234" i="3"/>
  <c r="F234" i="4"/>
  <c r="G234" i="4"/>
  <c r="L234" i="4" s="1"/>
  <c r="J234" i="4"/>
  <c r="I234" i="4"/>
  <c r="M234" i="4" s="1"/>
  <c r="K234" i="4"/>
  <c r="N234" i="4" s="1"/>
  <c r="H234" i="4"/>
  <c r="D235" i="4" l="1"/>
  <c r="I234" i="3"/>
  <c r="U234" i="3"/>
  <c r="O234" i="3"/>
  <c r="K235" i="4"/>
  <c r="N235" i="4" s="1"/>
  <c r="F235" i="4"/>
  <c r="I235" i="4"/>
  <c r="M235" i="4" s="1"/>
  <c r="G235" i="4"/>
  <c r="L235" i="4" s="1"/>
  <c r="J235" i="4"/>
  <c r="H235" i="4"/>
  <c r="E238" i="2"/>
  <c r="C239" i="2"/>
  <c r="M239" i="2"/>
  <c r="J238" i="2"/>
  <c r="G238" i="2" s="1"/>
  <c r="A236" i="4"/>
  <c r="N235" i="3"/>
  <c r="C235" i="3"/>
  <c r="P235" i="3"/>
  <c r="E235" i="3"/>
  <c r="F235" i="3" s="1"/>
  <c r="G235" i="3"/>
  <c r="S235" i="3"/>
  <c r="Y235" i="3" s="1"/>
  <c r="Z235" i="3" s="1"/>
  <c r="AA235" i="3" s="1"/>
  <c r="H235" i="3"/>
  <c r="T235" i="3"/>
  <c r="J235" i="3"/>
  <c r="V235" i="3"/>
  <c r="M235" i="3"/>
  <c r="C235" i="4"/>
  <c r="AB234" i="3"/>
  <c r="E235" i="4" s="1"/>
  <c r="T238" i="2"/>
  <c r="L239" i="2"/>
  <c r="I238" i="2"/>
  <c r="F238" i="2" s="1"/>
  <c r="T239" i="2"/>
  <c r="D240" i="2"/>
  <c r="D237" i="3"/>
  <c r="K239" i="2"/>
  <c r="H238" i="2"/>
  <c r="D236" i="4" l="1"/>
  <c r="A237" i="4"/>
  <c r="M236" i="3"/>
  <c r="N236" i="3"/>
  <c r="C236" i="3"/>
  <c r="P236" i="3"/>
  <c r="E236" i="3"/>
  <c r="F236" i="3" s="1"/>
  <c r="G236" i="3"/>
  <c r="S236" i="3"/>
  <c r="Y236" i="3" s="1"/>
  <c r="Z236" i="3" s="1"/>
  <c r="AA236" i="3" s="1"/>
  <c r="H236" i="3"/>
  <c r="T236" i="3"/>
  <c r="V236" i="3"/>
  <c r="J236" i="3"/>
  <c r="L240" i="2"/>
  <c r="I239" i="2"/>
  <c r="O235" i="3"/>
  <c r="I235" i="3"/>
  <c r="U235" i="3"/>
  <c r="C236" i="4"/>
  <c r="AB235" i="3"/>
  <c r="E236" i="4" s="1"/>
  <c r="J236" i="4"/>
  <c r="K236" i="4"/>
  <c r="N236" i="4" s="1"/>
  <c r="H236" i="4"/>
  <c r="F236" i="4"/>
  <c r="G236" i="4"/>
  <c r="L236" i="4" s="1"/>
  <c r="I236" i="4"/>
  <c r="M236" i="4" s="1"/>
  <c r="K240" i="2"/>
  <c r="H239" i="2"/>
  <c r="D238" i="3"/>
  <c r="M240" i="2"/>
  <c r="J239" i="2"/>
  <c r="G239" i="2" s="1"/>
  <c r="D241" i="2"/>
  <c r="T240" i="2"/>
  <c r="E239" i="2"/>
  <c r="F239" i="2"/>
  <c r="C240" i="2"/>
  <c r="D237" i="4" l="1"/>
  <c r="J240" i="2"/>
  <c r="M241" i="2"/>
  <c r="A238" i="4"/>
  <c r="H237" i="3"/>
  <c r="T237" i="3"/>
  <c r="J237" i="3"/>
  <c r="V237" i="3"/>
  <c r="M237" i="3"/>
  <c r="N237" i="3"/>
  <c r="C237" i="3"/>
  <c r="P237" i="3"/>
  <c r="E237" i="3"/>
  <c r="F237" i="3" s="1"/>
  <c r="G237" i="3"/>
  <c r="S237" i="3"/>
  <c r="Y237" i="3" s="1"/>
  <c r="Z237" i="3" s="1"/>
  <c r="AA237" i="3" s="1"/>
  <c r="O236" i="3"/>
  <c r="U236" i="3"/>
  <c r="I236" i="3"/>
  <c r="F237" i="4" s="1"/>
  <c r="D239" i="3"/>
  <c r="T241" i="2"/>
  <c r="D242" i="2"/>
  <c r="K241" i="2"/>
  <c r="H240" i="2"/>
  <c r="C241" i="2"/>
  <c r="E240" i="2"/>
  <c r="F240" i="2"/>
  <c r="I240" i="2"/>
  <c r="L241" i="2"/>
  <c r="C237" i="4"/>
  <c r="AB236" i="3"/>
  <c r="E237" i="4" s="1"/>
  <c r="I237" i="4"/>
  <c r="M237" i="4" s="1"/>
  <c r="J237" i="4"/>
  <c r="K237" i="4"/>
  <c r="N237" i="4" s="1"/>
  <c r="G237" i="4"/>
  <c r="L237" i="4" s="1"/>
  <c r="H237" i="4"/>
  <c r="G240" i="2"/>
  <c r="D238" i="4" l="1"/>
  <c r="D240" i="3"/>
  <c r="C238" i="4"/>
  <c r="AB237" i="3"/>
  <c r="E238" i="4" s="1"/>
  <c r="L242" i="2"/>
  <c r="I241" i="2"/>
  <c r="F241" i="2" s="1"/>
  <c r="I238" i="4"/>
  <c r="M238" i="4" s="1"/>
  <c r="K238" i="4"/>
  <c r="N238" i="4" s="1"/>
  <c r="G238" i="4"/>
  <c r="L238" i="4" s="1"/>
  <c r="C242" i="2"/>
  <c r="M242" i="2"/>
  <c r="J241" i="2"/>
  <c r="G241" i="2" s="1"/>
  <c r="A239" i="4"/>
  <c r="E238" i="3"/>
  <c r="F238" i="3" s="1"/>
  <c r="G238" i="3"/>
  <c r="S238" i="3"/>
  <c r="Y238" i="3" s="1"/>
  <c r="Z238" i="3" s="1"/>
  <c r="AA238" i="3" s="1"/>
  <c r="H238" i="3"/>
  <c r="T238" i="3"/>
  <c r="J238" i="3"/>
  <c r="V238" i="3"/>
  <c r="M238" i="3"/>
  <c r="N238" i="3"/>
  <c r="C238" i="3"/>
  <c r="P238" i="3"/>
  <c r="K242" i="2"/>
  <c r="H241" i="2"/>
  <c r="E241" i="2" s="1"/>
  <c r="I237" i="3"/>
  <c r="F238" i="4" s="1"/>
  <c r="U237" i="3"/>
  <c r="J238" i="4" s="1"/>
  <c r="O237" i="3"/>
  <c r="H238" i="4" s="1"/>
  <c r="D243" i="2"/>
  <c r="T242" i="2"/>
  <c r="D239" i="4" l="1"/>
  <c r="A240" i="4"/>
  <c r="N239" i="3"/>
  <c r="C239" i="3"/>
  <c r="P239" i="3"/>
  <c r="E239" i="3"/>
  <c r="F239" i="3" s="1"/>
  <c r="G239" i="3"/>
  <c r="S239" i="3"/>
  <c r="Y239" i="3" s="1"/>
  <c r="Z239" i="3" s="1"/>
  <c r="AA239" i="3" s="1"/>
  <c r="H239" i="3"/>
  <c r="T239" i="3"/>
  <c r="J239" i="3"/>
  <c r="V239" i="3"/>
  <c r="M239" i="3"/>
  <c r="H242" i="2"/>
  <c r="K243" i="2"/>
  <c r="I238" i="3"/>
  <c r="U238" i="3"/>
  <c r="O238" i="3"/>
  <c r="G239" i="4"/>
  <c r="L239" i="4" s="1"/>
  <c r="H239" i="4"/>
  <c r="I239" i="4"/>
  <c r="M239" i="4" s="1"/>
  <c r="J239" i="4"/>
  <c r="K239" i="4"/>
  <c r="N239" i="4" s="1"/>
  <c r="F239" i="4"/>
  <c r="L243" i="2"/>
  <c r="I242" i="2"/>
  <c r="M243" i="2"/>
  <c r="J242" i="2"/>
  <c r="G242" i="2" s="1"/>
  <c r="C239" i="4"/>
  <c r="AB238" i="3"/>
  <c r="E239" i="4" s="1"/>
  <c r="C243" i="2"/>
  <c r="E242" i="2"/>
  <c r="F242" i="2"/>
  <c r="D241" i="3"/>
  <c r="T243" i="2"/>
  <c r="D244" i="2"/>
  <c r="D240" i="4" l="1"/>
  <c r="A241" i="4"/>
  <c r="M240" i="3"/>
  <c r="N240" i="3"/>
  <c r="C240" i="3"/>
  <c r="P240" i="3"/>
  <c r="E240" i="3"/>
  <c r="F240" i="3" s="1"/>
  <c r="G240" i="3"/>
  <c r="S240" i="3"/>
  <c r="Y240" i="3" s="1"/>
  <c r="Z240" i="3" s="1"/>
  <c r="AA240" i="3" s="1"/>
  <c r="H240" i="3"/>
  <c r="T240" i="3"/>
  <c r="J240" i="3"/>
  <c r="V240" i="3"/>
  <c r="O239" i="3"/>
  <c r="I239" i="3"/>
  <c r="U239" i="3"/>
  <c r="E243" i="2"/>
  <c r="C244" i="2"/>
  <c r="M244" i="2"/>
  <c r="J243" i="2"/>
  <c r="G243" i="2" s="1"/>
  <c r="K244" i="2"/>
  <c r="H243" i="2"/>
  <c r="T244" i="2"/>
  <c r="D245" i="2"/>
  <c r="L244" i="2"/>
  <c r="I243" i="2"/>
  <c r="F243" i="2" s="1"/>
  <c r="C240" i="4"/>
  <c r="AB239" i="3"/>
  <c r="E240" i="4" s="1"/>
  <c r="F240" i="4"/>
  <c r="G240" i="4"/>
  <c r="L240" i="4" s="1"/>
  <c r="H240" i="4"/>
  <c r="I240" i="4"/>
  <c r="M240" i="4" s="1"/>
  <c r="J240" i="4"/>
  <c r="K240" i="4"/>
  <c r="N240" i="4" s="1"/>
  <c r="D242" i="3"/>
  <c r="D241" i="4" l="1"/>
  <c r="K245" i="2"/>
  <c r="H244" i="2"/>
  <c r="M245" i="2"/>
  <c r="J244" i="2"/>
  <c r="E244" i="2"/>
  <c r="C245" i="2"/>
  <c r="A242" i="4"/>
  <c r="H241" i="3"/>
  <c r="T241" i="3"/>
  <c r="J241" i="3"/>
  <c r="V241" i="3"/>
  <c r="M241" i="3"/>
  <c r="N241" i="3"/>
  <c r="C241" i="3"/>
  <c r="P241" i="3"/>
  <c r="E241" i="3"/>
  <c r="F241" i="3" s="1"/>
  <c r="G241" i="3"/>
  <c r="S241" i="3"/>
  <c r="Y241" i="3" s="1"/>
  <c r="Z241" i="3" s="1"/>
  <c r="AA241" i="3" s="1"/>
  <c r="O240" i="3"/>
  <c r="I240" i="3"/>
  <c r="U240" i="3"/>
  <c r="L245" i="2"/>
  <c r="I244" i="2"/>
  <c r="F244" i="2" s="1"/>
  <c r="D243" i="3"/>
  <c r="D246" i="2"/>
  <c r="T245" i="2"/>
  <c r="C241" i="4"/>
  <c r="AB240" i="3"/>
  <c r="E241" i="4" s="1"/>
  <c r="G244" i="2"/>
  <c r="F241" i="4"/>
  <c r="G241" i="4"/>
  <c r="L241" i="4" s="1"/>
  <c r="H241" i="4"/>
  <c r="I241" i="4"/>
  <c r="M241" i="4" s="1"/>
  <c r="K241" i="4"/>
  <c r="N241" i="4" s="1"/>
  <c r="J241" i="4"/>
  <c r="D242" i="4" l="1"/>
  <c r="G242" i="4"/>
  <c r="L242" i="4" s="1"/>
  <c r="K242" i="4"/>
  <c r="N242" i="4" s="1"/>
  <c r="I242" i="4"/>
  <c r="M242" i="4" s="1"/>
  <c r="C246" i="2"/>
  <c r="E245" i="2"/>
  <c r="A243" i="4"/>
  <c r="E242" i="3"/>
  <c r="F242" i="3" s="1"/>
  <c r="G242" i="3"/>
  <c r="S242" i="3"/>
  <c r="Y242" i="3" s="1"/>
  <c r="Z242" i="3" s="1"/>
  <c r="AA242" i="3" s="1"/>
  <c r="H242" i="3"/>
  <c r="T242" i="3"/>
  <c r="J242" i="3"/>
  <c r="V242" i="3"/>
  <c r="M242" i="3"/>
  <c r="N242" i="3"/>
  <c r="C242" i="3"/>
  <c r="P242" i="3"/>
  <c r="I241" i="3"/>
  <c r="F242" i="4" s="1"/>
  <c r="U241" i="3"/>
  <c r="J242" i="4" s="1"/>
  <c r="O241" i="3"/>
  <c r="H242" i="4" s="1"/>
  <c r="T246" i="2"/>
  <c r="D247" i="2"/>
  <c r="D244" i="3"/>
  <c r="J245" i="2"/>
  <c r="G245" i="2" s="1"/>
  <c r="M246" i="2"/>
  <c r="C242" i="4"/>
  <c r="AB241" i="3"/>
  <c r="E242" i="4" s="1"/>
  <c r="K246" i="2"/>
  <c r="H245" i="2"/>
  <c r="L246" i="2"/>
  <c r="I245" i="2"/>
  <c r="F245" i="2" s="1"/>
  <c r="D243" i="4" l="1"/>
  <c r="G243" i="4"/>
  <c r="L243" i="4" s="1"/>
  <c r="I243" i="4"/>
  <c r="M243" i="4" s="1"/>
  <c r="K243" i="4"/>
  <c r="N243" i="4" s="1"/>
  <c r="M247" i="2"/>
  <c r="J246" i="2"/>
  <c r="G246" i="2" s="1"/>
  <c r="C243" i="4"/>
  <c r="AB242" i="3"/>
  <c r="E243" i="4" s="1"/>
  <c r="C247" i="2"/>
  <c r="D245" i="3"/>
  <c r="D248" i="2"/>
  <c r="T247" i="2"/>
  <c r="A244" i="4"/>
  <c r="N243" i="3"/>
  <c r="C243" i="3"/>
  <c r="P243" i="3"/>
  <c r="E243" i="3"/>
  <c r="F243" i="3" s="1"/>
  <c r="G243" i="3"/>
  <c r="S243" i="3"/>
  <c r="Y243" i="3" s="1"/>
  <c r="Z243" i="3" s="1"/>
  <c r="AA243" i="3" s="1"/>
  <c r="H243" i="3"/>
  <c r="T243" i="3"/>
  <c r="J243" i="3"/>
  <c r="V243" i="3"/>
  <c r="M243" i="3"/>
  <c r="L247" i="2"/>
  <c r="I246" i="2"/>
  <c r="F246" i="2" s="1"/>
  <c r="K247" i="2"/>
  <c r="H246" i="2"/>
  <c r="E246" i="2" s="1"/>
  <c r="I242" i="3"/>
  <c r="F243" i="4" s="1"/>
  <c r="U242" i="3"/>
  <c r="J243" i="4" s="1"/>
  <c r="O242" i="3"/>
  <c r="H243" i="4" s="1"/>
  <c r="D244" i="4" l="1"/>
  <c r="I247" i="2"/>
  <c r="L248" i="2"/>
  <c r="H247" i="2"/>
  <c r="K248" i="2"/>
  <c r="C244" i="4"/>
  <c r="AB243" i="3"/>
  <c r="E244" i="4" s="1"/>
  <c r="I244" i="4"/>
  <c r="M244" i="4" s="1"/>
  <c r="G244" i="4"/>
  <c r="L244" i="4" s="1"/>
  <c r="J244" i="4"/>
  <c r="K244" i="4"/>
  <c r="N244" i="4" s="1"/>
  <c r="M248" i="2"/>
  <c r="J247" i="2"/>
  <c r="G247" i="2" s="1"/>
  <c r="D249" i="2"/>
  <c r="D246" i="3"/>
  <c r="C248" i="2"/>
  <c r="T248" i="2" s="1"/>
  <c r="E247" i="2"/>
  <c r="F247" i="2"/>
  <c r="A245" i="4"/>
  <c r="M244" i="3"/>
  <c r="N244" i="3"/>
  <c r="C244" i="3"/>
  <c r="P244" i="3"/>
  <c r="E244" i="3"/>
  <c r="F244" i="3" s="1"/>
  <c r="G244" i="3"/>
  <c r="S244" i="3"/>
  <c r="Y244" i="3" s="1"/>
  <c r="Z244" i="3" s="1"/>
  <c r="AA244" i="3" s="1"/>
  <c r="H244" i="3"/>
  <c r="T244" i="3"/>
  <c r="V244" i="3"/>
  <c r="J244" i="3"/>
  <c r="O243" i="3"/>
  <c r="H244" i="4" s="1"/>
  <c r="I243" i="3"/>
  <c r="F244" i="4" s="1"/>
  <c r="U243" i="3"/>
  <c r="D245" i="4" l="1"/>
  <c r="D247" i="3"/>
  <c r="A246" i="4"/>
  <c r="H245" i="3"/>
  <c r="T245" i="3"/>
  <c r="J245" i="3"/>
  <c r="V245" i="3"/>
  <c r="M245" i="3"/>
  <c r="N245" i="3"/>
  <c r="C245" i="3"/>
  <c r="P245" i="3"/>
  <c r="E245" i="3"/>
  <c r="F245" i="3" s="1"/>
  <c r="G245" i="3"/>
  <c r="S245" i="3"/>
  <c r="Y245" i="3" s="1"/>
  <c r="Z245" i="3" s="1"/>
  <c r="AA245" i="3" s="1"/>
  <c r="D250" i="2"/>
  <c r="T249" i="2"/>
  <c r="O244" i="3"/>
  <c r="H245" i="4" s="1"/>
  <c r="U244" i="3"/>
  <c r="I244" i="3"/>
  <c r="F245" i="4" s="1"/>
  <c r="G248" i="2"/>
  <c r="K249" i="2"/>
  <c r="H248" i="2"/>
  <c r="L249" i="2"/>
  <c r="I248" i="2"/>
  <c r="E248" i="2"/>
  <c r="F248" i="2"/>
  <c r="C249" i="2"/>
  <c r="M249" i="2"/>
  <c r="J248" i="2"/>
  <c r="C245" i="4"/>
  <c r="AB244" i="3"/>
  <c r="E245" i="4" s="1"/>
  <c r="G245" i="4"/>
  <c r="L245" i="4" s="1"/>
  <c r="K245" i="4"/>
  <c r="N245" i="4" s="1"/>
  <c r="J245" i="4"/>
  <c r="I245" i="4"/>
  <c r="M245" i="4" s="1"/>
  <c r="D246" i="4" l="1"/>
  <c r="C246" i="4"/>
  <c r="AB245" i="3"/>
  <c r="E246" i="4" s="1"/>
  <c r="M250" i="2"/>
  <c r="J249" i="2"/>
  <c r="G249" i="2" s="1"/>
  <c r="C250" i="2"/>
  <c r="D251" i="2"/>
  <c r="T250" i="2"/>
  <c r="G246" i="4"/>
  <c r="L246" i="4" s="1"/>
  <c r="J246" i="4"/>
  <c r="K246" i="4"/>
  <c r="N246" i="4" s="1"/>
  <c r="I246" i="4"/>
  <c r="M246" i="4" s="1"/>
  <c r="D248" i="3"/>
  <c r="L250" i="2"/>
  <c r="I249" i="2"/>
  <c r="F249" i="2" s="1"/>
  <c r="A247" i="4"/>
  <c r="E246" i="3"/>
  <c r="F246" i="3" s="1"/>
  <c r="G246" i="3"/>
  <c r="S246" i="3"/>
  <c r="Y246" i="3" s="1"/>
  <c r="Z246" i="3" s="1"/>
  <c r="AA246" i="3" s="1"/>
  <c r="H246" i="3"/>
  <c r="T246" i="3"/>
  <c r="J246" i="3"/>
  <c r="V246" i="3"/>
  <c r="M246" i="3"/>
  <c r="N246" i="3"/>
  <c r="C246" i="3"/>
  <c r="P246" i="3"/>
  <c r="I245" i="3"/>
  <c r="F246" i="4" s="1"/>
  <c r="U245" i="3"/>
  <c r="O245" i="3"/>
  <c r="H246" i="4" s="1"/>
  <c r="K250" i="2"/>
  <c r="H249" i="2"/>
  <c r="E249" i="2" s="1"/>
  <c r="D247" i="4" l="1"/>
  <c r="K247" i="4"/>
  <c r="N247" i="4" s="1"/>
  <c r="I247" i="4"/>
  <c r="M247" i="4" s="1"/>
  <c r="G247" i="4"/>
  <c r="L247" i="4" s="1"/>
  <c r="D252" i="2"/>
  <c r="I246" i="3"/>
  <c r="F247" i="4" s="1"/>
  <c r="U246" i="3"/>
  <c r="J247" i="4" s="1"/>
  <c r="O246" i="3"/>
  <c r="H247" i="4" s="1"/>
  <c r="L251" i="2"/>
  <c r="I250" i="2"/>
  <c r="C247" i="4"/>
  <c r="AB246" i="3"/>
  <c r="E247" i="4" s="1"/>
  <c r="D249" i="3"/>
  <c r="F250" i="2"/>
  <c r="C251" i="2"/>
  <c r="T251" i="2" s="1"/>
  <c r="M251" i="2"/>
  <c r="J250" i="2"/>
  <c r="G250" i="2" s="1"/>
  <c r="K251" i="2"/>
  <c r="H250" i="2"/>
  <c r="E250" i="2" s="1"/>
  <c r="A248" i="4"/>
  <c r="N247" i="3"/>
  <c r="C247" i="3"/>
  <c r="P247" i="3"/>
  <c r="E247" i="3"/>
  <c r="F247" i="3" s="1"/>
  <c r="G247" i="3"/>
  <c r="S247" i="3"/>
  <c r="Y247" i="3" s="1"/>
  <c r="Z247" i="3" s="1"/>
  <c r="AA247" i="3" s="1"/>
  <c r="H247" i="3"/>
  <c r="T247" i="3"/>
  <c r="J247" i="3"/>
  <c r="V247" i="3"/>
  <c r="M247" i="3"/>
  <c r="D248" i="4" l="1"/>
  <c r="D253" i="2"/>
  <c r="M252" i="2"/>
  <c r="J251" i="2"/>
  <c r="G251" i="2"/>
  <c r="A249" i="4"/>
  <c r="M248" i="3"/>
  <c r="N248" i="3"/>
  <c r="C248" i="3"/>
  <c r="P248" i="3"/>
  <c r="E248" i="3"/>
  <c r="F248" i="3" s="1"/>
  <c r="G248" i="3"/>
  <c r="S248" i="3"/>
  <c r="Y248" i="3" s="1"/>
  <c r="Z248" i="3" s="1"/>
  <c r="AA248" i="3" s="1"/>
  <c r="H248" i="3"/>
  <c r="T248" i="3"/>
  <c r="J248" i="3"/>
  <c r="V248" i="3"/>
  <c r="O247" i="3"/>
  <c r="I247" i="3"/>
  <c r="F248" i="4" s="1"/>
  <c r="U247" i="3"/>
  <c r="J248" i="4" s="1"/>
  <c r="D250" i="3"/>
  <c r="F251" i="2"/>
  <c r="C252" i="2"/>
  <c r="T252" i="2" s="1"/>
  <c r="C248" i="4"/>
  <c r="AB247" i="3"/>
  <c r="E248" i="4" s="1"/>
  <c r="K248" i="4"/>
  <c r="N248" i="4" s="1"/>
  <c r="H248" i="4"/>
  <c r="G248" i="4"/>
  <c r="L248" i="4" s="1"/>
  <c r="I248" i="4"/>
  <c r="M248" i="4" s="1"/>
  <c r="L252" i="2"/>
  <c r="I251" i="2"/>
  <c r="K252" i="2"/>
  <c r="H251" i="2"/>
  <c r="E251" i="2" s="1"/>
  <c r="D249" i="4" l="1"/>
  <c r="C249" i="4"/>
  <c r="AB248" i="3"/>
  <c r="E249" i="4" s="1"/>
  <c r="I249" i="4"/>
  <c r="M249" i="4" s="1"/>
  <c r="K249" i="4"/>
  <c r="N249" i="4" s="1"/>
  <c r="G249" i="4"/>
  <c r="L249" i="4" s="1"/>
  <c r="J252" i="2"/>
  <c r="G252" i="2" s="1"/>
  <c r="M253" i="2"/>
  <c r="A250" i="4"/>
  <c r="H249" i="3"/>
  <c r="T249" i="3"/>
  <c r="J249" i="3"/>
  <c r="V249" i="3"/>
  <c r="M249" i="3"/>
  <c r="N249" i="3"/>
  <c r="C249" i="3"/>
  <c r="P249" i="3"/>
  <c r="E249" i="3"/>
  <c r="F249" i="3" s="1"/>
  <c r="G249" i="3"/>
  <c r="S249" i="3"/>
  <c r="Y249" i="3" s="1"/>
  <c r="Z249" i="3" s="1"/>
  <c r="AA249" i="3" s="1"/>
  <c r="D254" i="2"/>
  <c r="C253" i="2"/>
  <c r="T253" i="2" s="1"/>
  <c r="E252" i="2"/>
  <c r="K253" i="2"/>
  <c r="H252" i="2"/>
  <c r="I252" i="2"/>
  <c r="F252" i="2" s="1"/>
  <c r="L253" i="2"/>
  <c r="O248" i="3"/>
  <c r="H249" i="4" s="1"/>
  <c r="I248" i="3"/>
  <c r="F249" i="4" s="1"/>
  <c r="U248" i="3"/>
  <c r="J249" i="4" s="1"/>
  <c r="D251" i="3"/>
  <c r="D250" i="4" l="1"/>
  <c r="L254" i="2"/>
  <c r="I253" i="2"/>
  <c r="A251" i="4"/>
  <c r="E250" i="3"/>
  <c r="F250" i="3" s="1"/>
  <c r="G250" i="3"/>
  <c r="S250" i="3"/>
  <c r="Y250" i="3" s="1"/>
  <c r="Z250" i="3" s="1"/>
  <c r="AA250" i="3" s="1"/>
  <c r="H250" i="3"/>
  <c r="T250" i="3"/>
  <c r="J250" i="3"/>
  <c r="V250" i="3"/>
  <c r="M250" i="3"/>
  <c r="N250" i="3"/>
  <c r="C250" i="3"/>
  <c r="P250" i="3"/>
  <c r="M254" i="2"/>
  <c r="J253" i="2"/>
  <c r="I249" i="3"/>
  <c r="U249" i="3"/>
  <c r="O249" i="3"/>
  <c r="H250" i="4" s="1"/>
  <c r="K254" i="2"/>
  <c r="H253" i="2"/>
  <c r="E253" i="2" s="1"/>
  <c r="C250" i="4"/>
  <c r="AB249" i="3"/>
  <c r="E250" i="4" s="1"/>
  <c r="G253" i="2"/>
  <c r="D252" i="3"/>
  <c r="D255" i="2"/>
  <c r="I250" i="4"/>
  <c r="M250" i="4" s="1"/>
  <c r="J250" i="4"/>
  <c r="K250" i="4"/>
  <c r="N250" i="4" s="1"/>
  <c r="F250" i="4"/>
  <c r="G250" i="4"/>
  <c r="L250" i="4" s="1"/>
  <c r="F253" i="2"/>
  <c r="C254" i="2"/>
  <c r="D251" i="4" l="1"/>
  <c r="H254" i="2"/>
  <c r="K255" i="2"/>
  <c r="D256" i="2"/>
  <c r="A252" i="4"/>
  <c r="N251" i="3"/>
  <c r="C251" i="3"/>
  <c r="P251" i="3"/>
  <c r="E251" i="3"/>
  <c r="F251" i="3" s="1"/>
  <c r="G251" i="3"/>
  <c r="S251" i="3"/>
  <c r="Y251" i="3" s="1"/>
  <c r="Z251" i="3" s="1"/>
  <c r="AA251" i="3" s="1"/>
  <c r="H251" i="3"/>
  <c r="T251" i="3"/>
  <c r="J251" i="3"/>
  <c r="V251" i="3"/>
  <c r="M251" i="3"/>
  <c r="T254" i="2"/>
  <c r="M255" i="2"/>
  <c r="J254" i="2"/>
  <c r="G254" i="2" s="1"/>
  <c r="I250" i="3"/>
  <c r="U250" i="3"/>
  <c r="O250" i="3"/>
  <c r="G251" i="4"/>
  <c r="L251" i="4" s="1"/>
  <c r="H251" i="4"/>
  <c r="I251" i="4"/>
  <c r="M251" i="4" s="1"/>
  <c r="J251" i="4"/>
  <c r="K251" i="4"/>
  <c r="N251" i="4" s="1"/>
  <c r="F251" i="4"/>
  <c r="C255" i="2"/>
  <c r="E254" i="2"/>
  <c r="F254" i="2"/>
  <c r="D253" i="3"/>
  <c r="L255" i="2"/>
  <c r="I254" i="2"/>
  <c r="C251" i="4"/>
  <c r="AB250" i="3"/>
  <c r="E251" i="4" s="1"/>
  <c r="D252" i="4" l="1"/>
  <c r="M256" i="2"/>
  <c r="J255" i="2"/>
  <c r="C256" i="2"/>
  <c r="C252" i="4"/>
  <c r="AB251" i="3"/>
  <c r="E252" i="4" s="1"/>
  <c r="G252" i="4"/>
  <c r="L252" i="4" s="1"/>
  <c r="H252" i="4"/>
  <c r="I252" i="4"/>
  <c r="M252" i="4" s="1"/>
  <c r="J252" i="4"/>
  <c r="K252" i="4"/>
  <c r="N252" i="4" s="1"/>
  <c r="D257" i="2"/>
  <c r="G255" i="2"/>
  <c r="T255" i="2"/>
  <c r="K256" i="2"/>
  <c r="H255" i="2"/>
  <c r="E255" i="2" s="1"/>
  <c r="L256" i="2"/>
  <c r="I255" i="2"/>
  <c r="F255" i="2" s="1"/>
  <c r="D254" i="3"/>
  <c r="A253" i="4"/>
  <c r="M252" i="3"/>
  <c r="N252" i="3"/>
  <c r="C252" i="3"/>
  <c r="P252" i="3"/>
  <c r="E252" i="3"/>
  <c r="F252" i="3" s="1"/>
  <c r="G252" i="3"/>
  <c r="S252" i="3"/>
  <c r="Y252" i="3" s="1"/>
  <c r="Z252" i="3" s="1"/>
  <c r="AA252" i="3" s="1"/>
  <c r="H252" i="3"/>
  <c r="T252" i="3"/>
  <c r="V252" i="3"/>
  <c r="J252" i="3"/>
  <c r="O251" i="3"/>
  <c r="I251" i="3"/>
  <c r="F252" i="4" s="1"/>
  <c r="U251" i="3"/>
  <c r="D253" i="4" l="1"/>
  <c r="L257" i="2"/>
  <c r="I256" i="2"/>
  <c r="A254" i="4"/>
  <c r="H253" i="3"/>
  <c r="T253" i="3"/>
  <c r="J253" i="3"/>
  <c r="V253" i="3"/>
  <c r="M253" i="3"/>
  <c r="N253" i="3"/>
  <c r="C253" i="3"/>
  <c r="P253" i="3"/>
  <c r="E253" i="3"/>
  <c r="F253" i="3" s="1"/>
  <c r="G253" i="3"/>
  <c r="S253" i="3"/>
  <c r="Y253" i="3" s="1"/>
  <c r="Z253" i="3" s="1"/>
  <c r="AA253" i="3" s="1"/>
  <c r="K257" i="2"/>
  <c r="H256" i="2"/>
  <c r="O252" i="3"/>
  <c r="U252" i="3"/>
  <c r="J253" i="4" s="1"/>
  <c r="I252" i="3"/>
  <c r="F253" i="4" s="1"/>
  <c r="E256" i="2"/>
  <c r="F256" i="2"/>
  <c r="C257" i="2"/>
  <c r="T257" i="2" s="1"/>
  <c r="D258" i="2"/>
  <c r="G256" i="2"/>
  <c r="C253" i="4"/>
  <c r="AB252" i="3"/>
  <c r="E253" i="4" s="1"/>
  <c r="T256" i="2"/>
  <c r="G253" i="4"/>
  <c r="L253" i="4" s="1"/>
  <c r="H253" i="4"/>
  <c r="I253" i="4"/>
  <c r="M253" i="4" s="1"/>
  <c r="K253" i="4"/>
  <c r="N253" i="4" s="1"/>
  <c r="M257" i="2"/>
  <c r="J256" i="2"/>
  <c r="D255" i="3"/>
  <c r="D254" i="4" l="1"/>
  <c r="C254" i="4"/>
  <c r="AB253" i="3"/>
  <c r="E254" i="4" s="1"/>
  <c r="D256" i="3"/>
  <c r="K258" i="2"/>
  <c r="H257" i="2"/>
  <c r="G254" i="4"/>
  <c r="L254" i="4" s="1"/>
  <c r="H254" i="4"/>
  <c r="J254" i="4"/>
  <c r="K254" i="4"/>
  <c r="N254" i="4" s="1"/>
  <c r="I254" i="4"/>
  <c r="M254" i="4" s="1"/>
  <c r="J257" i="2"/>
  <c r="G257" i="2" s="1"/>
  <c r="M258" i="2"/>
  <c r="A255" i="4"/>
  <c r="E254" i="3"/>
  <c r="F254" i="3" s="1"/>
  <c r="G254" i="3"/>
  <c r="S254" i="3"/>
  <c r="Y254" i="3" s="1"/>
  <c r="Z254" i="3" s="1"/>
  <c r="AA254" i="3" s="1"/>
  <c r="H254" i="3"/>
  <c r="T254" i="3"/>
  <c r="J254" i="3"/>
  <c r="V254" i="3"/>
  <c r="M254" i="3"/>
  <c r="N254" i="3"/>
  <c r="C254" i="3"/>
  <c r="P254" i="3"/>
  <c r="L258" i="2"/>
  <c r="I257" i="2"/>
  <c r="F257" i="2" s="1"/>
  <c r="D259" i="2"/>
  <c r="I253" i="3"/>
  <c r="F254" i="4" s="1"/>
  <c r="U253" i="3"/>
  <c r="O253" i="3"/>
  <c r="C258" i="2"/>
  <c r="E257" i="2"/>
  <c r="D255" i="4" l="1"/>
  <c r="D260" i="2"/>
  <c r="T258" i="2"/>
  <c r="A256" i="4"/>
  <c r="N255" i="3"/>
  <c r="C255" i="3"/>
  <c r="P255" i="3"/>
  <c r="E255" i="3"/>
  <c r="F255" i="3" s="1"/>
  <c r="G255" i="3"/>
  <c r="S255" i="3"/>
  <c r="Y255" i="3" s="1"/>
  <c r="Z255" i="3" s="1"/>
  <c r="AA255" i="3" s="1"/>
  <c r="H255" i="3"/>
  <c r="T255" i="3"/>
  <c r="J255" i="3"/>
  <c r="V255" i="3"/>
  <c r="M255" i="3"/>
  <c r="K259" i="2"/>
  <c r="H258" i="2"/>
  <c r="L259" i="2"/>
  <c r="I258" i="2"/>
  <c r="F258" i="2" s="1"/>
  <c r="I254" i="3"/>
  <c r="U254" i="3"/>
  <c r="J255" i="4" s="1"/>
  <c r="O254" i="3"/>
  <c r="D257" i="3"/>
  <c r="F255" i="4"/>
  <c r="H255" i="4"/>
  <c r="I255" i="4"/>
  <c r="M255" i="4" s="1"/>
  <c r="G255" i="4"/>
  <c r="L255" i="4" s="1"/>
  <c r="K255" i="4"/>
  <c r="N255" i="4" s="1"/>
  <c r="M259" i="2"/>
  <c r="J258" i="2"/>
  <c r="G258" i="2" s="1"/>
  <c r="E258" i="2"/>
  <c r="C259" i="2"/>
  <c r="T259" i="2" s="1"/>
  <c r="C255" i="4"/>
  <c r="AB254" i="3"/>
  <c r="E255" i="4" s="1"/>
  <c r="D256" i="4" l="1"/>
  <c r="I259" i="2"/>
  <c r="L260" i="2"/>
  <c r="O255" i="3"/>
  <c r="H256" i="4" s="1"/>
  <c r="I255" i="3"/>
  <c r="U255" i="3"/>
  <c r="J256" i="4" s="1"/>
  <c r="H259" i="2"/>
  <c r="K260" i="2"/>
  <c r="C256" i="4"/>
  <c r="AB255" i="3"/>
  <c r="E256" i="4" s="1"/>
  <c r="F256" i="4"/>
  <c r="G256" i="4"/>
  <c r="L256" i="4" s="1"/>
  <c r="I256" i="4"/>
  <c r="M256" i="4" s="1"/>
  <c r="K256" i="4"/>
  <c r="N256" i="4" s="1"/>
  <c r="M260" i="2"/>
  <c r="J259" i="2"/>
  <c r="G259" i="2"/>
  <c r="D258" i="3"/>
  <c r="C260" i="2"/>
  <c r="E259" i="2"/>
  <c r="F259" i="2"/>
  <c r="D261" i="2"/>
  <c r="A257" i="4"/>
  <c r="M256" i="3"/>
  <c r="N256" i="3"/>
  <c r="C256" i="3"/>
  <c r="P256" i="3"/>
  <c r="E256" i="3"/>
  <c r="F256" i="3" s="1"/>
  <c r="G256" i="3"/>
  <c r="S256" i="3"/>
  <c r="Y256" i="3" s="1"/>
  <c r="Z256" i="3" s="1"/>
  <c r="AA256" i="3" s="1"/>
  <c r="H256" i="3"/>
  <c r="T256" i="3"/>
  <c r="J256" i="3"/>
  <c r="V256" i="3"/>
  <c r="D257" i="4" l="1"/>
  <c r="A258" i="4"/>
  <c r="H257" i="3"/>
  <c r="T257" i="3"/>
  <c r="J257" i="3"/>
  <c r="V257" i="3"/>
  <c r="M257" i="3"/>
  <c r="N257" i="3"/>
  <c r="C257" i="3"/>
  <c r="P257" i="3"/>
  <c r="E257" i="3"/>
  <c r="F257" i="3" s="1"/>
  <c r="G257" i="3"/>
  <c r="S257" i="3"/>
  <c r="Y257" i="3" s="1"/>
  <c r="Z257" i="3" s="1"/>
  <c r="AA257" i="3" s="1"/>
  <c r="E260" i="2"/>
  <c r="F260" i="2"/>
  <c r="C261" i="2"/>
  <c r="O256" i="3"/>
  <c r="I256" i="3"/>
  <c r="F257" i="4" s="1"/>
  <c r="U256" i="3"/>
  <c r="J257" i="4" s="1"/>
  <c r="D259" i="3"/>
  <c r="K261" i="2"/>
  <c r="H260" i="2"/>
  <c r="C257" i="4"/>
  <c r="AB256" i="3"/>
  <c r="E257" i="4" s="1"/>
  <c r="M261" i="2"/>
  <c r="J260" i="2"/>
  <c r="K257" i="4"/>
  <c r="N257" i="4" s="1"/>
  <c r="G257" i="4"/>
  <c r="L257" i="4" s="1"/>
  <c r="I257" i="4"/>
  <c r="M257" i="4" s="1"/>
  <c r="H257" i="4"/>
  <c r="D262" i="2"/>
  <c r="L261" i="2"/>
  <c r="I260" i="2"/>
  <c r="G260" i="2"/>
  <c r="T260" i="2"/>
  <c r="D258" i="4" l="1"/>
  <c r="D260" i="3"/>
  <c r="C258" i="4"/>
  <c r="AB257" i="3"/>
  <c r="E258" i="4" s="1"/>
  <c r="C262" i="2"/>
  <c r="E261" i="2"/>
  <c r="M262" i="2"/>
  <c r="J261" i="2"/>
  <c r="G261" i="2" s="1"/>
  <c r="K262" i="2"/>
  <c r="H261" i="2"/>
  <c r="H258" i="4"/>
  <c r="I258" i="4"/>
  <c r="M258" i="4" s="1"/>
  <c r="K258" i="4"/>
  <c r="N258" i="4" s="1"/>
  <c r="G258" i="4"/>
  <c r="L258" i="4" s="1"/>
  <c r="L262" i="2"/>
  <c r="I261" i="2"/>
  <c r="F261" i="2" s="1"/>
  <c r="T261" i="2"/>
  <c r="I257" i="3"/>
  <c r="F258" i="4" s="1"/>
  <c r="U257" i="3"/>
  <c r="J258" i="4" s="1"/>
  <c r="O257" i="3"/>
  <c r="D263" i="2"/>
  <c r="T262" i="2"/>
  <c r="A259" i="4"/>
  <c r="E258" i="3"/>
  <c r="F258" i="3" s="1"/>
  <c r="G258" i="3"/>
  <c r="S258" i="3"/>
  <c r="Y258" i="3" s="1"/>
  <c r="Z258" i="3" s="1"/>
  <c r="AA258" i="3" s="1"/>
  <c r="H258" i="3"/>
  <c r="T258" i="3"/>
  <c r="J258" i="3"/>
  <c r="V258" i="3"/>
  <c r="M258" i="3"/>
  <c r="N258" i="3"/>
  <c r="C258" i="3"/>
  <c r="P258" i="3"/>
  <c r="D259" i="4" l="1"/>
  <c r="M263" i="2"/>
  <c r="J262" i="2"/>
  <c r="G262" i="2" s="1"/>
  <c r="L263" i="2"/>
  <c r="I262" i="2"/>
  <c r="F262" i="2"/>
  <c r="C263" i="2"/>
  <c r="A260" i="4"/>
  <c r="N259" i="3"/>
  <c r="C259" i="3"/>
  <c r="P259" i="3"/>
  <c r="E259" i="3"/>
  <c r="F259" i="3" s="1"/>
  <c r="G259" i="3"/>
  <c r="S259" i="3"/>
  <c r="Y259" i="3" s="1"/>
  <c r="Z259" i="3" s="1"/>
  <c r="AA259" i="3" s="1"/>
  <c r="H259" i="3"/>
  <c r="T259" i="3"/>
  <c r="J259" i="3"/>
  <c r="V259" i="3"/>
  <c r="M259" i="3"/>
  <c r="I258" i="3"/>
  <c r="F259" i="4" s="1"/>
  <c r="U258" i="3"/>
  <c r="O258" i="3"/>
  <c r="H259" i="4" s="1"/>
  <c r="G259" i="4"/>
  <c r="L259" i="4" s="1"/>
  <c r="I259" i="4"/>
  <c r="M259" i="4" s="1"/>
  <c r="J259" i="4"/>
  <c r="K259" i="4"/>
  <c r="N259" i="4" s="1"/>
  <c r="D261" i="3"/>
  <c r="C259" i="4"/>
  <c r="AB258" i="3"/>
  <c r="E259" i="4" s="1"/>
  <c r="T263" i="2"/>
  <c r="D264" i="2"/>
  <c r="K263" i="2"/>
  <c r="H262" i="2"/>
  <c r="E262" i="2" s="1"/>
  <c r="D260" i="4" l="1"/>
  <c r="C260" i="4"/>
  <c r="AB259" i="3"/>
  <c r="E260" i="4" s="1"/>
  <c r="G260" i="4"/>
  <c r="L260" i="4" s="1"/>
  <c r="I260" i="4"/>
  <c r="M260" i="4" s="1"/>
  <c r="K260" i="4"/>
  <c r="N260" i="4" s="1"/>
  <c r="D262" i="3"/>
  <c r="C264" i="2"/>
  <c r="L264" i="2"/>
  <c r="I263" i="2"/>
  <c r="F263" i="2" s="1"/>
  <c r="K264" i="2"/>
  <c r="H263" i="2"/>
  <c r="E263" i="2" s="1"/>
  <c r="A261" i="4"/>
  <c r="M260" i="3"/>
  <c r="N260" i="3"/>
  <c r="C260" i="3"/>
  <c r="P260" i="3"/>
  <c r="E260" i="3"/>
  <c r="F260" i="3" s="1"/>
  <c r="G260" i="3"/>
  <c r="S260" i="3"/>
  <c r="Y260" i="3" s="1"/>
  <c r="Z260" i="3" s="1"/>
  <c r="AA260" i="3" s="1"/>
  <c r="H260" i="3"/>
  <c r="T260" i="3"/>
  <c r="V260" i="3"/>
  <c r="J260" i="3"/>
  <c r="M264" i="2"/>
  <c r="J263" i="2"/>
  <c r="G263" i="2" s="1"/>
  <c r="D265" i="2"/>
  <c r="T264" i="2"/>
  <c r="O259" i="3"/>
  <c r="H260" i="4" s="1"/>
  <c r="I259" i="3"/>
  <c r="F260" i="4" s="1"/>
  <c r="U259" i="3"/>
  <c r="J260" i="4" s="1"/>
  <c r="D261" i="4" l="1"/>
  <c r="D266" i="2"/>
  <c r="D263" i="3"/>
  <c r="C261" i="4"/>
  <c r="AB260" i="3"/>
  <c r="E261" i="4" s="1"/>
  <c r="G261" i="4"/>
  <c r="L261" i="4" s="1"/>
  <c r="H261" i="4"/>
  <c r="K261" i="4"/>
  <c r="N261" i="4" s="1"/>
  <c r="I261" i="4"/>
  <c r="M261" i="4" s="1"/>
  <c r="K265" i="2"/>
  <c r="H264" i="2"/>
  <c r="I264" i="2"/>
  <c r="L265" i="2"/>
  <c r="C265" i="2"/>
  <c r="E264" i="2"/>
  <c r="F264" i="2"/>
  <c r="A262" i="4"/>
  <c r="H261" i="3"/>
  <c r="T261" i="3"/>
  <c r="J261" i="3"/>
  <c r="V261" i="3"/>
  <c r="M261" i="3"/>
  <c r="N261" i="3"/>
  <c r="C261" i="3"/>
  <c r="P261" i="3"/>
  <c r="E261" i="3"/>
  <c r="F261" i="3" s="1"/>
  <c r="G261" i="3"/>
  <c r="S261" i="3"/>
  <c r="Y261" i="3" s="1"/>
  <c r="Z261" i="3" s="1"/>
  <c r="AA261" i="3" s="1"/>
  <c r="J264" i="2"/>
  <c r="G264" i="2" s="1"/>
  <c r="M265" i="2"/>
  <c r="O260" i="3"/>
  <c r="U260" i="3"/>
  <c r="J261" i="4" s="1"/>
  <c r="I260" i="3"/>
  <c r="F261" i="4" s="1"/>
  <c r="D262" i="4" l="1"/>
  <c r="A263" i="4"/>
  <c r="E262" i="3"/>
  <c r="F262" i="3" s="1"/>
  <c r="G262" i="3"/>
  <c r="S262" i="3"/>
  <c r="Y262" i="3" s="1"/>
  <c r="Z262" i="3" s="1"/>
  <c r="AA262" i="3" s="1"/>
  <c r="H262" i="3"/>
  <c r="T262" i="3"/>
  <c r="J262" i="3"/>
  <c r="V262" i="3"/>
  <c r="M262" i="3"/>
  <c r="N262" i="3"/>
  <c r="C262" i="3"/>
  <c r="P262" i="3"/>
  <c r="I261" i="3"/>
  <c r="U261" i="3"/>
  <c r="O261" i="3"/>
  <c r="E265" i="2"/>
  <c r="C266" i="2"/>
  <c r="L266" i="2"/>
  <c r="I265" i="2"/>
  <c r="F265" i="2" s="1"/>
  <c r="D264" i="3"/>
  <c r="F262" i="4"/>
  <c r="H262" i="4"/>
  <c r="I262" i="4"/>
  <c r="M262" i="4" s="1"/>
  <c r="J262" i="4"/>
  <c r="K262" i="4"/>
  <c r="N262" i="4" s="1"/>
  <c r="G262" i="4"/>
  <c r="L262" i="4" s="1"/>
  <c r="D267" i="2"/>
  <c r="T266" i="2"/>
  <c r="C262" i="4"/>
  <c r="AB261" i="3"/>
  <c r="E262" i="4" s="1"/>
  <c r="K266" i="2"/>
  <c r="H265" i="2"/>
  <c r="T265" i="2"/>
  <c r="M266" i="2"/>
  <c r="J265" i="2"/>
  <c r="G265" i="2" s="1"/>
  <c r="D263" i="4" l="1"/>
  <c r="C263" i="4"/>
  <c r="AB262" i="3"/>
  <c r="E263" i="4" s="1"/>
  <c r="L267" i="2"/>
  <c r="I266" i="2"/>
  <c r="D268" i="2"/>
  <c r="C267" i="2"/>
  <c r="F266" i="2"/>
  <c r="M267" i="2"/>
  <c r="J266" i="2"/>
  <c r="G266" i="2" s="1"/>
  <c r="A264" i="4"/>
  <c r="N263" i="3"/>
  <c r="C263" i="3"/>
  <c r="P263" i="3"/>
  <c r="E263" i="3"/>
  <c r="F263" i="3" s="1"/>
  <c r="G263" i="3"/>
  <c r="S263" i="3"/>
  <c r="Y263" i="3" s="1"/>
  <c r="Z263" i="3" s="1"/>
  <c r="AA263" i="3" s="1"/>
  <c r="H263" i="3"/>
  <c r="T263" i="3"/>
  <c r="J263" i="3"/>
  <c r="V263" i="3"/>
  <c r="M263" i="3"/>
  <c r="I262" i="3"/>
  <c r="U262" i="3"/>
  <c r="J263" i="4" s="1"/>
  <c r="O262" i="3"/>
  <c r="K263" i="4"/>
  <c r="N263" i="4" s="1"/>
  <c r="I263" i="4"/>
  <c r="M263" i="4" s="1"/>
  <c r="F263" i="4"/>
  <c r="G263" i="4"/>
  <c r="L263" i="4" s="1"/>
  <c r="H263" i="4"/>
  <c r="H266" i="2"/>
  <c r="E266" i="2" s="1"/>
  <c r="K267" i="2"/>
  <c r="D265" i="3"/>
  <c r="D264" i="4" l="1"/>
  <c r="C268" i="2"/>
  <c r="T268" i="2"/>
  <c r="D269" i="2"/>
  <c r="A265" i="4"/>
  <c r="M264" i="3"/>
  <c r="N264" i="3"/>
  <c r="C264" i="3"/>
  <c r="P264" i="3"/>
  <c r="E264" i="3"/>
  <c r="F264" i="3" s="1"/>
  <c r="G264" i="3"/>
  <c r="S264" i="3"/>
  <c r="Y264" i="3" s="1"/>
  <c r="Z264" i="3" s="1"/>
  <c r="AA264" i="3" s="1"/>
  <c r="H264" i="3"/>
  <c r="T264" i="3"/>
  <c r="J264" i="3"/>
  <c r="V264" i="3"/>
  <c r="G267" i="2"/>
  <c r="O263" i="3"/>
  <c r="I263" i="3"/>
  <c r="U263" i="3"/>
  <c r="J264" i="4" s="1"/>
  <c r="T267" i="2"/>
  <c r="L268" i="2"/>
  <c r="I267" i="2"/>
  <c r="F267" i="2" s="1"/>
  <c r="D266" i="3"/>
  <c r="C264" i="4"/>
  <c r="AB263" i="3"/>
  <c r="E264" i="4" s="1"/>
  <c r="H264" i="4"/>
  <c r="I264" i="4"/>
  <c r="M264" i="4" s="1"/>
  <c r="K264" i="4"/>
  <c r="N264" i="4" s="1"/>
  <c r="G264" i="4"/>
  <c r="L264" i="4" s="1"/>
  <c r="F264" i="4"/>
  <c r="K268" i="2"/>
  <c r="H267" i="2"/>
  <c r="E267" i="2" s="1"/>
  <c r="M268" i="2"/>
  <c r="J267" i="2"/>
  <c r="D265" i="4" l="1"/>
  <c r="C265" i="4"/>
  <c r="AB264" i="3"/>
  <c r="E265" i="4" s="1"/>
  <c r="G265" i="4"/>
  <c r="L265" i="4" s="1"/>
  <c r="I265" i="4"/>
  <c r="M265" i="4" s="1"/>
  <c r="K265" i="4"/>
  <c r="N265" i="4" s="1"/>
  <c r="D270" i="2"/>
  <c r="D267" i="3"/>
  <c r="F268" i="2"/>
  <c r="C269" i="2"/>
  <c r="M269" i="2"/>
  <c r="J268" i="2"/>
  <c r="G268" i="2" s="1"/>
  <c r="K269" i="2"/>
  <c r="H268" i="2"/>
  <c r="E268" i="2" s="1"/>
  <c r="L269" i="2"/>
  <c r="I268" i="2"/>
  <c r="A266" i="4"/>
  <c r="H265" i="3"/>
  <c r="T265" i="3"/>
  <c r="J265" i="3"/>
  <c r="V265" i="3"/>
  <c r="M265" i="3"/>
  <c r="N265" i="3"/>
  <c r="P265" i="3"/>
  <c r="E265" i="3"/>
  <c r="F265" i="3" s="1"/>
  <c r="G265" i="3"/>
  <c r="S265" i="3"/>
  <c r="Y265" i="3" s="1"/>
  <c r="Z265" i="3" s="1"/>
  <c r="AA265" i="3" s="1"/>
  <c r="C265" i="3"/>
  <c r="O264" i="3"/>
  <c r="H265" i="4" s="1"/>
  <c r="I264" i="3"/>
  <c r="F265" i="4" s="1"/>
  <c r="U264" i="3"/>
  <c r="J265" i="4" s="1"/>
  <c r="D266" i="4" l="1"/>
  <c r="L270" i="2"/>
  <c r="I269" i="2"/>
  <c r="A267" i="4"/>
  <c r="E266" i="3"/>
  <c r="F266" i="3" s="1"/>
  <c r="G266" i="3"/>
  <c r="S266" i="3"/>
  <c r="Y266" i="3" s="1"/>
  <c r="Z266" i="3" s="1"/>
  <c r="AA266" i="3" s="1"/>
  <c r="H266" i="3"/>
  <c r="T266" i="3"/>
  <c r="J266" i="3"/>
  <c r="V266" i="3"/>
  <c r="M266" i="3"/>
  <c r="N266" i="3"/>
  <c r="P266" i="3"/>
  <c r="C266" i="3"/>
  <c r="D271" i="2"/>
  <c r="I265" i="3"/>
  <c r="U265" i="3"/>
  <c r="O265" i="3"/>
  <c r="K270" i="2"/>
  <c r="H269" i="2"/>
  <c r="E269" i="2" s="1"/>
  <c r="J269" i="2"/>
  <c r="G269" i="2" s="1"/>
  <c r="M270" i="2"/>
  <c r="C266" i="4"/>
  <c r="AB265" i="3"/>
  <c r="E266" i="4" s="1"/>
  <c r="C270" i="2"/>
  <c r="F269" i="2"/>
  <c r="D268" i="3"/>
  <c r="F266" i="4"/>
  <c r="G266" i="4"/>
  <c r="L266" i="4" s="1"/>
  <c r="H266" i="4"/>
  <c r="K266" i="4"/>
  <c r="N266" i="4" s="1"/>
  <c r="I266" i="4"/>
  <c r="M266" i="4" s="1"/>
  <c r="J266" i="4"/>
  <c r="T269" i="2"/>
  <c r="D267" i="4" l="1"/>
  <c r="K271" i="2"/>
  <c r="H270" i="2"/>
  <c r="D269" i="3"/>
  <c r="D272" i="2"/>
  <c r="A268" i="4"/>
  <c r="N267" i="3"/>
  <c r="C267" i="3"/>
  <c r="P267" i="3"/>
  <c r="E267" i="3"/>
  <c r="F267" i="3" s="1"/>
  <c r="G267" i="3"/>
  <c r="S267" i="3"/>
  <c r="Y267" i="3" s="1"/>
  <c r="Z267" i="3" s="1"/>
  <c r="AA267" i="3" s="1"/>
  <c r="H267" i="3"/>
  <c r="T267" i="3"/>
  <c r="J267" i="3"/>
  <c r="V267" i="3"/>
  <c r="M267" i="3"/>
  <c r="E270" i="2"/>
  <c r="C271" i="2"/>
  <c r="T271" i="2" s="1"/>
  <c r="T270" i="2"/>
  <c r="I266" i="3"/>
  <c r="U266" i="3"/>
  <c r="O266" i="3"/>
  <c r="F267" i="4"/>
  <c r="G267" i="4"/>
  <c r="L267" i="4" s="1"/>
  <c r="I267" i="4"/>
  <c r="M267" i="4" s="1"/>
  <c r="J267" i="4"/>
  <c r="K267" i="4"/>
  <c r="N267" i="4" s="1"/>
  <c r="H267" i="4"/>
  <c r="M271" i="2"/>
  <c r="J270" i="2"/>
  <c r="G270" i="2" s="1"/>
  <c r="L271" i="2"/>
  <c r="I270" i="2"/>
  <c r="F270" i="2" s="1"/>
  <c r="C267" i="4"/>
  <c r="AB266" i="3"/>
  <c r="E267" i="4" s="1"/>
  <c r="D268" i="4" l="1"/>
  <c r="D273" i="2"/>
  <c r="D270" i="3"/>
  <c r="C268" i="4"/>
  <c r="AB267" i="3"/>
  <c r="E268" i="4" s="1"/>
  <c r="A269" i="4"/>
  <c r="M268" i="3"/>
  <c r="N268" i="3"/>
  <c r="C268" i="3"/>
  <c r="P268" i="3"/>
  <c r="E268" i="3"/>
  <c r="F268" i="3" s="1"/>
  <c r="G268" i="3"/>
  <c r="S268" i="3"/>
  <c r="Y268" i="3" s="1"/>
  <c r="Z268" i="3" s="1"/>
  <c r="AA268" i="3" s="1"/>
  <c r="H268" i="3"/>
  <c r="T268" i="3"/>
  <c r="V268" i="3"/>
  <c r="J268" i="3"/>
  <c r="H271" i="2"/>
  <c r="E271" i="2" s="1"/>
  <c r="K272" i="2"/>
  <c r="G268" i="4"/>
  <c r="L268" i="4" s="1"/>
  <c r="I268" i="4"/>
  <c r="M268" i="4" s="1"/>
  <c r="K268" i="4"/>
  <c r="N268" i="4" s="1"/>
  <c r="J268" i="4"/>
  <c r="I271" i="2"/>
  <c r="F271" i="2" s="1"/>
  <c r="L272" i="2"/>
  <c r="O267" i="3"/>
  <c r="H268" i="4" s="1"/>
  <c r="U267" i="3"/>
  <c r="I267" i="3"/>
  <c r="F268" i="4" s="1"/>
  <c r="C272" i="2"/>
  <c r="T272" i="2" s="1"/>
  <c r="M272" i="2"/>
  <c r="J271" i="2"/>
  <c r="G271" i="2" s="1"/>
  <c r="D269" i="4" l="1"/>
  <c r="C269" i="4"/>
  <c r="AB268" i="3"/>
  <c r="E269" i="4" s="1"/>
  <c r="G269" i="4"/>
  <c r="L269" i="4" s="1"/>
  <c r="I269" i="4"/>
  <c r="M269" i="4" s="1"/>
  <c r="K269" i="4"/>
  <c r="N269" i="4" s="1"/>
  <c r="L273" i="2"/>
  <c r="I272" i="2"/>
  <c r="F272" i="2" s="1"/>
  <c r="D271" i="3"/>
  <c r="D274" i="2"/>
  <c r="T273" i="2"/>
  <c r="A270" i="4"/>
  <c r="H269" i="3"/>
  <c r="T269" i="3"/>
  <c r="J269" i="3"/>
  <c r="V269" i="3"/>
  <c r="M269" i="3"/>
  <c r="N269" i="3"/>
  <c r="P269" i="3"/>
  <c r="E269" i="3"/>
  <c r="F269" i="3" s="1"/>
  <c r="C269" i="3"/>
  <c r="G269" i="3"/>
  <c r="S269" i="3"/>
  <c r="Y269" i="3" s="1"/>
  <c r="Z269" i="3" s="1"/>
  <c r="AA269" i="3" s="1"/>
  <c r="M273" i="2"/>
  <c r="J272" i="2"/>
  <c r="G272" i="2" s="1"/>
  <c r="O268" i="3"/>
  <c r="H269" i="4" s="1"/>
  <c r="I268" i="3"/>
  <c r="F269" i="4" s="1"/>
  <c r="U268" i="3"/>
  <c r="J269" i="4" s="1"/>
  <c r="C273" i="2"/>
  <c r="K273" i="2"/>
  <c r="H272" i="2"/>
  <c r="E272" i="2" s="1"/>
  <c r="D270" i="4" l="1"/>
  <c r="C270" i="4"/>
  <c r="AB269" i="3"/>
  <c r="E270" i="4" s="1"/>
  <c r="L274" i="2"/>
  <c r="I273" i="2"/>
  <c r="K270" i="4"/>
  <c r="N270" i="4" s="1"/>
  <c r="G270" i="4"/>
  <c r="L270" i="4" s="1"/>
  <c r="I270" i="4"/>
  <c r="M270" i="4" s="1"/>
  <c r="J270" i="4"/>
  <c r="F270" i="4"/>
  <c r="M274" i="2"/>
  <c r="J273" i="2"/>
  <c r="K274" i="2"/>
  <c r="H273" i="2"/>
  <c r="D275" i="2"/>
  <c r="F273" i="2"/>
  <c r="C274" i="2"/>
  <c r="E273" i="2"/>
  <c r="A271" i="4"/>
  <c r="E270" i="3"/>
  <c r="F270" i="3" s="1"/>
  <c r="G270" i="3"/>
  <c r="S270" i="3"/>
  <c r="Y270" i="3" s="1"/>
  <c r="Z270" i="3" s="1"/>
  <c r="AA270" i="3" s="1"/>
  <c r="J270" i="3"/>
  <c r="V270" i="3"/>
  <c r="M270" i="3"/>
  <c r="N270" i="3"/>
  <c r="C270" i="3"/>
  <c r="H270" i="3"/>
  <c r="P270" i="3"/>
  <c r="T270" i="3"/>
  <c r="G273" i="2"/>
  <c r="I269" i="3"/>
  <c r="U269" i="3"/>
  <c r="O269" i="3"/>
  <c r="H270" i="4" s="1"/>
  <c r="D272" i="3"/>
  <c r="D271" i="4" l="1"/>
  <c r="I271" i="4"/>
  <c r="M271" i="4" s="1"/>
  <c r="K271" i="4"/>
  <c r="N271" i="4" s="1"/>
  <c r="G271" i="4"/>
  <c r="L271" i="4" s="1"/>
  <c r="F274" i="2"/>
  <c r="C275" i="2"/>
  <c r="I270" i="3"/>
  <c r="F271" i="4" s="1"/>
  <c r="U270" i="3"/>
  <c r="J271" i="4" s="1"/>
  <c r="O270" i="3"/>
  <c r="H271" i="4" s="1"/>
  <c r="C271" i="4"/>
  <c r="AB270" i="3"/>
  <c r="E271" i="4" s="1"/>
  <c r="T274" i="2"/>
  <c r="D273" i="3"/>
  <c r="D276" i="2"/>
  <c r="L275" i="2"/>
  <c r="I274" i="2"/>
  <c r="K275" i="2"/>
  <c r="H274" i="2"/>
  <c r="E274" i="2" s="1"/>
  <c r="A272" i="4"/>
  <c r="N271" i="3"/>
  <c r="C271" i="3"/>
  <c r="P271" i="3"/>
  <c r="G271" i="3"/>
  <c r="S271" i="3"/>
  <c r="Y271" i="3" s="1"/>
  <c r="Z271" i="3" s="1"/>
  <c r="AA271" i="3" s="1"/>
  <c r="H271" i="3"/>
  <c r="T271" i="3"/>
  <c r="J271" i="3"/>
  <c r="V271" i="3"/>
  <c r="E271" i="3"/>
  <c r="F271" i="3" s="1"/>
  <c r="M271" i="3"/>
  <c r="M275" i="2"/>
  <c r="J274" i="2"/>
  <c r="G274" i="2" s="1"/>
  <c r="D272" i="4" l="1"/>
  <c r="D277" i="2"/>
  <c r="C276" i="2"/>
  <c r="L276" i="2"/>
  <c r="I275" i="2"/>
  <c r="F275" i="2" s="1"/>
  <c r="T275" i="2"/>
  <c r="D274" i="3"/>
  <c r="A273" i="4"/>
  <c r="M272" i="3"/>
  <c r="C272" i="3"/>
  <c r="E272" i="3"/>
  <c r="F272" i="3" s="1"/>
  <c r="G272" i="3"/>
  <c r="S272" i="3"/>
  <c r="Y272" i="3" s="1"/>
  <c r="Z272" i="3" s="1"/>
  <c r="AA272" i="3" s="1"/>
  <c r="H272" i="3"/>
  <c r="T272" i="3"/>
  <c r="J272" i="3"/>
  <c r="N272" i="3"/>
  <c r="P272" i="3"/>
  <c r="V272" i="3"/>
  <c r="G272" i="4"/>
  <c r="L272" i="4" s="1"/>
  <c r="I272" i="4"/>
  <c r="M272" i="4" s="1"/>
  <c r="J272" i="4"/>
  <c r="K272" i="4"/>
  <c r="N272" i="4" s="1"/>
  <c r="H272" i="4"/>
  <c r="C272" i="4"/>
  <c r="AB271" i="3"/>
  <c r="E272" i="4" s="1"/>
  <c r="O271" i="3"/>
  <c r="I271" i="3"/>
  <c r="F272" i="4" s="1"/>
  <c r="U271" i="3"/>
  <c r="K276" i="2"/>
  <c r="H275" i="2"/>
  <c r="E275" i="2" s="1"/>
  <c r="M276" i="2"/>
  <c r="J275" i="2"/>
  <c r="G275" i="2" s="1"/>
  <c r="D273" i="4" l="1"/>
  <c r="I276" i="2"/>
  <c r="L277" i="2"/>
  <c r="C277" i="2"/>
  <c r="F276" i="2"/>
  <c r="A274" i="4"/>
  <c r="H273" i="3"/>
  <c r="T273" i="3"/>
  <c r="J273" i="3"/>
  <c r="V273" i="3"/>
  <c r="N273" i="3"/>
  <c r="E273" i="3"/>
  <c r="F273" i="3" s="1"/>
  <c r="C273" i="3"/>
  <c r="G273" i="3"/>
  <c r="M273" i="3"/>
  <c r="S273" i="3"/>
  <c r="Y273" i="3" s="1"/>
  <c r="Z273" i="3" s="1"/>
  <c r="AA273" i="3" s="1"/>
  <c r="P273" i="3"/>
  <c r="O272" i="3"/>
  <c r="I272" i="3"/>
  <c r="F273" i="4" s="1"/>
  <c r="U272" i="3"/>
  <c r="J273" i="4" s="1"/>
  <c r="G276" i="2"/>
  <c r="J276" i="2"/>
  <c r="M277" i="2"/>
  <c r="T276" i="2"/>
  <c r="C273" i="4"/>
  <c r="AB272" i="3"/>
  <c r="E273" i="4" s="1"/>
  <c r="T277" i="2"/>
  <c r="D278" i="2"/>
  <c r="K277" i="2"/>
  <c r="H276" i="2"/>
  <c r="E276" i="2" s="1"/>
  <c r="G273" i="4"/>
  <c r="L273" i="4" s="1"/>
  <c r="H273" i="4"/>
  <c r="I273" i="4"/>
  <c r="M273" i="4" s="1"/>
  <c r="K273" i="4"/>
  <c r="N273" i="4" s="1"/>
  <c r="D275" i="3"/>
  <c r="D274" i="4" l="1"/>
  <c r="K278" i="2"/>
  <c r="H277" i="2"/>
  <c r="D279" i="2"/>
  <c r="G274" i="4"/>
  <c r="L274" i="4" s="1"/>
  <c r="K274" i="4"/>
  <c r="N274" i="4" s="1"/>
  <c r="I274" i="4"/>
  <c r="M274" i="4" s="1"/>
  <c r="D276" i="3"/>
  <c r="C274" i="4"/>
  <c r="AB273" i="3"/>
  <c r="E274" i="4" s="1"/>
  <c r="E277" i="2"/>
  <c r="C278" i="2"/>
  <c r="T278" i="2" s="1"/>
  <c r="L278" i="2"/>
  <c r="I277" i="2"/>
  <c r="F277" i="2" s="1"/>
  <c r="A275" i="4"/>
  <c r="E274" i="3"/>
  <c r="F274" i="3" s="1"/>
  <c r="G274" i="3"/>
  <c r="S274" i="3"/>
  <c r="Y274" i="3" s="1"/>
  <c r="Z274" i="3" s="1"/>
  <c r="AA274" i="3" s="1"/>
  <c r="N274" i="3"/>
  <c r="P274" i="3"/>
  <c r="T274" i="3"/>
  <c r="V274" i="3"/>
  <c r="C274" i="3"/>
  <c r="H274" i="3"/>
  <c r="J274" i="3"/>
  <c r="M274" i="3"/>
  <c r="M278" i="2"/>
  <c r="J277" i="2"/>
  <c r="G277" i="2" s="1"/>
  <c r="I273" i="3"/>
  <c r="F274" i="4" s="1"/>
  <c r="U273" i="3"/>
  <c r="J274" i="4" s="1"/>
  <c r="O273" i="3"/>
  <c r="H274" i="4" s="1"/>
  <c r="D275" i="4" l="1"/>
  <c r="C275" i="4"/>
  <c r="AB274" i="3"/>
  <c r="E275" i="4" s="1"/>
  <c r="I275" i="4"/>
  <c r="M275" i="4" s="1"/>
  <c r="G275" i="4"/>
  <c r="L275" i="4" s="1"/>
  <c r="K275" i="4"/>
  <c r="N275" i="4" s="1"/>
  <c r="L279" i="2"/>
  <c r="I278" i="2"/>
  <c r="F278" i="2" s="1"/>
  <c r="I274" i="3"/>
  <c r="F275" i="4" s="1"/>
  <c r="U274" i="3"/>
  <c r="J275" i="4" s="1"/>
  <c r="O274" i="3"/>
  <c r="H275" i="4" s="1"/>
  <c r="M279" i="2"/>
  <c r="J278" i="2"/>
  <c r="C279" i="2"/>
  <c r="E278" i="2"/>
  <c r="D280" i="2"/>
  <c r="T279" i="2"/>
  <c r="G278" i="2"/>
  <c r="D277" i="3"/>
  <c r="K279" i="2"/>
  <c r="H278" i="2"/>
  <c r="A276" i="4"/>
  <c r="N275" i="3"/>
  <c r="C275" i="3"/>
  <c r="P275" i="3"/>
  <c r="H275" i="3"/>
  <c r="T275" i="3"/>
  <c r="J275" i="3"/>
  <c r="M275" i="3"/>
  <c r="S275" i="3"/>
  <c r="Y275" i="3" s="1"/>
  <c r="Z275" i="3" s="1"/>
  <c r="AA275" i="3" s="1"/>
  <c r="V275" i="3"/>
  <c r="E275" i="3"/>
  <c r="F275" i="3" s="1"/>
  <c r="G275" i="3"/>
  <c r="D276" i="4" l="1"/>
  <c r="C276" i="4"/>
  <c r="AB275" i="3"/>
  <c r="E276" i="4" s="1"/>
  <c r="L280" i="2"/>
  <c r="I279" i="2"/>
  <c r="F279" i="2" s="1"/>
  <c r="T280" i="2"/>
  <c r="D281" i="2"/>
  <c r="C280" i="2"/>
  <c r="E279" i="2"/>
  <c r="A277" i="4"/>
  <c r="M276" i="3"/>
  <c r="C276" i="3"/>
  <c r="E276" i="3"/>
  <c r="F276" i="3" s="1"/>
  <c r="H276" i="3"/>
  <c r="T276" i="3"/>
  <c r="V276" i="3"/>
  <c r="G276" i="3"/>
  <c r="J276" i="3"/>
  <c r="N276" i="3"/>
  <c r="P276" i="3"/>
  <c r="S276" i="3"/>
  <c r="Y276" i="3" s="1"/>
  <c r="Z276" i="3" s="1"/>
  <c r="AA276" i="3" s="1"/>
  <c r="J279" i="2"/>
  <c r="G279" i="2" s="1"/>
  <c r="M280" i="2"/>
  <c r="K276" i="4"/>
  <c r="N276" i="4" s="1"/>
  <c r="G276" i="4"/>
  <c r="L276" i="4" s="1"/>
  <c r="H276" i="4"/>
  <c r="I276" i="4"/>
  <c r="M276" i="4" s="1"/>
  <c r="J276" i="4"/>
  <c r="O275" i="3"/>
  <c r="U275" i="3"/>
  <c r="I275" i="3"/>
  <c r="F276" i="4" s="1"/>
  <c r="K280" i="2"/>
  <c r="H279" i="2"/>
  <c r="D278" i="3"/>
  <c r="D277" i="4" l="1"/>
  <c r="C281" i="2"/>
  <c r="D282" i="2"/>
  <c r="T281" i="2"/>
  <c r="A278" i="4"/>
  <c r="H277" i="3"/>
  <c r="T277" i="3"/>
  <c r="J277" i="3"/>
  <c r="V277" i="3"/>
  <c r="N277" i="3"/>
  <c r="E277" i="3"/>
  <c r="F277" i="3" s="1"/>
  <c r="S277" i="3"/>
  <c r="Y277" i="3" s="1"/>
  <c r="Z277" i="3" s="1"/>
  <c r="AA277" i="3" s="1"/>
  <c r="C277" i="3"/>
  <c r="G277" i="3"/>
  <c r="M277" i="3"/>
  <c r="P277" i="3"/>
  <c r="L281" i="2"/>
  <c r="I280" i="2"/>
  <c r="F280" i="2" s="1"/>
  <c r="O276" i="3"/>
  <c r="H277" i="4" s="1"/>
  <c r="I276" i="3"/>
  <c r="U276" i="3"/>
  <c r="D279" i="3"/>
  <c r="M281" i="2"/>
  <c r="J280" i="2"/>
  <c r="G280" i="2" s="1"/>
  <c r="C277" i="4"/>
  <c r="AB276" i="3"/>
  <c r="E277" i="4" s="1"/>
  <c r="K281" i="2"/>
  <c r="H280" i="2"/>
  <c r="E280" i="2" s="1"/>
  <c r="I277" i="4"/>
  <c r="M277" i="4" s="1"/>
  <c r="K277" i="4"/>
  <c r="N277" i="4" s="1"/>
  <c r="F277" i="4"/>
  <c r="G277" i="4"/>
  <c r="L277" i="4" s="1"/>
  <c r="J277" i="4"/>
  <c r="D278" i="4" l="1"/>
  <c r="L282" i="2"/>
  <c r="I281" i="2"/>
  <c r="K282" i="2"/>
  <c r="H281" i="2"/>
  <c r="G278" i="4"/>
  <c r="L278" i="4" s="1"/>
  <c r="I278" i="4"/>
  <c r="M278" i="4" s="1"/>
  <c r="K278" i="4"/>
  <c r="N278" i="4" s="1"/>
  <c r="H278" i="4"/>
  <c r="F278" i="4"/>
  <c r="C278" i="4"/>
  <c r="AB277" i="3"/>
  <c r="E278" i="4" s="1"/>
  <c r="D283" i="2"/>
  <c r="M282" i="2"/>
  <c r="J281" i="2"/>
  <c r="G281" i="2" s="1"/>
  <c r="C282" i="2"/>
  <c r="E281" i="2"/>
  <c r="F281" i="2"/>
  <c r="D280" i="3"/>
  <c r="A279" i="4"/>
  <c r="E278" i="3"/>
  <c r="F278" i="3" s="1"/>
  <c r="G278" i="3"/>
  <c r="S278" i="3"/>
  <c r="Y278" i="3" s="1"/>
  <c r="Z278" i="3" s="1"/>
  <c r="AA278" i="3" s="1"/>
  <c r="N278" i="3"/>
  <c r="M278" i="3"/>
  <c r="P278" i="3"/>
  <c r="T278" i="3"/>
  <c r="V278" i="3"/>
  <c r="C278" i="3"/>
  <c r="H278" i="3"/>
  <c r="J278" i="3"/>
  <c r="I277" i="3"/>
  <c r="U277" i="3"/>
  <c r="J278" i="4" s="1"/>
  <c r="O277" i="3"/>
  <c r="D279" i="4" l="1"/>
  <c r="D281" i="3"/>
  <c r="C283" i="2"/>
  <c r="J282" i="2"/>
  <c r="M283" i="2"/>
  <c r="G282" i="2"/>
  <c r="K283" i="2"/>
  <c r="H282" i="2"/>
  <c r="E282" i="2" s="1"/>
  <c r="T282" i="2"/>
  <c r="A280" i="4"/>
  <c r="N279" i="3"/>
  <c r="C279" i="3"/>
  <c r="P279" i="3"/>
  <c r="H279" i="3"/>
  <c r="T279" i="3"/>
  <c r="E279" i="3"/>
  <c r="F279" i="3" s="1"/>
  <c r="V279" i="3"/>
  <c r="G279" i="3"/>
  <c r="J279" i="3"/>
  <c r="S279" i="3"/>
  <c r="Y279" i="3" s="1"/>
  <c r="Z279" i="3" s="1"/>
  <c r="AA279" i="3" s="1"/>
  <c r="M279" i="3"/>
  <c r="T283" i="2"/>
  <c r="D284" i="2"/>
  <c r="L283" i="2"/>
  <c r="I282" i="2"/>
  <c r="F282" i="2" s="1"/>
  <c r="I278" i="3"/>
  <c r="U278" i="3"/>
  <c r="J279" i="4" s="1"/>
  <c r="O278" i="3"/>
  <c r="C279" i="4"/>
  <c r="AB278" i="3"/>
  <c r="E279" i="4" s="1"/>
  <c r="G279" i="4"/>
  <c r="L279" i="4" s="1"/>
  <c r="H279" i="4"/>
  <c r="I279" i="4"/>
  <c r="M279" i="4" s="1"/>
  <c r="F279" i="4"/>
  <c r="K279" i="4"/>
  <c r="N279" i="4" s="1"/>
  <c r="D280" i="4" l="1"/>
  <c r="K284" i="2"/>
  <c r="H283" i="2"/>
  <c r="A281" i="4"/>
  <c r="M280" i="3"/>
  <c r="E280" i="3"/>
  <c r="F280" i="3" s="1"/>
  <c r="J280" i="3"/>
  <c r="N280" i="3"/>
  <c r="P280" i="3"/>
  <c r="C280" i="3"/>
  <c r="S280" i="3"/>
  <c r="Y280" i="3" s="1"/>
  <c r="Z280" i="3" s="1"/>
  <c r="AA280" i="3" s="1"/>
  <c r="G280" i="3"/>
  <c r="H280" i="3"/>
  <c r="T280" i="3"/>
  <c r="V280" i="3"/>
  <c r="M284" i="2"/>
  <c r="J283" i="2"/>
  <c r="O279" i="3"/>
  <c r="U279" i="3"/>
  <c r="I279" i="3"/>
  <c r="L284" i="2"/>
  <c r="I283" i="2"/>
  <c r="D285" i="2"/>
  <c r="E283" i="2"/>
  <c r="F283" i="2"/>
  <c r="C284" i="2"/>
  <c r="G283" i="2"/>
  <c r="D282" i="3"/>
  <c r="C280" i="4"/>
  <c r="AB279" i="3"/>
  <c r="E280" i="4" s="1"/>
  <c r="F280" i="4"/>
  <c r="G280" i="4"/>
  <c r="L280" i="4" s="1"/>
  <c r="H280" i="4"/>
  <c r="J280" i="4"/>
  <c r="K280" i="4"/>
  <c r="N280" i="4" s="1"/>
  <c r="I280" i="4"/>
  <c r="M280" i="4" s="1"/>
  <c r="D281" i="4" l="1"/>
  <c r="A282" i="4"/>
  <c r="J281" i="3"/>
  <c r="V281" i="3"/>
  <c r="M281" i="3"/>
  <c r="N281" i="3"/>
  <c r="P281" i="3"/>
  <c r="C281" i="3"/>
  <c r="E281" i="3"/>
  <c r="F281" i="3" s="1"/>
  <c r="S281" i="3"/>
  <c r="Y281" i="3" s="1"/>
  <c r="Z281" i="3" s="1"/>
  <c r="AA281" i="3" s="1"/>
  <c r="T281" i="3"/>
  <c r="H281" i="3"/>
  <c r="G281" i="3"/>
  <c r="L285" i="2"/>
  <c r="I284" i="2"/>
  <c r="O280" i="3"/>
  <c r="H281" i="4" s="1"/>
  <c r="U280" i="3"/>
  <c r="I280" i="3"/>
  <c r="F281" i="4" s="1"/>
  <c r="D283" i="3"/>
  <c r="C285" i="2"/>
  <c r="E284" i="2"/>
  <c r="F284" i="2"/>
  <c r="M285" i="2"/>
  <c r="J284" i="2"/>
  <c r="C281" i="4"/>
  <c r="AB280" i="3"/>
  <c r="E281" i="4" s="1"/>
  <c r="I281" i="4"/>
  <c r="M281" i="4" s="1"/>
  <c r="J281" i="4"/>
  <c r="G281" i="4"/>
  <c r="L281" i="4" s="1"/>
  <c r="K281" i="4"/>
  <c r="N281" i="4" s="1"/>
  <c r="T284" i="2"/>
  <c r="K285" i="2"/>
  <c r="H284" i="2"/>
  <c r="D286" i="2"/>
  <c r="G284" i="2"/>
  <c r="D282" i="4" l="1"/>
  <c r="C286" i="2"/>
  <c r="F285" i="2"/>
  <c r="I281" i="3"/>
  <c r="U281" i="3"/>
  <c r="O281" i="3"/>
  <c r="D284" i="3"/>
  <c r="A283" i="4"/>
  <c r="G282" i="3"/>
  <c r="S282" i="3"/>
  <c r="Y282" i="3" s="1"/>
  <c r="Z282" i="3" s="1"/>
  <c r="AA282" i="3" s="1"/>
  <c r="N282" i="3"/>
  <c r="P282" i="3"/>
  <c r="C282" i="3"/>
  <c r="E282" i="3"/>
  <c r="F282" i="3" s="1"/>
  <c r="T282" i="3"/>
  <c r="H282" i="3"/>
  <c r="V282" i="3"/>
  <c r="M282" i="3"/>
  <c r="J282" i="3"/>
  <c r="C282" i="4"/>
  <c r="AB281" i="3"/>
  <c r="E282" i="4" s="1"/>
  <c r="T285" i="2"/>
  <c r="L286" i="2"/>
  <c r="I285" i="2"/>
  <c r="T286" i="2"/>
  <c r="D287" i="2"/>
  <c r="K282" i="4"/>
  <c r="N282" i="4" s="1"/>
  <c r="F282" i="4"/>
  <c r="G282" i="4"/>
  <c r="L282" i="4" s="1"/>
  <c r="H282" i="4"/>
  <c r="I282" i="4"/>
  <c r="M282" i="4" s="1"/>
  <c r="J282" i="4"/>
  <c r="M286" i="2"/>
  <c r="J285" i="2"/>
  <c r="G285" i="2" s="1"/>
  <c r="K286" i="2"/>
  <c r="H285" i="2"/>
  <c r="E285" i="2" s="1"/>
  <c r="D283" i="4" l="1"/>
  <c r="C283" i="4"/>
  <c r="AB282" i="3"/>
  <c r="E283" i="4" s="1"/>
  <c r="D285" i="3"/>
  <c r="O282" i="3"/>
  <c r="U282" i="3"/>
  <c r="I282" i="3"/>
  <c r="D288" i="2"/>
  <c r="T287" i="2"/>
  <c r="K287" i="2"/>
  <c r="H286" i="2"/>
  <c r="A284" i="4"/>
  <c r="P283" i="3"/>
  <c r="M283" i="3"/>
  <c r="N283" i="3"/>
  <c r="C283" i="3"/>
  <c r="E283" i="3"/>
  <c r="F283" i="3" s="1"/>
  <c r="S283" i="3"/>
  <c r="Y283" i="3" s="1"/>
  <c r="Z283" i="3" s="1"/>
  <c r="AA283" i="3" s="1"/>
  <c r="G283" i="3"/>
  <c r="T283" i="3"/>
  <c r="H283" i="3"/>
  <c r="J283" i="3"/>
  <c r="V283" i="3"/>
  <c r="I283" i="4"/>
  <c r="M283" i="4" s="1"/>
  <c r="K283" i="4"/>
  <c r="N283" i="4" s="1"/>
  <c r="F283" i="4"/>
  <c r="J283" i="4"/>
  <c r="G283" i="4"/>
  <c r="L283" i="4" s="1"/>
  <c r="H283" i="4"/>
  <c r="L287" i="2"/>
  <c r="I286" i="2"/>
  <c r="F286" i="2" s="1"/>
  <c r="E286" i="2"/>
  <c r="C287" i="2"/>
  <c r="M287" i="2"/>
  <c r="J286" i="2"/>
  <c r="G286" i="2" s="1"/>
  <c r="D284" i="4" l="1"/>
  <c r="D289" i="2"/>
  <c r="L288" i="2"/>
  <c r="I287" i="2"/>
  <c r="F287" i="2" s="1"/>
  <c r="O283" i="3"/>
  <c r="U283" i="3"/>
  <c r="I283" i="3"/>
  <c r="A285" i="4"/>
  <c r="M284" i="3"/>
  <c r="N284" i="3"/>
  <c r="C284" i="3"/>
  <c r="P284" i="3"/>
  <c r="E284" i="3"/>
  <c r="F284" i="3" s="1"/>
  <c r="S284" i="3"/>
  <c r="Y284" i="3" s="1"/>
  <c r="Z284" i="3" s="1"/>
  <c r="AA284" i="3" s="1"/>
  <c r="G284" i="3"/>
  <c r="T284" i="3"/>
  <c r="V284" i="3"/>
  <c r="J284" i="3"/>
  <c r="H284" i="3"/>
  <c r="C284" i="4"/>
  <c r="AB283" i="3"/>
  <c r="E284" i="4" s="1"/>
  <c r="D286" i="3"/>
  <c r="M288" i="2"/>
  <c r="J287" i="2"/>
  <c r="G287" i="2" s="1"/>
  <c r="G284" i="4"/>
  <c r="L284" i="4" s="1"/>
  <c r="I284" i="4"/>
  <c r="M284" i="4" s="1"/>
  <c r="J284" i="4"/>
  <c r="K284" i="4"/>
  <c r="N284" i="4" s="1"/>
  <c r="F284" i="4"/>
  <c r="H284" i="4"/>
  <c r="C288" i="2"/>
  <c r="T288" i="2" s="1"/>
  <c r="E287" i="2"/>
  <c r="K288" i="2"/>
  <c r="H287" i="2"/>
  <c r="D285" i="4" l="1"/>
  <c r="L289" i="2"/>
  <c r="I288" i="2"/>
  <c r="O284" i="3"/>
  <c r="I284" i="3"/>
  <c r="U284" i="3"/>
  <c r="G288" i="2"/>
  <c r="J288" i="2"/>
  <c r="M289" i="2"/>
  <c r="A286" i="4"/>
  <c r="J285" i="3"/>
  <c r="V285" i="3"/>
  <c r="M285" i="3"/>
  <c r="N285" i="3"/>
  <c r="C285" i="3"/>
  <c r="P285" i="3"/>
  <c r="E285" i="3"/>
  <c r="F285" i="3" s="1"/>
  <c r="S285" i="3"/>
  <c r="Y285" i="3" s="1"/>
  <c r="Z285" i="3" s="1"/>
  <c r="AA285" i="3" s="1"/>
  <c r="H285" i="3"/>
  <c r="G285" i="3"/>
  <c r="T285" i="3"/>
  <c r="T289" i="2"/>
  <c r="D290" i="2"/>
  <c r="G285" i="4"/>
  <c r="L285" i="4" s="1"/>
  <c r="H285" i="4"/>
  <c r="I285" i="4"/>
  <c r="M285" i="4" s="1"/>
  <c r="J285" i="4"/>
  <c r="F285" i="4"/>
  <c r="K285" i="4"/>
  <c r="N285" i="4" s="1"/>
  <c r="K289" i="2"/>
  <c r="H288" i="2"/>
  <c r="E288" i="2" s="1"/>
  <c r="D287" i="3"/>
  <c r="C289" i="2"/>
  <c r="F288" i="2"/>
  <c r="C285" i="4"/>
  <c r="AB284" i="3"/>
  <c r="E285" i="4" s="1"/>
  <c r="D286" i="4" l="1"/>
  <c r="M290" i="2"/>
  <c r="J289" i="2"/>
  <c r="D288" i="3"/>
  <c r="O285" i="3"/>
  <c r="U285" i="3"/>
  <c r="I285" i="3"/>
  <c r="A287" i="4"/>
  <c r="G286" i="3"/>
  <c r="M286" i="3"/>
  <c r="N286" i="3"/>
  <c r="C286" i="3"/>
  <c r="P286" i="3"/>
  <c r="E286" i="3"/>
  <c r="F286" i="3" s="1"/>
  <c r="H286" i="3"/>
  <c r="T286" i="3"/>
  <c r="J286" i="3"/>
  <c r="V286" i="3"/>
  <c r="S286" i="3"/>
  <c r="Y286" i="3" s="1"/>
  <c r="Z286" i="3" s="1"/>
  <c r="AA286" i="3" s="1"/>
  <c r="F286" i="4"/>
  <c r="G286" i="4"/>
  <c r="L286" i="4" s="1"/>
  <c r="H286" i="4"/>
  <c r="J286" i="4"/>
  <c r="K286" i="4"/>
  <c r="N286" i="4" s="1"/>
  <c r="I286" i="4"/>
  <c r="M286" i="4" s="1"/>
  <c r="K290" i="2"/>
  <c r="H289" i="2"/>
  <c r="E289" i="2" s="1"/>
  <c r="L290" i="2"/>
  <c r="I289" i="2"/>
  <c r="F289" i="2" s="1"/>
  <c r="D291" i="2"/>
  <c r="T290" i="2"/>
  <c r="C286" i="4"/>
  <c r="AB285" i="3"/>
  <c r="E286" i="4" s="1"/>
  <c r="C290" i="2"/>
  <c r="G289" i="2"/>
  <c r="D287" i="4" l="1"/>
  <c r="D292" i="2"/>
  <c r="H287" i="4"/>
  <c r="I287" i="4"/>
  <c r="M287" i="4" s="1"/>
  <c r="G287" i="4"/>
  <c r="L287" i="4" s="1"/>
  <c r="K287" i="4"/>
  <c r="N287" i="4" s="1"/>
  <c r="C287" i="4"/>
  <c r="AB286" i="3"/>
  <c r="E287" i="4" s="1"/>
  <c r="L291" i="2"/>
  <c r="I290" i="2"/>
  <c r="K291" i="2"/>
  <c r="H290" i="2"/>
  <c r="E290" i="2" s="1"/>
  <c r="O286" i="3"/>
  <c r="I286" i="3"/>
  <c r="F287" i="4" s="1"/>
  <c r="U286" i="3"/>
  <c r="J287" i="4" s="1"/>
  <c r="D289" i="3"/>
  <c r="C291" i="2"/>
  <c r="F290" i="2"/>
  <c r="A288" i="4"/>
  <c r="H287" i="3"/>
  <c r="T287" i="3"/>
  <c r="J287" i="3"/>
  <c r="V287" i="3"/>
  <c r="M287" i="3"/>
  <c r="N287" i="3"/>
  <c r="C287" i="3"/>
  <c r="E287" i="3"/>
  <c r="F287" i="3" s="1"/>
  <c r="G287" i="3"/>
  <c r="S287" i="3"/>
  <c r="Y287" i="3" s="1"/>
  <c r="Z287" i="3" s="1"/>
  <c r="AA287" i="3" s="1"/>
  <c r="P287" i="3"/>
  <c r="M291" i="2"/>
  <c r="J290" i="2"/>
  <c r="G290" i="2" s="1"/>
  <c r="D288" i="4" l="1"/>
  <c r="I287" i="3"/>
  <c r="U287" i="3"/>
  <c r="O287" i="3"/>
  <c r="D290" i="3"/>
  <c r="C292" i="2"/>
  <c r="E291" i="2"/>
  <c r="G291" i="2"/>
  <c r="K292" i="2"/>
  <c r="H291" i="2"/>
  <c r="T291" i="2"/>
  <c r="A289" i="4"/>
  <c r="E288" i="3"/>
  <c r="F288" i="3" s="1"/>
  <c r="G288" i="3"/>
  <c r="S288" i="3"/>
  <c r="Y288" i="3" s="1"/>
  <c r="Z288" i="3" s="1"/>
  <c r="AA288" i="3" s="1"/>
  <c r="H288" i="3"/>
  <c r="T288" i="3"/>
  <c r="J288" i="3"/>
  <c r="V288" i="3"/>
  <c r="N288" i="3"/>
  <c r="P288" i="3"/>
  <c r="C288" i="3"/>
  <c r="M288" i="3"/>
  <c r="J291" i="2"/>
  <c r="M292" i="2"/>
  <c r="T292" i="2"/>
  <c r="D293" i="2"/>
  <c r="C288" i="4"/>
  <c r="AB287" i="3"/>
  <c r="E288" i="4" s="1"/>
  <c r="K288" i="4"/>
  <c r="N288" i="4" s="1"/>
  <c r="F288" i="4"/>
  <c r="G288" i="4"/>
  <c r="L288" i="4" s="1"/>
  <c r="H288" i="4"/>
  <c r="I288" i="4"/>
  <c r="M288" i="4" s="1"/>
  <c r="J288" i="4"/>
  <c r="L292" i="2"/>
  <c r="I291" i="2"/>
  <c r="F291" i="2" s="1"/>
  <c r="D289" i="4" l="1"/>
  <c r="K293" i="2"/>
  <c r="H292" i="2"/>
  <c r="E292" i="2"/>
  <c r="F292" i="2"/>
  <c r="C293" i="2"/>
  <c r="D291" i="3"/>
  <c r="D294" i="2"/>
  <c r="T293" i="2"/>
  <c r="L293" i="2"/>
  <c r="I292" i="2"/>
  <c r="M293" i="2"/>
  <c r="J292" i="2"/>
  <c r="G292" i="2" s="1"/>
  <c r="A290" i="4"/>
  <c r="N289" i="3"/>
  <c r="C289" i="3"/>
  <c r="P289" i="3"/>
  <c r="E289" i="3"/>
  <c r="F289" i="3" s="1"/>
  <c r="G289" i="3"/>
  <c r="S289" i="3"/>
  <c r="Y289" i="3" s="1"/>
  <c r="Z289" i="3" s="1"/>
  <c r="AA289" i="3" s="1"/>
  <c r="H289" i="3"/>
  <c r="T289" i="3"/>
  <c r="M289" i="3"/>
  <c r="V289" i="3"/>
  <c r="J289" i="3"/>
  <c r="I288" i="3"/>
  <c r="U288" i="3"/>
  <c r="O288" i="3"/>
  <c r="C289" i="4"/>
  <c r="AB288" i="3"/>
  <c r="E289" i="4" s="1"/>
  <c r="I289" i="4"/>
  <c r="M289" i="4" s="1"/>
  <c r="K289" i="4"/>
  <c r="N289" i="4" s="1"/>
  <c r="F289" i="4"/>
  <c r="G289" i="4"/>
  <c r="L289" i="4" s="1"/>
  <c r="H289" i="4"/>
  <c r="J289" i="4"/>
  <c r="D290" i="4" l="1"/>
  <c r="D295" i="2"/>
  <c r="A291" i="4"/>
  <c r="M290" i="3"/>
  <c r="N290" i="3"/>
  <c r="C290" i="3"/>
  <c r="P290" i="3"/>
  <c r="E290" i="3"/>
  <c r="F290" i="3" s="1"/>
  <c r="H290" i="3"/>
  <c r="T290" i="3"/>
  <c r="J290" i="3"/>
  <c r="V290" i="3"/>
  <c r="G290" i="3"/>
  <c r="S290" i="3"/>
  <c r="Y290" i="3" s="1"/>
  <c r="Z290" i="3" s="1"/>
  <c r="AA290" i="3" s="1"/>
  <c r="O289" i="3"/>
  <c r="I289" i="3"/>
  <c r="U289" i="3"/>
  <c r="D292" i="3"/>
  <c r="C294" i="2"/>
  <c r="G290" i="4"/>
  <c r="L290" i="4" s="1"/>
  <c r="I290" i="4"/>
  <c r="M290" i="4" s="1"/>
  <c r="J290" i="4"/>
  <c r="K290" i="4"/>
  <c r="N290" i="4" s="1"/>
  <c r="F290" i="4"/>
  <c r="H290" i="4"/>
  <c r="C290" i="4"/>
  <c r="AB289" i="3"/>
  <c r="E290" i="4" s="1"/>
  <c r="J293" i="2"/>
  <c r="G293" i="2" s="1"/>
  <c r="M294" i="2"/>
  <c r="K294" i="2"/>
  <c r="H293" i="2"/>
  <c r="E293" i="2" s="1"/>
  <c r="L294" i="2"/>
  <c r="I293" i="2"/>
  <c r="F293" i="2" s="1"/>
  <c r="D291" i="4" l="1"/>
  <c r="J294" i="2"/>
  <c r="M295" i="2"/>
  <c r="C295" i="2"/>
  <c r="A292" i="4"/>
  <c r="H291" i="3"/>
  <c r="T291" i="3"/>
  <c r="J291" i="3"/>
  <c r="V291" i="3"/>
  <c r="M291" i="3"/>
  <c r="N291" i="3"/>
  <c r="C291" i="3"/>
  <c r="E291" i="3"/>
  <c r="F291" i="3" s="1"/>
  <c r="G291" i="3"/>
  <c r="S291" i="3"/>
  <c r="Y291" i="3" s="1"/>
  <c r="Z291" i="3" s="1"/>
  <c r="AA291" i="3" s="1"/>
  <c r="P291" i="3"/>
  <c r="O290" i="3"/>
  <c r="H291" i="4" s="1"/>
  <c r="I290" i="3"/>
  <c r="F291" i="4" s="1"/>
  <c r="U290" i="3"/>
  <c r="J291" i="4" s="1"/>
  <c r="D293" i="3"/>
  <c r="C291" i="4"/>
  <c r="AB290" i="3"/>
  <c r="E291" i="4" s="1"/>
  <c r="G291" i="4"/>
  <c r="L291" i="4" s="1"/>
  <c r="I291" i="4"/>
  <c r="M291" i="4" s="1"/>
  <c r="K291" i="4"/>
  <c r="N291" i="4" s="1"/>
  <c r="G294" i="2"/>
  <c r="T294" i="2"/>
  <c r="D296" i="2"/>
  <c r="T295" i="2"/>
  <c r="L295" i="2"/>
  <c r="I294" i="2"/>
  <c r="F294" i="2" s="1"/>
  <c r="K295" i="2"/>
  <c r="H294" i="2"/>
  <c r="E294" i="2" s="1"/>
  <c r="D292" i="4" l="1"/>
  <c r="G292" i="4"/>
  <c r="L292" i="4" s="1"/>
  <c r="K292" i="4"/>
  <c r="N292" i="4" s="1"/>
  <c r="I292" i="4"/>
  <c r="M292" i="4" s="1"/>
  <c r="A293" i="4"/>
  <c r="E292" i="3"/>
  <c r="F292" i="3" s="1"/>
  <c r="G292" i="3"/>
  <c r="S292" i="3"/>
  <c r="Y292" i="3" s="1"/>
  <c r="Z292" i="3" s="1"/>
  <c r="AA292" i="3" s="1"/>
  <c r="H292" i="3"/>
  <c r="T292" i="3"/>
  <c r="J292" i="3"/>
  <c r="V292" i="3"/>
  <c r="N292" i="3"/>
  <c r="P292" i="3"/>
  <c r="M292" i="3"/>
  <c r="C292" i="3"/>
  <c r="F295" i="2"/>
  <c r="C296" i="2"/>
  <c r="I291" i="3"/>
  <c r="F292" i="4" s="1"/>
  <c r="U291" i="3"/>
  <c r="J292" i="4" s="1"/>
  <c r="O291" i="3"/>
  <c r="H292" i="4" s="1"/>
  <c r="M296" i="2"/>
  <c r="J295" i="2"/>
  <c r="G295" i="2" s="1"/>
  <c r="K296" i="2"/>
  <c r="H295" i="2"/>
  <c r="E295" i="2" s="1"/>
  <c r="L296" i="2"/>
  <c r="I295" i="2"/>
  <c r="D297" i="2"/>
  <c r="T296" i="2"/>
  <c r="D294" i="3"/>
  <c r="C292" i="4"/>
  <c r="AB291" i="3"/>
  <c r="E292" i="4" s="1"/>
  <c r="D293" i="4" l="1"/>
  <c r="D298" i="2"/>
  <c r="C297" i="2"/>
  <c r="A294" i="4"/>
  <c r="N293" i="3"/>
  <c r="C293" i="3"/>
  <c r="P293" i="3"/>
  <c r="E293" i="3"/>
  <c r="F293" i="3" s="1"/>
  <c r="G293" i="3"/>
  <c r="S293" i="3"/>
  <c r="Y293" i="3" s="1"/>
  <c r="Z293" i="3" s="1"/>
  <c r="AA293" i="3" s="1"/>
  <c r="H293" i="3"/>
  <c r="T293" i="3"/>
  <c r="M293" i="3"/>
  <c r="J293" i="3"/>
  <c r="V293" i="3"/>
  <c r="I292" i="3"/>
  <c r="F293" i="4" s="1"/>
  <c r="U292" i="3"/>
  <c r="O292" i="3"/>
  <c r="H293" i="4" s="1"/>
  <c r="I293" i="4"/>
  <c r="M293" i="4" s="1"/>
  <c r="J293" i="4"/>
  <c r="G293" i="4"/>
  <c r="L293" i="4" s="1"/>
  <c r="K293" i="4"/>
  <c r="N293" i="4" s="1"/>
  <c r="C293" i="4"/>
  <c r="AB292" i="3"/>
  <c r="E293" i="4" s="1"/>
  <c r="L297" i="2"/>
  <c r="I296" i="2"/>
  <c r="F296" i="2" s="1"/>
  <c r="J296" i="2"/>
  <c r="G296" i="2" s="1"/>
  <c r="M297" i="2"/>
  <c r="D295" i="3"/>
  <c r="K297" i="2"/>
  <c r="H296" i="2"/>
  <c r="E296" i="2" s="1"/>
  <c r="D294" i="4" l="1"/>
  <c r="M298" i="2"/>
  <c r="J297" i="2"/>
  <c r="L298" i="2"/>
  <c r="I297" i="2"/>
  <c r="K294" i="4"/>
  <c r="N294" i="4" s="1"/>
  <c r="G294" i="4"/>
  <c r="L294" i="4" s="1"/>
  <c r="I294" i="4"/>
  <c r="M294" i="4" s="1"/>
  <c r="C294" i="4"/>
  <c r="AB293" i="3"/>
  <c r="E294" i="4" s="1"/>
  <c r="C298" i="2"/>
  <c r="F297" i="2"/>
  <c r="G297" i="2"/>
  <c r="T297" i="2"/>
  <c r="D299" i="2"/>
  <c r="T298" i="2"/>
  <c r="K298" i="2"/>
  <c r="H297" i="2"/>
  <c r="E297" i="2" s="1"/>
  <c r="D296" i="3"/>
  <c r="A295" i="4"/>
  <c r="M294" i="3"/>
  <c r="N294" i="3"/>
  <c r="C294" i="3"/>
  <c r="P294" i="3"/>
  <c r="E294" i="3"/>
  <c r="F294" i="3" s="1"/>
  <c r="H294" i="3"/>
  <c r="T294" i="3"/>
  <c r="J294" i="3"/>
  <c r="V294" i="3"/>
  <c r="S294" i="3"/>
  <c r="Y294" i="3" s="1"/>
  <c r="Z294" i="3" s="1"/>
  <c r="AA294" i="3" s="1"/>
  <c r="G294" i="3"/>
  <c r="O293" i="3"/>
  <c r="H294" i="4" s="1"/>
  <c r="I293" i="3"/>
  <c r="F294" i="4" s="1"/>
  <c r="U293" i="3"/>
  <c r="J294" i="4" s="1"/>
  <c r="D295" i="4" l="1"/>
  <c r="K299" i="2"/>
  <c r="H298" i="2"/>
  <c r="O294" i="3"/>
  <c r="I294" i="3"/>
  <c r="U294" i="3"/>
  <c r="D300" i="2"/>
  <c r="L299" i="2"/>
  <c r="I298" i="2"/>
  <c r="F298" i="2" s="1"/>
  <c r="C295" i="4"/>
  <c r="AB294" i="3"/>
  <c r="E295" i="4" s="1"/>
  <c r="A296" i="4"/>
  <c r="H295" i="3"/>
  <c r="T295" i="3"/>
  <c r="J295" i="3"/>
  <c r="V295" i="3"/>
  <c r="M295" i="3"/>
  <c r="N295" i="3"/>
  <c r="C295" i="3"/>
  <c r="E295" i="3"/>
  <c r="F295" i="3" s="1"/>
  <c r="G295" i="3"/>
  <c r="S295" i="3"/>
  <c r="Y295" i="3" s="1"/>
  <c r="Z295" i="3" s="1"/>
  <c r="AA295" i="3" s="1"/>
  <c r="P295" i="3"/>
  <c r="I295" i="4"/>
  <c r="M295" i="4" s="1"/>
  <c r="K295" i="4"/>
  <c r="N295" i="4" s="1"/>
  <c r="F295" i="4"/>
  <c r="G295" i="4"/>
  <c r="L295" i="4" s="1"/>
  <c r="H295" i="4"/>
  <c r="J295" i="4"/>
  <c r="E298" i="2"/>
  <c r="C299" i="2"/>
  <c r="M299" i="2"/>
  <c r="J298" i="2"/>
  <c r="G298" i="2" s="1"/>
  <c r="D297" i="3"/>
  <c r="D296" i="4" l="1"/>
  <c r="A297" i="4"/>
  <c r="E296" i="3"/>
  <c r="F296" i="3" s="1"/>
  <c r="G296" i="3"/>
  <c r="S296" i="3"/>
  <c r="Y296" i="3" s="1"/>
  <c r="Z296" i="3" s="1"/>
  <c r="AA296" i="3" s="1"/>
  <c r="H296" i="3"/>
  <c r="T296" i="3"/>
  <c r="J296" i="3"/>
  <c r="V296" i="3"/>
  <c r="N296" i="3"/>
  <c r="P296" i="3"/>
  <c r="C296" i="3"/>
  <c r="M296" i="3"/>
  <c r="I295" i="3"/>
  <c r="U295" i="3"/>
  <c r="O295" i="3"/>
  <c r="L300" i="2"/>
  <c r="I299" i="2"/>
  <c r="C300" i="2"/>
  <c r="E299" i="2"/>
  <c r="F299" i="2"/>
  <c r="T299" i="2"/>
  <c r="D301" i="2"/>
  <c r="C296" i="4"/>
  <c r="AB295" i="3"/>
  <c r="E296" i="4" s="1"/>
  <c r="G299" i="2"/>
  <c r="D298" i="3"/>
  <c r="G296" i="4"/>
  <c r="L296" i="4" s="1"/>
  <c r="I296" i="4"/>
  <c r="M296" i="4" s="1"/>
  <c r="J296" i="4"/>
  <c r="K296" i="4"/>
  <c r="N296" i="4" s="1"/>
  <c r="H296" i="4"/>
  <c r="F296" i="4"/>
  <c r="K300" i="2"/>
  <c r="H299" i="2"/>
  <c r="J299" i="2"/>
  <c r="M300" i="2"/>
  <c r="D297" i="4" l="1"/>
  <c r="L301" i="2"/>
  <c r="I300" i="2"/>
  <c r="J300" i="2"/>
  <c r="G300" i="2" s="1"/>
  <c r="M301" i="2"/>
  <c r="A298" i="4"/>
  <c r="N297" i="3"/>
  <c r="C297" i="3"/>
  <c r="P297" i="3"/>
  <c r="E297" i="3"/>
  <c r="F297" i="3" s="1"/>
  <c r="G297" i="3"/>
  <c r="S297" i="3"/>
  <c r="Y297" i="3" s="1"/>
  <c r="Z297" i="3" s="1"/>
  <c r="AA297" i="3" s="1"/>
  <c r="H297" i="3"/>
  <c r="T297" i="3"/>
  <c r="M297" i="3"/>
  <c r="V297" i="3"/>
  <c r="J297" i="3"/>
  <c r="D299" i="3"/>
  <c r="I296" i="3"/>
  <c r="F297" i="4" s="1"/>
  <c r="U296" i="3"/>
  <c r="O296" i="3"/>
  <c r="H300" i="2"/>
  <c r="E300" i="2" s="1"/>
  <c r="K301" i="2"/>
  <c r="C297" i="4"/>
  <c r="AB296" i="3"/>
  <c r="E297" i="4" s="1"/>
  <c r="G297" i="4"/>
  <c r="L297" i="4" s="1"/>
  <c r="H297" i="4"/>
  <c r="I297" i="4"/>
  <c r="M297" i="4" s="1"/>
  <c r="J297" i="4"/>
  <c r="K297" i="4"/>
  <c r="N297" i="4" s="1"/>
  <c r="C301" i="2"/>
  <c r="T301" i="2" s="1"/>
  <c r="F300" i="2"/>
  <c r="T300" i="2"/>
  <c r="D302" i="2"/>
  <c r="D298" i="4" l="1"/>
  <c r="D300" i="3"/>
  <c r="G298" i="4"/>
  <c r="L298" i="4" s="1"/>
  <c r="J298" i="4"/>
  <c r="K298" i="4"/>
  <c r="N298" i="4" s="1"/>
  <c r="I298" i="4"/>
  <c r="M298" i="4" s="1"/>
  <c r="M302" i="2"/>
  <c r="J301" i="2"/>
  <c r="G301" i="2" s="1"/>
  <c r="C298" i="4"/>
  <c r="AB297" i="3"/>
  <c r="E298" i="4" s="1"/>
  <c r="D303" i="2"/>
  <c r="L302" i="2"/>
  <c r="I301" i="2"/>
  <c r="F301" i="2"/>
  <c r="C302" i="2"/>
  <c r="E301" i="2"/>
  <c r="O297" i="3"/>
  <c r="H298" i="4" s="1"/>
  <c r="I297" i="3"/>
  <c r="F298" i="4" s="1"/>
  <c r="U297" i="3"/>
  <c r="K302" i="2"/>
  <c r="H301" i="2"/>
  <c r="A299" i="4"/>
  <c r="M298" i="3"/>
  <c r="N298" i="3"/>
  <c r="C298" i="3"/>
  <c r="P298" i="3"/>
  <c r="E298" i="3"/>
  <c r="F298" i="3" s="1"/>
  <c r="H298" i="3"/>
  <c r="T298" i="3"/>
  <c r="J298" i="3"/>
  <c r="V298" i="3"/>
  <c r="G298" i="3"/>
  <c r="S298" i="3"/>
  <c r="Y298" i="3" s="1"/>
  <c r="Z298" i="3" s="1"/>
  <c r="AA298" i="3" s="1"/>
  <c r="D299" i="4" l="1"/>
  <c r="O298" i="3"/>
  <c r="I298" i="3"/>
  <c r="F299" i="4" s="1"/>
  <c r="U298" i="3"/>
  <c r="C303" i="2"/>
  <c r="A300" i="4"/>
  <c r="H299" i="3"/>
  <c r="T299" i="3"/>
  <c r="J299" i="3"/>
  <c r="V299" i="3"/>
  <c r="M299" i="3"/>
  <c r="N299" i="3"/>
  <c r="C299" i="3"/>
  <c r="E299" i="3"/>
  <c r="F299" i="3" s="1"/>
  <c r="G299" i="3"/>
  <c r="S299" i="3"/>
  <c r="Y299" i="3" s="1"/>
  <c r="Z299" i="3" s="1"/>
  <c r="AA299" i="3" s="1"/>
  <c r="P299" i="3"/>
  <c r="L303" i="2"/>
  <c r="I302" i="2"/>
  <c r="F302" i="2" s="1"/>
  <c r="H299" i="4"/>
  <c r="J299" i="4"/>
  <c r="G299" i="4"/>
  <c r="L299" i="4" s="1"/>
  <c r="I299" i="4"/>
  <c r="M299" i="4" s="1"/>
  <c r="K299" i="4"/>
  <c r="N299" i="4" s="1"/>
  <c r="T302" i="2"/>
  <c r="J302" i="2"/>
  <c r="M303" i="2"/>
  <c r="D304" i="2"/>
  <c r="T303" i="2"/>
  <c r="K303" i="2"/>
  <c r="H302" i="2"/>
  <c r="E302" i="2" s="1"/>
  <c r="G302" i="2"/>
  <c r="D301" i="3"/>
  <c r="C299" i="4"/>
  <c r="AB298" i="3"/>
  <c r="E299" i="4" s="1"/>
  <c r="D300" i="4" l="1"/>
  <c r="L304" i="2"/>
  <c r="I303" i="2"/>
  <c r="D305" i="2"/>
  <c r="K300" i="4"/>
  <c r="N300" i="4" s="1"/>
  <c r="F300" i="4"/>
  <c r="G300" i="4"/>
  <c r="L300" i="4" s="1"/>
  <c r="H300" i="4"/>
  <c r="I300" i="4"/>
  <c r="M300" i="4" s="1"/>
  <c r="M304" i="2"/>
  <c r="J303" i="2"/>
  <c r="G303" i="2" s="1"/>
  <c r="A301" i="4"/>
  <c r="E300" i="3"/>
  <c r="F300" i="3" s="1"/>
  <c r="G300" i="3"/>
  <c r="S300" i="3"/>
  <c r="Y300" i="3" s="1"/>
  <c r="Z300" i="3" s="1"/>
  <c r="AA300" i="3" s="1"/>
  <c r="H300" i="3"/>
  <c r="T300" i="3"/>
  <c r="J300" i="3"/>
  <c r="V300" i="3"/>
  <c r="N300" i="3"/>
  <c r="P300" i="3"/>
  <c r="M300" i="3"/>
  <c r="C300" i="3"/>
  <c r="C304" i="2"/>
  <c r="T304" i="2" s="1"/>
  <c r="F303" i="2"/>
  <c r="I299" i="3"/>
  <c r="U299" i="3"/>
  <c r="J300" i="4" s="1"/>
  <c r="O299" i="3"/>
  <c r="D302" i="3"/>
  <c r="H303" i="2"/>
  <c r="E303" i="2" s="1"/>
  <c r="K304" i="2"/>
  <c r="C300" i="4"/>
  <c r="AB299" i="3"/>
  <c r="E300" i="4" s="1"/>
  <c r="D301" i="4" l="1"/>
  <c r="D303" i="3"/>
  <c r="A302" i="4"/>
  <c r="N301" i="3"/>
  <c r="C301" i="3"/>
  <c r="P301" i="3"/>
  <c r="E301" i="3"/>
  <c r="F301" i="3" s="1"/>
  <c r="G301" i="3"/>
  <c r="S301" i="3"/>
  <c r="Y301" i="3" s="1"/>
  <c r="Z301" i="3" s="1"/>
  <c r="AA301" i="3" s="1"/>
  <c r="H301" i="3"/>
  <c r="T301" i="3"/>
  <c r="M301" i="3"/>
  <c r="J301" i="3"/>
  <c r="V301" i="3"/>
  <c r="D306" i="2"/>
  <c r="F304" i="2"/>
  <c r="C305" i="2"/>
  <c r="I300" i="3"/>
  <c r="F301" i="4" s="1"/>
  <c r="U300" i="3"/>
  <c r="O300" i="3"/>
  <c r="I301" i="4"/>
  <c r="M301" i="4" s="1"/>
  <c r="K301" i="4"/>
  <c r="N301" i="4" s="1"/>
  <c r="G301" i="4"/>
  <c r="L301" i="4" s="1"/>
  <c r="H301" i="4"/>
  <c r="J301" i="4"/>
  <c r="C301" i="4"/>
  <c r="AB300" i="3"/>
  <c r="E301" i="4" s="1"/>
  <c r="L305" i="2"/>
  <c r="I304" i="2"/>
  <c r="K305" i="2"/>
  <c r="H304" i="2"/>
  <c r="E304" i="2" s="1"/>
  <c r="M305" i="2"/>
  <c r="J304" i="2"/>
  <c r="G304" i="2" s="1"/>
  <c r="D302" i="4" l="1"/>
  <c r="A303" i="4"/>
  <c r="M302" i="3"/>
  <c r="N302" i="3"/>
  <c r="C302" i="3"/>
  <c r="P302" i="3"/>
  <c r="E302" i="3"/>
  <c r="F302" i="3" s="1"/>
  <c r="H302" i="3"/>
  <c r="T302" i="3"/>
  <c r="J302" i="3"/>
  <c r="V302" i="3"/>
  <c r="S302" i="3"/>
  <c r="Y302" i="3" s="1"/>
  <c r="Z302" i="3" s="1"/>
  <c r="AA302" i="3" s="1"/>
  <c r="G302" i="3"/>
  <c r="C306" i="2"/>
  <c r="O301" i="3"/>
  <c r="H302" i="4" s="1"/>
  <c r="I301" i="3"/>
  <c r="U301" i="3"/>
  <c r="T305" i="2"/>
  <c r="D307" i="2"/>
  <c r="T306" i="2"/>
  <c r="G302" i="4"/>
  <c r="L302" i="4" s="1"/>
  <c r="I302" i="4"/>
  <c r="M302" i="4" s="1"/>
  <c r="J302" i="4"/>
  <c r="K302" i="4"/>
  <c r="N302" i="4" s="1"/>
  <c r="F302" i="4"/>
  <c r="D304" i="3"/>
  <c r="M306" i="2"/>
  <c r="J305" i="2"/>
  <c r="G305" i="2" s="1"/>
  <c r="C302" i="4"/>
  <c r="AB301" i="3"/>
  <c r="E302" i="4" s="1"/>
  <c r="K306" i="2"/>
  <c r="H305" i="2"/>
  <c r="E305" i="2" s="1"/>
  <c r="L306" i="2"/>
  <c r="I305" i="2"/>
  <c r="F305" i="2" s="1"/>
  <c r="D303" i="4" l="1"/>
  <c r="D308" i="2"/>
  <c r="D305" i="3"/>
  <c r="A304" i="4"/>
  <c r="H303" i="3"/>
  <c r="T303" i="3"/>
  <c r="J303" i="3"/>
  <c r="V303" i="3"/>
  <c r="M303" i="3"/>
  <c r="N303" i="3"/>
  <c r="C303" i="3"/>
  <c r="E303" i="3"/>
  <c r="F303" i="3" s="1"/>
  <c r="G303" i="3"/>
  <c r="S303" i="3"/>
  <c r="Y303" i="3" s="1"/>
  <c r="Z303" i="3" s="1"/>
  <c r="AA303" i="3" s="1"/>
  <c r="P303" i="3"/>
  <c r="O302" i="3"/>
  <c r="I302" i="3"/>
  <c r="F303" i="4" s="1"/>
  <c r="U302" i="3"/>
  <c r="J303" i="4" s="1"/>
  <c r="M307" i="2"/>
  <c r="J306" i="2"/>
  <c r="C303" i="4"/>
  <c r="AB302" i="3"/>
  <c r="E303" i="4" s="1"/>
  <c r="L307" i="2"/>
  <c r="I306" i="2"/>
  <c r="G303" i="4"/>
  <c r="L303" i="4" s="1"/>
  <c r="H303" i="4"/>
  <c r="I303" i="4"/>
  <c r="M303" i="4" s="1"/>
  <c r="K303" i="4"/>
  <c r="N303" i="4" s="1"/>
  <c r="C307" i="2"/>
  <c r="E306" i="2"/>
  <c r="F306" i="2"/>
  <c r="H306" i="2"/>
  <c r="K307" i="2"/>
  <c r="G306" i="2"/>
  <c r="D304" i="4" l="1"/>
  <c r="C308" i="2"/>
  <c r="M308" i="2"/>
  <c r="J307" i="2"/>
  <c r="G304" i="4"/>
  <c r="L304" i="4" s="1"/>
  <c r="J304" i="4"/>
  <c r="I304" i="4"/>
  <c r="M304" i="4" s="1"/>
  <c r="K304" i="4"/>
  <c r="N304" i="4" s="1"/>
  <c r="D306" i="3"/>
  <c r="A305" i="4"/>
  <c r="E304" i="3"/>
  <c r="F304" i="3" s="1"/>
  <c r="G304" i="3"/>
  <c r="S304" i="3"/>
  <c r="Y304" i="3" s="1"/>
  <c r="Z304" i="3" s="1"/>
  <c r="AA304" i="3" s="1"/>
  <c r="H304" i="3"/>
  <c r="T304" i="3"/>
  <c r="J304" i="3"/>
  <c r="V304" i="3"/>
  <c r="N304" i="3"/>
  <c r="P304" i="3"/>
  <c r="C304" i="3"/>
  <c r="M304" i="3"/>
  <c r="T307" i="2"/>
  <c r="K308" i="2"/>
  <c r="H307" i="2"/>
  <c r="E307" i="2" s="1"/>
  <c r="L308" i="2"/>
  <c r="I307" i="2"/>
  <c r="F307" i="2" s="1"/>
  <c r="I303" i="3"/>
  <c r="F304" i="4" s="1"/>
  <c r="U303" i="3"/>
  <c r="O303" i="3"/>
  <c r="H304" i="4" s="1"/>
  <c r="D309" i="2"/>
  <c r="T308" i="2"/>
  <c r="G307" i="2"/>
  <c r="C304" i="4"/>
  <c r="AB303" i="3"/>
  <c r="E304" i="4" s="1"/>
  <c r="D305" i="4" l="1"/>
  <c r="K309" i="2"/>
  <c r="H308" i="2"/>
  <c r="A306" i="4"/>
  <c r="N305" i="3"/>
  <c r="C305" i="3"/>
  <c r="P305" i="3"/>
  <c r="E305" i="3"/>
  <c r="F305" i="3" s="1"/>
  <c r="G305" i="3"/>
  <c r="S305" i="3"/>
  <c r="Y305" i="3" s="1"/>
  <c r="Z305" i="3" s="1"/>
  <c r="AA305" i="3" s="1"/>
  <c r="H305" i="3"/>
  <c r="T305" i="3"/>
  <c r="M305" i="3"/>
  <c r="V305" i="3"/>
  <c r="J305" i="3"/>
  <c r="J308" i="2"/>
  <c r="G308" i="2" s="1"/>
  <c r="M309" i="2"/>
  <c r="I304" i="3"/>
  <c r="F305" i="4" s="1"/>
  <c r="U304" i="3"/>
  <c r="J305" i="4" s="1"/>
  <c r="O304" i="3"/>
  <c r="H305" i="4" s="1"/>
  <c r="C305" i="4"/>
  <c r="AB304" i="3"/>
  <c r="E305" i="4" s="1"/>
  <c r="I305" i="4"/>
  <c r="M305" i="4" s="1"/>
  <c r="K305" i="4"/>
  <c r="N305" i="4" s="1"/>
  <c r="G305" i="4"/>
  <c r="L305" i="4" s="1"/>
  <c r="L309" i="2"/>
  <c r="I308" i="2"/>
  <c r="F308" i="2" s="1"/>
  <c r="D307" i="3"/>
  <c r="C309" i="2"/>
  <c r="E308" i="2"/>
  <c r="D310" i="2"/>
  <c r="D306" i="4" l="1"/>
  <c r="O305" i="3"/>
  <c r="I305" i="3"/>
  <c r="F306" i="4" s="1"/>
  <c r="U305" i="3"/>
  <c r="I309" i="2"/>
  <c r="L310" i="2"/>
  <c r="J309" i="2"/>
  <c r="G309" i="2" s="1"/>
  <c r="M310" i="2"/>
  <c r="C310" i="2"/>
  <c r="E309" i="2"/>
  <c r="F309" i="2"/>
  <c r="K306" i="4"/>
  <c r="N306" i="4" s="1"/>
  <c r="H306" i="4"/>
  <c r="I306" i="4"/>
  <c r="M306" i="4" s="1"/>
  <c r="J306" i="4"/>
  <c r="G306" i="4"/>
  <c r="L306" i="4" s="1"/>
  <c r="A307" i="4"/>
  <c r="M306" i="3"/>
  <c r="C306" i="3"/>
  <c r="P306" i="3"/>
  <c r="E306" i="3"/>
  <c r="F306" i="3" s="1"/>
  <c r="H306" i="3"/>
  <c r="T306" i="3"/>
  <c r="J306" i="3"/>
  <c r="V306" i="3"/>
  <c r="G306" i="3"/>
  <c r="N306" i="3"/>
  <c r="S306" i="3"/>
  <c r="Y306" i="3" s="1"/>
  <c r="Z306" i="3" s="1"/>
  <c r="AA306" i="3" s="1"/>
  <c r="H309" i="2"/>
  <c r="K310" i="2"/>
  <c r="C306" i="4"/>
  <c r="AB305" i="3"/>
  <c r="E306" i="4" s="1"/>
  <c r="D308" i="3"/>
  <c r="T309" i="2"/>
  <c r="D311" i="2"/>
  <c r="D307" i="4" l="1"/>
  <c r="C307" i="4"/>
  <c r="AB306" i="3"/>
  <c r="E307" i="4" s="1"/>
  <c r="O306" i="3"/>
  <c r="U306" i="3"/>
  <c r="J307" i="4" s="1"/>
  <c r="I306" i="3"/>
  <c r="I307" i="4"/>
  <c r="M307" i="4" s="1"/>
  <c r="K307" i="4"/>
  <c r="N307" i="4" s="1"/>
  <c r="F307" i="4"/>
  <c r="G307" i="4"/>
  <c r="L307" i="4" s="1"/>
  <c r="H307" i="4"/>
  <c r="I310" i="2"/>
  <c r="L311" i="2"/>
  <c r="M311" i="2"/>
  <c r="J310" i="2"/>
  <c r="G310" i="2" s="1"/>
  <c r="T310" i="2"/>
  <c r="K311" i="2"/>
  <c r="H310" i="2"/>
  <c r="E310" i="2" s="1"/>
  <c r="F310" i="2"/>
  <c r="C311" i="2"/>
  <c r="D312" i="2"/>
  <c r="D309" i="3"/>
  <c r="A308" i="4"/>
  <c r="H307" i="3"/>
  <c r="T307" i="3"/>
  <c r="J307" i="3"/>
  <c r="V307" i="3"/>
  <c r="M307" i="3"/>
  <c r="N307" i="3"/>
  <c r="C307" i="3"/>
  <c r="E307" i="3"/>
  <c r="F307" i="3" s="1"/>
  <c r="G307" i="3"/>
  <c r="S307" i="3"/>
  <c r="Y307" i="3" s="1"/>
  <c r="Z307" i="3" s="1"/>
  <c r="AA307" i="3" s="1"/>
  <c r="P307" i="3"/>
  <c r="D308" i="4" l="1"/>
  <c r="C312" i="2"/>
  <c r="G308" i="4"/>
  <c r="L308" i="4" s="1"/>
  <c r="I308" i="4"/>
  <c r="M308" i="4" s="1"/>
  <c r="K308" i="4"/>
  <c r="N308" i="4" s="1"/>
  <c r="C308" i="4"/>
  <c r="AB307" i="3"/>
  <c r="E308" i="4" s="1"/>
  <c r="D310" i="3"/>
  <c r="J311" i="2"/>
  <c r="M312" i="2"/>
  <c r="L312" i="2"/>
  <c r="I311" i="2"/>
  <c r="F311" i="2" s="1"/>
  <c r="K312" i="2"/>
  <c r="H311" i="2"/>
  <c r="E311" i="2" s="1"/>
  <c r="A309" i="4"/>
  <c r="E308" i="3"/>
  <c r="F308" i="3" s="1"/>
  <c r="G308" i="3"/>
  <c r="S308" i="3"/>
  <c r="Y308" i="3" s="1"/>
  <c r="Z308" i="3" s="1"/>
  <c r="AA308" i="3" s="1"/>
  <c r="J308" i="3"/>
  <c r="V308" i="3"/>
  <c r="N308" i="3"/>
  <c r="P308" i="3"/>
  <c r="H308" i="3"/>
  <c r="M308" i="3"/>
  <c r="T308" i="3"/>
  <c r="C308" i="3"/>
  <c r="D313" i="2"/>
  <c r="T312" i="2"/>
  <c r="I307" i="3"/>
  <c r="F308" i="4" s="1"/>
  <c r="U307" i="3"/>
  <c r="J308" i="4" s="1"/>
  <c r="O307" i="3"/>
  <c r="H308" i="4" s="1"/>
  <c r="T311" i="2"/>
  <c r="G311" i="2"/>
  <c r="D309" i="4" l="1"/>
  <c r="I308" i="3"/>
  <c r="U308" i="3"/>
  <c r="O308" i="3"/>
  <c r="A310" i="4"/>
  <c r="N309" i="3"/>
  <c r="C309" i="3"/>
  <c r="P309" i="3"/>
  <c r="G309" i="3"/>
  <c r="S309" i="3"/>
  <c r="Y309" i="3" s="1"/>
  <c r="Z309" i="3" s="1"/>
  <c r="AA309" i="3" s="1"/>
  <c r="H309" i="3"/>
  <c r="T309" i="3"/>
  <c r="M309" i="3"/>
  <c r="V309" i="3"/>
  <c r="E309" i="3"/>
  <c r="F309" i="3" s="1"/>
  <c r="J309" i="3"/>
  <c r="G309" i="4"/>
  <c r="L309" i="4" s="1"/>
  <c r="H309" i="4"/>
  <c r="I309" i="4"/>
  <c r="M309" i="4" s="1"/>
  <c r="J309" i="4"/>
  <c r="K309" i="4"/>
  <c r="N309" i="4" s="1"/>
  <c r="F309" i="4"/>
  <c r="H312" i="2"/>
  <c r="K313" i="2"/>
  <c r="I312" i="2"/>
  <c r="F312" i="2" s="1"/>
  <c r="L313" i="2"/>
  <c r="T313" i="2"/>
  <c r="D314" i="2"/>
  <c r="J312" i="2"/>
  <c r="G312" i="2" s="1"/>
  <c r="M313" i="2"/>
  <c r="C309" i="4"/>
  <c r="AB308" i="3"/>
  <c r="E309" i="4" s="1"/>
  <c r="D311" i="3"/>
  <c r="C313" i="2"/>
  <c r="E312" i="2"/>
  <c r="D310" i="4" l="1"/>
  <c r="G310" i="4"/>
  <c r="L310" i="4" s="1"/>
  <c r="H310" i="4"/>
  <c r="K310" i="4"/>
  <c r="N310" i="4" s="1"/>
  <c r="I310" i="4"/>
  <c r="M310" i="4" s="1"/>
  <c r="T314" i="2"/>
  <c r="D315" i="2"/>
  <c r="O309" i="3"/>
  <c r="I309" i="3"/>
  <c r="F310" i="4" s="1"/>
  <c r="U309" i="3"/>
  <c r="J310" i="4" s="1"/>
  <c r="I313" i="2"/>
  <c r="L314" i="2"/>
  <c r="A311" i="4"/>
  <c r="M310" i="3"/>
  <c r="C310" i="3"/>
  <c r="P310" i="3"/>
  <c r="E310" i="3"/>
  <c r="F310" i="3" s="1"/>
  <c r="H310" i="3"/>
  <c r="T310" i="3"/>
  <c r="J310" i="3"/>
  <c r="V310" i="3"/>
  <c r="G310" i="3"/>
  <c r="N310" i="3"/>
  <c r="S310" i="3"/>
  <c r="Y310" i="3" s="1"/>
  <c r="Z310" i="3" s="1"/>
  <c r="AA310" i="3" s="1"/>
  <c r="F313" i="2"/>
  <c r="C314" i="2"/>
  <c r="K314" i="2"/>
  <c r="H313" i="2"/>
  <c r="E313" i="2" s="1"/>
  <c r="C310" i="4"/>
  <c r="AB309" i="3"/>
  <c r="E310" i="4" s="1"/>
  <c r="M314" i="2"/>
  <c r="J313" i="2"/>
  <c r="G313" i="2" s="1"/>
  <c r="D312" i="3"/>
  <c r="D311" i="4" l="1"/>
  <c r="D316" i="2"/>
  <c r="A312" i="4"/>
  <c r="H311" i="3"/>
  <c r="T311" i="3"/>
  <c r="J311" i="3"/>
  <c r="V311" i="3"/>
  <c r="M311" i="3"/>
  <c r="N311" i="3"/>
  <c r="C311" i="3"/>
  <c r="E311" i="3"/>
  <c r="F311" i="3" s="1"/>
  <c r="G311" i="3"/>
  <c r="S311" i="3"/>
  <c r="Y311" i="3" s="1"/>
  <c r="Z311" i="3" s="1"/>
  <c r="AA311" i="3" s="1"/>
  <c r="P311" i="3"/>
  <c r="C315" i="2"/>
  <c r="C311" i="4"/>
  <c r="AB310" i="3"/>
  <c r="E311" i="4" s="1"/>
  <c r="F311" i="4"/>
  <c r="I311" i="4"/>
  <c r="M311" i="4" s="1"/>
  <c r="K311" i="4"/>
  <c r="N311" i="4" s="1"/>
  <c r="G311" i="4"/>
  <c r="L311" i="4" s="1"/>
  <c r="L315" i="2"/>
  <c r="I314" i="2"/>
  <c r="F314" i="2" s="1"/>
  <c r="K315" i="2"/>
  <c r="H314" i="2"/>
  <c r="E314" i="2" s="1"/>
  <c r="D313" i="3"/>
  <c r="J314" i="2"/>
  <c r="G314" i="2" s="1"/>
  <c r="M315" i="2"/>
  <c r="O310" i="3"/>
  <c r="H311" i="4" s="1"/>
  <c r="U310" i="3"/>
  <c r="J311" i="4" s="1"/>
  <c r="I310" i="3"/>
  <c r="D312" i="4" l="1"/>
  <c r="H315" i="2"/>
  <c r="K316" i="2"/>
  <c r="C316" i="2"/>
  <c r="E315" i="2"/>
  <c r="I315" i="2"/>
  <c r="F315" i="2" s="1"/>
  <c r="L316" i="2"/>
  <c r="K312" i="4"/>
  <c r="N312" i="4" s="1"/>
  <c r="I312" i="4"/>
  <c r="M312" i="4" s="1"/>
  <c r="G312" i="4"/>
  <c r="L312" i="4" s="1"/>
  <c r="T315" i="2"/>
  <c r="D314" i="3"/>
  <c r="A313" i="4"/>
  <c r="E312" i="3"/>
  <c r="F312" i="3" s="1"/>
  <c r="G312" i="3"/>
  <c r="S312" i="3"/>
  <c r="Y312" i="3" s="1"/>
  <c r="Z312" i="3" s="1"/>
  <c r="AA312" i="3" s="1"/>
  <c r="J312" i="3"/>
  <c r="V312" i="3"/>
  <c r="N312" i="3"/>
  <c r="P312" i="3"/>
  <c r="H312" i="3"/>
  <c r="M312" i="3"/>
  <c r="T312" i="3"/>
  <c r="C312" i="3"/>
  <c r="D317" i="2"/>
  <c r="T316" i="2"/>
  <c r="I311" i="3"/>
  <c r="F312" i="4" s="1"/>
  <c r="U311" i="3"/>
  <c r="J312" i="4" s="1"/>
  <c r="O311" i="3"/>
  <c r="H312" i="4" s="1"/>
  <c r="C312" i="4"/>
  <c r="AB311" i="3"/>
  <c r="E312" i="4" s="1"/>
  <c r="J315" i="2"/>
  <c r="G315" i="2" s="1"/>
  <c r="M316" i="2"/>
  <c r="D313" i="4" l="1"/>
  <c r="I316" i="2"/>
  <c r="L317" i="2"/>
  <c r="I313" i="4"/>
  <c r="M313" i="4" s="1"/>
  <c r="K313" i="4"/>
  <c r="N313" i="4" s="1"/>
  <c r="G313" i="4"/>
  <c r="L313" i="4" s="1"/>
  <c r="F313" i="4"/>
  <c r="A314" i="4"/>
  <c r="N313" i="3"/>
  <c r="C313" i="3"/>
  <c r="P313" i="3"/>
  <c r="G313" i="3"/>
  <c r="S313" i="3"/>
  <c r="Y313" i="3" s="1"/>
  <c r="Z313" i="3" s="1"/>
  <c r="AA313" i="3" s="1"/>
  <c r="H313" i="3"/>
  <c r="T313" i="3"/>
  <c r="M313" i="3"/>
  <c r="V313" i="3"/>
  <c r="E313" i="3"/>
  <c r="F313" i="3" s="1"/>
  <c r="J313" i="3"/>
  <c r="D315" i="3"/>
  <c r="M317" i="2"/>
  <c r="J316" i="2"/>
  <c r="G316" i="2" s="1"/>
  <c r="C313" i="4"/>
  <c r="AB312" i="3"/>
  <c r="E313" i="4" s="1"/>
  <c r="I312" i="3"/>
  <c r="U312" i="3"/>
  <c r="J313" i="4" s="1"/>
  <c r="O312" i="3"/>
  <c r="H313" i="4" s="1"/>
  <c r="E316" i="2"/>
  <c r="C317" i="2"/>
  <c r="F316" i="2"/>
  <c r="D318" i="2"/>
  <c r="H316" i="2"/>
  <c r="K317" i="2"/>
  <c r="D314" i="4" l="1"/>
  <c r="G314" i="4"/>
  <c r="L314" i="4" s="1"/>
  <c r="I314" i="4"/>
  <c r="M314" i="4" s="1"/>
  <c r="K314" i="4"/>
  <c r="N314" i="4" s="1"/>
  <c r="F314" i="4"/>
  <c r="C318" i="2"/>
  <c r="O313" i="3"/>
  <c r="H314" i="4" s="1"/>
  <c r="I313" i="3"/>
  <c r="U313" i="3"/>
  <c r="J314" i="4" s="1"/>
  <c r="A315" i="4"/>
  <c r="M314" i="3"/>
  <c r="C314" i="3"/>
  <c r="P314" i="3"/>
  <c r="E314" i="3"/>
  <c r="F314" i="3" s="1"/>
  <c r="H314" i="3"/>
  <c r="T314" i="3"/>
  <c r="J314" i="3"/>
  <c r="V314" i="3"/>
  <c r="G314" i="3"/>
  <c r="N314" i="3"/>
  <c r="S314" i="3"/>
  <c r="Y314" i="3" s="1"/>
  <c r="Z314" i="3" s="1"/>
  <c r="AA314" i="3" s="1"/>
  <c r="C314" i="4"/>
  <c r="AB313" i="3"/>
  <c r="E314" i="4" s="1"/>
  <c r="L318" i="2"/>
  <c r="I317" i="2"/>
  <c r="F317" i="2" s="1"/>
  <c r="K318" i="2"/>
  <c r="H317" i="2"/>
  <c r="E317" i="2" s="1"/>
  <c r="T317" i="2"/>
  <c r="J317" i="2"/>
  <c r="G317" i="2" s="1"/>
  <c r="M318" i="2"/>
  <c r="T318" i="2"/>
  <c r="D319" i="2"/>
  <c r="D316" i="3"/>
  <c r="D315" i="4" l="1"/>
  <c r="C319" i="2"/>
  <c r="H318" i="2"/>
  <c r="E318" i="2" s="1"/>
  <c r="K319" i="2"/>
  <c r="A316" i="4"/>
  <c r="H315" i="3"/>
  <c r="T315" i="3"/>
  <c r="J315" i="3"/>
  <c r="V315" i="3"/>
  <c r="M315" i="3"/>
  <c r="N315" i="3"/>
  <c r="C315" i="3"/>
  <c r="E315" i="3"/>
  <c r="F315" i="3" s="1"/>
  <c r="G315" i="3"/>
  <c r="S315" i="3"/>
  <c r="Y315" i="3" s="1"/>
  <c r="Z315" i="3" s="1"/>
  <c r="AA315" i="3" s="1"/>
  <c r="P315" i="3"/>
  <c r="M319" i="2"/>
  <c r="J318" i="2"/>
  <c r="G318" i="2" s="1"/>
  <c r="O314" i="3"/>
  <c r="H315" i="4" s="1"/>
  <c r="U314" i="3"/>
  <c r="I314" i="3"/>
  <c r="F315" i="4" s="1"/>
  <c r="L319" i="2"/>
  <c r="I318" i="2"/>
  <c r="F318" i="2" s="1"/>
  <c r="C315" i="4"/>
  <c r="AB314" i="3"/>
  <c r="E315" i="4" s="1"/>
  <c r="G315" i="4"/>
  <c r="L315" i="4" s="1"/>
  <c r="I315" i="4"/>
  <c r="M315" i="4" s="1"/>
  <c r="J315" i="4"/>
  <c r="K315" i="4"/>
  <c r="N315" i="4" s="1"/>
  <c r="D317" i="3"/>
  <c r="T319" i="2"/>
  <c r="D320" i="2"/>
  <c r="D316" i="4" l="1"/>
  <c r="G316" i="4"/>
  <c r="L316" i="4" s="1"/>
  <c r="I316" i="4"/>
  <c r="M316" i="4" s="1"/>
  <c r="K316" i="4"/>
  <c r="N316" i="4" s="1"/>
  <c r="K320" i="2"/>
  <c r="H319" i="2"/>
  <c r="E319" i="2" s="1"/>
  <c r="A317" i="4"/>
  <c r="E316" i="3"/>
  <c r="F316" i="3" s="1"/>
  <c r="G316" i="3"/>
  <c r="S316" i="3"/>
  <c r="Y316" i="3" s="1"/>
  <c r="Z316" i="3" s="1"/>
  <c r="AA316" i="3" s="1"/>
  <c r="J316" i="3"/>
  <c r="V316" i="3"/>
  <c r="N316" i="3"/>
  <c r="P316" i="3"/>
  <c r="H316" i="3"/>
  <c r="M316" i="3"/>
  <c r="T316" i="3"/>
  <c r="C316" i="3"/>
  <c r="D321" i="2"/>
  <c r="I315" i="3"/>
  <c r="F316" i="4" s="1"/>
  <c r="U315" i="3"/>
  <c r="J316" i="4" s="1"/>
  <c r="O315" i="3"/>
  <c r="H316" i="4" s="1"/>
  <c r="F319" i="2"/>
  <c r="C320" i="2"/>
  <c r="I319" i="2"/>
  <c r="L320" i="2"/>
  <c r="M320" i="2"/>
  <c r="J319" i="2"/>
  <c r="G319" i="2" s="1"/>
  <c r="D318" i="3"/>
  <c r="C316" i="4"/>
  <c r="AB315" i="3"/>
  <c r="E316" i="4" s="1"/>
  <c r="D317" i="4" l="1"/>
  <c r="I316" i="3"/>
  <c r="U316" i="3"/>
  <c r="O316" i="3"/>
  <c r="I320" i="2"/>
  <c r="F320" i="2" s="1"/>
  <c r="L321" i="2"/>
  <c r="C317" i="4"/>
  <c r="AB316" i="3"/>
  <c r="E317" i="4" s="1"/>
  <c r="K321" i="2"/>
  <c r="H320" i="2"/>
  <c r="E320" i="2" s="1"/>
  <c r="C321" i="2"/>
  <c r="J320" i="2"/>
  <c r="G320" i="2" s="1"/>
  <c r="M321" i="2"/>
  <c r="F317" i="4"/>
  <c r="G317" i="4"/>
  <c r="L317" i="4" s="1"/>
  <c r="I317" i="4"/>
  <c r="M317" i="4" s="1"/>
  <c r="J317" i="4"/>
  <c r="K317" i="4"/>
  <c r="N317" i="4" s="1"/>
  <c r="H317" i="4"/>
  <c r="D319" i="3"/>
  <c r="T320" i="2"/>
  <c r="T321" i="2"/>
  <c r="D322" i="2"/>
  <c r="A318" i="4"/>
  <c r="N317" i="3"/>
  <c r="C317" i="3"/>
  <c r="P317" i="3"/>
  <c r="G317" i="3"/>
  <c r="S317" i="3"/>
  <c r="Y317" i="3" s="1"/>
  <c r="Z317" i="3" s="1"/>
  <c r="AA317" i="3" s="1"/>
  <c r="H317" i="3"/>
  <c r="T317" i="3"/>
  <c r="M317" i="3"/>
  <c r="V317" i="3"/>
  <c r="E317" i="3"/>
  <c r="F317" i="3" s="1"/>
  <c r="J317" i="3"/>
  <c r="D318" i="4" l="1"/>
  <c r="K322" i="2"/>
  <c r="H321" i="2"/>
  <c r="L322" i="2"/>
  <c r="I321" i="2"/>
  <c r="O317" i="3"/>
  <c r="I317" i="3"/>
  <c r="F318" i="4" s="1"/>
  <c r="U317" i="3"/>
  <c r="D323" i="2"/>
  <c r="T322" i="2"/>
  <c r="M322" i="2"/>
  <c r="J321" i="2"/>
  <c r="G321" i="2" s="1"/>
  <c r="K318" i="4"/>
  <c r="N318" i="4" s="1"/>
  <c r="G318" i="4"/>
  <c r="L318" i="4" s="1"/>
  <c r="H318" i="4"/>
  <c r="I318" i="4"/>
  <c r="M318" i="4" s="1"/>
  <c r="J318" i="4"/>
  <c r="A319" i="4"/>
  <c r="M318" i="3"/>
  <c r="C318" i="3"/>
  <c r="P318" i="3"/>
  <c r="E318" i="3"/>
  <c r="F318" i="3" s="1"/>
  <c r="H318" i="3"/>
  <c r="T318" i="3"/>
  <c r="J318" i="3"/>
  <c r="V318" i="3"/>
  <c r="S318" i="3"/>
  <c r="Y318" i="3" s="1"/>
  <c r="Z318" i="3" s="1"/>
  <c r="AA318" i="3" s="1"/>
  <c r="G318" i="3"/>
  <c r="N318" i="3"/>
  <c r="C318" i="4"/>
  <c r="AB317" i="3"/>
  <c r="E318" i="4" s="1"/>
  <c r="C322" i="2"/>
  <c r="E321" i="2"/>
  <c r="F321" i="2"/>
  <c r="D320" i="3"/>
  <c r="D319" i="4" l="1"/>
  <c r="C323" i="2"/>
  <c r="C319" i="4"/>
  <c r="AB318" i="3"/>
  <c r="E319" i="4" s="1"/>
  <c r="D324" i="2"/>
  <c r="T323" i="2"/>
  <c r="F319" i="4"/>
  <c r="G319" i="4"/>
  <c r="L319" i="4" s="1"/>
  <c r="K319" i="4"/>
  <c r="N319" i="4" s="1"/>
  <c r="I319" i="4"/>
  <c r="M319" i="4" s="1"/>
  <c r="I322" i="2"/>
  <c r="F322" i="2" s="1"/>
  <c r="L323" i="2"/>
  <c r="K323" i="2"/>
  <c r="H322" i="2"/>
  <c r="E322" i="2" s="1"/>
  <c r="A320" i="4"/>
  <c r="H319" i="3"/>
  <c r="T319" i="3"/>
  <c r="J319" i="3"/>
  <c r="V319" i="3"/>
  <c r="M319" i="3"/>
  <c r="N319" i="3"/>
  <c r="E319" i="3"/>
  <c r="F319" i="3" s="1"/>
  <c r="G319" i="3"/>
  <c r="S319" i="3"/>
  <c r="Y319" i="3" s="1"/>
  <c r="Z319" i="3" s="1"/>
  <c r="AA319" i="3" s="1"/>
  <c r="C319" i="3"/>
  <c r="P319" i="3"/>
  <c r="D321" i="3"/>
  <c r="O318" i="3"/>
  <c r="H319" i="4" s="1"/>
  <c r="U318" i="3"/>
  <c r="J319" i="4" s="1"/>
  <c r="I318" i="3"/>
  <c r="M323" i="2"/>
  <c r="J322" i="2"/>
  <c r="G322" i="2" s="1"/>
  <c r="D320" i="4" l="1"/>
  <c r="D322" i="3"/>
  <c r="I320" i="4"/>
  <c r="M320" i="4" s="1"/>
  <c r="G320" i="4"/>
  <c r="L320" i="4" s="1"/>
  <c r="K320" i="4"/>
  <c r="N320" i="4" s="1"/>
  <c r="T324" i="2"/>
  <c r="D325" i="2"/>
  <c r="I323" i="2"/>
  <c r="L324" i="2"/>
  <c r="K324" i="2"/>
  <c r="H323" i="2"/>
  <c r="A321" i="4"/>
  <c r="E320" i="3"/>
  <c r="F320" i="3" s="1"/>
  <c r="G320" i="3"/>
  <c r="S320" i="3"/>
  <c r="Y320" i="3" s="1"/>
  <c r="Z320" i="3" s="1"/>
  <c r="AA320" i="3" s="1"/>
  <c r="J320" i="3"/>
  <c r="V320" i="3"/>
  <c r="N320" i="3"/>
  <c r="P320" i="3"/>
  <c r="C320" i="3"/>
  <c r="H320" i="3"/>
  <c r="T320" i="3"/>
  <c r="M320" i="3"/>
  <c r="I319" i="3"/>
  <c r="F320" i="4" s="1"/>
  <c r="U319" i="3"/>
  <c r="J320" i="4" s="1"/>
  <c r="O319" i="3"/>
  <c r="H320" i="4" s="1"/>
  <c r="E323" i="2"/>
  <c r="F323" i="2"/>
  <c r="C324" i="2"/>
  <c r="M324" i="2"/>
  <c r="J323" i="2"/>
  <c r="G323" i="2" s="1"/>
  <c r="C320" i="4"/>
  <c r="AB319" i="3"/>
  <c r="E320" i="4" s="1"/>
  <c r="D321" i="4" l="1"/>
  <c r="C325" i="2"/>
  <c r="A322" i="4"/>
  <c r="N321" i="3"/>
  <c r="C321" i="3"/>
  <c r="P321" i="3"/>
  <c r="G321" i="3"/>
  <c r="S321" i="3"/>
  <c r="Y321" i="3" s="1"/>
  <c r="Z321" i="3" s="1"/>
  <c r="AA321" i="3" s="1"/>
  <c r="H321" i="3"/>
  <c r="T321" i="3"/>
  <c r="M321" i="3"/>
  <c r="E321" i="3"/>
  <c r="F321" i="3" s="1"/>
  <c r="J321" i="3"/>
  <c r="V321" i="3"/>
  <c r="I320" i="3"/>
  <c r="U320" i="3"/>
  <c r="O320" i="3"/>
  <c r="H321" i="4" s="1"/>
  <c r="C321" i="4"/>
  <c r="AB320" i="3"/>
  <c r="E321" i="4" s="1"/>
  <c r="K321" i="4"/>
  <c r="N321" i="4" s="1"/>
  <c r="F321" i="4"/>
  <c r="G321" i="4"/>
  <c r="L321" i="4" s="1"/>
  <c r="I321" i="4"/>
  <c r="M321" i="4" s="1"/>
  <c r="J321" i="4"/>
  <c r="K325" i="2"/>
  <c r="H324" i="2"/>
  <c r="E324" i="2" s="1"/>
  <c r="D323" i="3"/>
  <c r="L325" i="2"/>
  <c r="I324" i="2"/>
  <c r="F324" i="2" s="1"/>
  <c r="M325" i="2"/>
  <c r="J324" i="2"/>
  <c r="G324" i="2" s="1"/>
  <c r="D326" i="2"/>
  <c r="T325" i="2"/>
  <c r="D322" i="4" l="1"/>
  <c r="I325" i="2"/>
  <c r="L326" i="2"/>
  <c r="D324" i="3"/>
  <c r="H325" i="2"/>
  <c r="K326" i="2"/>
  <c r="I322" i="4"/>
  <c r="M322" i="4" s="1"/>
  <c r="K322" i="4"/>
  <c r="N322" i="4" s="1"/>
  <c r="F322" i="4"/>
  <c r="J322" i="4"/>
  <c r="G322" i="4"/>
  <c r="L322" i="4" s="1"/>
  <c r="H322" i="4"/>
  <c r="O321" i="3"/>
  <c r="I321" i="3"/>
  <c r="U321" i="3"/>
  <c r="D327" i="2"/>
  <c r="A323" i="4"/>
  <c r="M322" i="3"/>
  <c r="C322" i="3"/>
  <c r="P322" i="3"/>
  <c r="E322" i="3"/>
  <c r="F322" i="3" s="1"/>
  <c r="H322" i="3"/>
  <c r="T322" i="3"/>
  <c r="J322" i="3"/>
  <c r="V322" i="3"/>
  <c r="G322" i="3"/>
  <c r="N322" i="3"/>
  <c r="S322" i="3"/>
  <c r="Y322" i="3" s="1"/>
  <c r="Z322" i="3" s="1"/>
  <c r="AA322" i="3" s="1"/>
  <c r="C322" i="4"/>
  <c r="AB321" i="3"/>
  <c r="E322" i="4" s="1"/>
  <c r="C326" i="2"/>
  <c r="F325" i="2"/>
  <c r="E325" i="2"/>
  <c r="J325" i="2"/>
  <c r="G325" i="2" s="1"/>
  <c r="M326" i="2"/>
  <c r="D323" i="4" l="1"/>
  <c r="C323" i="4"/>
  <c r="AB322" i="3"/>
  <c r="E323" i="4" s="1"/>
  <c r="G323" i="4"/>
  <c r="L323" i="4" s="1"/>
  <c r="I323" i="4"/>
  <c r="M323" i="4" s="1"/>
  <c r="K323" i="4"/>
  <c r="N323" i="4" s="1"/>
  <c r="D328" i="2"/>
  <c r="K327" i="2"/>
  <c r="H326" i="2"/>
  <c r="E326" i="2" s="1"/>
  <c r="F326" i="2"/>
  <c r="C327" i="2"/>
  <c r="T326" i="2"/>
  <c r="G326" i="2"/>
  <c r="D325" i="3"/>
  <c r="M327" i="2"/>
  <c r="J326" i="2"/>
  <c r="L327" i="2"/>
  <c r="I326" i="2"/>
  <c r="A324" i="4"/>
  <c r="H323" i="3"/>
  <c r="T323" i="3"/>
  <c r="J323" i="3"/>
  <c r="V323" i="3"/>
  <c r="M323" i="3"/>
  <c r="N323" i="3"/>
  <c r="E323" i="3"/>
  <c r="F323" i="3" s="1"/>
  <c r="G323" i="3"/>
  <c r="S323" i="3"/>
  <c r="Y323" i="3" s="1"/>
  <c r="Z323" i="3" s="1"/>
  <c r="AA323" i="3" s="1"/>
  <c r="C323" i="3"/>
  <c r="P323" i="3"/>
  <c r="O322" i="3"/>
  <c r="H323" i="4" s="1"/>
  <c r="I322" i="3"/>
  <c r="F323" i="4" s="1"/>
  <c r="U322" i="3"/>
  <c r="J323" i="4" s="1"/>
  <c r="D324" i="4" l="1"/>
  <c r="D329" i="2"/>
  <c r="A325" i="4"/>
  <c r="E324" i="3"/>
  <c r="F324" i="3" s="1"/>
  <c r="G324" i="3"/>
  <c r="S324" i="3"/>
  <c r="Y324" i="3" s="1"/>
  <c r="Z324" i="3" s="1"/>
  <c r="AA324" i="3" s="1"/>
  <c r="J324" i="3"/>
  <c r="V324" i="3"/>
  <c r="N324" i="3"/>
  <c r="P324" i="3"/>
  <c r="C324" i="3"/>
  <c r="H324" i="3"/>
  <c r="M324" i="3"/>
  <c r="T324" i="3"/>
  <c r="M328" i="2"/>
  <c r="J327" i="2"/>
  <c r="G327" i="2" s="1"/>
  <c r="I323" i="3"/>
  <c r="F324" i="4" s="1"/>
  <c r="U323" i="3"/>
  <c r="O323" i="3"/>
  <c r="H324" i="4" s="1"/>
  <c r="D326" i="3"/>
  <c r="C328" i="2"/>
  <c r="T328" i="2" s="1"/>
  <c r="C324" i="4"/>
  <c r="AB323" i="3"/>
  <c r="E324" i="4" s="1"/>
  <c r="G324" i="4"/>
  <c r="L324" i="4" s="1"/>
  <c r="I324" i="4"/>
  <c r="M324" i="4" s="1"/>
  <c r="J324" i="4"/>
  <c r="K324" i="4"/>
  <c r="N324" i="4" s="1"/>
  <c r="K328" i="2"/>
  <c r="H327" i="2"/>
  <c r="E327" i="2" s="1"/>
  <c r="L328" i="2"/>
  <c r="I327" i="2"/>
  <c r="F327" i="2" s="1"/>
  <c r="T327" i="2"/>
  <c r="D325" i="4" l="1"/>
  <c r="A326" i="4"/>
  <c r="N325" i="3"/>
  <c r="C325" i="3"/>
  <c r="P325" i="3"/>
  <c r="G325" i="3"/>
  <c r="S325" i="3"/>
  <c r="Y325" i="3" s="1"/>
  <c r="Z325" i="3" s="1"/>
  <c r="AA325" i="3" s="1"/>
  <c r="H325" i="3"/>
  <c r="T325" i="3"/>
  <c r="M325" i="3"/>
  <c r="E325" i="3"/>
  <c r="F325" i="3" s="1"/>
  <c r="J325" i="3"/>
  <c r="V325" i="3"/>
  <c r="J328" i="2"/>
  <c r="G328" i="2" s="1"/>
  <c r="M329" i="2"/>
  <c r="I324" i="3"/>
  <c r="U324" i="3"/>
  <c r="J325" i="4" s="1"/>
  <c r="O324" i="3"/>
  <c r="F325" i="4"/>
  <c r="G325" i="4"/>
  <c r="L325" i="4" s="1"/>
  <c r="H325" i="4"/>
  <c r="K325" i="4"/>
  <c r="N325" i="4" s="1"/>
  <c r="I325" i="4"/>
  <c r="M325" i="4" s="1"/>
  <c r="C325" i="4"/>
  <c r="AB324" i="3"/>
  <c r="E325" i="4" s="1"/>
  <c r="L329" i="2"/>
  <c r="I328" i="2"/>
  <c r="D330" i="2"/>
  <c r="C329" i="2"/>
  <c r="T329" i="2" s="1"/>
  <c r="E328" i="2"/>
  <c r="F328" i="2"/>
  <c r="K329" i="2"/>
  <c r="H328" i="2"/>
  <c r="D327" i="3"/>
  <c r="D326" i="4" l="1"/>
  <c r="C326" i="4"/>
  <c r="AB325" i="3"/>
  <c r="E326" i="4" s="1"/>
  <c r="L330" i="2"/>
  <c r="I329" i="2"/>
  <c r="O325" i="3"/>
  <c r="I325" i="3"/>
  <c r="U325" i="3"/>
  <c r="J326" i="4" s="1"/>
  <c r="D331" i="2"/>
  <c r="T330" i="2"/>
  <c r="D328" i="3"/>
  <c r="M330" i="2"/>
  <c r="J329" i="2"/>
  <c r="G329" i="2" s="1"/>
  <c r="F326" i="4"/>
  <c r="H326" i="4"/>
  <c r="I326" i="4"/>
  <c r="M326" i="4" s="1"/>
  <c r="G326" i="4"/>
  <c r="L326" i="4" s="1"/>
  <c r="K326" i="4"/>
  <c r="N326" i="4" s="1"/>
  <c r="E329" i="2"/>
  <c r="F329" i="2"/>
  <c r="C330" i="2"/>
  <c r="K330" i="2"/>
  <c r="H329" i="2"/>
  <c r="A327" i="4"/>
  <c r="M326" i="3"/>
  <c r="C326" i="3"/>
  <c r="P326" i="3"/>
  <c r="E326" i="3"/>
  <c r="F326" i="3" s="1"/>
  <c r="H326" i="3"/>
  <c r="T326" i="3"/>
  <c r="J326" i="3"/>
  <c r="V326" i="3"/>
  <c r="G326" i="3"/>
  <c r="N326" i="3"/>
  <c r="S326" i="3"/>
  <c r="Y326" i="3" s="1"/>
  <c r="Z326" i="3" s="1"/>
  <c r="AA326" i="3" s="1"/>
  <c r="D327" i="4" l="1"/>
  <c r="D332" i="2"/>
  <c r="A328" i="4"/>
  <c r="H327" i="3"/>
  <c r="T327" i="3"/>
  <c r="J327" i="3"/>
  <c r="V327" i="3"/>
  <c r="M327" i="3"/>
  <c r="N327" i="3"/>
  <c r="E327" i="3"/>
  <c r="F327" i="3" s="1"/>
  <c r="G327" i="3"/>
  <c r="S327" i="3"/>
  <c r="Y327" i="3" s="1"/>
  <c r="Z327" i="3" s="1"/>
  <c r="AA327" i="3" s="1"/>
  <c r="P327" i="3"/>
  <c r="C327" i="3"/>
  <c r="O326" i="3"/>
  <c r="I326" i="3"/>
  <c r="F327" i="4" s="1"/>
  <c r="U326" i="3"/>
  <c r="C327" i="4"/>
  <c r="AB326" i="3"/>
  <c r="E327" i="4" s="1"/>
  <c r="K327" i="4"/>
  <c r="N327" i="4" s="1"/>
  <c r="G327" i="4"/>
  <c r="L327" i="4" s="1"/>
  <c r="H327" i="4"/>
  <c r="I327" i="4"/>
  <c r="M327" i="4" s="1"/>
  <c r="J327" i="4"/>
  <c r="L331" i="2"/>
  <c r="I330" i="2"/>
  <c r="F330" i="2" s="1"/>
  <c r="K331" i="2"/>
  <c r="H330" i="2"/>
  <c r="E330" i="2" s="1"/>
  <c r="M331" i="2"/>
  <c r="J330" i="2"/>
  <c r="G330" i="2" s="1"/>
  <c r="C331" i="2"/>
  <c r="D329" i="3"/>
  <c r="D328" i="4" l="1"/>
  <c r="C328" i="4"/>
  <c r="AB327" i="3"/>
  <c r="E328" i="4" s="1"/>
  <c r="C332" i="2"/>
  <c r="F331" i="2"/>
  <c r="J331" i="2"/>
  <c r="M332" i="2"/>
  <c r="K332" i="2"/>
  <c r="H331" i="2"/>
  <c r="E331" i="2" s="1"/>
  <c r="L332" i="2"/>
  <c r="I331" i="2"/>
  <c r="I328" i="4"/>
  <c r="M328" i="4" s="1"/>
  <c r="K328" i="4"/>
  <c r="N328" i="4" s="1"/>
  <c r="G328" i="4"/>
  <c r="L328" i="4" s="1"/>
  <c r="G331" i="2"/>
  <c r="T331" i="2"/>
  <c r="T332" i="2"/>
  <c r="D333" i="2"/>
  <c r="D330" i="3"/>
  <c r="A329" i="4"/>
  <c r="E328" i="3"/>
  <c r="F328" i="3" s="1"/>
  <c r="G328" i="3"/>
  <c r="S328" i="3"/>
  <c r="Y328" i="3" s="1"/>
  <c r="Z328" i="3" s="1"/>
  <c r="AA328" i="3" s="1"/>
  <c r="J328" i="3"/>
  <c r="V328" i="3"/>
  <c r="N328" i="3"/>
  <c r="P328" i="3"/>
  <c r="M328" i="3"/>
  <c r="T328" i="3"/>
  <c r="C328" i="3"/>
  <c r="H328" i="3"/>
  <c r="I327" i="3"/>
  <c r="F328" i="4" s="1"/>
  <c r="U327" i="3"/>
  <c r="J328" i="4" s="1"/>
  <c r="O327" i="3"/>
  <c r="H328" i="4" s="1"/>
  <c r="D329" i="4" l="1"/>
  <c r="C329" i="4"/>
  <c r="AB328" i="3"/>
  <c r="E329" i="4" s="1"/>
  <c r="D334" i="2"/>
  <c r="L333" i="2"/>
  <c r="I332" i="2"/>
  <c r="F332" i="2" s="1"/>
  <c r="K333" i="2"/>
  <c r="H332" i="2"/>
  <c r="M333" i="2"/>
  <c r="J332" i="2"/>
  <c r="G332" i="2" s="1"/>
  <c r="A330" i="4"/>
  <c r="N329" i="3"/>
  <c r="C329" i="3"/>
  <c r="P329" i="3"/>
  <c r="G329" i="3"/>
  <c r="S329" i="3"/>
  <c r="Y329" i="3" s="1"/>
  <c r="Z329" i="3" s="1"/>
  <c r="AA329" i="3" s="1"/>
  <c r="H329" i="3"/>
  <c r="T329" i="3"/>
  <c r="M329" i="3"/>
  <c r="V329" i="3"/>
  <c r="E329" i="3"/>
  <c r="F329" i="3" s="1"/>
  <c r="J329" i="3"/>
  <c r="E332" i="2"/>
  <c r="C333" i="2"/>
  <c r="I328" i="3"/>
  <c r="U328" i="3"/>
  <c r="O328" i="3"/>
  <c r="H329" i="4" s="1"/>
  <c r="G329" i="4"/>
  <c r="L329" i="4" s="1"/>
  <c r="I329" i="4"/>
  <c r="M329" i="4" s="1"/>
  <c r="J329" i="4"/>
  <c r="K329" i="4"/>
  <c r="N329" i="4" s="1"/>
  <c r="F329" i="4"/>
  <c r="D331" i="3"/>
  <c r="D330" i="4" l="1"/>
  <c r="C330" i="4"/>
  <c r="AB329" i="3"/>
  <c r="E330" i="4" s="1"/>
  <c r="K334" i="2"/>
  <c r="H333" i="2"/>
  <c r="L334" i="2"/>
  <c r="I333" i="2"/>
  <c r="F333" i="2" s="1"/>
  <c r="T333" i="2"/>
  <c r="M334" i="2"/>
  <c r="J333" i="2"/>
  <c r="G333" i="2" s="1"/>
  <c r="D335" i="2"/>
  <c r="O329" i="3"/>
  <c r="U329" i="3"/>
  <c r="I329" i="3"/>
  <c r="C334" i="2"/>
  <c r="E333" i="2"/>
  <c r="D332" i="3"/>
  <c r="A331" i="4"/>
  <c r="M330" i="3"/>
  <c r="C330" i="3"/>
  <c r="P330" i="3"/>
  <c r="E330" i="3"/>
  <c r="F330" i="3" s="1"/>
  <c r="H330" i="3"/>
  <c r="T330" i="3"/>
  <c r="N330" i="3"/>
  <c r="S330" i="3"/>
  <c r="Y330" i="3" s="1"/>
  <c r="Z330" i="3" s="1"/>
  <c r="AA330" i="3" s="1"/>
  <c r="V330" i="3"/>
  <c r="G330" i="3"/>
  <c r="J330" i="3"/>
  <c r="G330" i="4"/>
  <c r="L330" i="4" s="1"/>
  <c r="H330" i="4"/>
  <c r="I330" i="4"/>
  <c r="M330" i="4" s="1"/>
  <c r="J330" i="4"/>
  <c r="F330" i="4"/>
  <c r="K330" i="4"/>
  <c r="N330" i="4" s="1"/>
  <c r="D331" i="4" l="1"/>
  <c r="G331" i="4"/>
  <c r="L331" i="4" s="1"/>
  <c r="K331" i="4"/>
  <c r="N331" i="4" s="1"/>
  <c r="I331" i="4"/>
  <c r="M331" i="4" s="1"/>
  <c r="D333" i="3"/>
  <c r="J334" i="2"/>
  <c r="M335" i="2"/>
  <c r="L335" i="2"/>
  <c r="I334" i="2"/>
  <c r="C335" i="2"/>
  <c r="F334" i="2"/>
  <c r="K335" i="2"/>
  <c r="H334" i="2"/>
  <c r="E334" i="2" s="1"/>
  <c r="A332" i="4"/>
  <c r="H331" i="3"/>
  <c r="T331" i="3"/>
  <c r="J331" i="3"/>
  <c r="V331" i="3"/>
  <c r="M331" i="3"/>
  <c r="N331" i="3"/>
  <c r="E331" i="3"/>
  <c r="F331" i="3" s="1"/>
  <c r="G331" i="3"/>
  <c r="P331" i="3"/>
  <c r="S331" i="3"/>
  <c r="Y331" i="3" s="1"/>
  <c r="Z331" i="3" s="1"/>
  <c r="AA331" i="3" s="1"/>
  <c r="C331" i="3"/>
  <c r="O330" i="3"/>
  <c r="H331" i="4" s="1"/>
  <c r="U330" i="3"/>
  <c r="J331" i="4" s="1"/>
  <c r="I330" i="3"/>
  <c r="F331" i="4" s="1"/>
  <c r="G334" i="2"/>
  <c r="T334" i="2"/>
  <c r="C331" i="4"/>
  <c r="AB330" i="3"/>
  <c r="E331" i="4" s="1"/>
  <c r="T335" i="2"/>
  <c r="D336" i="2"/>
  <c r="D332" i="4" l="1"/>
  <c r="M336" i="2"/>
  <c r="J335" i="2"/>
  <c r="G335" i="2" s="1"/>
  <c r="D334" i="3"/>
  <c r="I332" i="4"/>
  <c r="M332" i="4" s="1"/>
  <c r="J332" i="4"/>
  <c r="G332" i="4"/>
  <c r="L332" i="4" s="1"/>
  <c r="K332" i="4"/>
  <c r="N332" i="4" s="1"/>
  <c r="K336" i="2"/>
  <c r="H335" i="2"/>
  <c r="A333" i="4"/>
  <c r="E332" i="3"/>
  <c r="F332" i="3" s="1"/>
  <c r="G332" i="3"/>
  <c r="S332" i="3"/>
  <c r="Y332" i="3" s="1"/>
  <c r="Z332" i="3" s="1"/>
  <c r="AA332" i="3" s="1"/>
  <c r="J332" i="3"/>
  <c r="V332" i="3"/>
  <c r="N332" i="3"/>
  <c r="H332" i="3"/>
  <c r="M332" i="3"/>
  <c r="P332" i="3"/>
  <c r="C332" i="3"/>
  <c r="T332" i="3"/>
  <c r="D337" i="2"/>
  <c r="I331" i="3"/>
  <c r="F332" i="4" s="1"/>
  <c r="U331" i="3"/>
  <c r="O331" i="3"/>
  <c r="H332" i="4" s="1"/>
  <c r="E335" i="2"/>
  <c r="F335" i="2"/>
  <c r="C336" i="2"/>
  <c r="T336" i="2" s="1"/>
  <c r="C332" i="4"/>
  <c r="AB331" i="3"/>
  <c r="E332" i="4" s="1"/>
  <c r="L336" i="2"/>
  <c r="I335" i="2"/>
  <c r="D333" i="4" l="1"/>
  <c r="C333" i="4"/>
  <c r="AB332" i="3"/>
  <c r="E333" i="4" s="1"/>
  <c r="D335" i="3"/>
  <c r="D338" i="2"/>
  <c r="A334" i="4"/>
  <c r="N333" i="3"/>
  <c r="C333" i="3"/>
  <c r="P333" i="3"/>
  <c r="G333" i="3"/>
  <c r="S333" i="3"/>
  <c r="Y333" i="3" s="1"/>
  <c r="Z333" i="3" s="1"/>
  <c r="AA333" i="3" s="1"/>
  <c r="H333" i="3"/>
  <c r="T333" i="3"/>
  <c r="E333" i="3"/>
  <c r="F333" i="3" s="1"/>
  <c r="J333" i="3"/>
  <c r="M333" i="3"/>
  <c r="V333" i="3"/>
  <c r="C337" i="2"/>
  <c r="G336" i="2"/>
  <c r="I332" i="3"/>
  <c r="U332" i="3"/>
  <c r="O332" i="3"/>
  <c r="H333" i="4" s="1"/>
  <c r="K333" i="4"/>
  <c r="N333" i="4" s="1"/>
  <c r="F333" i="4"/>
  <c r="G333" i="4"/>
  <c r="L333" i="4" s="1"/>
  <c r="I333" i="4"/>
  <c r="M333" i="4" s="1"/>
  <c r="J333" i="4"/>
  <c r="M337" i="2"/>
  <c r="J336" i="2"/>
  <c r="L337" i="2"/>
  <c r="I336" i="2"/>
  <c r="F336" i="2" s="1"/>
  <c r="K337" i="2"/>
  <c r="H336" i="2"/>
  <c r="E336" i="2" s="1"/>
  <c r="D334" i="4" l="1"/>
  <c r="J337" i="2"/>
  <c r="M338" i="2"/>
  <c r="C338" i="2"/>
  <c r="I334" i="4"/>
  <c r="M334" i="4" s="1"/>
  <c r="K334" i="4"/>
  <c r="N334" i="4" s="1"/>
  <c r="G334" i="4"/>
  <c r="L334" i="4" s="1"/>
  <c r="C334" i="4"/>
  <c r="AB333" i="3"/>
  <c r="E334" i="4" s="1"/>
  <c r="G337" i="2"/>
  <c r="T337" i="2"/>
  <c r="A335" i="4"/>
  <c r="M334" i="3"/>
  <c r="C334" i="3"/>
  <c r="H334" i="3"/>
  <c r="T334" i="3"/>
  <c r="S334" i="3"/>
  <c r="Y334" i="3" s="1"/>
  <c r="Z334" i="3" s="1"/>
  <c r="AA334" i="3" s="1"/>
  <c r="E334" i="3"/>
  <c r="F334" i="3" s="1"/>
  <c r="V334" i="3"/>
  <c r="G334" i="3"/>
  <c r="J334" i="3"/>
  <c r="P334" i="3"/>
  <c r="N334" i="3"/>
  <c r="T338" i="2"/>
  <c r="D339" i="2"/>
  <c r="O333" i="3"/>
  <c r="H334" i="4" s="1"/>
  <c r="I333" i="3"/>
  <c r="F334" i="4" s="1"/>
  <c r="U333" i="3"/>
  <c r="J334" i="4" s="1"/>
  <c r="D336" i="3"/>
  <c r="K338" i="2"/>
  <c r="H337" i="2"/>
  <c r="E337" i="2" s="1"/>
  <c r="L338" i="2"/>
  <c r="I337" i="2"/>
  <c r="F337" i="2" s="1"/>
  <c r="D335" i="4" l="1"/>
  <c r="O334" i="3"/>
  <c r="U334" i="3"/>
  <c r="I334" i="3"/>
  <c r="C335" i="4"/>
  <c r="AB334" i="3"/>
  <c r="E335" i="4" s="1"/>
  <c r="D340" i="2"/>
  <c r="A336" i="4"/>
  <c r="J335" i="3"/>
  <c r="E335" i="3"/>
  <c r="F335" i="3" s="1"/>
  <c r="H335" i="3"/>
  <c r="M335" i="3"/>
  <c r="N335" i="3"/>
  <c r="P335" i="3"/>
  <c r="S335" i="3"/>
  <c r="Y335" i="3" s="1"/>
  <c r="Z335" i="3" s="1"/>
  <c r="AA335" i="3" s="1"/>
  <c r="T335" i="3"/>
  <c r="G335" i="3"/>
  <c r="V335" i="3"/>
  <c r="C335" i="3"/>
  <c r="G335" i="4"/>
  <c r="L335" i="4" s="1"/>
  <c r="I335" i="4"/>
  <c r="M335" i="4" s="1"/>
  <c r="J335" i="4"/>
  <c r="K335" i="4"/>
  <c r="N335" i="4" s="1"/>
  <c r="H335" i="4"/>
  <c r="F335" i="4"/>
  <c r="L339" i="2"/>
  <c r="I338" i="2"/>
  <c r="F338" i="2"/>
  <c r="C339" i="2"/>
  <c r="M339" i="2"/>
  <c r="J338" i="2"/>
  <c r="G338" i="2" s="1"/>
  <c r="K339" i="2"/>
  <c r="H338" i="2"/>
  <c r="E338" i="2" s="1"/>
  <c r="D337" i="3"/>
  <c r="D336" i="4" l="1"/>
  <c r="C340" i="2"/>
  <c r="T339" i="2"/>
  <c r="M340" i="2"/>
  <c r="J339" i="2"/>
  <c r="D341" i="2"/>
  <c r="T340" i="2"/>
  <c r="G339" i="2"/>
  <c r="G336" i="4"/>
  <c r="L336" i="4" s="1"/>
  <c r="I336" i="4"/>
  <c r="M336" i="4" s="1"/>
  <c r="J336" i="4"/>
  <c r="K336" i="4"/>
  <c r="N336" i="4" s="1"/>
  <c r="L340" i="2"/>
  <c r="I339" i="2"/>
  <c r="F339" i="2" s="1"/>
  <c r="A337" i="4"/>
  <c r="H336" i="3"/>
  <c r="T336" i="3"/>
  <c r="J336" i="3"/>
  <c r="V336" i="3"/>
  <c r="M336" i="3"/>
  <c r="N336" i="3"/>
  <c r="E336" i="3"/>
  <c r="F336" i="3" s="1"/>
  <c r="G336" i="3"/>
  <c r="S336" i="3"/>
  <c r="Y336" i="3" s="1"/>
  <c r="Z336" i="3" s="1"/>
  <c r="AA336" i="3" s="1"/>
  <c r="P336" i="3"/>
  <c r="C336" i="3"/>
  <c r="C336" i="4"/>
  <c r="AB335" i="3"/>
  <c r="E336" i="4" s="1"/>
  <c r="D338" i="3"/>
  <c r="K340" i="2"/>
  <c r="H339" i="2"/>
  <c r="E339" i="2" s="1"/>
  <c r="I335" i="3"/>
  <c r="F336" i="4" s="1"/>
  <c r="U335" i="3"/>
  <c r="O335" i="3"/>
  <c r="H336" i="4" s="1"/>
  <c r="D337" i="4" l="1"/>
  <c r="G337" i="4"/>
  <c r="L337" i="4" s="1"/>
  <c r="K337" i="4"/>
  <c r="N337" i="4" s="1"/>
  <c r="I337" i="4"/>
  <c r="M337" i="4" s="1"/>
  <c r="D342" i="2"/>
  <c r="L341" i="2"/>
  <c r="I340" i="2"/>
  <c r="J340" i="2"/>
  <c r="G340" i="2" s="1"/>
  <c r="M341" i="2"/>
  <c r="A338" i="4"/>
  <c r="E337" i="3"/>
  <c r="F337" i="3" s="1"/>
  <c r="G337" i="3"/>
  <c r="S337" i="3"/>
  <c r="Y337" i="3" s="1"/>
  <c r="Z337" i="3" s="1"/>
  <c r="AA337" i="3" s="1"/>
  <c r="H337" i="3"/>
  <c r="T337" i="3"/>
  <c r="J337" i="3"/>
  <c r="V337" i="3"/>
  <c r="N337" i="3"/>
  <c r="C337" i="3"/>
  <c r="P337" i="3"/>
  <c r="M337" i="3"/>
  <c r="I336" i="3"/>
  <c r="F337" i="4" s="1"/>
  <c r="U336" i="3"/>
  <c r="J337" i="4" s="1"/>
  <c r="O336" i="3"/>
  <c r="H337" i="4" s="1"/>
  <c r="C341" i="2"/>
  <c r="T341" i="2" s="1"/>
  <c r="F340" i="2"/>
  <c r="K341" i="2"/>
  <c r="H340" i="2"/>
  <c r="E340" i="2" s="1"/>
  <c r="C337" i="4"/>
  <c r="AB336" i="3"/>
  <c r="E337" i="4" s="1"/>
  <c r="D339" i="3"/>
  <c r="D338" i="4" l="1"/>
  <c r="K342" i="2"/>
  <c r="H341" i="2"/>
  <c r="D343" i="2"/>
  <c r="L342" i="2"/>
  <c r="I341" i="2"/>
  <c r="F341" i="2" s="1"/>
  <c r="A339" i="4"/>
  <c r="N338" i="3"/>
  <c r="C338" i="3"/>
  <c r="P338" i="3"/>
  <c r="E338" i="3"/>
  <c r="F338" i="3" s="1"/>
  <c r="G338" i="3"/>
  <c r="S338" i="3"/>
  <c r="Y338" i="3" s="1"/>
  <c r="Z338" i="3" s="1"/>
  <c r="AA338" i="3" s="1"/>
  <c r="H338" i="3"/>
  <c r="T338" i="3"/>
  <c r="M338" i="3"/>
  <c r="J338" i="3"/>
  <c r="V338" i="3"/>
  <c r="I337" i="3"/>
  <c r="U337" i="3"/>
  <c r="O337" i="3"/>
  <c r="C338" i="4"/>
  <c r="AB337" i="3"/>
  <c r="E338" i="4" s="1"/>
  <c r="F338" i="4"/>
  <c r="H338" i="4"/>
  <c r="I338" i="4"/>
  <c r="M338" i="4" s="1"/>
  <c r="J338" i="4"/>
  <c r="G338" i="4"/>
  <c r="L338" i="4" s="1"/>
  <c r="K338" i="4"/>
  <c r="N338" i="4" s="1"/>
  <c r="D340" i="3"/>
  <c r="M342" i="2"/>
  <c r="J341" i="2"/>
  <c r="G341" i="2" s="1"/>
  <c r="E341" i="2"/>
  <c r="C342" i="2"/>
  <c r="D339" i="4" l="1"/>
  <c r="D341" i="3"/>
  <c r="K339" i="4"/>
  <c r="N339" i="4" s="1"/>
  <c r="G339" i="4"/>
  <c r="L339" i="4" s="1"/>
  <c r="I339" i="4"/>
  <c r="M339" i="4" s="1"/>
  <c r="C339" i="4"/>
  <c r="AB338" i="3"/>
  <c r="E339" i="4" s="1"/>
  <c r="L343" i="2"/>
  <c r="I342" i="2"/>
  <c r="T342" i="2"/>
  <c r="D344" i="2"/>
  <c r="T343" i="2"/>
  <c r="A340" i="4"/>
  <c r="M339" i="3"/>
  <c r="N339" i="3"/>
  <c r="C339" i="3"/>
  <c r="P339" i="3"/>
  <c r="E339" i="3"/>
  <c r="F339" i="3" s="1"/>
  <c r="H339" i="3"/>
  <c r="T339" i="3"/>
  <c r="J339" i="3"/>
  <c r="V339" i="3"/>
  <c r="S339" i="3"/>
  <c r="Y339" i="3" s="1"/>
  <c r="Z339" i="3" s="1"/>
  <c r="AA339" i="3" s="1"/>
  <c r="G339" i="3"/>
  <c r="O338" i="3"/>
  <c r="H339" i="4" s="1"/>
  <c r="I338" i="3"/>
  <c r="F339" i="4" s="1"/>
  <c r="U338" i="3"/>
  <c r="J339" i="4" s="1"/>
  <c r="K343" i="2"/>
  <c r="H342" i="2"/>
  <c r="C343" i="2"/>
  <c r="F342" i="2"/>
  <c r="E342" i="2"/>
  <c r="M343" i="2"/>
  <c r="J342" i="2"/>
  <c r="G342" i="2" s="1"/>
  <c r="D340" i="4" l="1"/>
  <c r="C340" i="4"/>
  <c r="AB339" i="3"/>
  <c r="E340" i="4" s="1"/>
  <c r="I340" i="4"/>
  <c r="M340" i="4" s="1"/>
  <c r="K340" i="4"/>
  <c r="N340" i="4" s="1"/>
  <c r="G340" i="4"/>
  <c r="L340" i="4" s="1"/>
  <c r="T344" i="2"/>
  <c r="D345" i="2"/>
  <c r="D342" i="3"/>
  <c r="K344" i="2"/>
  <c r="H343" i="2"/>
  <c r="J343" i="2"/>
  <c r="G343" i="2" s="1"/>
  <c r="M344" i="2"/>
  <c r="C344" i="2"/>
  <c r="E343" i="2"/>
  <c r="F343" i="2"/>
  <c r="A341" i="4"/>
  <c r="H340" i="3"/>
  <c r="T340" i="3"/>
  <c r="J340" i="3"/>
  <c r="V340" i="3"/>
  <c r="M340" i="3"/>
  <c r="N340" i="3"/>
  <c r="E340" i="3"/>
  <c r="F340" i="3" s="1"/>
  <c r="G340" i="3"/>
  <c r="S340" i="3"/>
  <c r="Y340" i="3" s="1"/>
  <c r="Z340" i="3" s="1"/>
  <c r="AA340" i="3" s="1"/>
  <c r="C340" i="3"/>
  <c r="P340" i="3"/>
  <c r="L344" i="2"/>
  <c r="I343" i="2"/>
  <c r="O339" i="3"/>
  <c r="H340" i="4" s="1"/>
  <c r="I339" i="3"/>
  <c r="F340" i="4" s="1"/>
  <c r="U339" i="3"/>
  <c r="J340" i="4" s="1"/>
  <c r="D341" i="4" l="1"/>
  <c r="L345" i="2"/>
  <c r="I344" i="2"/>
  <c r="F344" i="2" s="1"/>
  <c r="G341" i="4"/>
  <c r="L341" i="4" s="1"/>
  <c r="I341" i="4"/>
  <c r="M341" i="4" s="1"/>
  <c r="K341" i="4"/>
  <c r="N341" i="4" s="1"/>
  <c r="E344" i="2"/>
  <c r="C345" i="2"/>
  <c r="M345" i="2"/>
  <c r="J344" i="2"/>
  <c r="G344" i="2" s="1"/>
  <c r="C341" i="4"/>
  <c r="AB340" i="3"/>
  <c r="E341" i="4" s="1"/>
  <c r="K345" i="2"/>
  <c r="H344" i="2"/>
  <c r="A342" i="4"/>
  <c r="E341" i="3"/>
  <c r="F341" i="3" s="1"/>
  <c r="G341" i="3"/>
  <c r="S341" i="3"/>
  <c r="Y341" i="3" s="1"/>
  <c r="Z341" i="3" s="1"/>
  <c r="AA341" i="3" s="1"/>
  <c r="H341" i="3"/>
  <c r="T341" i="3"/>
  <c r="J341" i="3"/>
  <c r="V341" i="3"/>
  <c r="N341" i="3"/>
  <c r="C341" i="3"/>
  <c r="P341" i="3"/>
  <c r="M341" i="3"/>
  <c r="D343" i="3"/>
  <c r="I340" i="3"/>
  <c r="F341" i="4" s="1"/>
  <c r="U340" i="3"/>
  <c r="J341" i="4" s="1"/>
  <c r="O340" i="3"/>
  <c r="H341" i="4" s="1"/>
  <c r="D346" i="2"/>
  <c r="T345" i="2"/>
  <c r="D342" i="4" l="1"/>
  <c r="D344" i="3"/>
  <c r="A343" i="4"/>
  <c r="N342" i="3"/>
  <c r="C342" i="3"/>
  <c r="P342" i="3"/>
  <c r="E342" i="3"/>
  <c r="F342" i="3" s="1"/>
  <c r="G342" i="3"/>
  <c r="S342" i="3"/>
  <c r="Y342" i="3" s="1"/>
  <c r="Z342" i="3" s="1"/>
  <c r="AA342" i="3" s="1"/>
  <c r="H342" i="3"/>
  <c r="T342" i="3"/>
  <c r="M342" i="3"/>
  <c r="V342" i="3"/>
  <c r="J342" i="3"/>
  <c r="I341" i="3"/>
  <c r="U341" i="3"/>
  <c r="O341" i="3"/>
  <c r="C342" i="4"/>
  <c r="AB341" i="3"/>
  <c r="E342" i="4" s="1"/>
  <c r="G342" i="4"/>
  <c r="L342" i="4" s="1"/>
  <c r="H342" i="4"/>
  <c r="I342" i="4"/>
  <c r="M342" i="4" s="1"/>
  <c r="J342" i="4"/>
  <c r="F342" i="4"/>
  <c r="K342" i="4"/>
  <c r="N342" i="4" s="1"/>
  <c r="K346" i="2"/>
  <c r="H345" i="2"/>
  <c r="D347" i="2"/>
  <c r="L346" i="2"/>
  <c r="I345" i="2"/>
  <c r="M346" i="2"/>
  <c r="J345" i="2"/>
  <c r="G345" i="2" s="1"/>
  <c r="C346" i="2"/>
  <c r="F345" i="2"/>
  <c r="E345" i="2"/>
  <c r="D343" i="4" l="1"/>
  <c r="L347" i="2"/>
  <c r="I346" i="2"/>
  <c r="A344" i="4"/>
  <c r="M343" i="3"/>
  <c r="N343" i="3"/>
  <c r="C343" i="3"/>
  <c r="P343" i="3"/>
  <c r="E343" i="3"/>
  <c r="F343" i="3" s="1"/>
  <c r="H343" i="3"/>
  <c r="T343" i="3"/>
  <c r="J343" i="3"/>
  <c r="V343" i="3"/>
  <c r="G343" i="3"/>
  <c r="S343" i="3"/>
  <c r="Y343" i="3" s="1"/>
  <c r="Z343" i="3" s="1"/>
  <c r="AA343" i="3" s="1"/>
  <c r="J346" i="2"/>
  <c r="G346" i="2" s="1"/>
  <c r="M347" i="2"/>
  <c r="O342" i="3"/>
  <c r="I342" i="3"/>
  <c r="U342" i="3"/>
  <c r="J343" i="4" s="1"/>
  <c r="C347" i="2"/>
  <c r="F346" i="2"/>
  <c r="T346" i="2"/>
  <c r="T347" i="2"/>
  <c r="D348" i="2"/>
  <c r="K347" i="2"/>
  <c r="H346" i="2"/>
  <c r="E346" i="2" s="1"/>
  <c r="F343" i="4"/>
  <c r="G343" i="4"/>
  <c r="L343" i="4" s="1"/>
  <c r="H343" i="4"/>
  <c r="K343" i="4"/>
  <c r="N343" i="4" s="1"/>
  <c r="I343" i="4"/>
  <c r="M343" i="4" s="1"/>
  <c r="D345" i="3"/>
  <c r="C343" i="4"/>
  <c r="AB342" i="3"/>
  <c r="E343" i="4" s="1"/>
  <c r="D344" i="4" l="1"/>
  <c r="C348" i="2"/>
  <c r="A345" i="4"/>
  <c r="H344" i="3"/>
  <c r="T344" i="3"/>
  <c r="J344" i="3"/>
  <c r="V344" i="3"/>
  <c r="M344" i="3"/>
  <c r="N344" i="3"/>
  <c r="E344" i="3"/>
  <c r="F344" i="3" s="1"/>
  <c r="G344" i="3"/>
  <c r="S344" i="3"/>
  <c r="Y344" i="3" s="1"/>
  <c r="Z344" i="3" s="1"/>
  <c r="AA344" i="3" s="1"/>
  <c r="P344" i="3"/>
  <c r="C344" i="3"/>
  <c r="M348" i="2"/>
  <c r="J347" i="2"/>
  <c r="G347" i="2" s="1"/>
  <c r="K348" i="2"/>
  <c r="H347" i="2"/>
  <c r="E347" i="2" s="1"/>
  <c r="C344" i="4"/>
  <c r="AB343" i="3"/>
  <c r="E344" i="4" s="1"/>
  <c r="D349" i="2"/>
  <c r="T348" i="2"/>
  <c r="F344" i="4"/>
  <c r="H344" i="4"/>
  <c r="I344" i="4"/>
  <c r="M344" i="4" s="1"/>
  <c r="G344" i="4"/>
  <c r="L344" i="4" s="1"/>
  <c r="K344" i="4"/>
  <c r="N344" i="4" s="1"/>
  <c r="D346" i="3"/>
  <c r="L348" i="2"/>
  <c r="I347" i="2"/>
  <c r="F347" i="2" s="1"/>
  <c r="O343" i="3"/>
  <c r="I343" i="3"/>
  <c r="U343" i="3"/>
  <c r="J344" i="4" s="1"/>
  <c r="D345" i="4" l="1"/>
  <c r="D347" i="3"/>
  <c r="C345" i="4"/>
  <c r="AB344" i="3"/>
  <c r="E345" i="4" s="1"/>
  <c r="K349" i="2"/>
  <c r="H348" i="2"/>
  <c r="E348" i="2" s="1"/>
  <c r="M349" i="2"/>
  <c r="J348" i="2"/>
  <c r="G348" i="2" s="1"/>
  <c r="K345" i="4"/>
  <c r="N345" i="4" s="1"/>
  <c r="F345" i="4"/>
  <c r="G345" i="4"/>
  <c r="L345" i="4" s="1"/>
  <c r="I345" i="4"/>
  <c r="M345" i="4" s="1"/>
  <c r="C349" i="2"/>
  <c r="L349" i="2"/>
  <c r="I348" i="2"/>
  <c r="F348" i="2" s="1"/>
  <c r="D350" i="2"/>
  <c r="T349" i="2"/>
  <c r="A346" i="4"/>
  <c r="E345" i="3"/>
  <c r="F345" i="3" s="1"/>
  <c r="G345" i="3"/>
  <c r="S345" i="3"/>
  <c r="Y345" i="3" s="1"/>
  <c r="Z345" i="3" s="1"/>
  <c r="AA345" i="3" s="1"/>
  <c r="H345" i="3"/>
  <c r="T345" i="3"/>
  <c r="J345" i="3"/>
  <c r="V345" i="3"/>
  <c r="N345" i="3"/>
  <c r="C345" i="3"/>
  <c r="P345" i="3"/>
  <c r="M345" i="3"/>
  <c r="I344" i="3"/>
  <c r="U344" i="3"/>
  <c r="J345" i="4" s="1"/>
  <c r="O344" i="3"/>
  <c r="H345" i="4" s="1"/>
  <c r="D346" i="4" l="1"/>
  <c r="D351" i="2"/>
  <c r="J349" i="2"/>
  <c r="G349" i="2" s="1"/>
  <c r="M350" i="2"/>
  <c r="L350" i="2"/>
  <c r="I349" i="2"/>
  <c r="F349" i="2" s="1"/>
  <c r="K350" i="2"/>
  <c r="H349" i="2"/>
  <c r="E349" i="2" s="1"/>
  <c r="C350" i="2"/>
  <c r="D348" i="3"/>
  <c r="A347" i="4"/>
  <c r="N346" i="3"/>
  <c r="C346" i="3"/>
  <c r="P346" i="3"/>
  <c r="E346" i="3"/>
  <c r="F346" i="3" s="1"/>
  <c r="G346" i="3"/>
  <c r="S346" i="3"/>
  <c r="Y346" i="3" s="1"/>
  <c r="Z346" i="3" s="1"/>
  <c r="AA346" i="3" s="1"/>
  <c r="H346" i="3"/>
  <c r="T346" i="3"/>
  <c r="M346" i="3"/>
  <c r="J346" i="3"/>
  <c r="V346" i="3"/>
  <c r="I345" i="3"/>
  <c r="F346" i="4" s="1"/>
  <c r="U345" i="3"/>
  <c r="O345" i="3"/>
  <c r="C346" i="4"/>
  <c r="AB345" i="3"/>
  <c r="E346" i="4" s="1"/>
  <c r="I346" i="4"/>
  <c r="M346" i="4" s="1"/>
  <c r="K346" i="4"/>
  <c r="N346" i="4" s="1"/>
  <c r="G346" i="4"/>
  <c r="L346" i="4" s="1"/>
  <c r="H346" i="4"/>
  <c r="J346" i="4"/>
  <c r="D347" i="4" l="1"/>
  <c r="A348" i="4"/>
  <c r="M347" i="3"/>
  <c r="N347" i="3"/>
  <c r="C347" i="3"/>
  <c r="P347" i="3"/>
  <c r="E347" i="3"/>
  <c r="F347" i="3" s="1"/>
  <c r="H347" i="3"/>
  <c r="T347" i="3"/>
  <c r="J347" i="3"/>
  <c r="V347" i="3"/>
  <c r="S347" i="3"/>
  <c r="Y347" i="3" s="1"/>
  <c r="Z347" i="3" s="1"/>
  <c r="AA347" i="3" s="1"/>
  <c r="G347" i="3"/>
  <c r="K351" i="2"/>
  <c r="H350" i="2"/>
  <c r="E350" i="2" s="1"/>
  <c r="F350" i="2"/>
  <c r="C351" i="2"/>
  <c r="O346" i="3"/>
  <c r="H347" i="4" s="1"/>
  <c r="I346" i="3"/>
  <c r="U346" i="3"/>
  <c r="J347" i="4" s="1"/>
  <c r="L351" i="2"/>
  <c r="I350" i="2"/>
  <c r="M351" i="2"/>
  <c r="J350" i="2"/>
  <c r="G350" i="2" s="1"/>
  <c r="G347" i="4"/>
  <c r="L347" i="4" s="1"/>
  <c r="I347" i="4"/>
  <c r="M347" i="4" s="1"/>
  <c r="K347" i="4"/>
  <c r="N347" i="4" s="1"/>
  <c r="F347" i="4"/>
  <c r="D352" i="2"/>
  <c r="T351" i="2"/>
  <c r="C347" i="4"/>
  <c r="AB346" i="3"/>
  <c r="E347" i="4" s="1"/>
  <c r="D349" i="3"/>
  <c r="T350" i="2"/>
  <c r="D348" i="4" l="1"/>
  <c r="D353" i="2"/>
  <c r="L352" i="2"/>
  <c r="I351" i="2"/>
  <c r="A349" i="4"/>
  <c r="H348" i="3"/>
  <c r="T348" i="3"/>
  <c r="J348" i="3"/>
  <c r="V348" i="3"/>
  <c r="M348" i="3"/>
  <c r="N348" i="3"/>
  <c r="E348" i="3"/>
  <c r="F348" i="3" s="1"/>
  <c r="G348" i="3"/>
  <c r="S348" i="3"/>
  <c r="Y348" i="3" s="1"/>
  <c r="Z348" i="3" s="1"/>
  <c r="AA348" i="3" s="1"/>
  <c r="C348" i="3"/>
  <c r="P348" i="3"/>
  <c r="C352" i="2"/>
  <c r="F351" i="2"/>
  <c r="E351" i="2"/>
  <c r="O347" i="3"/>
  <c r="H348" i="4" s="1"/>
  <c r="I347" i="3"/>
  <c r="F348" i="4" s="1"/>
  <c r="U347" i="3"/>
  <c r="J348" i="4" s="1"/>
  <c r="K352" i="2"/>
  <c r="H351" i="2"/>
  <c r="C348" i="4"/>
  <c r="AB347" i="3"/>
  <c r="E348" i="4" s="1"/>
  <c r="G348" i="4"/>
  <c r="L348" i="4" s="1"/>
  <c r="I348" i="4"/>
  <c r="M348" i="4" s="1"/>
  <c r="K348" i="4"/>
  <c r="N348" i="4" s="1"/>
  <c r="M352" i="2"/>
  <c r="J351" i="2"/>
  <c r="G351" i="2" s="1"/>
  <c r="D350" i="3"/>
  <c r="D349" i="4" l="1"/>
  <c r="C353" i="2"/>
  <c r="F352" i="2"/>
  <c r="G349" i="4"/>
  <c r="L349" i="4" s="1"/>
  <c r="K349" i="4"/>
  <c r="N349" i="4" s="1"/>
  <c r="I349" i="4"/>
  <c r="M349" i="4" s="1"/>
  <c r="L353" i="2"/>
  <c r="I352" i="2"/>
  <c r="D351" i="3"/>
  <c r="A350" i="4"/>
  <c r="E349" i="3"/>
  <c r="F349" i="3" s="1"/>
  <c r="G349" i="3"/>
  <c r="S349" i="3"/>
  <c r="Y349" i="3" s="1"/>
  <c r="Z349" i="3" s="1"/>
  <c r="AA349" i="3" s="1"/>
  <c r="H349" i="3"/>
  <c r="T349" i="3"/>
  <c r="J349" i="3"/>
  <c r="V349" i="3"/>
  <c r="N349" i="3"/>
  <c r="C349" i="3"/>
  <c r="P349" i="3"/>
  <c r="M349" i="3"/>
  <c r="T352" i="2"/>
  <c r="K353" i="2"/>
  <c r="H352" i="2"/>
  <c r="E352" i="2" s="1"/>
  <c r="I348" i="3"/>
  <c r="F349" i="4" s="1"/>
  <c r="U348" i="3"/>
  <c r="J349" i="4" s="1"/>
  <c r="O348" i="3"/>
  <c r="H349" i="4" s="1"/>
  <c r="T353" i="2"/>
  <c r="D354" i="2"/>
  <c r="J352" i="2"/>
  <c r="G352" i="2" s="1"/>
  <c r="M353" i="2"/>
  <c r="C349" i="4"/>
  <c r="AB348" i="3"/>
  <c r="E349" i="4" s="1"/>
  <c r="D350" i="4" l="1"/>
  <c r="L354" i="2"/>
  <c r="I353" i="2"/>
  <c r="K354" i="2"/>
  <c r="H353" i="2"/>
  <c r="A351" i="4"/>
  <c r="N350" i="3"/>
  <c r="C350" i="3"/>
  <c r="P350" i="3"/>
  <c r="E350" i="3"/>
  <c r="F350" i="3" s="1"/>
  <c r="G350" i="3"/>
  <c r="S350" i="3"/>
  <c r="Y350" i="3" s="1"/>
  <c r="Z350" i="3" s="1"/>
  <c r="AA350" i="3" s="1"/>
  <c r="H350" i="3"/>
  <c r="T350" i="3"/>
  <c r="M350" i="3"/>
  <c r="V350" i="3"/>
  <c r="J350" i="3"/>
  <c r="I349" i="3"/>
  <c r="U349" i="3"/>
  <c r="O349" i="3"/>
  <c r="C350" i="4"/>
  <c r="AB349" i="3"/>
  <c r="E350" i="4" s="1"/>
  <c r="F350" i="4"/>
  <c r="H350" i="4"/>
  <c r="I350" i="4"/>
  <c r="M350" i="4" s="1"/>
  <c r="J350" i="4"/>
  <c r="G350" i="4"/>
  <c r="L350" i="4" s="1"/>
  <c r="K350" i="4"/>
  <c r="N350" i="4" s="1"/>
  <c r="D352" i="3"/>
  <c r="M354" i="2"/>
  <c r="J353" i="2"/>
  <c r="G353" i="2" s="1"/>
  <c r="E353" i="2"/>
  <c r="F353" i="2"/>
  <c r="C354" i="2"/>
  <c r="D355" i="2"/>
  <c r="T354" i="2"/>
  <c r="D351" i="4" l="1"/>
  <c r="D356" i="2"/>
  <c r="C355" i="2"/>
  <c r="E354" i="2"/>
  <c r="A352" i="4"/>
  <c r="M351" i="3"/>
  <c r="N351" i="3"/>
  <c r="C351" i="3"/>
  <c r="P351" i="3"/>
  <c r="E351" i="3"/>
  <c r="F351" i="3" s="1"/>
  <c r="H351" i="3"/>
  <c r="T351" i="3"/>
  <c r="J351" i="3"/>
  <c r="V351" i="3"/>
  <c r="G351" i="3"/>
  <c r="S351" i="3"/>
  <c r="Y351" i="3" s="1"/>
  <c r="Z351" i="3" s="1"/>
  <c r="AA351" i="3" s="1"/>
  <c r="O350" i="3"/>
  <c r="I350" i="3"/>
  <c r="U350" i="3"/>
  <c r="M355" i="2"/>
  <c r="J354" i="2"/>
  <c r="G354" i="2" s="1"/>
  <c r="D353" i="3"/>
  <c r="K351" i="4"/>
  <c r="N351" i="4" s="1"/>
  <c r="F351" i="4"/>
  <c r="G351" i="4"/>
  <c r="L351" i="4" s="1"/>
  <c r="H351" i="4"/>
  <c r="I351" i="4"/>
  <c r="M351" i="4" s="1"/>
  <c r="J351" i="4"/>
  <c r="C351" i="4"/>
  <c r="AB350" i="3"/>
  <c r="E351" i="4" s="1"/>
  <c r="K355" i="2"/>
  <c r="H354" i="2"/>
  <c r="L355" i="2"/>
  <c r="I354" i="2"/>
  <c r="F354" i="2" s="1"/>
  <c r="D352" i="4" l="1"/>
  <c r="C352" i="4"/>
  <c r="AB351" i="3"/>
  <c r="E352" i="4" s="1"/>
  <c r="I352" i="4"/>
  <c r="M352" i="4" s="1"/>
  <c r="K352" i="4"/>
  <c r="N352" i="4" s="1"/>
  <c r="G352" i="4"/>
  <c r="L352" i="4" s="1"/>
  <c r="C356" i="2"/>
  <c r="E355" i="2"/>
  <c r="T355" i="2"/>
  <c r="D354" i="3"/>
  <c r="L356" i="2"/>
  <c r="I355" i="2"/>
  <c r="F355" i="2" s="1"/>
  <c r="A353" i="4"/>
  <c r="H352" i="3"/>
  <c r="T352" i="3"/>
  <c r="J352" i="3"/>
  <c r="V352" i="3"/>
  <c r="M352" i="3"/>
  <c r="N352" i="3"/>
  <c r="E352" i="3"/>
  <c r="F352" i="3" s="1"/>
  <c r="G352" i="3"/>
  <c r="S352" i="3"/>
  <c r="Y352" i="3" s="1"/>
  <c r="Z352" i="3" s="1"/>
  <c r="AA352" i="3" s="1"/>
  <c r="P352" i="3"/>
  <c r="C352" i="3"/>
  <c r="T356" i="2"/>
  <c r="D357" i="2"/>
  <c r="O351" i="3"/>
  <c r="H352" i="4" s="1"/>
  <c r="I351" i="3"/>
  <c r="F352" i="4" s="1"/>
  <c r="U351" i="3"/>
  <c r="J352" i="4" s="1"/>
  <c r="K356" i="2"/>
  <c r="H355" i="2"/>
  <c r="J355" i="2"/>
  <c r="G355" i="2" s="1"/>
  <c r="M356" i="2"/>
  <c r="D353" i="4" l="1"/>
  <c r="D358" i="2"/>
  <c r="F356" i="2"/>
  <c r="C357" i="2"/>
  <c r="G353" i="4"/>
  <c r="L353" i="4" s="1"/>
  <c r="I353" i="4"/>
  <c r="M353" i="4" s="1"/>
  <c r="K353" i="4"/>
  <c r="N353" i="4" s="1"/>
  <c r="L357" i="2"/>
  <c r="I356" i="2"/>
  <c r="M357" i="2"/>
  <c r="J356" i="2"/>
  <c r="G356" i="2" s="1"/>
  <c r="D355" i="3"/>
  <c r="A354" i="4"/>
  <c r="E353" i="3"/>
  <c r="F353" i="3" s="1"/>
  <c r="G353" i="3"/>
  <c r="S353" i="3"/>
  <c r="Y353" i="3" s="1"/>
  <c r="Z353" i="3" s="1"/>
  <c r="AA353" i="3" s="1"/>
  <c r="H353" i="3"/>
  <c r="T353" i="3"/>
  <c r="J353" i="3"/>
  <c r="V353" i="3"/>
  <c r="N353" i="3"/>
  <c r="C353" i="3"/>
  <c r="P353" i="3"/>
  <c r="M353" i="3"/>
  <c r="K357" i="2"/>
  <c r="H356" i="2"/>
  <c r="E356" i="2" s="1"/>
  <c r="I352" i="3"/>
  <c r="F353" i="4" s="1"/>
  <c r="U352" i="3"/>
  <c r="J353" i="4" s="1"/>
  <c r="O352" i="3"/>
  <c r="H353" i="4" s="1"/>
  <c r="C353" i="4"/>
  <c r="AB352" i="3"/>
  <c r="E353" i="4" s="1"/>
  <c r="D354" i="4" l="1"/>
  <c r="A355" i="4"/>
  <c r="N354" i="3"/>
  <c r="C354" i="3"/>
  <c r="P354" i="3"/>
  <c r="E354" i="3"/>
  <c r="F354" i="3" s="1"/>
  <c r="G354" i="3"/>
  <c r="S354" i="3"/>
  <c r="Y354" i="3" s="1"/>
  <c r="Z354" i="3" s="1"/>
  <c r="AA354" i="3" s="1"/>
  <c r="H354" i="3"/>
  <c r="T354" i="3"/>
  <c r="M354" i="3"/>
  <c r="J354" i="3"/>
  <c r="V354" i="3"/>
  <c r="I353" i="3"/>
  <c r="U353" i="3"/>
  <c r="J354" i="4" s="1"/>
  <c r="O353" i="3"/>
  <c r="K358" i="2"/>
  <c r="H357" i="2"/>
  <c r="D356" i="3"/>
  <c r="C358" i="2"/>
  <c r="T358" i="2" s="1"/>
  <c r="F357" i="2"/>
  <c r="E357" i="2"/>
  <c r="C354" i="4"/>
  <c r="AB353" i="3"/>
  <c r="E354" i="4" s="1"/>
  <c r="G354" i="4"/>
  <c r="L354" i="4" s="1"/>
  <c r="H354" i="4"/>
  <c r="I354" i="4"/>
  <c r="M354" i="4" s="1"/>
  <c r="F354" i="4"/>
  <c r="K354" i="4"/>
  <c r="N354" i="4" s="1"/>
  <c r="M358" i="2"/>
  <c r="J357" i="2"/>
  <c r="G357" i="2" s="1"/>
  <c r="T357" i="2"/>
  <c r="D359" i="2"/>
  <c r="L358" i="2"/>
  <c r="I357" i="2"/>
  <c r="D355" i="4" l="1"/>
  <c r="J358" i="2"/>
  <c r="M359" i="2"/>
  <c r="D357" i="3"/>
  <c r="A356" i="4"/>
  <c r="M355" i="3"/>
  <c r="N355" i="3"/>
  <c r="C355" i="3"/>
  <c r="P355" i="3"/>
  <c r="E355" i="3"/>
  <c r="F355" i="3" s="1"/>
  <c r="H355" i="3"/>
  <c r="T355" i="3"/>
  <c r="J355" i="3"/>
  <c r="V355" i="3"/>
  <c r="S355" i="3"/>
  <c r="Y355" i="3" s="1"/>
  <c r="Z355" i="3" s="1"/>
  <c r="AA355" i="3" s="1"/>
  <c r="G355" i="3"/>
  <c r="K359" i="2"/>
  <c r="H358" i="2"/>
  <c r="O354" i="3"/>
  <c r="I354" i="3"/>
  <c r="U354" i="3"/>
  <c r="L359" i="2"/>
  <c r="I358" i="2"/>
  <c r="G358" i="2"/>
  <c r="F355" i="4"/>
  <c r="G355" i="4"/>
  <c r="L355" i="4" s="1"/>
  <c r="H355" i="4"/>
  <c r="J355" i="4"/>
  <c r="K355" i="4"/>
  <c r="N355" i="4" s="1"/>
  <c r="I355" i="4"/>
  <c r="M355" i="4" s="1"/>
  <c r="C359" i="2"/>
  <c r="E358" i="2"/>
  <c r="F358" i="2"/>
  <c r="D360" i="2"/>
  <c r="C355" i="4"/>
  <c r="AB354" i="3"/>
  <c r="E355" i="4" s="1"/>
  <c r="D356" i="4" l="1"/>
  <c r="O355" i="3"/>
  <c r="I355" i="3"/>
  <c r="U355" i="3"/>
  <c r="J356" i="4" s="1"/>
  <c r="C360" i="2"/>
  <c r="K360" i="2"/>
  <c r="H359" i="2"/>
  <c r="E359" i="2" s="1"/>
  <c r="C356" i="4"/>
  <c r="AB355" i="3"/>
  <c r="E356" i="4" s="1"/>
  <c r="F356" i="4"/>
  <c r="H356" i="4"/>
  <c r="I356" i="4"/>
  <c r="M356" i="4" s="1"/>
  <c r="G356" i="4"/>
  <c r="L356" i="4" s="1"/>
  <c r="K356" i="4"/>
  <c r="N356" i="4" s="1"/>
  <c r="D358" i="3"/>
  <c r="M360" i="2"/>
  <c r="J359" i="2"/>
  <c r="G359" i="2" s="1"/>
  <c r="D361" i="2"/>
  <c r="T360" i="2"/>
  <c r="T359" i="2"/>
  <c r="L360" i="2"/>
  <c r="I359" i="2"/>
  <c r="F359" i="2" s="1"/>
  <c r="A357" i="4"/>
  <c r="H356" i="3"/>
  <c r="T356" i="3"/>
  <c r="J356" i="3"/>
  <c r="V356" i="3"/>
  <c r="M356" i="3"/>
  <c r="N356" i="3"/>
  <c r="E356" i="3"/>
  <c r="F356" i="3" s="1"/>
  <c r="G356" i="3"/>
  <c r="S356" i="3"/>
  <c r="Y356" i="3" s="1"/>
  <c r="Z356" i="3" s="1"/>
  <c r="AA356" i="3" s="1"/>
  <c r="C356" i="3"/>
  <c r="P356" i="3"/>
  <c r="D357" i="4" l="1"/>
  <c r="D362" i="2"/>
  <c r="T361" i="2"/>
  <c r="M361" i="2"/>
  <c r="J360" i="2"/>
  <c r="G360" i="2" s="1"/>
  <c r="K361" i="2"/>
  <c r="H360" i="2"/>
  <c r="E360" i="2" s="1"/>
  <c r="C357" i="4"/>
  <c r="AB356" i="3"/>
  <c r="E357" i="4" s="1"/>
  <c r="D359" i="3"/>
  <c r="C361" i="2"/>
  <c r="K357" i="4"/>
  <c r="N357" i="4" s="1"/>
  <c r="F357" i="4"/>
  <c r="G357" i="4"/>
  <c r="L357" i="4" s="1"/>
  <c r="I357" i="4"/>
  <c r="M357" i="4" s="1"/>
  <c r="J357" i="4"/>
  <c r="L361" i="2"/>
  <c r="I360" i="2"/>
  <c r="F360" i="2" s="1"/>
  <c r="A358" i="4"/>
  <c r="E357" i="3"/>
  <c r="F357" i="3" s="1"/>
  <c r="G357" i="3"/>
  <c r="S357" i="3"/>
  <c r="Y357" i="3" s="1"/>
  <c r="Z357" i="3" s="1"/>
  <c r="AA357" i="3" s="1"/>
  <c r="H357" i="3"/>
  <c r="T357" i="3"/>
  <c r="J357" i="3"/>
  <c r="V357" i="3"/>
  <c r="N357" i="3"/>
  <c r="C357" i="3"/>
  <c r="P357" i="3"/>
  <c r="M357" i="3"/>
  <c r="I356" i="3"/>
  <c r="U356" i="3"/>
  <c r="O356" i="3"/>
  <c r="H357" i="4" s="1"/>
  <c r="D358" i="4" l="1"/>
  <c r="K362" i="2"/>
  <c r="H361" i="2"/>
  <c r="J361" i="2"/>
  <c r="G361" i="2" s="1"/>
  <c r="M362" i="2"/>
  <c r="L362" i="2"/>
  <c r="I361" i="2"/>
  <c r="A359" i="4"/>
  <c r="N358" i="3"/>
  <c r="C358" i="3"/>
  <c r="P358" i="3"/>
  <c r="E358" i="3"/>
  <c r="F358" i="3" s="1"/>
  <c r="G358" i="3"/>
  <c r="S358" i="3"/>
  <c r="Y358" i="3" s="1"/>
  <c r="Z358" i="3" s="1"/>
  <c r="AA358" i="3" s="1"/>
  <c r="H358" i="3"/>
  <c r="T358" i="3"/>
  <c r="M358" i="3"/>
  <c r="V358" i="3"/>
  <c r="J358" i="3"/>
  <c r="T362" i="2"/>
  <c r="D363" i="2"/>
  <c r="I357" i="3"/>
  <c r="U357" i="3"/>
  <c r="O357" i="3"/>
  <c r="H358" i="4" s="1"/>
  <c r="C362" i="2"/>
  <c r="E361" i="2"/>
  <c r="F361" i="2"/>
  <c r="C358" i="4"/>
  <c r="AB357" i="3"/>
  <c r="E358" i="4" s="1"/>
  <c r="I358" i="4"/>
  <c r="M358" i="4" s="1"/>
  <c r="K358" i="4"/>
  <c r="N358" i="4" s="1"/>
  <c r="F358" i="4"/>
  <c r="J358" i="4"/>
  <c r="G358" i="4"/>
  <c r="L358" i="4" s="1"/>
  <c r="D360" i="3"/>
  <c r="D359" i="4" l="1"/>
  <c r="G359" i="4"/>
  <c r="L359" i="4" s="1"/>
  <c r="I359" i="4"/>
  <c r="M359" i="4" s="1"/>
  <c r="K359" i="4"/>
  <c r="N359" i="4" s="1"/>
  <c r="C359" i="4"/>
  <c r="AB358" i="3"/>
  <c r="E359" i="4" s="1"/>
  <c r="L363" i="2"/>
  <c r="I362" i="2"/>
  <c r="F362" i="2" s="1"/>
  <c r="D364" i="2"/>
  <c r="T363" i="2"/>
  <c r="M363" i="2"/>
  <c r="J362" i="2"/>
  <c r="G362" i="2" s="1"/>
  <c r="D361" i="3"/>
  <c r="C363" i="2"/>
  <c r="K363" i="2"/>
  <c r="H362" i="2"/>
  <c r="E362" i="2" s="1"/>
  <c r="A360" i="4"/>
  <c r="M359" i="3"/>
  <c r="N359" i="3"/>
  <c r="C359" i="3"/>
  <c r="P359" i="3"/>
  <c r="E359" i="3"/>
  <c r="F359" i="3" s="1"/>
  <c r="H359" i="3"/>
  <c r="T359" i="3"/>
  <c r="J359" i="3"/>
  <c r="V359" i="3"/>
  <c r="G359" i="3"/>
  <c r="S359" i="3"/>
  <c r="Y359" i="3" s="1"/>
  <c r="Z359" i="3" s="1"/>
  <c r="AA359" i="3" s="1"/>
  <c r="O358" i="3"/>
  <c r="H359" i="4" s="1"/>
  <c r="I358" i="3"/>
  <c r="F359" i="4" s="1"/>
  <c r="U358" i="3"/>
  <c r="J359" i="4" s="1"/>
  <c r="D360" i="4" l="1"/>
  <c r="K364" i="2"/>
  <c r="H363" i="2"/>
  <c r="L364" i="2"/>
  <c r="I363" i="2"/>
  <c r="C364" i="2"/>
  <c r="F363" i="2"/>
  <c r="E363" i="2"/>
  <c r="A361" i="4"/>
  <c r="H360" i="3"/>
  <c r="T360" i="3"/>
  <c r="J360" i="3"/>
  <c r="V360" i="3"/>
  <c r="M360" i="3"/>
  <c r="N360" i="3"/>
  <c r="E360" i="3"/>
  <c r="F360" i="3" s="1"/>
  <c r="G360" i="3"/>
  <c r="S360" i="3"/>
  <c r="Y360" i="3" s="1"/>
  <c r="Z360" i="3" s="1"/>
  <c r="AA360" i="3" s="1"/>
  <c r="P360" i="3"/>
  <c r="C360" i="3"/>
  <c r="D362" i="3"/>
  <c r="O359" i="3"/>
  <c r="I359" i="3"/>
  <c r="U359" i="3"/>
  <c r="M364" i="2"/>
  <c r="J363" i="2"/>
  <c r="C360" i="4"/>
  <c r="AB359" i="3"/>
  <c r="E360" i="4" s="1"/>
  <c r="D365" i="2"/>
  <c r="T364" i="2"/>
  <c r="G360" i="4"/>
  <c r="L360" i="4" s="1"/>
  <c r="H360" i="4"/>
  <c r="I360" i="4"/>
  <c r="M360" i="4" s="1"/>
  <c r="J360" i="4"/>
  <c r="F360" i="4"/>
  <c r="K360" i="4"/>
  <c r="N360" i="4" s="1"/>
  <c r="G363" i="2"/>
  <c r="D361" i="4" l="1"/>
  <c r="G361" i="4"/>
  <c r="L361" i="4" s="1"/>
  <c r="K361" i="4"/>
  <c r="N361" i="4" s="1"/>
  <c r="I361" i="4"/>
  <c r="M361" i="4" s="1"/>
  <c r="C365" i="2"/>
  <c r="A362" i="4"/>
  <c r="E361" i="3"/>
  <c r="F361" i="3" s="1"/>
  <c r="G361" i="3"/>
  <c r="S361" i="3"/>
  <c r="Y361" i="3" s="1"/>
  <c r="Z361" i="3" s="1"/>
  <c r="AA361" i="3" s="1"/>
  <c r="H361" i="3"/>
  <c r="T361" i="3"/>
  <c r="J361" i="3"/>
  <c r="V361" i="3"/>
  <c r="N361" i="3"/>
  <c r="C361" i="3"/>
  <c r="P361" i="3"/>
  <c r="M361" i="3"/>
  <c r="D363" i="3"/>
  <c r="T365" i="2"/>
  <c r="D366" i="2"/>
  <c r="I360" i="3"/>
  <c r="F361" i="4" s="1"/>
  <c r="U360" i="3"/>
  <c r="J361" i="4" s="1"/>
  <c r="O360" i="3"/>
  <c r="H361" i="4" s="1"/>
  <c r="L365" i="2"/>
  <c r="I364" i="2"/>
  <c r="F364" i="2" s="1"/>
  <c r="J364" i="2"/>
  <c r="G364" i="2" s="1"/>
  <c r="M365" i="2"/>
  <c r="C361" i="4"/>
  <c r="AB360" i="3"/>
  <c r="E361" i="4" s="1"/>
  <c r="K365" i="2"/>
  <c r="H364" i="2"/>
  <c r="E364" i="2" s="1"/>
  <c r="D362" i="4" l="1"/>
  <c r="M366" i="2"/>
  <c r="J365" i="2"/>
  <c r="G365" i="2" s="1"/>
  <c r="C362" i="4"/>
  <c r="AB361" i="3"/>
  <c r="E362" i="4" s="1"/>
  <c r="I362" i="4"/>
  <c r="M362" i="4" s="1"/>
  <c r="J362" i="4"/>
  <c r="G362" i="4"/>
  <c r="L362" i="4" s="1"/>
  <c r="K362" i="4"/>
  <c r="N362" i="4" s="1"/>
  <c r="L366" i="2"/>
  <c r="I365" i="2"/>
  <c r="F365" i="2"/>
  <c r="C366" i="2"/>
  <c r="K366" i="2"/>
  <c r="H365" i="2"/>
  <c r="E365" i="2" s="1"/>
  <c r="D364" i="3"/>
  <c r="A363" i="4"/>
  <c r="N362" i="3"/>
  <c r="C362" i="3"/>
  <c r="P362" i="3"/>
  <c r="E362" i="3"/>
  <c r="F362" i="3" s="1"/>
  <c r="G362" i="3"/>
  <c r="S362" i="3"/>
  <c r="Y362" i="3" s="1"/>
  <c r="Z362" i="3" s="1"/>
  <c r="AA362" i="3" s="1"/>
  <c r="H362" i="3"/>
  <c r="T362" i="3"/>
  <c r="M362" i="3"/>
  <c r="J362" i="3"/>
  <c r="V362" i="3"/>
  <c r="D367" i="2"/>
  <c r="T366" i="2"/>
  <c r="I361" i="3"/>
  <c r="F362" i="4" s="1"/>
  <c r="U361" i="3"/>
  <c r="O361" i="3"/>
  <c r="H362" i="4" s="1"/>
  <c r="D363" i="4" l="1"/>
  <c r="K363" i="4"/>
  <c r="N363" i="4" s="1"/>
  <c r="G363" i="4"/>
  <c r="L363" i="4" s="1"/>
  <c r="I363" i="4"/>
  <c r="M363" i="4" s="1"/>
  <c r="D368" i="2"/>
  <c r="T367" i="2"/>
  <c r="K367" i="2"/>
  <c r="H366" i="2"/>
  <c r="C367" i="2"/>
  <c r="E366" i="2"/>
  <c r="C363" i="4"/>
  <c r="AB362" i="3"/>
  <c r="E363" i="4" s="1"/>
  <c r="A364" i="4"/>
  <c r="M363" i="3"/>
  <c r="N363" i="3"/>
  <c r="C363" i="3"/>
  <c r="P363" i="3"/>
  <c r="E363" i="3"/>
  <c r="F363" i="3" s="1"/>
  <c r="H363" i="3"/>
  <c r="T363" i="3"/>
  <c r="J363" i="3"/>
  <c r="V363" i="3"/>
  <c r="S363" i="3"/>
  <c r="Y363" i="3" s="1"/>
  <c r="Z363" i="3" s="1"/>
  <c r="AA363" i="3" s="1"/>
  <c r="G363" i="3"/>
  <c r="M367" i="2"/>
  <c r="J366" i="2"/>
  <c r="G366" i="2" s="1"/>
  <c r="O362" i="3"/>
  <c r="H363" i="4" s="1"/>
  <c r="I362" i="3"/>
  <c r="F363" i="4" s="1"/>
  <c r="U362" i="3"/>
  <c r="J363" i="4" s="1"/>
  <c r="D365" i="3"/>
  <c r="L367" i="2"/>
  <c r="I366" i="2"/>
  <c r="F366" i="2" s="1"/>
  <c r="D364" i="4" l="1"/>
  <c r="J367" i="2"/>
  <c r="G367" i="2" s="1"/>
  <c r="M368" i="2"/>
  <c r="O363" i="3"/>
  <c r="I363" i="3"/>
  <c r="U363" i="3"/>
  <c r="K368" i="2"/>
  <c r="H367" i="2"/>
  <c r="D369" i="2"/>
  <c r="C364" i="4"/>
  <c r="AB363" i="3"/>
  <c r="E364" i="4" s="1"/>
  <c r="I364" i="4"/>
  <c r="M364" i="4" s="1"/>
  <c r="K364" i="4"/>
  <c r="N364" i="4" s="1"/>
  <c r="F364" i="4"/>
  <c r="G364" i="4"/>
  <c r="L364" i="4" s="1"/>
  <c r="H364" i="4"/>
  <c r="J364" i="4"/>
  <c r="L368" i="2"/>
  <c r="I367" i="2"/>
  <c r="F367" i="2" s="1"/>
  <c r="C368" i="2"/>
  <c r="E367" i="2"/>
  <c r="D366" i="3"/>
  <c r="A365" i="4"/>
  <c r="H364" i="3"/>
  <c r="T364" i="3"/>
  <c r="J364" i="3"/>
  <c r="V364" i="3"/>
  <c r="M364" i="3"/>
  <c r="N364" i="3"/>
  <c r="E364" i="3"/>
  <c r="F364" i="3" s="1"/>
  <c r="G364" i="3"/>
  <c r="S364" i="3"/>
  <c r="Y364" i="3" s="1"/>
  <c r="Z364" i="3" s="1"/>
  <c r="AA364" i="3" s="1"/>
  <c r="C364" i="3"/>
  <c r="P364" i="3"/>
  <c r="D365" i="4" l="1"/>
  <c r="A366" i="4"/>
  <c r="E365" i="3"/>
  <c r="F365" i="3" s="1"/>
  <c r="G365" i="3"/>
  <c r="S365" i="3"/>
  <c r="Y365" i="3" s="1"/>
  <c r="Z365" i="3" s="1"/>
  <c r="AA365" i="3" s="1"/>
  <c r="H365" i="3"/>
  <c r="T365" i="3"/>
  <c r="J365" i="3"/>
  <c r="V365" i="3"/>
  <c r="N365" i="3"/>
  <c r="C365" i="3"/>
  <c r="P365" i="3"/>
  <c r="M365" i="3"/>
  <c r="D370" i="2"/>
  <c r="I364" i="3"/>
  <c r="F365" i="4" s="1"/>
  <c r="U364" i="3"/>
  <c r="O364" i="3"/>
  <c r="F368" i="2"/>
  <c r="C369" i="2"/>
  <c r="T368" i="2"/>
  <c r="C365" i="4"/>
  <c r="AB364" i="3"/>
  <c r="E365" i="4" s="1"/>
  <c r="L369" i="2"/>
  <c r="I368" i="2"/>
  <c r="K369" i="2"/>
  <c r="H368" i="2"/>
  <c r="E368" i="2" s="1"/>
  <c r="G365" i="4"/>
  <c r="L365" i="4" s="1"/>
  <c r="I365" i="4"/>
  <c r="M365" i="4" s="1"/>
  <c r="J365" i="4"/>
  <c r="K365" i="4"/>
  <c r="N365" i="4" s="1"/>
  <c r="H365" i="4"/>
  <c r="M369" i="2"/>
  <c r="J368" i="2"/>
  <c r="G368" i="2" s="1"/>
  <c r="D367" i="3"/>
  <c r="D366" i="4" l="1"/>
  <c r="D368" i="3"/>
  <c r="L370" i="2"/>
  <c r="I369" i="2"/>
  <c r="D371" i="2"/>
  <c r="T370" i="2"/>
  <c r="A367" i="4"/>
  <c r="N366" i="3"/>
  <c r="C366" i="3"/>
  <c r="P366" i="3"/>
  <c r="E366" i="3"/>
  <c r="F366" i="3" s="1"/>
  <c r="G366" i="3"/>
  <c r="S366" i="3"/>
  <c r="Y366" i="3" s="1"/>
  <c r="Z366" i="3" s="1"/>
  <c r="AA366" i="3" s="1"/>
  <c r="H366" i="3"/>
  <c r="T366" i="3"/>
  <c r="M366" i="3"/>
  <c r="V366" i="3"/>
  <c r="J366" i="3"/>
  <c r="K370" i="2"/>
  <c r="H369" i="2"/>
  <c r="T369" i="2"/>
  <c r="I365" i="3"/>
  <c r="U365" i="3"/>
  <c r="O365" i="3"/>
  <c r="M370" i="2"/>
  <c r="J369" i="2"/>
  <c r="G369" i="2" s="1"/>
  <c r="C366" i="4"/>
  <c r="AB365" i="3"/>
  <c r="E366" i="4" s="1"/>
  <c r="G366" i="4"/>
  <c r="L366" i="4" s="1"/>
  <c r="H366" i="4"/>
  <c r="I366" i="4"/>
  <c r="M366" i="4" s="1"/>
  <c r="J366" i="4"/>
  <c r="F366" i="4"/>
  <c r="K366" i="4"/>
  <c r="N366" i="4" s="1"/>
  <c r="C370" i="2"/>
  <c r="F369" i="2"/>
  <c r="E369" i="2"/>
  <c r="D367" i="4" l="1"/>
  <c r="G367" i="4"/>
  <c r="L367" i="4" s="1"/>
  <c r="I367" i="4"/>
  <c r="M367" i="4" s="1"/>
  <c r="K367" i="4"/>
  <c r="N367" i="4" s="1"/>
  <c r="C367" i="4"/>
  <c r="AB366" i="3"/>
  <c r="E367" i="4" s="1"/>
  <c r="D372" i="2"/>
  <c r="L371" i="2"/>
  <c r="I370" i="2"/>
  <c r="D369" i="3"/>
  <c r="J370" i="2"/>
  <c r="G370" i="2" s="1"/>
  <c r="M371" i="2"/>
  <c r="C371" i="2"/>
  <c r="T371" i="2" s="1"/>
  <c r="F370" i="2"/>
  <c r="A368" i="4"/>
  <c r="M367" i="3"/>
  <c r="N367" i="3"/>
  <c r="C367" i="3"/>
  <c r="P367" i="3"/>
  <c r="E367" i="3"/>
  <c r="F367" i="3" s="1"/>
  <c r="H367" i="3"/>
  <c r="T367" i="3"/>
  <c r="J367" i="3"/>
  <c r="V367" i="3"/>
  <c r="G367" i="3"/>
  <c r="S367" i="3"/>
  <c r="Y367" i="3" s="1"/>
  <c r="Z367" i="3" s="1"/>
  <c r="AA367" i="3" s="1"/>
  <c r="K371" i="2"/>
  <c r="H370" i="2"/>
  <c r="E370" i="2" s="1"/>
  <c r="O366" i="3"/>
  <c r="H367" i="4" s="1"/>
  <c r="I366" i="3"/>
  <c r="F367" i="4" s="1"/>
  <c r="U366" i="3"/>
  <c r="J367" i="4" s="1"/>
  <c r="D368" i="4" l="1"/>
  <c r="I368" i="4"/>
  <c r="M368" i="4" s="1"/>
  <c r="K368" i="4"/>
  <c r="N368" i="4" s="1"/>
  <c r="G368" i="4"/>
  <c r="L368" i="4" s="1"/>
  <c r="C372" i="2"/>
  <c r="M372" i="2"/>
  <c r="J371" i="2"/>
  <c r="G371" i="2" s="1"/>
  <c r="A369" i="4"/>
  <c r="H368" i="3"/>
  <c r="T368" i="3"/>
  <c r="J368" i="3"/>
  <c r="V368" i="3"/>
  <c r="M368" i="3"/>
  <c r="N368" i="3"/>
  <c r="E368" i="3"/>
  <c r="F368" i="3" s="1"/>
  <c r="G368" i="3"/>
  <c r="S368" i="3"/>
  <c r="Y368" i="3" s="1"/>
  <c r="Z368" i="3" s="1"/>
  <c r="AA368" i="3" s="1"/>
  <c r="P368" i="3"/>
  <c r="C368" i="3"/>
  <c r="D370" i="3"/>
  <c r="O367" i="3"/>
  <c r="H368" i="4" s="1"/>
  <c r="I367" i="3"/>
  <c r="F368" i="4" s="1"/>
  <c r="U367" i="3"/>
  <c r="J368" i="4" s="1"/>
  <c r="C368" i="4"/>
  <c r="AB367" i="3"/>
  <c r="E368" i="4" s="1"/>
  <c r="L372" i="2"/>
  <c r="I371" i="2"/>
  <c r="F371" i="2" s="1"/>
  <c r="K372" i="2"/>
  <c r="H371" i="2"/>
  <c r="E371" i="2" s="1"/>
  <c r="D373" i="2"/>
  <c r="T372" i="2"/>
  <c r="D369" i="4" l="1"/>
  <c r="C373" i="2"/>
  <c r="L373" i="2"/>
  <c r="I372" i="2"/>
  <c r="F372" i="2" s="1"/>
  <c r="A370" i="4"/>
  <c r="E369" i="3"/>
  <c r="F369" i="3" s="1"/>
  <c r="G369" i="3"/>
  <c r="S369" i="3"/>
  <c r="Y369" i="3" s="1"/>
  <c r="Z369" i="3" s="1"/>
  <c r="AA369" i="3" s="1"/>
  <c r="H369" i="3"/>
  <c r="T369" i="3"/>
  <c r="J369" i="3"/>
  <c r="V369" i="3"/>
  <c r="N369" i="3"/>
  <c r="C369" i="3"/>
  <c r="P369" i="3"/>
  <c r="M369" i="3"/>
  <c r="K373" i="2"/>
  <c r="H372" i="2"/>
  <c r="E372" i="2" s="1"/>
  <c r="M373" i="2"/>
  <c r="J372" i="2"/>
  <c r="G372" i="2" s="1"/>
  <c r="I368" i="3"/>
  <c r="F369" i="4" s="1"/>
  <c r="U368" i="3"/>
  <c r="O368" i="3"/>
  <c r="H369" i="4" s="1"/>
  <c r="C369" i="4"/>
  <c r="AB368" i="3"/>
  <c r="E369" i="4" s="1"/>
  <c r="D371" i="3"/>
  <c r="D374" i="2"/>
  <c r="T373" i="2"/>
  <c r="K369" i="4"/>
  <c r="N369" i="4" s="1"/>
  <c r="G369" i="4"/>
  <c r="L369" i="4" s="1"/>
  <c r="I369" i="4"/>
  <c r="M369" i="4" s="1"/>
  <c r="J369" i="4"/>
  <c r="D370" i="4" l="1"/>
  <c r="J373" i="2"/>
  <c r="G373" i="2" s="1"/>
  <c r="M374" i="2"/>
  <c r="A371" i="4"/>
  <c r="N370" i="3"/>
  <c r="C370" i="3"/>
  <c r="P370" i="3"/>
  <c r="E370" i="3"/>
  <c r="F370" i="3" s="1"/>
  <c r="G370" i="3"/>
  <c r="S370" i="3"/>
  <c r="Y370" i="3" s="1"/>
  <c r="Z370" i="3" s="1"/>
  <c r="AA370" i="3" s="1"/>
  <c r="H370" i="3"/>
  <c r="T370" i="3"/>
  <c r="M370" i="3"/>
  <c r="J370" i="3"/>
  <c r="V370" i="3"/>
  <c r="K374" i="2"/>
  <c r="H373" i="2"/>
  <c r="I369" i="3"/>
  <c r="U369" i="3"/>
  <c r="O369" i="3"/>
  <c r="C370" i="4"/>
  <c r="AB369" i="3"/>
  <c r="E370" i="4" s="1"/>
  <c r="I370" i="4"/>
  <c r="M370" i="4" s="1"/>
  <c r="K370" i="4"/>
  <c r="N370" i="4" s="1"/>
  <c r="F370" i="4"/>
  <c r="G370" i="4"/>
  <c r="L370" i="4" s="1"/>
  <c r="H370" i="4"/>
  <c r="J370" i="4"/>
  <c r="D375" i="2"/>
  <c r="D372" i="3"/>
  <c r="L374" i="2"/>
  <c r="I373" i="2"/>
  <c r="C374" i="2"/>
  <c r="E373" i="2"/>
  <c r="F373" i="2"/>
  <c r="D371" i="4" l="1"/>
  <c r="L375" i="2"/>
  <c r="I374" i="2"/>
  <c r="D373" i="3"/>
  <c r="A372" i="4"/>
  <c r="M371" i="3"/>
  <c r="N371" i="3"/>
  <c r="C371" i="3"/>
  <c r="P371" i="3"/>
  <c r="E371" i="3"/>
  <c r="F371" i="3" s="1"/>
  <c r="H371" i="3"/>
  <c r="T371" i="3"/>
  <c r="J371" i="3"/>
  <c r="V371" i="3"/>
  <c r="S371" i="3"/>
  <c r="Y371" i="3" s="1"/>
  <c r="Z371" i="3" s="1"/>
  <c r="AA371" i="3" s="1"/>
  <c r="G371" i="3"/>
  <c r="F374" i="2"/>
  <c r="C375" i="2"/>
  <c r="D376" i="2"/>
  <c r="O370" i="3"/>
  <c r="I370" i="3"/>
  <c r="U370" i="3"/>
  <c r="T374" i="2"/>
  <c r="K375" i="2"/>
  <c r="H374" i="2"/>
  <c r="E374" i="2" s="1"/>
  <c r="G371" i="4"/>
  <c r="L371" i="4" s="1"/>
  <c r="I371" i="4"/>
  <c r="M371" i="4" s="1"/>
  <c r="J371" i="4"/>
  <c r="K371" i="4"/>
  <c r="N371" i="4" s="1"/>
  <c r="F371" i="4"/>
  <c r="H371" i="4"/>
  <c r="M375" i="2"/>
  <c r="J374" i="2"/>
  <c r="G374" i="2" s="1"/>
  <c r="C371" i="4"/>
  <c r="AB370" i="3"/>
  <c r="E371" i="4" s="1"/>
  <c r="D372" i="4" l="1"/>
  <c r="D377" i="2"/>
  <c r="O371" i="3"/>
  <c r="I371" i="3"/>
  <c r="U371" i="3"/>
  <c r="C376" i="2"/>
  <c r="F375" i="2"/>
  <c r="E375" i="2"/>
  <c r="C372" i="4"/>
  <c r="AB371" i="3"/>
  <c r="E372" i="4" s="1"/>
  <c r="K376" i="2"/>
  <c r="H375" i="2"/>
  <c r="G372" i="4"/>
  <c r="L372" i="4" s="1"/>
  <c r="H372" i="4"/>
  <c r="I372" i="4"/>
  <c r="M372" i="4" s="1"/>
  <c r="J372" i="4"/>
  <c r="F372" i="4"/>
  <c r="K372" i="4"/>
  <c r="N372" i="4" s="1"/>
  <c r="D374" i="3"/>
  <c r="M376" i="2"/>
  <c r="J375" i="2"/>
  <c r="G375" i="2" s="1"/>
  <c r="L376" i="2"/>
  <c r="I375" i="2"/>
  <c r="T375" i="2"/>
  <c r="A373" i="4"/>
  <c r="H372" i="3"/>
  <c r="T372" i="3"/>
  <c r="J372" i="3"/>
  <c r="V372" i="3"/>
  <c r="M372" i="3"/>
  <c r="N372" i="3"/>
  <c r="E372" i="3"/>
  <c r="F372" i="3" s="1"/>
  <c r="G372" i="3"/>
  <c r="S372" i="3"/>
  <c r="Y372" i="3" s="1"/>
  <c r="Z372" i="3" s="1"/>
  <c r="AA372" i="3" s="1"/>
  <c r="C372" i="3"/>
  <c r="P372" i="3"/>
  <c r="D373" i="4" l="1"/>
  <c r="I372" i="3"/>
  <c r="U372" i="3"/>
  <c r="J373" i="4" s="1"/>
  <c r="O372" i="3"/>
  <c r="H373" i="4" s="1"/>
  <c r="J376" i="2"/>
  <c r="M377" i="2"/>
  <c r="D375" i="3"/>
  <c r="C373" i="4"/>
  <c r="AB372" i="3"/>
  <c r="E373" i="4" s="1"/>
  <c r="C377" i="2"/>
  <c r="T377" i="2" s="1"/>
  <c r="F373" i="4"/>
  <c r="G373" i="4"/>
  <c r="L373" i="4" s="1"/>
  <c r="K373" i="4"/>
  <c r="N373" i="4" s="1"/>
  <c r="I373" i="4"/>
  <c r="M373" i="4" s="1"/>
  <c r="G376" i="2"/>
  <c r="T376" i="2"/>
  <c r="D378" i="2"/>
  <c r="L377" i="2"/>
  <c r="I376" i="2"/>
  <c r="F376" i="2" s="1"/>
  <c r="K377" i="2"/>
  <c r="H376" i="2"/>
  <c r="E376" i="2" s="1"/>
  <c r="A374" i="4"/>
  <c r="E373" i="3"/>
  <c r="F373" i="3" s="1"/>
  <c r="G373" i="3"/>
  <c r="S373" i="3"/>
  <c r="Y373" i="3" s="1"/>
  <c r="Z373" i="3" s="1"/>
  <c r="AA373" i="3" s="1"/>
  <c r="H373" i="3"/>
  <c r="T373" i="3"/>
  <c r="J373" i="3"/>
  <c r="V373" i="3"/>
  <c r="N373" i="3"/>
  <c r="C373" i="3"/>
  <c r="P373" i="3"/>
  <c r="M373" i="3"/>
  <c r="D374" i="4" l="1"/>
  <c r="C378" i="2"/>
  <c r="D376" i="3"/>
  <c r="A375" i="4"/>
  <c r="N374" i="3"/>
  <c r="C374" i="3"/>
  <c r="P374" i="3"/>
  <c r="E374" i="3"/>
  <c r="F374" i="3" s="1"/>
  <c r="G374" i="3"/>
  <c r="S374" i="3"/>
  <c r="Y374" i="3" s="1"/>
  <c r="Z374" i="3" s="1"/>
  <c r="AA374" i="3" s="1"/>
  <c r="H374" i="3"/>
  <c r="T374" i="3"/>
  <c r="M374" i="3"/>
  <c r="V374" i="3"/>
  <c r="J374" i="3"/>
  <c r="I373" i="3"/>
  <c r="U373" i="3"/>
  <c r="O373" i="3"/>
  <c r="H374" i="4" s="1"/>
  <c r="M378" i="2"/>
  <c r="J377" i="2"/>
  <c r="G377" i="2" s="1"/>
  <c r="C374" i="4"/>
  <c r="AB373" i="3"/>
  <c r="E374" i="4" s="1"/>
  <c r="F374" i="4"/>
  <c r="J374" i="4"/>
  <c r="G374" i="4"/>
  <c r="L374" i="4" s="1"/>
  <c r="I374" i="4"/>
  <c r="M374" i="4" s="1"/>
  <c r="K374" i="4"/>
  <c r="N374" i="4" s="1"/>
  <c r="K378" i="2"/>
  <c r="H377" i="2"/>
  <c r="E377" i="2" s="1"/>
  <c r="L378" i="2"/>
  <c r="I377" i="2"/>
  <c r="F377" i="2" s="1"/>
  <c r="D379" i="2"/>
  <c r="T378" i="2"/>
  <c r="D375" i="4" l="1"/>
  <c r="L379" i="2"/>
  <c r="I378" i="2"/>
  <c r="M379" i="2"/>
  <c r="J378" i="2"/>
  <c r="G378" i="2" s="1"/>
  <c r="O374" i="3"/>
  <c r="I374" i="3"/>
  <c r="U374" i="3"/>
  <c r="K379" i="2"/>
  <c r="H378" i="2"/>
  <c r="K375" i="4"/>
  <c r="N375" i="4" s="1"/>
  <c r="H375" i="4"/>
  <c r="F375" i="4"/>
  <c r="G375" i="4"/>
  <c r="L375" i="4" s="1"/>
  <c r="I375" i="4"/>
  <c r="M375" i="4" s="1"/>
  <c r="J375" i="4"/>
  <c r="D377" i="3"/>
  <c r="C375" i="4"/>
  <c r="AB374" i="3"/>
  <c r="E375" i="4" s="1"/>
  <c r="C379" i="2"/>
  <c r="F378" i="2"/>
  <c r="E378" i="2"/>
  <c r="D380" i="2"/>
  <c r="T379" i="2"/>
  <c r="A376" i="4"/>
  <c r="M375" i="3"/>
  <c r="N375" i="3"/>
  <c r="C375" i="3"/>
  <c r="P375" i="3"/>
  <c r="E375" i="3"/>
  <c r="F375" i="3" s="1"/>
  <c r="H375" i="3"/>
  <c r="T375" i="3"/>
  <c r="J375" i="3"/>
  <c r="V375" i="3"/>
  <c r="G375" i="3"/>
  <c r="S375" i="3"/>
  <c r="Y375" i="3" s="1"/>
  <c r="Z375" i="3" s="1"/>
  <c r="AA375" i="3" s="1"/>
  <c r="D376" i="4" l="1"/>
  <c r="A377" i="4"/>
  <c r="H376" i="3"/>
  <c r="T376" i="3"/>
  <c r="J376" i="3"/>
  <c r="V376" i="3"/>
  <c r="M376" i="3"/>
  <c r="N376" i="3"/>
  <c r="E376" i="3"/>
  <c r="F376" i="3" s="1"/>
  <c r="G376" i="3"/>
  <c r="S376" i="3"/>
  <c r="Y376" i="3" s="1"/>
  <c r="Z376" i="3" s="1"/>
  <c r="AA376" i="3" s="1"/>
  <c r="P376" i="3"/>
  <c r="C376" i="3"/>
  <c r="C380" i="2"/>
  <c r="F379" i="2"/>
  <c r="K380" i="2"/>
  <c r="H379" i="2"/>
  <c r="E379" i="2" s="1"/>
  <c r="O375" i="3"/>
  <c r="I375" i="3"/>
  <c r="U375" i="3"/>
  <c r="D378" i="3"/>
  <c r="C376" i="4"/>
  <c r="AB375" i="3"/>
  <c r="E376" i="4" s="1"/>
  <c r="J379" i="2"/>
  <c r="G379" i="2" s="1"/>
  <c r="M380" i="2"/>
  <c r="I376" i="4"/>
  <c r="M376" i="4" s="1"/>
  <c r="K376" i="4"/>
  <c r="N376" i="4" s="1"/>
  <c r="F376" i="4"/>
  <c r="G376" i="4"/>
  <c r="L376" i="4" s="1"/>
  <c r="H376" i="4"/>
  <c r="J376" i="4"/>
  <c r="L380" i="2"/>
  <c r="I379" i="2"/>
  <c r="T380" i="2"/>
  <c r="D381" i="2"/>
  <c r="D377" i="4" l="1"/>
  <c r="A378" i="4"/>
  <c r="E377" i="3"/>
  <c r="F377" i="3" s="1"/>
  <c r="G377" i="3"/>
  <c r="S377" i="3"/>
  <c r="Y377" i="3" s="1"/>
  <c r="Z377" i="3" s="1"/>
  <c r="AA377" i="3" s="1"/>
  <c r="H377" i="3"/>
  <c r="T377" i="3"/>
  <c r="J377" i="3"/>
  <c r="V377" i="3"/>
  <c r="N377" i="3"/>
  <c r="C377" i="3"/>
  <c r="P377" i="3"/>
  <c r="M377" i="3"/>
  <c r="I376" i="3"/>
  <c r="U376" i="3"/>
  <c r="O376" i="3"/>
  <c r="C377" i="4"/>
  <c r="AB376" i="3"/>
  <c r="E377" i="4" s="1"/>
  <c r="K381" i="2"/>
  <c r="H380" i="2"/>
  <c r="E380" i="2" s="1"/>
  <c r="M381" i="2"/>
  <c r="J380" i="2"/>
  <c r="G380" i="2" s="1"/>
  <c r="D382" i="2"/>
  <c r="C381" i="2"/>
  <c r="G377" i="4"/>
  <c r="L377" i="4" s="1"/>
  <c r="I377" i="4"/>
  <c r="M377" i="4" s="1"/>
  <c r="K377" i="4"/>
  <c r="N377" i="4" s="1"/>
  <c r="F377" i="4"/>
  <c r="H377" i="4"/>
  <c r="J377" i="4"/>
  <c r="L381" i="2"/>
  <c r="I380" i="2"/>
  <c r="F380" i="2" s="1"/>
  <c r="D379" i="3"/>
  <c r="D378" i="4" l="1"/>
  <c r="M382" i="2"/>
  <c r="J381" i="2"/>
  <c r="K382" i="2"/>
  <c r="H381" i="2"/>
  <c r="C382" i="2"/>
  <c r="F381" i="2"/>
  <c r="E381" i="2"/>
  <c r="D380" i="3"/>
  <c r="A379" i="4"/>
  <c r="N378" i="3"/>
  <c r="C378" i="3"/>
  <c r="P378" i="3"/>
  <c r="E378" i="3"/>
  <c r="F378" i="3" s="1"/>
  <c r="G378" i="3"/>
  <c r="S378" i="3"/>
  <c r="Y378" i="3" s="1"/>
  <c r="Z378" i="3" s="1"/>
  <c r="AA378" i="3" s="1"/>
  <c r="H378" i="3"/>
  <c r="T378" i="3"/>
  <c r="M378" i="3"/>
  <c r="J378" i="3"/>
  <c r="V378" i="3"/>
  <c r="I377" i="3"/>
  <c r="U377" i="3"/>
  <c r="O377" i="3"/>
  <c r="T381" i="2"/>
  <c r="C378" i="4"/>
  <c r="AB377" i="3"/>
  <c r="E378" i="4" s="1"/>
  <c r="G378" i="4"/>
  <c r="L378" i="4" s="1"/>
  <c r="I378" i="4"/>
  <c r="M378" i="4" s="1"/>
  <c r="J378" i="4"/>
  <c r="H378" i="4"/>
  <c r="K378" i="4"/>
  <c r="N378" i="4" s="1"/>
  <c r="F378" i="4"/>
  <c r="L382" i="2"/>
  <c r="I381" i="2"/>
  <c r="D383" i="2"/>
  <c r="T382" i="2"/>
  <c r="G381" i="2"/>
  <c r="D379" i="4" l="1"/>
  <c r="C379" i="4"/>
  <c r="AB378" i="3"/>
  <c r="E379" i="4" s="1"/>
  <c r="D381" i="3"/>
  <c r="G379" i="4"/>
  <c r="L379" i="4" s="1"/>
  <c r="I379" i="4"/>
  <c r="M379" i="4" s="1"/>
  <c r="K379" i="4"/>
  <c r="N379" i="4" s="1"/>
  <c r="C383" i="2"/>
  <c r="A380" i="4"/>
  <c r="M379" i="3"/>
  <c r="N379" i="3"/>
  <c r="C379" i="3"/>
  <c r="P379" i="3"/>
  <c r="E379" i="3"/>
  <c r="F379" i="3" s="1"/>
  <c r="H379" i="3"/>
  <c r="T379" i="3"/>
  <c r="J379" i="3"/>
  <c r="V379" i="3"/>
  <c r="S379" i="3"/>
  <c r="Y379" i="3" s="1"/>
  <c r="Z379" i="3" s="1"/>
  <c r="AA379" i="3" s="1"/>
  <c r="G379" i="3"/>
  <c r="K383" i="2"/>
  <c r="H382" i="2"/>
  <c r="E382" i="2" s="1"/>
  <c r="O378" i="3"/>
  <c r="H379" i="4" s="1"/>
  <c r="I378" i="3"/>
  <c r="F379" i="4" s="1"/>
  <c r="U378" i="3"/>
  <c r="J379" i="4" s="1"/>
  <c r="J382" i="2"/>
  <c r="G382" i="2" s="1"/>
  <c r="M383" i="2"/>
  <c r="T383" i="2"/>
  <c r="D384" i="2"/>
  <c r="L383" i="2"/>
  <c r="I382" i="2"/>
  <c r="F382" i="2" s="1"/>
  <c r="D380" i="4" l="1"/>
  <c r="A381" i="4"/>
  <c r="H380" i="3"/>
  <c r="T380" i="3"/>
  <c r="J380" i="3"/>
  <c r="V380" i="3"/>
  <c r="M380" i="3"/>
  <c r="N380" i="3"/>
  <c r="E380" i="3"/>
  <c r="F380" i="3" s="1"/>
  <c r="G380" i="3"/>
  <c r="S380" i="3"/>
  <c r="Y380" i="3" s="1"/>
  <c r="Z380" i="3" s="1"/>
  <c r="AA380" i="3" s="1"/>
  <c r="C380" i="3"/>
  <c r="P380" i="3"/>
  <c r="O379" i="3"/>
  <c r="I379" i="3"/>
  <c r="F380" i="4" s="1"/>
  <c r="U379" i="3"/>
  <c r="D382" i="3"/>
  <c r="K384" i="2"/>
  <c r="H383" i="2"/>
  <c r="E383" i="2" s="1"/>
  <c r="C380" i="4"/>
  <c r="AB379" i="3"/>
  <c r="E380" i="4" s="1"/>
  <c r="M384" i="2"/>
  <c r="J383" i="2"/>
  <c r="G383" i="2" s="1"/>
  <c r="G380" i="4"/>
  <c r="L380" i="4" s="1"/>
  <c r="H380" i="4"/>
  <c r="I380" i="4"/>
  <c r="M380" i="4" s="1"/>
  <c r="J380" i="4"/>
  <c r="K380" i="4"/>
  <c r="N380" i="4" s="1"/>
  <c r="L384" i="2"/>
  <c r="I383" i="2"/>
  <c r="D385" i="2"/>
  <c r="F383" i="2"/>
  <c r="C384" i="2"/>
  <c r="D381" i="4" l="1"/>
  <c r="A382" i="4"/>
  <c r="E381" i="3"/>
  <c r="F381" i="3" s="1"/>
  <c r="G381" i="3"/>
  <c r="S381" i="3"/>
  <c r="Y381" i="3" s="1"/>
  <c r="Z381" i="3" s="1"/>
  <c r="AA381" i="3" s="1"/>
  <c r="H381" i="3"/>
  <c r="T381" i="3"/>
  <c r="J381" i="3"/>
  <c r="V381" i="3"/>
  <c r="N381" i="3"/>
  <c r="C381" i="3"/>
  <c r="P381" i="3"/>
  <c r="M381" i="3"/>
  <c r="I380" i="3"/>
  <c r="U380" i="3"/>
  <c r="O380" i="3"/>
  <c r="D386" i="2"/>
  <c r="T385" i="2"/>
  <c r="L385" i="2"/>
  <c r="I384" i="2"/>
  <c r="F384" i="2" s="1"/>
  <c r="K385" i="2"/>
  <c r="H384" i="2"/>
  <c r="D383" i="3"/>
  <c r="C381" i="4"/>
  <c r="AB380" i="3"/>
  <c r="E381" i="4" s="1"/>
  <c r="K381" i="4"/>
  <c r="N381" i="4" s="1"/>
  <c r="F381" i="4"/>
  <c r="G381" i="4"/>
  <c r="L381" i="4" s="1"/>
  <c r="H381" i="4"/>
  <c r="I381" i="4"/>
  <c r="M381" i="4" s="1"/>
  <c r="J381" i="4"/>
  <c r="C385" i="2"/>
  <c r="E384" i="2"/>
  <c r="T384" i="2"/>
  <c r="M385" i="2"/>
  <c r="J384" i="2"/>
  <c r="G384" i="2" s="1"/>
  <c r="D382" i="4" l="1"/>
  <c r="L386" i="2"/>
  <c r="I385" i="2"/>
  <c r="D387" i="2"/>
  <c r="A383" i="4"/>
  <c r="N382" i="3"/>
  <c r="C382" i="3"/>
  <c r="P382" i="3"/>
  <c r="E382" i="3"/>
  <c r="F382" i="3" s="1"/>
  <c r="G382" i="3"/>
  <c r="S382" i="3"/>
  <c r="Y382" i="3" s="1"/>
  <c r="Z382" i="3" s="1"/>
  <c r="AA382" i="3" s="1"/>
  <c r="H382" i="3"/>
  <c r="T382" i="3"/>
  <c r="M382" i="3"/>
  <c r="V382" i="3"/>
  <c r="J382" i="3"/>
  <c r="J385" i="2"/>
  <c r="G385" i="2" s="1"/>
  <c r="M386" i="2"/>
  <c r="I381" i="3"/>
  <c r="U381" i="3"/>
  <c r="O381" i="3"/>
  <c r="C382" i="4"/>
  <c r="AB381" i="3"/>
  <c r="E382" i="4" s="1"/>
  <c r="I382" i="4"/>
  <c r="M382" i="4" s="1"/>
  <c r="J382" i="4"/>
  <c r="K382" i="4"/>
  <c r="N382" i="4" s="1"/>
  <c r="F382" i="4"/>
  <c r="G382" i="4"/>
  <c r="L382" i="4" s="1"/>
  <c r="H382" i="4"/>
  <c r="D384" i="3"/>
  <c r="C386" i="2"/>
  <c r="F385" i="2"/>
  <c r="K386" i="2"/>
  <c r="H385" i="2"/>
  <c r="E385" i="2" s="1"/>
  <c r="D383" i="4" l="1"/>
  <c r="C387" i="2"/>
  <c r="O382" i="3"/>
  <c r="I382" i="3"/>
  <c r="U382" i="3"/>
  <c r="M387" i="2"/>
  <c r="J386" i="2"/>
  <c r="G383" i="4"/>
  <c r="L383" i="4" s="1"/>
  <c r="H383" i="4"/>
  <c r="I383" i="4"/>
  <c r="M383" i="4" s="1"/>
  <c r="J383" i="4"/>
  <c r="K383" i="4"/>
  <c r="N383" i="4" s="1"/>
  <c r="F383" i="4"/>
  <c r="D388" i="2"/>
  <c r="T387" i="2"/>
  <c r="C383" i="4"/>
  <c r="AB382" i="3"/>
  <c r="E383" i="4" s="1"/>
  <c r="G386" i="2"/>
  <c r="T386" i="2"/>
  <c r="L387" i="2"/>
  <c r="I386" i="2"/>
  <c r="F386" i="2" s="1"/>
  <c r="D385" i="3"/>
  <c r="K387" i="2"/>
  <c r="H386" i="2"/>
  <c r="E386" i="2" s="1"/>
  <c r="A384" i="4"/>
  <c r="M383" i="3"/>
  <c r="N383" i="3"/>
  <c r="C383" i="3"/>
  <c r="P383" i="3"/>
  <c r="E383" i="3"/>
  <c r="F383" i="3" s="1"/>
  <c r="H383" i="3"/>
  <c r="T383" i="3"/>
  <c r="J383" i="3"/>
  <c r="V383" i="3"/>
  <c r="G383" i="3"/>
  <c r="S383" i="3"/>
  <c r="Y383" i="3" s="1"/>
  <c r="Z383" i="3" s="1"/>
  <c r="AA383" i="3" s="1"/>
  <c r="D384" i="4" l="1"/>
  <c r="O383" i="3"/>
  <c r="I383" i="3"/>
  <c r="U383" i="3"/>
  <c r="M388" i="2"/>
  <c r="J387" i="2"/>
  <c r="G387" i="2" s="1"/>
  <c r="A385" i="4"/>
  <c r="H384" i="3"/>
  <c r="T384" i="3"/>
  <c r="J384" i="3"/>
  <c r="V384" i="3"/>
  <c r="M384" i="3"/>
  <c r="N384" i="3"/>
  <c r="E384" i="3"/>
  <c r="F384" i="3" s="1"/>
  <c r="G384" i="3"/>
  <c r="S384" i="3"/>
  <c r="Y384" i="3" s="1"/>
  <c r="Z384" i="3" s="1"/>
  <c r="AA384" i="3" s="1"/>
  <c r="P384" i="3"/>
  <c r="C384" i="3"/>
  <c r="C384" i="4"/>
  <c r="AB383" i="3"/>
  <c r="E384" i="4" s="1"/>
  <c r="L388" i="2"/>
  <c r="I387" i="2"/>
  <c r="F387" i="2" s="1"/>
  <c r="F384" i="4"/>
  <c r="G384" i="4"/>
  <c r="L384" i="4" s="1"/>
  <c r="H384" i="4"/>
  <c r="I384" i="4"/>
  <c r="M384" i="4" s="1"/>
  <c r="J384" i="4"/>
  <c r="K384" i="4"/>
  <c r="N384" i="4" s="1"/>
  <c r="D389" i="2"/>
  <c r="C388" i="2"/>
  <c r="K388" i="2"/>
  <c r="H387" i="2"/>
  <c r="E387" i="2" s="1"/>
  <c r="D386" i="3"/>
  <c r="D385" i="4" l="1"/>
  <c r="L389" i="2"/>
  <c r="I388" i="2"/>
  <c r="C389" i="2"/>
  <c r="F388" i="2"/>
  <c r="T388" i="2"/>
  <c r="G385" i="4"/>
  <c r="L385" i="4" s="1"/>
  <c r="I385" i="4"/>
  <c r="M385" i="4" s="1"/>
  <c r="J385" i="4"/>
  <c r="K385" i="4"/>
  <c r="N385" i="4" s="1"/>
  <c r="T389" i="2"/>
  <c r="D390" i="2"/>
  <c r="J388" i="2"/>
  <c r="G388" i="2" s="1"/>
  <c r="M389" i="2"/>
  <c r="D387" i="3"/>
  <c r="A386" i="4"/>
  <c r="E385" i="3"/>
  <c r="F385" i="3" s="1"/>
  <c r="G385" i="3"/>
  <c r="S385" i="3"/>
  <c r="Y385" i="3" s="1"/>
  <c r="Z385" i="3" s="1"/>
  <c r="AA385" i="3" s="1"/>
  <c r="H385" i="3"/>
  <c r="T385" i="3"/>
  <c r="J385" i="3"/>
  <c r="V385" i="3"/>
  <c r="N385" i="3"/>
  <c r="C385" i="3"/>
  <c r="P385" i="3"/>
  <c r="M385" i="3"/>
  <c r="I384" i="3"/>
  <c r="F385" i="4" s="1"/>
  <c r="U384" i="3"/>
  <c r="O384" i="3"/>
  <c r="H385" i="4" s="1"/>
  <c r="K389" i="2"/>
  <c r="H388" i="2"/>
  <c r="E388" i="2" s="1"/>
  <c r="C385" i="4"/>
  <c r="AB384" i="3"/>
  <c r="E385" i="4" s="1"/>
  <c r="D386" i="4" l="1"/>
  <c r="I385" i="3"/>
  <c r="U385" i="3"/>
  <c r="O385" i="3"/>
  <c r="D388" i="3"/>
  <c r="M390" i="2"/>
  <c r="J389" i="2"/>
  <c r="G389" i="2" s="1"/>
  <c r="C386" i="4"/>
  <c r="AB385" i="3"/>
  <c r="E386" i="4" s="1"/>
  <c r="D391" i="2"/>
  <c r="F389" i="2"/>
  <c r="C390" i="2"/>
  <c r="F386" i="4"/>
  <c r="G386" i="4"/>
  <c r="L386" i="4" s="1"/>
  <c r="H386" i="4"/>
  <c r="I386" i="4"/>
  <c r="M386" i="4" s="1"/>
  <c r="J386" i="4"/>
  <c r="K386" i="4"/>
  <c r="N386" i="4" s="1"/>
  <c r="L390" i="2"/>
  <c r="I389" i="2"/>
  <c r="K390" i="2"/>
  <c r="H389" i="2"/>
  <c r="E389" i="2" s="1"/>
  <c r="A387" i="4"/>
  <c r="N386" i="3"/>
  <c r="C386" i="3"/>
  <c r="P386" i="3"/>
  <c r="E386" i="3"/>
  <c r="F386" i="3" s="1"/>
  <c r="G386" i="3"/>
  <c r="S386" i="3"/>
  <c r="Y386" i="3" s="1"/>
  <c r="Z386" i="3" s="1"/>
  <c r="AA386" i="3" s="1"/>
  <c r="H386" i="3"/>
  <c r="T386" i="3"/>
  <c r="M386" i="3"/>
  <c r="J386" i="3"/>
  <c r="V386" i="3"/>
  <c r="D387" i="4" l="1"/>
  <c r="M391" i="2"/>
  <c r="J390" i="2"/>
  <c r="G390" i="2" s="1"/>
  <c r="D389" i="3"/>
  <c r="O386" i="3"/>
  <c r="I386" i="3"/>
  <c r="U386" i="3"/>
  <c r="C391" i="2"/>
  <c r="E390" i="2"/>
  <c r="A388" i="4"/>
  <c r="M387" i="3"/>
  <c r="C387" i="3"/>
  <c r="P387" i="3"/>
  <c r="E387" i="3"/>
  <c r="F387" i="3" s="1"/>
  <c r="H387" i="3"/>
  <c r="T387" i="3"/>
  <c r="J387" i="3"/>
  <c r="V387" i="3"/>
  <c r="N387" i="3"/>
  <c r="S387" i="3"/>
  <c r="Y387" i="3" s="1"/>
  <c r="Z387" i="3" s="1"/>
  <c r="AA387" i="3" s="1"/>
  <c r="G387" i="3"/>
  <c r="K387" i="4"/>
  <c r="N387" i="4" s="1"/>
  <c r="F387" i="4"/>
  <c r="G387" i="4"/>
  <c r="L387" i="4" s="1"/>
  <c r="H387" i="4"/>
  <c r="I387" i="4"/>
  <c r="M387" i="4" s="1"/>
  <c r="J387" i="4"/>
  <c r="L391" i="2"/>
  <c r="I390" i="2"/>
  <c r="F390" i="2" s="1"/>
  <c r="K391" i="2"/>
  <c r="H390" i="2"/>
  <c r="T390" i="2"/>
  <c r="C387" i="4"/>
  <c r="AB386" i="3"/>
  <c r="E387" i="4" s="1"/>
  <c r="D392" i="2"/>
  <c r="T391" i="2"/>
  <c r="D388" i="4" l="1"/>
  <c r="K392" i="2"/>
  <c r="H391" i="2"/>
  <c r="C392" i="2"/>
  <c r="E391" i="2"/>
  <c r="L392" i="2"/>
  <c r="I391" i="2"/>
  <c r="F391" i="2" s="1"/>
  <c r="A389" i="4"/>
  <c r="H388" i="3"/>
  <c r="T388" i="3"/>
  <c r="J388" i="3"/>
  <c r="V388" i="3"/>
  <c r="M388" i="3"/>
  <c r="N388" i="3"/>
  <c r="E388" i="3"/>
  <c r="F388" i="3" s="1"/>
  <c r="G388" i="3"/>
  <c r="S388" i="3"/>
  <c r="Y388" i="3" s="1"/>
  <c r="Z388" i="3" s="1"/>
  <c r="AA388" i="3" s="1"/>
  <c r="C388" i="3"/>
  <c r="P388" i="3"/>
  <c r="D390" i="3"/>
  <c r="O387" i="3"/>
  <c r="I387" i="3"/>
  <c r="U387" i="3"/>
  <c r="T392" i="2"/>
  <c r="D393" i="2"/>
  <c r="J391" i="2"/>
  <c r="G391" i="2" s="1"/>
  <c r="M392" i="2"/>
  <c r="C388" i="4"/>
  <c r="AB387" i="3"/>
  <c r="E388" i="4" s="1"/>
  <c r="I388" i="4"/>
  <c r="M388" i="4" s="1"/>
  <c r="J388" i="4"/>
  <c r="K388" i="4"/>
  <c r="N388" i="4" s="1"/>
  <c r="F388" i="4"/>
  <c r="G388" i="4"/>
  <c r="L388" i="4" s="1"/>
  <c r="H388" i="4"/>
  <c r="D389" i="4" l="1"/>
  <c r="G389" i="4"/>
  <c r="L389" i="4" s="1"/>
  <c r="I389" i="4"/>
  <c r="M389" i="4" s="1"/>
  <c r="K389" i="4"/>
  <c r="N389" i="4" s="1"/>
  <c r="L393" i="2"/>
  <c r="I392" i="2"/>
  <c r="D391" i="3"/>
  <c r="M393" i="2"/>
  <c r="J392" i="2"/>
  <c r="G392" i="2" s="1"/>
  <c r="D394" i="2"/>
  <c r="A390" i="4"/>
  <c r="E389" i="3"/>
  <c r="F389" i="3" s="1"/>
  <c r="G389" i="3"/>
  <c r="S389" i="3"/>
  <c r="Y389" i="3" s="1"/>
  <c r="Z389" i="3" s="1"/>
  <c r="AA389" i="3" s="1"/>
  <c r="J389" i="3"/>
  <c r="V389" i="3"/>
  <c r="N389" i="3"/>
  <c r="C389" i="3"/>
  <c r="P389" i="3"/>
  <c r="H389" i="3"/>
  <c r="M389" i="3"/>
  <c r="T389" i="3"/>
  <c r="I388" i="3"/>
  <c r="F389" i="4" s="1"/>
  <c r="U388" i="3"/>
  <c r="J389" i="4" s="1"/>
  <c r="O388" i="3"/>
  <c r="H389" i="4" s="1"/>
  <c r="E392" i="2"/>
  <c r="F392" i="2"/>
  <c r="C393" i="2"/>
  <c r="C389" i="4"/>
  <c r="AB388" i="3"/>
  <c r="E389" i="4" s="1"/>
  <c r="K393" i="2"/>
  <c r="H392" i="2"/>
  <c r="D390" i="4" l="1"/>
  <c r="D392" i="3"/>
  <c r="L394" i="2"/>
  <c r="I393" i="2"/>
  <c r="A391" i="4"/>
  <c r="N390" i="3"/>
  <c r="P390" i="3"/>
  <c r="G390" i="3"/>
  <c r="S390" i="3"/>
  <c r="Y390" i="3" s="1"/>
  <c r="Z390" i="3" s="1"/>
  <c r="AA390" i="3" s="1"/>
  <c r="H390" i="3"/>
  <c r="T390" i="3"/>
  <c r="V390" i="3"/>
  <c r="C390" i="3"/>
  <c r="E390" i="3"/>
  <c r="F390" i="3" s="1"/>
  <c r="J390" i="3"/>
  <c r="M390" i="3"/>
  <c r="I389" i="3"/>
  <c r="O389" i="3"/>
  <c r="U389" i="3"/>
  <c r="J390" i="4" s="1"/>
  <c r="F390" i="4"/>
  <c r="G390" i="4"/>
  <c r="L390" i="4" s="1"/>
  <c r="H390" i="4"/>
  <c r="I390" i="4"/>
  <c r="M390" i="4" s="1"/>
  <c r="K390" i="4"/>
  <c r="N390" i="4" s="1"/>
  <c r="D395" i="2"/>
  <c r="C394" i="2"/>
  <c r="F393" i="2"/>
  <c r="T393" i="2"/>
  <c r="K394" i="2"/>
  <c r="H393" i="2"/>
  <c r="E393" i="2" s="1"/>
  <c r="G393" i="2"/>
  <c r="C390" i="4"/>
  <c r="AB389" i="3"/>
  <c r="E390" i="4" s="1"/>
  <c r="M394" i="2"/>
  <c r="J393" i="2"/>
  <c r="D391" i="4" l="1"/>
  <c r="K395" i="2"/>
  <c r="H394" i="2"/>
  <c r="C395" i="2"/>
  <c r="E394" i="2"/>
  <c r="C391" i="4"/>
  <c r="AB390" i="3"/>
  <c r="E391" i="4" s="1"/>
  <c r="F391" i="4"/>
  <c r="G391" i="4"/>
  <c r="L391" i="4" s="1"/>
  <c r="H391" i="4"/>
  <c r="I391" i="4"/>
  <c r="M391" i="4" s="1"/>
  <c r="K391" i="4"/>
  <c r="N391" i="4" s="1"/>
  <c r="T394" i="2"/>
  <c r="J394" i="2"/>
  <c r="G394" i="2" s="1"/>
  <c r="M395" i="2"/>
  <c r="T395" i="2"/>
  <c r="D396" i="2"/>
  <c r="A392" i="4"/>
  <c r="M391" i="3"/>
  <c r="P391" i="3"/>
  <c r="E391" i="3"/>
  <c r="F391" i="3" s="1"/>
  <c r="H391" i="3"/>
  <c r="T391" i="3"/>
  <c r="N391" i="3"/>
  <c r="S391" i="3"/>
  <c r="Y391" i="3" s="1"/>
  <c r="Z391" i="3" s="1"/>
  <c r="AA391" i="3" s="1"/>
  <c r="V391" i="3"/>
  <c r="C391" i="3"/>
  <c r="G391" i="3"/>
  <c r="J391" i="3"/>
  <c r="L395" i="2"/>
  <c r="I394" i="2"/>
  <c r="F394" i="2" s="1"/>
  <c r="U390" i="3"/>
  <c r="J391" i="4" s="1"/>
  <c r="I390" i="3"/>
  <c r="O390" i="3"/>
  <c r="D393" i="3"/>
  <c r="D392" i="4" l="1"/>
  <c r="G392" i="4"/>
  <c r="L392" i="4" s="1"/>
  <c r="I392" i="4"/>
  <c r="M392" i="4" s="1"/>
  <c r="K392" i="4"/>
  <c r="N392" i="4" s="1"/>
  <c r="D397" i="2"/>
  <c r="M396" i="2"/>
  <c r="J395" i="2"/>
  <c r="G395" i="2" s="1"/>
  <c r="D394" i="3"/>
  <c r="C396" i="2"/>
  <c r="L396" i="2"/>
  <c r="I395" i="2"/>
  <c r="F395" i="2" s="1"/>
  <c r="A393" i="4"/>
  <c r="H392" i="3"/>
  <c r="T392" i="3"/>
  <c r="J392" i="3"/>
  <c r="V392" i="3"/>
  <c r="M392" i="3"/>
  <c r="N392" i="3"/>
  <c r="E392" i="3"/>
  <c r="F392" i="3" s="1"/>
  <c r="G392" i="3"/>
  <c r="P392" i="3"/>
  <c r="C392" i="3"/>
  <c r="S392" i="3"/>
  <c r="Y392" i="3" s="1"/>
  <c r="Z392" i="3" s="1"/>
  <c r="AA392" i="3" s="1"/>
  <c r="K396" i="2"/>
  <c r="H395" i="2"/>
  <c r="E395" i="2" s="1"/>
  <c r="C392" i="4"/>
  <c r="AB391" i="3"/>
  <c r="E392" i="4" s="1"/>
  <c r="I391" i="3"/>
  <c r="F392" i="4" s="1"/>
  <c r="U391" i="3"/>
  <c r="J392" i="4" s="1"/>
  <c r="O391" i="3"/>
  <c r="H392" i="4" s="1"/>
  <c r="D393" i="4" l="1"/>
  <c r="T396" i="2"/>
  <c r="M397" i="2"/>
  <c r="J396" i="2"/>
  <c r="G396" i="2" s="1"/>
  <c r="K397" i="2"/>
  <c r="H396" i="2"/>
  <c r="D398" i="2"/>
  <c r="T397" i="2"/>
  <c r="K393" i="4"/>
  <c r="N393" i="4" s="1"/>
  <c r="G393" i="4"/>
  <c r="L393" i="4" s="1"/>
  <c r="I393" i="4"/>
  <c r="M393" i="4" s="1"/>
  <c r="L397" i="2"/>
  <c r="I396" i="2"/>
  <c r="C397" i="2"/>
  <c r="F396" i="2"/>
  <c r="E396" i="2"/>
  <c r="A394" i="4"/>
  <c r="E393" i="3"/>
  <c r="F393" i="3" s="1"/>
  <c r="G393" i="3"/>
  <c r="S393" i="3"/>
  <c r="Y393" i="3" s="1"/>
  <c r="Z393" i="3" s="1"/>
  <c r="AA393" i="3" s="1"/>
  <c r="J393" i="3"/>
  <c r="V393" i="3"/>
  <c r="N393" i="3"/>
  <c r="C393" i="3"/>
  <c r="T393" i="3"/>
  <c r="H393" i="3"/>
  <c r="P393" i="3"/>
  <c r="M393" i="3"/>
  <c r="I392" i="3"/>
  <c r="F393" i="4" s="1"/>
  <c r="O392" i="3"/>
  <c r="H393" i="4" s="1"/>
  <c r="U392" i="3"/>
  <c r="J393" i="4" s="1"/>
  <c r="C393" i="4"/>
  <c r="AB392" i="3"/>
  <c r="E393" i="4" s="1"/>
  <c r="D395" i="3"/>
  <c r="D394" i="4" l="1"/>
  <c r="C394" i="4"/>
  <c r="AB393" i="3"/>
  <c r="E394" i="4" s="1"/>
  <c r="I394" i="4"/>
  <c r="M394" i="4" s="1"/>
  <c r="K394" i="4"/>
  <c r="N394" i="4" s="1"/>
  <c r="G394" i="4"/>
  <c r="L394" i="4" s="1"/>
  <c r="T398" i="2"/>
  <c r="D399" i="2"/>
  <c r="D396" i="3"/>
  <c r="C398" i="2"/>
  <c r="F397" i="2"/>
  <c r="K398" i="2"/>
  <c r="H397" i="2"/>
  <c r="E397" i="2" s="1"/>
  <c r="O393" i="3"/>
  <c r="H394" i="4" s="1"/>
  <c r="U393" i="3"/>
  <c r="J394" i="4" s="1"/>
  <c r="I393" i="3"/>
  <c r="F394" i="4" s="1"/>
  <c r="L398" i="2"/>
  <c r="I397" i="2"/>
  <c r="J397" i="2"/>
  <c r="G397" i="2" s="1"/>
  <c r="M398" i="2"/>
  <c r="A395" i="4"/>
  <c r="N394" i="3"/>
  <c r="P394" i="3"/>
  <c r="G394" i="3"/>
  <c r="S394" i="3"/>
  <c r="Y394" i="3" s="1"/>
  <c r="Z394" i="3" s="1"/>
  <c r="AA394" i="3" s="1"/>
  <c r="H394" i="3"/>
  <c r="T394" i="3"/>
  <c r="M394" i="3"/>
  <c r="C394" i="3"/>
  <c r="V394" i="3"/>
  <c r="J394" i="3"/>
  <c r="E394" i="3"/>
  <c r="F394" i="3" s="1"/>
  <c r="D395" i="4" l="1"/>
  <c r="C395" i="4"/>
  <c r="AB394" i="3"/>
  <c r="E395" i="4" s="1"/>
  <c r="L399" i="2"/>
  <c r="I398" i="2"/>
  <c r="A396" i="4"/>
  <c r="M395" i="3"/>
  <c r="P395" i="3"/>
  <c r="E395" i="3"/>
  <c r="F395" i="3" s="1"/>
  <c r="H395" i="3"/>
  <c r="T395" i="3"/>
  <c r="S395" i="3"/>
  <c r="Y395" i="3" s="1"/>
  <c r="Z395" i="3" s="1"/>
  <c r="AA395" i="3" s="1"/>
  <c r="C395" i="3"/>
  <c r="V395" i="3"/>
  <c r="G395" i="3"/>
  <c r="J395" i="3"/>
  <c r="N395" i="3"/>
  <c r="K399" i="2"/>
  <c r="H398" i="2"/>
  <c r="E398" i="2" s="1"/>
  <c r="O394" i="3"/>
  <c r="U394" i="3"/>
  <c r="I394" i="3"/>
  <c r="G395" i="4"/>
  <c r="L395" i="4" s="1"/>
  <c r="H395" i="4"/>
  <c r="I395" i="4"/>
  <c r="M395" i="4" s="1"/>
  <c r="J395" i="4"/>
  <c r="K395" i="4"/>
  <c r="N395" i="4" s="1"/>
  <c r="F395" i="4"/>
  <c r="F398" i="2"/>
  <c r="C399" i="2"/>
  <c r="M399" i="2"/>
  <c r="J398" i="2"/>
  <c r="G398" i="2" s="1"/>
  <c r="D397" i="3"/>
  <c r="D400" i="2"/>
  <c r="T399" i="2"/>
  <c r="D396" i="4" l="1"/>
  <c r="A397" i="4"/>
  <c r="H396" i="3"/>
  <c r="T396" i="3"/>
  <c r="J396" i="3"/>
  <c r="V396" i="3"/>
  <c r="M396" i="3"/>
  <c r="N396" i="3"/>
  <c r="E396" i="3"/>
  <c r="F396" i="3" s="1"/>
  <c r="P396" i="3"/>
  <c r="S396" i="3"/>
  <c r="Y396" i="3" s="1"/>
  <c r="Z396" i="3" s="1"/>
  <c r="AA396" i="3" s="1"/>
  <c r="C396" i="3"/>
  <c r="G396" i="3"/>
  <c r="D398" i="3"/>
  <c r="M400" i="2"/>
  <c r="J399" i="2"/>
  <c r="G399" i="2" s="1"/>
  <c r="U395" i="3"/>
  <c r="I395" i="3"/>
  <c r="F396" i="4" s="1"/>
  <c r="O395" i="3"/>
  <c r="C400" i="2"/>
  <c r="E399" i="2"/>
  <c r="K400" i="2"/>
  <c r="H399" i="2"/>
  <c r="C396" i="4"/>
  <c r="AB395" i="3"/>
  <c r="E396" i="4" s="1"/>
  <c r="G396" i="4"/>
  <c r="L396" i="4" s="1"/>
  <c r="H396" i="4"/>
  <c r="I396" i="4"/>
  <c r="M396" i="4" s="1"/>
  <c r="J396" i="4"/>
  <c r="K396" i="4"/>
  <c r="N396" i="4" s="1"/>
  <c r="L400" i="2"/>
  <c r="I399" i="2"/>
  <c r="F399" i="2" s="1"/>
  <c r="D401" i="2"/>
  <c r="D397" i="4" l="1"/>
  <c r="C401" i="2"/>
  <c r="A398" i="4"/>
  <c r="E397" i="3"/>
  <c r="F397" i="3" s="1"/>
  <c r="G397" i="3"/>
  <c r="S397" i="3"/>
  <c r="Y397" i="3" s="1"/>
  <c r="Z397" i="3" s="1"/>
  <c r="AA397" i="3" s="1"/>
  <c r="J397" i="3"/>
  <c r="V397" i="3"/>
  <c r="C397" i="3"/>
  <c r="T397" i="3"/>
  <c r="H397" i="3"/>
  <c r="N397" i="3"/>
  <c r="P397" i="3"/>
  <c r="M397" i="3"/>
  <c r="O396" i="3"/>
  <c r="U396" i="3"/>
  <c r="I396" i="3"/>
  <c r="C397" i="4"/>
  <c r="AB396" i="3"/>
  <c r="E397" i="4" s="1"/>
  <c r="J400" i="2"/>
  <c r="G400" i="2" s="1"/>
  <c r="M401" i="2"/>
  <c r="L401" i="2"/>
  <c r="I400" i="2"/>
  <c r="F400" i="2" s="1"/>
  <c r="F397" i="4"/>
  <c r="G397" i="4"/>
  <c r="L397" i="4" s="1"/>
  <c r="H397" i="4"/>
  <c r="I397" i="4"/>
  <c r="M397" i="4" s="1"/>
  <c r="J397" i="4"/>
  <c r="K397" i="4"/>
  <c r="N397" i="4" s="1"/>
  <c r="D399" i="3"/>
  <c r="T400" i="2"/>
  <c r="T401" i="2"/>
  <c r="D402" i="2"/>
  <c r="H400" i="2"/>
  <c r="E400" i="2" s="1"/>
  <c r="K401" i="2"/>
  <c r="D398" i="4" l="1"/>
  <c r="A399" i="4"/>
  <c r="N398" i="3"/>
  <c r="P398" i="3"/>
  <c r="G398" i="3"/>
  <c r="S398" i="3"/>
  <c r="Y398" i="3" s="1"/>
  <c r="Z398" i="3" s="1"/>
  <c r="AA398" i="3" s="1"/>
  <c r="H398" i="3"/>
  <c r="T398" i="3"/>
  <c r="J398" i="3"/>
  <c r="M398" i="3"/>
  <c r="E398" i="3"/>
  <c r="F398" i="3" s="1"/>
  <c r="C398" i="3"/>
  <c r="V398" i="3"/>
  <c r="U397" i="3"/>
  <c r="I397" i="3"/>
  <c r="O397" i="3"/>
  <c r="C398" i="4"/>
  <c r="AB397" i="3"/>
  <c r="E398" i="4" s="1"/>
  <c r="F398" i="4"/>
  <c r="G398" i="4"/>
  <c r="L398" i="4" s="1"/>
  <c r="H398" i="4"/>
  <c r="I398" i="4"/>
  <c r="M398" i="4" s="1"/>
  <c r="J398" i="4"/>
  <c r="K398" i="4"/>
  <c r="N398" i="4" s="1"/>
  <c r="C402" i="2"/>
  <c r="F401" i="2"/>
  <c r="D400" i="3"/>
  <c r="K402" i="2"/>
  <c r="H401" i="2"/>
  <c r="E401" i="2" s="1"/>
  <c r="D403" i="2"/>
  <c r="T402" i="2"/>
  <c r="L402" i="2"/>
  <c r="I401" i="2"/>
  <c r="M402" i="2"/>
  <c r="J401" i="2"/>
  <c r="G401" i="2" s="1"/>
  <c r="D399" i="4" l="1"/>
  <c r="C399" i="4"/>
  <c r="AB398" i="3"/>
  <c r="E399" i="4" s="1"/>
  <c r="D401" i="3"/>
  <c r="A400" i="4"/>
  <c r="M399" i="3"/>
  <c r="P399" i="3"/>
  <c r="E399" i="3"/>
  <c r="F399" i="3" s="1"/>
  <c r="N399" i="3"/>
  <c r="C399" i="3"/>
  <c r="S399" i="3"/>
  <c r="Y399" i="3" s="1"/>
  <c r="Z399" i="3" s="1"/>
  <c r="AA399" i="3" s="1"/>
  <c r="T399" i="3"/>
  <c r="G399" i="3"/>
  <c r="H399" i="3"/>
  <c r="V399" i="3"/>
  <c r="J399" i="3"/>
  <c r="C403" i="2"/>
  <c r="E402" i="2"/>
  <c r="F402" i="2"/>
  <c r="D404" i="2"/>
  <c r="T403" i="2"/>
  <c r="M403" i="2"/>
  <c r="J402" i="2"/>
  <c r="G402" i="2" s="1"/>
  <c r="K399" i="4"/>
  <c r="N399" i="4" s="1"/>
  <c r="F399" i="4"/>
  <c r="G399" i="4"/>
  <c r="L399" i="4" s="1"/>
  <c r="H399" i="4"/>
  <c r="I399" i="4"/>
  <c r="M399" i="4" s="1"/>
  <c r="K403" i="2"/>
  <c r="H402" i="2"/>
  <c r="L403" i="2"/>
  <c r="I402" i="2"/>
  <c r="I398" i="3"/>
  <c r="O398" i="3"/>
  <c r="U398" i="3"/>
  <c r="J399" i="4" s="1"/>
  <c r="D400" i="4" l="1"/>
  <c r="D405" i="2"/>
  <c r="A401" i="4"/>
  <c r="H400" i="3"/>
  <c r="T400" i="3"/>
  <c r="J400" i="3"/>
  <c r="V400" i="3"/>
  <c r="M400" i="3"/>
  <c r="N400" i="3"/>
  <c r="C400" i="3"/>
  <c r="S400" i="3"/>
  <c r="Y400" i="3" s="1"/>
  <c r="Z400" i="3" s="1"/>
  <c r="AA400" i="3" s="1"/>
  <c r="E400" i="3"/>
  <c r="F400" i="3" s="1"/>
  <c r="G400" i="3"/>
  <c r="P400" i="3"/>
  <c r="L404" i="2"/>
  <c r="I403" i="2"/>
  <c r="F403" i="2" s="1"/>
  <c r="H403" i="2"/>
  <c r="E403" i="2" s="1"/>
  <c r="K404" i="2"/>
  <c r="O399" i="3"/>
  <c r="U399" i="3"/>
  <c r="I399" i="3"/>
  <c r="C404" i="2"/>
  <c r="T404" i="2" s="1"/>
  <c r="C400" i="4"/>
  <c r="AB399" i="3"/>
  <c r="E400" i="4" s="1"/>
  <c r="I400" i="4"/>
  <c r="M400" i="4" s="1"/>
  <c r="J400" i="4"/>
  <c r="K400" i="4"/>
  <c r="N400" i="4" s="1"/>
  <c r="F400" i="4"/>
  <c r="G400" i="4"/>
  <c r="L400" i="4" s="1"/>
  <c r="H400" i="4"/>
  <c r="D402" i="3"/>
  <c r="M404" i="2"/>
  <c r="J403" i="2"/>
  <c r="G403" i="2" s="1"/>
  <c r="D401" i="4" l="1"/>
  <c r="C401" i="4"/>
  <c r="AB400" i="3"/>
  <c r="E401" i="4" s="1"/>
  <c r="G401" i="4"/>
  <c r="L401" i="4" s="1"/>
  <c r="I401" i="4"/>
  <c r="M401" i="4" s="1"/>
  <c r="K401" i="4"/>
  <c r="N401" i="4" s="1"/>
  <c r="A402" i="4"/>
  <c r="E401" i="3"/>
  <c r="F401" i="3" s="1"/>
  <c r="G401" i="3"/>
  <c r="S401" i="3"/>
  <c r="Y401" i="3" s="1"/>
  <c r="Z401" i="3" s="1"/>
  <c r="AA401" i="3" s="1"/>
  <c r="J401" i="3"/>
  <c r="V401" i="3"/>
  <c r="M401" i="3"/>
  <c r="N401" i="3"/>
  <c r="P401" i="3"/>
  <c r="T401" i="3"/>
  <c r="H401" i="3"/>
  <c r="C401" i="3"/>
  <c r="D406" i="2"/>
  <c r="M405" i="2"/>
  <c r="J404" i="2"/>
  <c r="G404" i="2" s="1"/>
  <c r="U400" i="3"/>
  <c r="J401" i="4" s="1"/>
  <c r="I400" i="3"/>
  <c r="F401" i="4" s="1"/>
  <c r="O400" i="3"/>
  <c r="H401" i="4" s="1"/>
  <c r="K405" i="2"/>
  <c r="H404" i="2"/>
  <c r="E404" i="2" s="1"/>
  <c r="L405" i="2"/>
  <c r="I404" i="2"/>
  <c r="F404" i="2" s="1"/>
  <c r="C405" i="2"/>
  <c r="D403" i="3"/>
  <c r="D402" i="4" l="1"/>
  <c r="I401" i="3"/>
  <c r="O401" i="3"/>
  <c r="U401" i="3"/>
  <c r="L406" i="2"/>
  <c r="I405" i="2"/>
  <c r="F402" i="4"/>
  <c r="G402" i="4"/>
  <c r="L402" i="4" s="1"/>
  <c r="H402" i="4"/>
  <c r="I402" i="4"/>
  <c r="M402" i="4" s="1"/>
  <c r="J402" i="4"/>
  <c r="K402" i="4"/>
  <c r="N402" i="4" s="1"/>
  <c r="C402" i="4"/>
  <c r="AB401" i="3"/>
  <c r="E402" i="4" s="1"/>
  <c r="K406" i="2"/>
  <c r="H405" i="2"/>
  <c r="D404" i="3"/>
  <c r="M406" i="2"/>
  <c r="J405" i="2"/>
  <c r="G405" i="2" s="1"/>
  <c r="C406" i="2"/>
  <c r="E405" i="2"/>
  <c r="F405" i="2"/>
  <c r="T405" i="2"/>
  <c r="D407" i="2"/>
  <c r="A403" i="4"/>
  <c r="N402" i="3"/>
  <c r="P402" i="3"/>
  <c r="G402" i="3"/>
  <c r="S402" i="3"/>
  <c r="Y402" i="3" s="1"/>
  <c r="Z402" i="3" s="1"/>
  <c r="AA402" i="3" s="1"/>
  <c r="M402" i="3"/>
  <c r="C402" i="3"/>
  <c r="T402" i="3"/>
  <c r="E402" i="3"/>
  <c r="F402" i="3" s="1"/>
  <c r="V402" i="3"/>
  <c r="H402" i="3"/>
  <c r="J402" i="3"/>
  <c r="D403" i="4" l="1"/>
  <c r="C403" i="4"/>
  <c r="AB402" i="3"/>
  <c r="E403" i="4" s="1"/>
  <c r="A404" i="4"/>
  <c r="M403" i="3"/>
  <c r="P403" i="3"/>
  <c r="C403" i="3"/>
  <c r="E403" i="3"/>
  <c r="F403" i="3" s="1"/>
  <c r="S403" i="3"/>
  <c r="Y403" i="3" s="1"/>
  <c r="Z403" i="3" s="1"/>
  <c r="AA403" i="3" s="1"/>
  <c r="T403" i="3"/>
  <c r="G403" i="3"/>
  <c r="H403" i="3"/>
  <c r="V403" i="3"/>
  <c r="J403" i="3"/>
  <c r="N403" i="3"/>
  <c r="C407" i="2"/>
  <c r="E406" i="2"/>
  <c r="D405" i="3"/>
  <c r="L407" i="2"/>
  <c r="I406" i="2"/>
  <c r="F406" i="2" s="1"/>
  <c r="G403" i="4"/>
  <c r="L403" i="4" s="1"/>
  <c r="H403" i="4"/>
  <c r="I403" i="4"/>
  <c r="M403" i="4" s="1"/>
  <c r="J403" i="4"/>
  <c r="K403" i="4"/>
  <c r="N403" i="4" s="1"/>
  <c r="H406" i="2"/>
  <c r="K407" i="2"/>
  <c r="T406" i="2"/>
  <c r="M407" i="2"/>
  <c r="J406" i="2"/>
  <c r="G406" i="2" s="1"/>
  <c r="O402" i="3"/>
  <c r="U402" i="3"/>
  <c r="I402" i="3"/>
  <c r="F403" i="4" s="1"/>
  <c r="T407" i="2"/>
  <c r="D408" i="2"/>
  <c r="D404" i="4" l="1"/>
  <c r="L408" i="2"/>
  <c r="I407" i="2"/>
  <c r="M408" i="2"/>
  <c r="J407" i="2"/>
  <c r="G407" i="2" s="1"/>
  <c r="K408" i="2"/>
  <c r="H407" i="2"/>
  <c r="E407" i="2" s="1"/>
  <c r="D406" i="3"/>
  <c r="U403" i="3"/>
  <c r="I403" i="3"/>
  <c r="F404" i="4" s="1"/>
  <c r="O403" i="3"/>
  <c r="H404" i="4" s="1"/>
  <c r="D409" i="2"/>
  <c r="C408" i="2"/>
  <c r="F407" i="2"/>
  <c r="C404" i="4"/>
  <c r="AB403" i="3"/>
  <c r="E404" i="4" s="1"/>
  <c r="G404" i="4"/>
  <c r="L404" i="4" s="1"/>
  <c r="I404" i="4"/>
  <c r="M404" i="4" s="1"/>
  <c r="J404" i="4"/>
  <c r="K404" i="4"/>
  <c r="N404" i="4" s="1"/>
  <c r="A405" i="4"/>
  <c r="H404" i="3"/>
  <c r="T404" i="3"/>
  <c r="M404" i="3"/>
  <c r="C404" i="3"/>
  <c r="E404" i="3"/>
  <c r="F404" i="3" s="1"/>
  <c r="S404" i="3"/>
  <c r="Y404" i="3" s="1"/>
  <c r="Z404" i="3" s="1"/>
  <c r="AA404" i="3" s="1"/>
  <c r="G404" i="3"/>
  <c r="V404" i="3"/>
  <c r="J404" i="3"/>
  <c r="N404" i="3"/>
  <c r="P404" i="3"/>
  <c r="D405" i="4" l="1"/>
  <c r="D407" i="3"/>
  <c r="U404" i="3"/>
  <c r="I404" i="3"/>
  <c r="O404" i="3"/>
  <c r="C405" i="4"/>
  <c r="AB404" i="3"/>
  <c r="E405" i="4" s="1"/>
  <c r="K409" i="2"/>
  <c r="H408" i="2"/>
  <c r="E408" i="2"/>
  <c r="C409" i="2"/>
  <c r="M409" i="2"/>
  <c r="J408" i="2"/>
  <c r="A406" i="4"/>
  <c r="E405" i="3"/>
  <c r="F405" i="3" s="1"/>
  <c r="C405" i="3"/>
  <c r="P405" i="3"/>
  <c r="G405" i="3"/>
  <c r="S405" i="3"/>
  <c r="Y405" i="3" s="1"/>
  <c r="Z405" i="3" s="1"/>
  <c r="AA405" i="3" s="1"/>
  <c r="H405" i="3"/>
  <c r="T405" i="3"/>
  <c r="J405" i="3"/>
  <c r="V405" i="3"/>
  <c r="M405" i="3"/>
  <c r="N405" i="3"/>
  <c r="K405" i="4"/>
  <c r="N405" i="4" s="1"/>
  <c r="F405" i="4"/>
  <c r="G405" i="4"/>
  <c r="L405" i="4" s="1"/>
  <c r="H405" i="4"/>
  <c r="I405" i="4"/>
  <c r="M405" i="4" s="1"/>
  <c r="J405" i="4"/>
  <c r="T408" i="2"/>
  <c r="D410" i="2"/>
  <c r="T409" i="2"/>
  <c r="L409" i="2"/>
  <c r="I408" i="2"/>
  <c r="F408" i="2" s="1"/>
  <c r="G408" i="2"/>
  <c r="D406" i="4" l="1"/>
  <c r="H409" i="2"/>
  <c r="K410" i="2"/>
  <c r="A407" i="4"/>
  <c r="N406" i="3"/>
  <c r="C406" i="3"/>
  <c r="P406" i="3"/>
  <c r="E406" i="3"/>
  <c r="F406" i="3" s="1"/>
  <c r="S406" i="3"/>
  <c r="Y406" i="3" s="1"/>
  <c r="Z406" i="3" s="1"/>
  <c r="AA406" i="3" s="1"/>
  <c r="G406" i="3"/>
  <c r="T406" i="3"/>
  <c r="H406" i="3"/>
  <c r="V406" i="3"/>
  <c r="M406" i="3"/>
  <c r="J406" i="3"/>
  <c r="I405" i="3"/>
  <c r="U405" i="3"/>
  <c r="O405" i="3"/>
  <c r="I406" i="4"/>
  <c r="M406" i="4" s="1"/>
  <c r="J406" i="4"/>
  <c r="K406" i="4"/>
  <c r="N406" i="4" s="1"/>
  <c r="F406" i="4"/>
  <c r="G406" i="4"/>
  <c r="L406" i="4" s="1"/>
  <c r="H406" i="4"/>
  <c r="I409" i="2"/>
  <c r="L410" i="2"/>
  <c r="C406" i="4"/>
  <c r="AB405" i="3"/>
  <c r="E406" i="4" s="1"/>
  <c r="J409" i="2"/>
  <c r="G409" i="2" s="1"/>
  <c r="M410" i="2"/>
  <c r="D408" i="3"/>
  <c r="C410" i="2"/>
  <c r="E409" i="2"/>
  <c r="F409" i="2"/>
  <c r="T410" i="2"/>
  <c r="D411" i="2"/>
  <c r="D407" i="4" l="1"/>
  <c r="O406" i="3"/>
  <c r="U406" i="3"/>
  <c r="I406" i="3"/>
  <c r="A408" i="4"/>
  <c r="M407" i="3"/>
  <c r="N407" i="3"/>
  <c r="C407" i="3"/>
  <c r="P407" i="3"/>
  <c r="E407" i="3"/>
  <c r="F407" i="3" s="1"/>
  <c r="G407" i="3"/>
  <c r="S407" i="3"/>
  <c r="Y407" i="3" s="1"/>
  <c r="Z407" i="3" s="1"/>
  <c r="AA407" i="3" s="1"/>
  <c r="H407" i="3"/>
  <c r="T407" i="3"/>
  <c r="J407" i="3"/>
  <c r="V407" i="3"/>
  <c r="M411" i="2"/>
  <c r="J410" i="2"/>
  <c r="C411" i="2"/>
  <c r="G407" i="4"/>
  <c r="L407" i="4" s="1"/>
  <c r="H407" i="4"/>
  <c r="I407" i="4"/>
  <c r="M407" i="4" s="1"/>
  <c r="J407" i="4"/>
  <c r="K407" i="4"/>
  <c r="N407" i="4" s="1"/>
  <c r="F407" i="4"/>
  <c r="D412" i="2"/>
  <c r="T411" i="2"/>
  <c r="L411" i="2"/>
  <c r="I410" i="2"/>
  <c r="F410" i="2" s="1"/>
  <c r="C407" i="4"/>
  <c r="AB406" i="3"/>
  <c r="E407" i="4" s="1"/>
  <c r="H410" i="2"/>
  <c r="E410" i="2" s="1"/>
  <c r="K411" i="2"/>
  <c r="D409" i="3"/>
  <c r="G410" i="2"/>
  <c r="D408" i="4" l="1"/>
  <c r="A409" i="4"/>
  <c r="J408" i="3"/>
  <c r="V408" i="3"/>
  <c r="M408" i="3"/>
  <c r="N408" i="3"/>
  <c r="C408" i="3"/>
  <c r="P408" i="3"/>
  <c r="E408" i="3"/>
  <c r="F408" i="3" s="1"/>
  <c r="G408" i="3"/>
  <c r="S408" i="3"/>
  <c r="Y408" i="3" s="1"/>
  <c r="Z408" i="3" s="1"/>
  <c r="AA408" i="3" s="1"/>
  <c r="H408" i="3"/>
  <c r="T408" i="3"/>
  <c r="E411" i="2"/>
  <c r="F411" i="2"/>
  <c r="C412" i="2"/>
  <c r="O407" i="3"/>
  <c r="I407" i="3"/>
  <c r="U407" i="3"/>
  <c r="L412" i="2"/>
  <c r="I411" i="2"/>
  <c r="D413" i="2"/>
  <c r="M412" i="2"/>
  <c r="J411" i="2"/>
  <c r="G411" i="2" s="1"/>
  <c r="C408" i="4"/>
  <c r="AB407" i="3"/>
  <c r="E408" i="4" s="1"/>
  <c r="K412" i="2"/>
  <c r="H411" i="2"/>
  <c r="F408" i="4"/>
  <c r="G408" i="4"/>
  <c r="L408" i="4" s="1"/>
  <c r="H408" i="4"/>
  <c r="I408" i="4"/>
  <c r="M408" i="4" s="1"/>
  <c r="J408" i="4"/>
  <c r="K408" i="4"/>
  <c r="N408" i="4" s="1"/>
  <c r="D410" i="3"/>
  <c r="D409" i="4" l="1"/>
  <c r="A410" i="4"/>
  <c r="G409" i="3"/>
  <c r="S409" i="3"/>
  <c r="Y409" i="3" s="1"/>
  <c r="Z409" i="3" s="1"/>
  <c r="AA409" i="3" s="1"/>
  <c r="H409" i="3"/>
  <c r="T409" i="3"/>
  <c r="J409" i="3"/>
  <c r="V409" i="3"/>
  <c r="M409" i="3"/>
  <c r="N409" i="3"/>
  <c r="P409" i="3"/>
  <c r="C409" i="3"/>
  <c r="E409" i="3"/>
  <c r="F409" i="3" s="1"/>
  <c r="I412" i="2"/>
  <c r="F412" i="2" s="1"/>
  <c r="L413" i="2"/>
  <c r="O408" i="3"/>
  <c r="I408" i="3"/>
  <c r="U408" i="3"/>
  <c r="J409" i="4" s="1"/>
  <c r="H412" i="2"/>
  <c r="K413" i="2"/>
  <c r="C413" i="2"/>
  <c r="E412" i="2"/>
  <c r="C409" i="4"/>
  <c r="AB408" i="3"/>
  <c r="E409" i="4" s="1"/>
  <c r="D414" i="2"/>
  <c r="D411" i="3"/>
  <c r="J412" i="2"/>
  <c r="G412" i="2" s="1"/>
  <c r="M413" i="2"/>
  <c r="F409" i="4"/>
  <c r="G409" i="4"/>
  <c r="L409" i="4" s="1"/>
  <c r="H409" i="4"/>
  <c r="I409" i="4"/>
  <c r="M409" i="4" s="1"/>
  <c r="K409" i="4"/>
  <c r="N409" i="4" s="1"/>
  <c r="T412" i="2"/>
  <c r="D410" i="4" l="1"/>
  <c r="C414" i="2"/>
  <c r="H413" i="2"/>
  <c r="E413" i="2" s="1"/>
  <c r="K414" i="2"/>
  <c r="C410" i="4"/>
  <c r="AB409" i="3"/>
  <c r="E410" i="4" s="1"/>
  <c r="D412" i="3"/>
  <c r="M414" i="2"/>
  <c r="J413" i="2"/>
  <c r="D415" i="2"/>
  <c r="G413" i="2"/>
  <c r="L414" i="2"/>
  <c r="I413" i="2"/>
  <c r="F413" i="2" s="1"/>
  <c r="T413" i="2"/>
  <c r="A411" i="4"/>
  <c r="P410" i="3"/>
  <c r="E410" i="3"/>
  <c r="F410" i="3" s="1"/>
  <c r="G410" i="3"/>
  <c r="S410" i="3"/>
  <c r="Y410" i="3" s="1"/>
  <c r="Z410" i="3" s="1"/>
  <c r="AA410" i="3" s="1"/>
  <c r="H410" i="3"/>
  <c r="T410" i="3"/>
  <c r="J410" i="3"/>
  <c r="V410" i="3"/>
  <c r="M410" i="3"/>
  <c r="C410" i="3"/>
  <c r="N410" i="3"/>
  <c r="G410" i="4"/>
  <c r="L410" i="4" s="1"/>
  <c r="I410" i="4"/>
  <c r="M410" i="4" s="1"/>
  <c r="K410" i="4"/>
  <c r="N410" i="4" s="1"/>
  <c r="I409" i="3"/>
  <c r="F410" i="4" s="1"/>
  <c r="U409" i="3"/>
  <c r="J410" i="4" s="1"/>
  <c r="O409" i="3"/>
  <c r="H410" i="4" s="1"/>
  <c r="D411" i="4" l="1"/>
  <c r="I410" i="3"/>
  <c r="U410" i="3"/>
  <c r="O410" i="3"/>
  <c r="D413" i="3"/>
  <c r="K411" i="4"/>
  <c r="N411" i="4" s="1"/>
  <c r="F411" i="4"/>
  <c r="G411" i="4"/>
  <c r="L411" i="4" s="1"/>
  <c r="H411" i="4"/>
  <c r="I411" i="4"/>
  <c r="M411" i="4" s="1"/>
  <c r="J411" i="4"/>
  <c r="C411" i="4"/>
  <c r="AB410" i="3"/>
  <c r="E411" i="4" s="1"/>
  <c r="K415" i="2"/>
  <c r="H414" i="2"/>
  <c r="M415" i="2"/>
  <c r="J414" i="2"/>
  <c r="L415" i="2"/>
  <c r="I414" i="2"/>
  <c r="A412" i="4"/>
  <c r="M411" i="3"/>
  <c r="N411" i="3"/>
  <c r="C411" i="3"/>
  <c r="P411" i="3"/>
  <c r="E411" i="3"/>
  <c r="F411" i="3" s="1"/>
  <c r="G411" i="3"/>
  <c r="S411" i="3"/>
  <c r="Y411" i="3" s="1"/>
  <c r="Z411" i="3" s="1"/>
  <c r="AA411" i="3" s="1"/>
  <c r="H411" i="3"/>
  <c r="T411" i="3"/>
  <c r="J411" i="3"/>
  <c r="V411" i="3"/>
  <c r="F414" i="2"/>
  <c r="C415" i="2"/>
  <c r="E414" i="2"/>
  <c r="D416" i="2"/>
  <c r="T414" i="2"/>
  <c r="G414" i="2"/>
  <c r="D412" i="4" l="1"/>
  <c r="C412" i="4"/>
  <c r="AB411" i="3"/>
  <c r="E412" i="4" s="1"/>
  <c r="C416" i="2"/>
  <c r="J415" i="2"/>
  <c r="G415" i="2" s="1"/>
  <c r="M416" i="2"/>
  <c r="D414" i="3"/>
  <c r="I412" i="4"/>
  <c r="M412" i="4" s="1"/>
  <c r="K412" i="4"/>
  <c r="N412" i="4" s="1"/>
  <c r="G412" i="4"/>
  <c r="L412" i="4" s="1"/>
  <c r="A413" i="4"/>
  <c r="J412" i="3"/>
  <c r="V412" i="3"/>
  <c r="M412" i="3"/>
  <c r="N412" i="3"/>
  <c r="C412" i="3"/>
  <c r="P412" i="3"/>
  <c r="E412" i="3"/>
  <c r="F412" i="3" s="1"/>
  <c r="G412" i="3"/>
  <c r="S412" i="3"/>
  <c r="Y412" i="3" s="1"/>
  <c r="Z412" i="3" s="1"/>
  <c r="AA412" i="3" s="1"/>
  <c r="T412" i="3"/>
  <c r="H412" i="3"/>
  <c r="H415" i="2"/>
  <c r="E415" i="2" s="1"/>
  <c r="K416" i="2"/>
  <c r="I415" i="2"/>
  <c r="F415" i="2" s="1"/>
  <c r="L416" i="2"/>
  <c r="T415" i="2"/>
  <c r="O411" i="3"/>
  <c r="H412" i="4" s="1"/>
  <c r="I411" i="3"/>
  <c r="F412" i="4" s="1"/>
  <c r="U411" i="3"/>
  <c r="J412" i="4" s="1"/>
  <c r="T416" i="2"/>
  <c r="D417" i="2"/>
  <c r="D413" i="4" l="1"/>
  <c r="I416" i="2"/>
  <c r="L417" i="2"/>
  <c r="C413" i="4"/>
  <c r="AB412" i="3"/>
  <c r="E413" i="4" s="1"/>
  <c r="D415" i="3"/>
  <c r="H416" i="2"/>
  <c r="K417" i="2"/>
  <c r="M417" i="2"/>
  <c r="J416" i="2"/>
  <c r="G416" i="2" s="1"/>
  <c r="G413" i="4"/>
  <c r="L413" i="4" s="1"/>
  <c r="I413" i="4"/>
  <c r="M413" i="4" s="1"/>
  <c r="K413" i="4"/>
  <c r="N413" i="4" s="1"/>
  <c r="D418" i="2"/>
  <c r="E416" i="2"/>
  <c r="F416" i="2"/>
  <c r="C417" i="2"/>
  <c r="A414" i="4"/>
  <c r="G413" i="3"/>
  <c r="S413" i="3"/>
  <c r="Y413" i="3" s="1"/>
  <c r="Z413" i="3" s="1"/>
  <c r="AA413" i="3" s="1"/>
  <c r="H413" i="3"/>
  <c r="T413" i="3"/>
  <c r="J413" i="3"/>
  <c r="V413" i="3"/>
  <c r="M413" i="3"/>
  <c r="N413" i="3"/>
  <c r="P413" i="3"/>
  <c r="C413" i="3"/>
  <c r="E413" i="3"/>
  <c r="F413" i="3" s="1"/>
  <c r="O412" i="3"/>
  <c r="H413" i="4" s="1"/>
  <c r="I412" i="3"/>
  <c r="F413" i="4" s="1"/>
  <c r="U412" i="3"/>
  <c r="J413" i="4" s="1"/>
  <c r="D414" i="4" l="1"/>
  <c r="I413" i="3"/>
  <c r="U413" i="3"/>
  <c r="O413" i="3"/>
  <c r="C418" i="2"/>
  <c r="J417" i="2"/>
  <c r="M418" i="2"/>
  <c r="K418" i="2"/>
  <c r="H417" i="2"/>
  <c r="E417" i="2" s="1"/>
  <c r="T417" i="2"/>
  <c r="C414" i="4"/>
  <c r="AB413" i="3"/>
  <c r="E414" i="4" s="1"/>
  <c r="D419" i="2"/>
  <c r="T418" i="2"/>
  <c r="D416" i="3"/>
  <c r="G417" i="2"/>
  <c r="L418" i="2"/>
  <c r="I417" i="2"/>
  <c r="F417" i="2" s="1"/>
  <c r="A415" i="4"/>
  <c r="P414" i="3"/>
  <c r="E414" i="3"/>
  <c r="F414" i="3" s="1"/>
  <c r="G414" i="3"/>
  <c r="S414" i="3"/>
  <c r="Y414" i="3" s="1"/>
  <c r="Z414" i="3" s="1"/>
  <c r="AA414" i="3" s="1"/>
  <c r="H414" i="3"/>
  <c r="T414" i="3"/>
  <c r="J414" i="3"/>
  <c r="V414" i="3"/>
  <c r="M414" i="3"/>
  <c r="C414" i="3"/>
  <c r="N414" i="3"/>
  <c r="F414" i="4"/>
  <c r="G414" i="4"/>
  <c r="L414" i="4" s="1"/>
  <c r="H414" i="4"/>
  <c r="I414" i="4"/>
  <c r="M414" i="4" s="1"/>
  <c r="J414" i="4"/>
  <c r="K414" i="4"/>
  <c r="N414" i="4" s="1"/>
  <c r="D415" i="4" l="1"/>
  <c r="G415" i="4"/>
  <c r="L415" i="4" s="1"/>
  <c r="I415" i="4"/>
  <c r="M415" i="4" s="1"/>
  <c r="K415" i="4"/>
  <c r="N415" i="4" s="1"/>
  <c r="H418" i="2"/>
  <c r="K419" i="2"/>
  <c r="C415" i="4"/>
  <c r="AB414" i="3"/>
  <c r="E415" i="4" s="1"/>
  <c r="I418" i="2"/>
  <c r="L419" i="2"/>
  <c r="M419" i="2"/>
  <c r="J418" i="2"/>
  <c r="G418" i="2" s="1"/>
  <c r="D417" i="3"/>
  <c r="C419" i="2"/>
  <c r="T419" i="2" s="1"/>
  <c r="E418" i="2"/>
  <c r="F418" i="2"/>
  <c r="D420" i="2"/>
  <c r="A416" i="4"/>
  <c r="M415" i="3"/>
  <c r="N415" i="3"/>
  <c r="C415" i="3"/>
  <c r="P415" i="3"/>
  <c r="E415" i="3"/>
  <c r="F415" i="3" s="1"/>
  <c r="G415" i="3"/>
  <c r="S415" i="3"/>
  <c r="Y415" i="3" s="1"/>
  <c r="Z415" i="3" s="1"/>
  <c r="AA415" i="3" s="1"/>
  <c r="H415" i="3"/>
  <c r="T415" i="3"/>
  <c r="J415" i="3"/>
  <c r="V415" i="3"/>
  <c r="I414" i="3"/>
  <c r="F415" i="4" s="1"/>
  <c r="U414" i="3"/>
  <c r="J415" i="4" s="1"/>
  <c r="O414" i="3"/>
  <c r="H415" i="4" s="1"/>
  <c r="D416" i="4" l="1"/>
  <c r="K420" i="2"/>
  <c r="H419" i="2"/>
  <c r="A417" i="4"/>
  <c r="J416" i="3"/>
  <c r="V416" i="3"/>
  <c r="M416" i="3"/>
  <c r="N416" i="3"/>
  <c r="C416" i="3"/>
  <c r="P416" i="3"/>
  <c r="E416" i="3"/>
  <c r="F416" i="3" s="1"/>
  <c r="G416" i="3"/>
  <c r="S416" i="3"/>
  <c r="Y416" i="3" s="1"/>
  <c r="Z416" i="3" s="1"/>
  <c r="AA416" i="3" s="1"/>
  <c r="H416" i="3"/>
  <c r="T416" i="3"/>
  <c r="E419" i="2"/>
  <c r="F419" i="2"/>
  <c r="C420" i="2"/>
  <c r="D418" i="3"/>
  <c r="O415" i="3"/>
  <c r="H416" i="4" s="1"/>
  <c r="I415" i="3"/>
  <c r="U415" i="3"/>
  <c r="M420" i="2"/>
  <c r="J419" i="2"/>
  <c r="G419" i="2" s="1"/>
  <c r="D421" i="2"/>
  <c r="C416" i="4"/>
  <c r="AB415" i="3"/>
  <c r="E416" i="4" s="1"/>
  <c r="I419" i="2"/>
  <c r="L420" i="2"/>
  <c r="F416" i="4"/>
  <c r="G416" i="4"/>
  <c r="L416" i="4" s="1"/>
  <c r="I416" i="4"/>
  <c r="M416" i="4" s="1"/>
  <c r="J416" i="4"/>
  <c r="K416" i="4"/>
  <c r="N416" i="4" s="1"/>
  <c r="D417" i="4" l="1"/>
  <c r="L421" i="2"/>
  <c r="I420" i="2"/>
  <c r="D419" i="3"/>
  <c r="C421" i="2"/>
  <c r="F420" i="2"/>
  <c r="C417" i="4"/>
  <c r="AB416" i="3"/>
  <c r="E417" i="4" s="1"/>
  <c r="T420" i="2"/>
  <c r="D422" i="2"/>
  <c r="K417" i="4"/>
  <c r="N417" i="4" s="1"/>
  <c r="F417" i="4"/>
  <c r="G417" i="4"/>
  <c r="L417" i="4" s="1"/>
  <c r="I417" i="4"/>
  <c r="M417" i="4" s="1"/>
  <c r="G420" i="2"/>
  <c r="K421" i="2"/>
  <c r="H420" i="2"/>
  <c r="E420" i="2" s="1"/>
  <c r="J420" i="2"/>
  <c r="M421" i="2"/>
  <c r="A418" i="4"/>
  <c r="G417" i="3"/>
  <c r="S417" i="3"/>
  <c r="Y417" i="3" s="1"/>
  <c r="Z417" i="3" s="1"/>
  <c r="AA417" i="3" s="1"/>
  <c r="H417" i="3"/>
  <c r="T417" i="3"/>
  <c r="J417" i="3"/>
  <c r="V417" i="3"/>
  <c r="M417" i="3"/>
  <c r="N417" i="3"/>
  <c r="P417" i="3"/>
  <c r="C417" i="3"/>
  <c r="E417" i="3"/>
  <c r="F417" i="3" s="1"/>
  <c r="O416" i="3"/>
  <c r="H417" i="4" s="1"/>
  <c r="I416" i="3"/>
  <c r="U416" i="3"/>
  <c r="J417" i="4" s="1"/>
  <c r="D418" i="4" l="1"/>
  <c r="C418" i="4"/>
  <c r="AB417" i="3"/>
  <c r="E418" i="4" s="1"/>
  <c r="C422" i="2"/>
  <c r="K422" i="2"/>
  <c r="H421" i="2"/>
  <c r="E421" i="2" s="1"/>
  <c r="D420" i="3"/>
  <c r="I418" i="4"/>
  <c r="M418" i="4" s="1"/>
  <c r="J418" i="4"/>
  <c r="K418" i="4"/>
  <c r="N418" i="4" s="1"/>
  <c r="F418" i="4"/>
  <c r="G418" i="4"/>
  <c r="L418" i="4" s="1"/>
  <c r="H418" i="4"/>
  <c r="T421" i="2"/>
  <c r="L422" i="2"/>
  <c r="I421" i="2"/>
  <c r="F421" i="2" s="1"/>
  <c r="I417" i="3"/>
  <c r="U417" i="3"/>
  <c r="O417" i="3"/>
  <c r="M422" i="2"/>
  <c r="J421" i="2"/>
  <c r="D423" i="2"/>
  <c r="T422" i="2"/>
  <c r="A419" i="4"/>
  <c r="P418" i="3"/>
  <c r="E418" i="3"/>
  <c r="F418" i="3" s="1"/>
  <c r="G418" i="3"/>
  <c r="S418" i="3"/>
  <c r="Y418" i="3" s="1"/>
  <c r="Z418" i="3" s="1"/>
  <c r="AA418" i="3" s="1"/>
  <c r="H418" i="3"/>
  <c r="T418" i="3"/>
  <c r="J418" i="3"/>
  <c r="V418" i="3"/>
  <c r="M418" i="3"/>
  <c r="C418" i="3"/>
  <c r="N418" i="3"/>
  <c r="G421" i="2"/>
  <c r="D419" i="4" l="1"/>
  <c r="D421" i="3"/>
  <c r="J422" i="2"/>
  <c r="G422" i="2" s="1"/>
  <c r="M423" i="2"/>
  <c r="A420" i="4"/>
  <c r="M419" i="3"/>
  <c r="N419" i="3"/>
  <c r="C419" i="3"/>
  <c r="P419" i="3"/>
  <c r="E419" i="3"/>
  <c r="F419" i="3" s="1"/>
  <c r="G419" i="3"/>
  <c r="S419" i="3"/>
  <c r="Y419" i="3" s="1"/>
  <c r="Z419" i="3" s="1"/>
  <c r="AA419" i="3" s="1"/>
  <c r="H419" i="3"/>
  <c r="T419" i="3"/>
  <c r="J419" i="3"/>
  <c r="V419" i="3"/>
  <c r="K423" i="2"/>
  <c r="H422" i="2"/>
  <c r="I418" i="3"/>
  <c r="F419" i="4" s="1"/>
  <c r="U418" i="3"/>
  <c r="O418" i="3"/>
  <c r="L423" i="2"/>
  <c r="I422" i="2"/>
  <c r="F422" i="2" s="1"/>
  <c r="G419" i="4"/>
  <c r="L419" i="4" s="1"/>
  <c r="H419" i="4"/>
  <c r="I419" i="4"/>
  <c r="M419" i="4" s="1"/>
  <c r="J419" i="4"/>
  <c r="K419" i="4"/>
  <c r="N419" i="4" s="1"/>
  <c r="E422" i="2"/>
  <c r="C423" i="2"/>
  <c r="C419" i="4"/>
  <c r="AB418" i="3"/>
  <c r="E419" i="4" s="1"/>
  <c r="D424" i="2"/>
  <c r="D420" i="4" l="1"/>
  <c r="C424" i="2"/>
  <c r="O419" i="3"/>
  <c r="U419" i="3"/>
  <c r="I419" i="3"/>
  <c r="K424" i="2"/>
  <c r="H423" i="2"/>
  <c r="E423" i="2" s="1"/>
  <c r="C420" i="4"/>
  <c r="AB419" i="3"/>
  <c r="E420" i="4" s="1"/>
  <c r="F420" i="4"/>
  <c r="G420" i="4"/>
  <c r="L420" i="4" s="1"/>
  <c r="H420" i="4"/>
  <c r="I420" i="4"/>
  <c r="M420" i="4" s="1"/>
  <c r="J420" i="4"/>
  <c r="K420" i="4"/>
  <c r="N420" i="4" s="1"/>
  <c r="M424" i="2"/>
  <c r="J423" i="2"/>
  <c r="D422" i="3"/>
  <c r="G423" i="2"/>
  <c r="D425" i="2"/>
  <c r="T424" i="2"/>
  <c r="T423" i="2"/>
  <c r="L424" i="2"/>
  <c r="I423" i="2"/>
  <c r="F423" i="2" s="1"/>
  <c r="A421" i="4"/>
  <c r="J420" i="3"/>
  <c r="V420" i="3"/>
  <c r="M420" i="3"/>
  <c r="N420" i="3"/>
  <c r="C420" i="3"/>
  <c r="P420" i="3"/>
  <c r="E420" i="3"/>
  <c r="F420" i="3" s="1"/>
  <c r="G420" i="3"/>
  <c r="S420" i="3"/>
  <c r="Y420" i="3" s="1"/>
  <c r="Z420" i="3" s="1"/>
  <c r="AA420" i="3" s="1"/>
  <c r="H420" i="3"/>
  <c r="T420" i="3"/>
  <c r="D421" i="4" l="1"/>
  <c r="D426" i="2"/>
  <c r="C421" i="4"/>
  <c r="AB420" i="3"/>
  <c r="E421" i="4" s="1"/>
  <c r="D423" i="3"/>
  <c r="K425" i="2"/>
  <c r="H424" i="2"/>
  <c r="E424" i="2" s="1"/>
  <c r="J424" i="2"/>
  <c r="G424" i="2" s="1"/>
  <c r="M425" i="2"/>
  <c r="G421" i="4"/>
  <c r="L421" i="4" s="1"/>
  <c r="H421" i="4"/>
  <c r="I421" i="4"/>
  <c r="M421" i="4" s="1"/>
  <c r="K421" i="4"/>
  <c r="N421" i="4" s="1"/>
  <c r="C425" i="2"/>
  <c r="L425" i="2"/>
  <c r="I424" i="2"/>
  <c r="F424" i="2" s="1"/>
  <c r="A422" i="4"/>
  <c r="G421" i="3"/>
  <c r="S421" i="3"/>
  <c r="Y421" i="3" s="1"/>
  <c r="Z421" i="3" s="1"/>
  <c r="AA421" i="3" s="1"/>
  <c r="H421" i="3"/>
  <c r="T421" i="3"/>
  <c r="J421" i="3"/>
  <c r="V421" i="3"/>
  <c r="M421" i="3"/>
  <c r="N421" i="3"/>
  <c r="P421" i="3"/>
  <c r="C421" i="3"/>
  <c r="E421" i="3"/>
  <c r="F421" i="3" s="1"/>
  <c r="O420" i="3"/>
  <c r="I420" i="3"/>
  <c r="F421" i="4" s="1"/>
  <c r="U420" i="3"/>
  <c r="J421" i="4" s="1"/>
  <c r="D422" i="4" l="1"/>
  <c r="A423" i="4"/>
  <c r="P422" i="3"/>
  <c r="E422" i="3"/>
  <c r="F422" i="3" s="1"/>
  <c r="G422" i="3"/>
  <c r="S422" i="3"/>
  <c r="Y422" i="3" s="1"/>
  <c r="Z422" i="3" s="1"/>
  <c r="AA422" i="3" s="1"/>
  <c r="H422" i="3"/>
  <c r="T422" i="3"/>
  <c r="J422" i="3"/>
  <c r="V422" i="3"/>
  <c r="M422" i="3"/>
  <c r="C422" i="3"/>
  <c r="N422" i="3"/>
  <c r="L426" i="2"/>
  <c r="I425" i="2"/>
  <c r="K426" i="2"/>
  <c r="H425" i="2"/>
  <c r="D424" i="3"/>
  <c r="C422" i="4"/>
  <c r="AB421" i="3"/>
  <c r="E422" i="4" s="1"/>
  <c r="E425" i="2"/>
  <c r="F425" i="2"/>
  <c r="C426" i="2"/>
  <c r="T426" i="2"/>
  <c r="D427" i="2"/>
  <c r="T425" i="2"/>
  <c r="I421" i="3"/>
  <c r="U421" i="3"/>
  <c r="O421" i="3"/>
  <c r="F422" i="4"/>
  <c r="G422" i="4"/>
  <c r="L422" i="4" s="1"/>
  <c r="H422" i="4"/>
  <c r="I422" i="4"/>
  <c r="M422" i="4" s="1"/>
  <c r="J422" i="4"/>
  <c r="K422" i="4"/>
  <c r="N422" i="4" s="1"/>
  <c r="M426" i="2"/>
  <c r="J425" i="2"/>
  <c r="G425" i="2" s="1"/>
  <c r="D423" i="4" l="1"/>
  <c r="D425" i="3"/>
  <c r="K427" i="2"/>
  <c r="H426" i="2"/>
  <c r="A424" i="4"/>
  <c r="M423" i="3"/>
  <c r="N423" i="3"/>
  <c r="C423" i="3"/>
  <c r="P423" i="3"/>
  <c r="E423" i="3"/>
  <c r="F423" i="3" s="1"/>
  <c r="G423" i="3"/>
  <c r="S423" i="3"/>
  <c r="Y423" i="3" s="1"/>
  <c r="Z423" i="3" s="1"/>
  <c r="AA423" i="3" s="1"/>
  <c r="H423" i="3"/>
  <c r="T423" i="3"/>
  <c r="J423" i="3"/>
  <c r="V423" i="3"/>
  <c r="M427" i="2"/>
  <c r="J426" i="2"/>
  <c r="G426" i="2" s="1"/>
  <c r="D428" i="2"/>
  <c r="T427" i="2"/>
  <c r="I422" i="3"/>
  <c r="U422" i="3"/>
  <c r="O422" i="3"/>
  <c r="H423" i="4" s="1"/>
  <c r="L427" i="2"/>
  <c r="I426" i="2"/>
  <c r="K423" i="4"/>
  <c r="N423" i="4" s="1"/>
  <c r="F423" i="4"/>
  <c r="G423" i="4"/>
  <c r="L423" i="4" s="1"/>
  <c r="I423" i="4"/>
  <c r="M423" i="4" s="1"/>
  <c r="J423" i="4"/>
  <c r="F426" i="2"/>
  <c r="C427" i="2"/>
  <c r="E426" i="2"/>
  <c r="C423" i="4"/>
  <c r="AB422" i="3"/>
  <c r="E423" i="4" s="1"/>
  <c r="D424" i="4" l="1"/>
  <c r="D429" i="2"/>
  <c r="J427" i="2"/>
  <c r="G427" i="2" s="1"/>
  <c r="M428" i="2"/>
  <c r="C424" i="4"/>
  <c r="AB423" i="3"/>
  <c r="E424" i="4" s="1"/>
  <c r="I424" i="4"/>
  <c r="M424" i="4" s="1"/>
  <c r="K424" i="4"/>
  <c r="N424" i="4" s="1"/>
  <c r="F424" i="4"/>
  <c r="G424" i="4"/>
  <c r="L424" i="4" s="1"/>
  <c r="H424" i="4"/>
  <c r="J424" i="4"/>
  <c r="O423" i="3"/>
  <c r="I423" i="3"/>
  <c r="U423" i="3"/>
  <c r="K428" i="2"/>
  <c r="H427" i="2"/>
  <c r="I427" i="2"/>
  <c r="L428" i="2"/>
  <c r="D426" i="3"/>
  <c r="C428" i="2"/>
  <c r="T428" i="2" s="1"/>
  <c r="E427" i="2"/>
  <c r="F427" i="2"/>
  <c r="A425" i="4"/>
  <c r="J424" i="3"/>
  <c r="V424" i="3"/>
  <c r="M424" i="3"/>
  <c r="N424" i="3"/>
  <c r="C424" i="3"/>
  <c r="P424" i="3"/>
  <c r="E424" i="3"/>
  <c r="F424" i="3" s="1"/>
  <c r="G424" i="3"/>
  <c r="S424" i="3"/>
  <c r="Y424" i="3" s="1"/>
  <c r="Z424" i="3" s="1"/>
  <c r="AA424" i="3" s="1"/>
  <c r="H424" i="3"/>
  <c r="T424" i="3"/>
  <c r="D425" i="4" l="1"/>
  <c r="O424" i="3"/>
  <c r="I424" i="3"/>
  <c r="U424" i="3"/>
  <c r="D427" i="3"/>
  <c r="L429" i="2"/>
  <c r="I428" i="2"/>
  <c r="A426" i="4"/>
  <c r="G425" i="3"/>
  <c r="S425" i="3"/>
  <c r="Y425" i="3" s="1"/>
  <c r="Z425" i="3" s="1"/>
  <c r="AA425" i="3" s="1"/>
  <c r="H425" i="3"/>
  <c r="T425" i="3"/>
  <c r="J425" i="3"/>
  <c r="V425" i="3"/>
  <c r="M425" i="3"/>
  <c r="N425" i="3"/>
  <c r="P425" i="3"/>
  <c r="C425" i="3"/>
  <c r="E425" i="3"/>
  <c r="F425" i="3" s="1"/>
  <c r="C425" i="4"/>
  <c r="AB424" i="3"/>
  <c r="E425" i="4" s="1"/>
  <c r="K429" i="2"/>
  <c r="H428" i="2"/>
  <c r="E428" i="2" s="1"/>
  <c r="M429" i="2"/>
  <c r="J428" i="2"/>
  <c r="G428" i="2" s="1"/>
  <c r="D430" i="2"/>
  <c r="G425" i="4"/>
  <c r="L425" i="4" s="1"/>
  <c r="I425" i="4"/>
  <c r="M425" i="4" s="1"/>
  <c r="J425" i="4"/>
  <c r="K425" i="4"/>
  <c r="N425" i="4" s="1"/>
  <c r="F425" i="4"/>
  <c r="H425" i="4"/>
  <c r="F428" i="2"/>
  <c r="C429" i="2"/>
  <c r="T429" i="2" s="1"/>
  <c r="D426" i="4" l="1"/>
  <c r="A427" i="4"/>
  <c r="P426" i="3"/>
  <c r="E426" i="3"/>
  <c r="F426" i="3" s="1"/>
  <c r="G426" i="3"/>
  <c r="S426" i="3"/>
  <c r="Y426" i="3" s="1"/>
  <c r="Z426" i="3" s="1"/>
  <c r="AA426" i="3" s="1"/>
  <c r="H426" i="3"/>
  <c r="T426" i="3"/>
  <c r="J426" i="3"/>
  <c r="V426" i="3"/>
  <c r="M426" i="3"/>
  <c r="C426" i="3"/>
  <c r="N426" i="3"/>
  <c r="G426" i="4"/>
  <c r="L426" i="4" s="1"/>
  <c r="I426" i="4"/>
  <c r="M426" i="4" s="1"/>
  <c r="K426" i="4"/>
  <c r="N426" i="4" s="1"/>
  <c r="I425" i="3"/>
  <c r="F426" i="4" s="1"/>
  <c r="U425" i="3"/>
  <c r="J426" i="4" s="1"/>
  <c r="O425" i="3"/>
  <c r="H426" i="4" s="1"/>
  <c r="L430" i="2"/>
  <c r="I429" i="2"/>
  <c r="D431" i="2"/>
  <c r="D428" i="3"/>
  <c r="F429" i="2"/>
  <c r="C430" i="2"/>
  <c r="T430" i="2" s="1"/>
  <c r="E429" i="2"/>
  <c r="G429" i="2"/>
  <c r="C426" i="4"/>
  <c r="AB425" i="3"/>
  <c r="E426" i="4" s="1"/>
  <c r="M430" i="2"/>
  <c r="J429" i="2"/>
  <c r="K430" i="2"/>
  <c r="H429" i="2"/>
  <c r="D427" i="4" l="1"/>
  <c r="A428" i="4"/>
  <c r="M427" i="3"/>
  <c r="N427" i="3"/>
  <c r="C427" i="3"/>
  <c r="P427" i="3"/>
  <c r="E427" i="3"/>
  <c r="F427" i="3" s="1"/>
  <c r="G427" i="3"/>
  <c r="S427" i="3"/>
  <c r="Y427" i="3" s="1"/>
  <c r="Z427" i="3" s="1"/>
  <c r="AA427" i="3" s="1"/>
  <c r="H427" i="3"/>
  <c r="T427" i="3"/>
  <c r="J427" i="3"/>
  <c r="V427" i="3"/>
  <c r="I426" i="3"/>
  <c r="U426" i="3"/>
  <c r="O426" i="3"/>
  <c r="K431" i="2"/>
  <c r="H430" i="2"/>
  <c r="C431" i="2"/>
  <c r="E430" i="2"/>
  <c r="D429" i="3"/>
  <c r="F427" i="4"/>
  <c r="G427" i="4"/>
  <c r="L427" i="4" s="1"/>
  <c r="H427" i="4"/>
  <c r="J427" i="4"/>
  <c r="K427" i="4"/>
  <c r="N427" i="4" s="1"/>
  <c r="I427" i="4"/>
  <c r="M427" i="4" s="1"/>
  <c r="T431" i="2"/>
  <c r="D432" i="2"/>
  <c r="J430" i="2"/>
  <c r="G430" i="2" s="1"/>
  <c r="M431" i="2"/>
  <c r="I430" i="2"/>
  <c r="F430" i="2" s="1"/>
  <c r="L431" i="2"/>
  <c r="C427" i="4"/>
  <c r="AB426" i="3"/>
  <c r="E427" i="4" s="1"/>
  <c r="D428" i="4" l="1"/>
  <c r="M432" i="2"/>
  <c r="J431" i="2"/>
  <c r="G431" i="2" s="1"/>
  <c r="D430" i="3"/>
  <c r="D433" i="2"/>
  <c r="E431" i="2"/>
  <c r="C432" i="2"/>
  <c r="A429" i="4"/>
  <c r="J428" i="3"/>
  <c r="V428" i="3"/>
  <c r="M428" i="3"/>
  <c r="N428" i="3"/>
  <c r="C428" i="3"/>
  <c r="P428" i="3"/>
  <c r="E428" i="3"/>
  <c r="F428" i="3" s="1"/>
  <c r="G428" i="3"/>
  <c r="S428" i="3"/>
  <c r="Y428" i="3" s="1"/>
  <c r="Z428" i="3" s="1"/>
  <c r="AA428" i="3" s="1"/>
  <c r="T428" i="3"/>
  <c r="H428" i="3"/>
  <c r="O427" i="3"/>
  <c r="H428" i="4" s="1"/>
  <c r="I427" i="3"/>
  <c r="F428" i="4" s="1"/>
  <c r="U427" i="3"/>
  <c r="J428" i="4" s="1"/>
  <c r="K432" i="2"/>
  <c r="H431" i="2"/>
  <c r="C428" i="4"/>
  <c r="AB427" i="3"/>
  <c r="E428" i="4" s="1"/>
  <c r="I428" i="4"/>
  <c r="M428" i="4" s="1"/>
  <c r="K428" i="4"/>
  <c r="N428" i="4" s="1"/>
  <c r="G428" i="4"/>
  <c r="L428" i="4" s="1"/>
  <c r="L432" i="2"/>
  <c r="I431" i="2"/>
  <c r="F431" i="2" s="1"/>
  <c r="D429" i="4" l="1"/>
  <c r="C433" i="2"/>
  <c r="A430" i="4"/>
  <c r="G429" i="3"/>
  <c r="S429" i="3"/>
  <c r="Y429" i="3" s="1"/>
  <c r="Z429" i="3" s="1"/>
  <c r="AA429" i="3" s="1"/>
  <c r="H429" i="3"/>
  <c r="T429" i="3"/>
  <c r="J429" i="3"/>
  <c r="V429" i="3"/>
  <c r="M429" i="3"/>
  <c r="N429" i="3"/>
  <c r="P429" i="3"/>
  <c r="C429" i="3"/>
  <c r="E429" i="3"/>
  <c r="F429" i="3" s="1"/>
  <c r="D434" i="2"/>
  <c r="T433" i="2"/>
  <c r="O428" i="3"/>
  <c r="H429" i="4" s="1"/>
  <c r="I428" i="3"/>
  <c r="U428" i="3"/>
  <c r="J429" i="4" s="1"/>
  <c r="T432" i="2"/>
  <c r="K433" i="2"/>
  <c r="H432" i="2"/>
  <c r="E432" i="2" s="1"/>
  <c r="D431" i="3"/>
  <c r="C429" i="4"/>
  <c r="AB428" i="3"/>
  <c r="E429" i="4" s="1"/>
  <c r="L433" i="2"/>
  <c r="I432" i="2"/>
  <c r="F432" i="2" s="1"/>
  <c r="M433" i="2"/>
  <c r="J432" i="2"/>
  <c r="G432" i="2" s="1"/>
  <c r="K429" i="4"/>
  <c r="N429" i="4" s="1"/>
  <c r="F429" i="4"/>
  <c r="G429" i="4"/>
  <c r="L429" i="4" s="1"/>
  <c r="I429" i="4"/>
  <c r="M429" i="4" s="1"/>
  <c r="D430" i="4" l="1"/>
  <c r="J433" i="2"/>
  <c r="G433" i="2" s="1"/>
  <c r="M434" i="2"/>
  <c r="I433" i="2"/>
  <c r="L434" i="2"/>
  <c r="D435" i="2"/>
  <c r="D432" i="3"/>
  <c r="A431" i="4"/>
  <c r="P430" i="3"/>
  <c r="E430" i="3"/>
  <c r="F430" i="3" s="1"/>
  <c r="G430" i="3"/>
  <c r="S430" i="3"/>
  <c r="Y430" i="3" s="1"/>
  <c r="Z430" i="3" s="1"/>
  <c r="AA430" i="3" s="1"/>
  <c r="H430" i="3"/>
  <c r="T430" i="3"/>
  <c r="J430" i="3"/>
  <c r="V430" i="3"/>
  <c r="M430" i="3"/>
  <c r="C430" i="3"/>
  <c r="N430" i="3"/>
  <c r="I430" i="4"/>
  <c r="M430" i="4" s="1"/>
  <c r="K430" i="4"/>
  <c r="N430" i="4" s="1"/>
  <c r="G430" i="4"/>
  <c r="L430" i="4" s="1"/>
  <c r="H430" i="4"/>
  <c r="J430" i="4"/>
  <c r="I429" i="3"/>
  <c r="F430" i="4" s="1"/>
  <c r="U429" i="3"/>
  <c r="O429" i="3"/>
  <c r="C434" i="2"/>
  <c r="F433" i="2"/>
  <c r="K434" i="2"/>
  <c r="H433" i="2"/>
  <c r="E433" i="2" s="1"/>
  <c r="C430" i="4"/>
  <c r="AB429" i="3"/>
  <c r="E430" i="4" s="1"/>
  <c r="D431" i="4" l="1"/>
  <c r="G431" i="4"/>
  <c r="L431" i="4" s="1"/>
  <c r="I431" i="4"/>
  <c r="M431" i="4" s="1"/>
  <c r="K431" i="4"/>
  <c r="N431" i="4" s="1"/>
  <c r="D433" i="3"/>
  <c r="C435" i="2"/>
  <c r="C431" i="4"/>
  <c r="AB430" i="3"/>
  <c r="E431" i="4" s="1"/>
  <c r="T435" i="2"/>
  <c r="D436" i="2"/>
  <c r="K435" i="2"/>
  <c r="H434" i="2"/>
  <c r="E434" i="2" s="1"/>
  <c r="G434" i="2"/>
  <c r="T434" i="2"/>
  <c r="L435" i="2"/>
  <c r="I434" i="2"/>
  <c r="F434" i="2" s="1"/>
  <c r="M435" i="2"/>
  <c r="J434" i="2"/>
  <c r="A432" i="4"/>
  <c r="M431" i="3"/>
  <c r="N431" i="3"/>
  <c r="C431" i="3"/>
  <c r="P431" i="3"/>
  <c r="E431" i="3"/>
  <c r="F431" i="3" s="1"/>
  <c r="G431" i="3"/>
  <c r="S431" i="3"/>
  <c r="Y431" i="3" s="1"/>
  <c r="Z431" i="3" s="1"/>
  <c r="AA431" i="3" s="1"/>
  <c r="H431" i="3"/>
  <c r="T431" i="3"/>
  <c r="J431" i="3"/>
  <c r="V431" i="3"/>
  <c r="I430" i="3"/>
  <c r="F431" i="4" s="1"/>
  <c r="U430" i="3"/>
  <c r="J431" i="4" s="1"/>
  <c r="O430" i="3"/>
  <c r="H431" i="4" s="1"/>
  <c r="D432" i="4" l="1"/>
  <c r="L436" i="2"/>
  <c r="I435" i="2"/>
  <c r="A433" i="4"/>
  <c r="J432" i="3"/>
  <c r="V432" i="3"/>
  <c r="M432" i="3"/>
  <c r="N432" i="3"/>
  <c r="C432" i="3"/>
  <c r="P432" i="3"/>
  <c r="E432" i="3"/>
  <c r="F432" i="3" s="1"/>
  <c r="G432" i="3"/>
  <c r="S432" i="3"/>
  <c r="Y432" i="3" s="1"/>
  <c r="Z432" i="3" s="1"/>
  <c r="AA432" i="3" s="1"/>
  <c r="H432" i="3"/>
  <c r="T432" i="3"/>
  <c r="D434" i="3"/>
  <c r="O431" i="3"/>
  <c r="I431" i="3"/>
  <c r="F432" i="4" s="1"/>
  <c r="U431" i="3"/>
  <c r="J432" i="4" s="1"/>
  <c r="K436" i="2"/>
  <c r="H435" i="2"/>
  <c r="E435" i="2" s="1"/>
  <c r="D437" i="2"/>
  <c r="C432" i="4"/>
  <c r="AB431" i="3"/>
  <c r="E432" i="4" s="1"/>
  <c r="G432" i="4"/>
  <c r="L432" i="4" s="1"/>
  <c r="H432" i="4"/>
  <c r="I432" i="4"/>
  <c r="M432" i="4" s="1"/>
  <c r="K432" i="4"/>
  <c r="N432" i="4" s="1"/>
  <c r="M436" i="2"/>
  <c r="J435" i="2"/>
  <c r="G435" i="2" s="1"/>
  <c r="F435" i="2"/>
  <c r="C436" i="2"/>
  <c r="D433" i="4" l="1"/>
  <c r="K437" i="2"/>
  <c r="H436" i="2"/>
  <c r="O432" i="3"/>
  <c r="I432" i="3"/>
  <c r="U432" i="3"/>
  <c r="C433" i="4"/>
  <c r="AB432" i="3"/>
  <c r="E433" i="4" s="1"/>
  <c r="D435" i="3"/>
  <c r="F433" i="4"/>
  <c r="G433" i="4"/>
  <c r="L433" i="4" s="1"/>
  <c r="H433" i="4"/>
  <c r="J433" i="4"/>
  <c r="K433" i="4"/>
  <c r="N433" i="4" s="1"/>
  <c r="I433" i="4"/>
  <c r="M433" i="4" s="1"/>
  <c r="I436" i="2"/>
  <c r="L437" i="2"/>
  <c r="J436" i="2"/>
  <c r="M437" i="2"/>
  <c r="C437" i="2"/>
  <c r="E436" i="2"/>
  <c r="F436" i="2"/>
  <c r="G436" i="2"/>
  <c r="T436" i="2"/>
  <c r="T437" i="2"/>
  <c r="D438" i="2"/>
  <c r="A434" i="4"/>
  <c r="G433" i="3"/>
  <c r="S433" i="3"/>
  <c r="Y433" i="3" s="1"/>
  <c r="Z433" i="3" s="1"/>
  <c r="AA433" i="3" s="1"/>
  <c r="H433" i="3"/>
  <c r="T433" i="3"/>
  <c r="J433" i="3"/>
  <c r="V433" i="3"/>
  <c r="M433" i="3"/>
  <c r="N433" i="3"/>
  <c r="P433" i="3"/>
  <c r="C433" i="3"/>
  <c r="E433" i="3"/>
  <c r="F433" i="3" s="1"/>
  <c r="D434" i="4" l="1"/>
  <c r="D436" i="3"/>
  <c r="E437" i="2"/>
  <c r="C438" i="2"/>
  <c r="M438" i="2"/>
  <c r="J437" i="2"/>
  <c r="G437" i="2" s="1"/>
  <c r="L438" i="2"/>
  <c r="I437" i="2"/>
  <c r="F437" i="2" s="1"/>
  <c r="I433" i="3"/>
  <c r="F434" i="4" s="1"/>
  <c r="U433" i="3"/>
  <c r="J434" i="4" s="1"/>
  <c r="O433" i="3"/>
  <c r="H434" i="4"/>
  <c r="I434" i="4"/>
  <c r="M434" i="4" s="1"/>
  <c r="G434" i="4"/>
  <c r="L434" i="4" s="1"/>
  <c r="K434" i="4"/>
  <c r="N434" i="4" s="1"/>
  <c r="D439" i="2"/>
  <c r="T438" i="2"/>
  <c r="A435" i="4"/>
  <c r="P434" i="3"/>
  <c r="E434" i="3"/>
  <c r="F434" i="3" s="1"/>
  <c r="G434" i="3"/>
  <c r="S434" i="3"/>
  <c r="Y434" i="3" s="1"/>
  <c r="Z434" i="3" s="1"/>
  <c r="AA434" i="3" s="1"/>
  <c r="H434" i="3"/>
  <c r="T434" i="3"/>
  <c r="J434" i="3"/>
  <c r="V434" i="3"/>
  <c r="M434" i="3"/>
  <c r="C434" i="3"/>
  <c r="N434" i="3"/>
  <c r="K438" i="2"/>
  <c r="H437" i="2"/>
  <c r="C434" i="4"/>
  <c r="AB433" i="3"/>
  <c r="E434" i="4" s="1"/>
  <c r="D435" i="4" l="1"/>
  <c r="K435" i="4"/>
  <c r="N435" i="4" s="1"/>
  <c r="G435" i="4"/>
  <c r="L435" i="4" s="1"/>
  <c r="I435" i="4"/>
  <c r="M435" i="4" s="1"/>
  <c r="C435" i="4"/>
  <c r="AB434" i="3"/>
  <c r="E435" i="4" s="1"/>
  <c r="D440" i="2"/>
  <c r="T439" i="2"/>
  <c r="L439" i="2"/>
  <c r="I438" i="2"/>
  <c r="M439" i="2"/>
  <c r="J438" i="2"/>
  <c r="G438" i="2" s="1"/>
  <c r="F438" i="2"/>
  <c r="E438" i="2"/>
  <c r="C439" i="2"/>
  <c r="D437" i="3"/>
  <c r="A436" i="4"/>
  <c r="M435" i="3"/>
  <c r="N435" i="3"/>
  <c r="C435" i="3"/>
  <c r="P435" i="3"/>
  <c r="E435" i="3"/>
  <c r="F435" i="3" s="1"/>
  <c r="G435" i="3"/>
  <c r="S435" i="3"/>
  <c r="Y435" i="3" s="1"/>
  <c r="Z435" i="3" s="1"/>
  <c r="AA435" i="3" s="1"/>
  <c r="H435" i="3"/>
  <c r="T435" i="3"/>
  <c r="J435" i="3"/>
  <c r="V435" i="3"/>
  <c r="I434" i="3"/>
  <c r="F435" i="4" s="1"/>
  <c r="U434" i="3"/>
  <c r="J435" i="4" s="1"/>
  <c r="O434" i="3"/>
  <c r="H435" i="4" s="1"/>
  <c r="K439" i="2"/>
  <c r="H438" i="2"/>
  <c r="D436" i="4" l="1"/>
  <c r="I436" i="4"/>
  <c r="M436" i="4" s="1"/>
  <c r="K436" i="4"/>
  <c r="N436" i="4" s="1"/>
  <c r="G436" i="4"/>
  <c r="L436" i="4" s="1"/>
  <c r="D441" i="2"/>
  <c r="C436" i="4"/>
  <c r="AB435" i="3"/>
  <c r="E436" i="4" s="1"/>
  <c r="D438" i="3"/>
  <c r="C440" i="2"/>
  <c r="T440" i="2" s="1"/>
  <c r="E439" i="2"/>
  <c r="F439" i="2"/>
  <c r="A437" i="4"/>
  <c r="J436" i="3"/>
  <c r="V436" i="3"/>
  <c r="M436" i="3"/>
  <c r="N436" i="3"/>
  <c r="C436" i="3"/>
  <c r="P436" i="3"/>
  <c r="E436" i="3"/>
  <c r="F436" i="3" s="1"/>
  <c r="G436" i="3"/>
  <c r="S436" i="3"/>
  <c r="Y436" i="3" s="1"/>
  <c r="Z436" i="3" s="1"/>
  <c r="AA436" i="3" s="1"/>
  <c r="H436" i="3"/>
  <c r="T436" i="3"/>
  <c r="O435" i="3"/>
  <c r="H436" i="4" s="1"/>
  <c r="U435" i="3"/>
  <c r="J436" i="4" s="1"/>
  <c r="I435" i="3"/>
  <c r="F436" i="4" s="1"/>
  <c r="J439" i="2"/>
  <c r="G439" i="2" s="1"/>
  <c r="M440" i="2"/>
  <c r="I439" i="2"/>
  <c r="L440" i="2"/>
  <c r="K440" i="2"/>
  <c r="H439" i="2"/>
  <c r="D437" i="4" l="1"/>
  <c r="M441" i="2"/>
  <c r="J440" i="2"/>
  <c r="D442" i="2"/>
  <c r="C437" i="4"/>
  <c r="AB436" i="3"/>
  <c r="E437" i="4" s="1"/>
  <c r="G440" i="2"/>
  <c r="G437" i="4"/>
  <c r="L437" i="4" s="1"/>
  <c r="I437" i="4"/>
  <c r="M437" i="4" s="1"/>
  <c r="K437" i="4"/>
  <c r="N437" i="4" s="1"/>
  <c r="C441" i="2"/>
  <c r="K441" i="2"/>
  <c r="H440" i="2"/>
  <c r="E440" i="2" s="1"/>
  <c r="A438" i="4"/>
  <c r="G437" i="3"/>
  <c r="S437" i="3"/>
  <c r="Y437" i="3" s="1"/>
  <c r="Z437" i="3" s="1"/>
  <c r="AA437" i="3" s="1"/>
  <c r="H437" i="3"/>
  <c r="T437" i="3"/>
  <c r="J437" i="3"/>
  <c r="V437" i="3"/>
  <c r="M437" i="3"/>
  <c r="N437" i="3"/>
  <c r="P437" i="3"/>
  <c r="C437" i="3"/>
  <c r="E437" i="3"/>
  <c r="F437" i="3" s="1"/>
  <c r="L441" i="2"/>
  <c r="I440" i="2"/>
  <c r="F440" i="2" s="1"/>
  <c r="O436" i="3"/>
  <c r="H437" i="4" s="1"/>
  <c r="I436" i="3"/>
  <c r="F437" i="4" s="1"/>
  <c r="U436" i="3"/>
  <c r="J437" i="4" s="1"/>
  <c r="D439" i="3"/>
  <c r="D438" i="4" l="1"/>
  <c r="I437" i="3"/>
  <c r="U437" i="3"/>
  <c r="O437" i="3"/>
  <c r="G438" i="4"/>
  <c r="L438" i="4" s="1"/>
  <c r="H438" i="4"/>
  <c r="I438" i="4"/>
  <c r="M438" i="4" s="1"/>
  <c r="J438" i="4"/>
  <c r="F438" i="4"/>
  <c r="K438" i="4"/>
  <c r="N438" i="4" s="1"/>
  <c r="L442" i="2"/>
  <c r="I441" i="2"/>
  <c r="A439" i="4"/>
  <c r="P438" i="3"/>
  <c r="E438" i="3"/>
  <c r="F438" i="3" s="1"/>
  <c r="G438" i="3"/>
  <c r="S438" i="3"/>
  <c r="Y438" i="3" s="1"/>
  <c r="Z438" i="3" s="1"/>
  <c r="AA438" i="3" s="1"/>
  <c r="H438" i="3"/>
  <c r="T438" i="3"/>
  <c r="J438" i="3"/>
  <c r="V438" i="3"/>
  <c r="M438" i="3"/>
  <c r="C438" i="3"/>
  <c r="N438" i="3"/>
  <c r="K442" i="2"/>
  <c r="H441" i="2"/>
  <c r="F441" i="2"/>
  <c r="C442" i="2"/>
  <c r="E441" i="2"/>
  <c r="T441" i="2"/>
  <c r="D443" i="2"/>
  <c r="T442" i="2"/>
  <c r="D440" i="3"/>
  <c r="C438" i="4"/>
  <c r="AB437" i="3"/>
  <c r="E438" i="4" s="1"/>
  <c r="M442" i="2"/>
  <c r="J441" i="2"/>
  <c r="G441" i="2" s="1"/>
  <c r="D439" i="4" l="1"/>
  <c r="I442" i="2"/>
  <c r="L443" i="2"/>
  <c r="C439" i="4"/>
  <c r="AB438" i="3"/>
  <c r="E439" i="4" s="1"/>
  <c r="C443" i="2"/>
  <c r="F442" i="2"/>
  <c r="J442" i="2"/>
  <c r="G442" i="2" s="1"/>
  <c r="M443" i="2"/>
  <c r="A440" i="4"/>
  <c r="M439" i="3"/>
  <c r="N439" i="3"/>
  <c r="C439" i="3"/>
  <c r="P439" i="3"/>
  <c r="E439" i="3"/>
  <c r="F439" i="3" s="1"/>
  <c r="G439" i="3"/>
  <c r="S439" i="3"/>
  <c r="Y439" i="3" s="1"/>
  <c r="Z439" i="3" s="1"/>
  <c r="AA439" i="3" s="1"/>
  <c r="H439" i="3"/>
  <c r="T439" i="3"/>
  <c r="J439" i="3"/>
  <c r="V439" i="3"/>
  <c r="I438" i="3"/>
  <c r="F439" i="4" s="1"/>
  <c r="U438" i="3"/>
  <c r="J439" i="4" s="1"/>
  <c r="O438" i="3"/>
  <c r="H439" i="4" s="1"/>
  <c r="T443" i="2"/>
  <c r="D444" i="2"/>
  <c r="K443" i="2"/>
  <c r="H442" i="2"/>
  <c r="E442" i="2" s="1"/>
  <c r="G439" i="4"/>
  <c r="L439" i="4" s="1"/>
  <c r="K439" i="4"/>
  <c r="N439" i="4" s="1"/>
  <c r="I439" i="4"/>
  <c r="M439" i="4" s="1"/>
  <c r="D441" i="3"/>
  <c r="D440" i="4" l="1"/>
  <c r="M444" i="2"/>
  <c r="J443" i="2"/>
  <c r="G443" i="2" s="1"/>
  <c r="I440" i="4"/>
  <c r="M440" i="4" s="1"/>
  <c r="G440" i="4"/>
  <c r="L440" i="4" s="1"/>
  <c r="K440" i="4"/>
  <c r="N440" i="4" s="1"/>
  <c r="E443" i="2"/>
  <c r="C444" i="2"/>
  <c r="K444" i="2"/>
  <c r="H443" i="2"/>
  <c r="T444" i="2"/>
  <c r="D445" i="2"/>
  <c r="A441" i="4"/>
  <c r="J440" i="3"/>
  <c r="V440" i="3"/>
  <c r="M440" i="3"/>
  <c r="N440" i="3"/>
  <c r="C440" i="3"/>
  <c r="P440" i="3"/>
  <c r="E440" i="3"/>
  <c r="F440" i="3" s="1"/>
  <c r="G440" i="3"/>
  <c r="S440" i="3"/>
  <c r="Y440" i="3" s="1"/>
  <c r="Z440" i="3" s="1"/>
  <c r="AA440" i="3" s="1"/>
  <c r="H440" i="3"/>
  <c r="T440" i="3"/>
  <c r="O439" i="3"/>
  <c r="H440" i="4" s="1"/>
  <c r="I439" i="3"/>
  <c r="F440" i="4" s="1"/>
  <c r="U439" i="3"/>
  <c r="J440" i="4" s="1"/>
  <c r="L444" i="2"/>
  <c r="I443" i="2"/>
  <c r="F443" i="2" s="1"/>
  <c r="D442" i="3"/>
  <c r="C440" i="4"/>
  <c r="AB439" i="3"/>
  <c r="E440" i="4" s="1"/>
  <c r="D441" i="4" l="1"/>
  <c r="L445" i="2"/>
  <c r="I444" i="2"/>
  <c r="C441" i="4"/>
  <c r="AB440" i="3"/>
  <c r="E441" i="4" s="1"/>
  <c r="A442" i="4"/>
  <c r="G441" i="3"/>
  <c r="S441" i="3"/>
  <c r="Y441" i="3" s="1"/>
  <c r="Z441" i="3" s="1"/>
  <c r="AA441" i="3" s="1"/>
  <c r="H441" i="3"/>
  <c r="T441" i="3"/>
  <c r="J441" i="3"/>
  <c r="V441" i="3"/>
  <c r="M441" i="3"/>
  <c r="N441" i="3"/>
  <c r="P441" i="3"/>
  <c r="C441" i="3"/>
  <c r="E441" i="3"/>
  <c r="F441" i="3" s="1"/>
  <c r="M445" i="2"/>
  <c r="J444" i="2"/>
  <c r="G444" i="2" s="1"/>
  <c r="K441" i="4"/>
  <c r="N441" i="4" s="1"/>
  <c r="F441" i="4"/>
  <c r="G441" i="4"/>
  <c r="L441" i="4" s="1"/>
  <c r="H441" i="4"/>
  <c r="I441" i="4"/>
  <c r="M441" i="4" s="1"/>
  <c r="J441" i="4"/>
  <c r="D446" i="2"/>
  <c r="O440" i="3"/>
  <c r="I440" i="3"/>
  <c r="U440" i="3"/>
  <c r="K445" i="2"/>
  <c r="H444" i="2"/>
  <c r="E444" i="2" s="1"/>
  <c r="D443" i="3"/>
  <c r="F444" i="2"/>
  <c r="C445" i="2"/>
  <c r="T445" i="2" s="1"/>
  <c r="D442" i="4" l="1"/>
  <c r="D444" i="3"/>
  <c r="J445" i="2"/>
  <c r="M446" i="2"/>
  <c r="A443" i="4"/>
  <c r="P442" i="3"/>
  <c r="E442" i="3"/>
  <c r="F442" i="3" s="1"/>
  <c r="G442" i="3"/>
  <c r="S442" i="3"/>
  <c r="Y442" i="3" s="1"/>
  <c r="Z442" i="3" s="1"/>
  <c r="AA442" i="3" s="1"/>
  <c r="H442" i="3"/>
  <c r="T442" i="3"/>
  <c r="J442" i="3"/>
  <c r="V442" i="3"/>
  <c r="M442" i="3"/>
  <c r="C442" i="3"/>
  <c r="N442" i="3"/>
  <c r="I442" i="4"/>
  <c r="M442" i="4" s="1"/>
  <c r="K442" i="4"/>
  <c r="N442" i="4" s="1"/>
  <c r="G442" i="4"/>
  <c r="L442" i="4" s="1"/>
  <c r="H442" i="4"/>
  <c r="J442" i="4"/>
  <c r="G445" i="2"/>
  <c r="I441" i="3"/>
  <c r="F442" i="4" s="1"/>
  <c r="U441" i="3"/>
  <c r="O441" i="3"/>
  <c r="K446" i="2"/>
  <c r="H445" i="2"/>
  <c r="D447" i="2"/>
  <c r="I445" i="2"/>
  <c r="F445" i="2" s="1"/>
  <c r="L446" i="2"/>
  <c r="C442" i="4"/>
  <c r="AB441" i="3"/>
  <c r="E442" i="4" s="1"/>
  <c r="C446" i="2"/>
  <c r="T446" i="2" s="1"/>
  <c r="E445" i="2"/>
  <c r="D443" i="4" l="1"/>
  <c r="A444" i="4"/>
  <c r="M443" i="3"/>
  <c r="N443" i="3"/>
  <c r="C443" i="3"/>
  <c r="P443" i="3"/>
  <c r="E443" i="3"/>
  <c r="F443" i="3" s="1"/>
  <c r="G443" i="3"/>
  <c r="S443" i="3"/>
  <c r="Y443" i="3" s="1"/>
  <c r="Z443" i="3" s="1"/>
  <c r="AA443" i="3" s="1"/>
  <c r="H443" i="3"/>
  <c r="T443" i="3"/>
  <c r="J443" i="3"/>
  <c r="V443" i="3"/>
  <c r="I442" i="3"/>
  <c r="U442" i="3"/>
  <c r="O442" i="3"/>
  <c r="D448" i="2"/>
  <c r="G443" i="4"/>
  <c r="L443" i="4" s="1"/>
  <c r="I443" i="4"/>
  <c r="M443" i="4" s="1"/>
  <c r="J443" i="4"/>
  <c r="K443" i="4"/>
  <c r="N443" i="4" s="1"/>
  <c r="F443" i="4"/>
  <c r="H443" i="4"/>
  <c r="K447" i="2"/>
  <c r="H446" i="2"/>
  <c r="M447" i="2"/>
  <c r="J446" i="2"/>
  <c r="G446" i="2" s="1"/>
  <c r="C443" i="4"/>
  <c r="AB442" i="3"/>
  <c r="E443" i="4" s="1"/>
  <c r="D445" i="3"/>
  <c r="E446" i="2"/>
  <c r="C447" i="2"/>
  <c r="I446" i="2"/>
  <c r="F446" i="2" s="1"/>
  <c r="L447" i="2"/>
  <c r="D444" i="4" l="1"/>
  <c r="T447" i="2"/>
  <c r="A445" i="4"/>
  <c r="J444" i="3"/>
  <c r="V444" i="3"/>
  <c r="M444" i="3"/>
  <c r="N444" i="3"/>
  <c r="C444" i="3"/>
  <c r="P444" i="3"/>
  <c r="E444" i="3"/>
  <c r="F444" i="3" s="1"/>
  <c r="G444" i="3"/>
  <c r="S444" i="3"/>
  <c r="Y444" i="3" s="1"/>
  <c r="Z444" i="3" s="1"/>
  <c r="AA444" i="3" s="1"/>
  <c r="T444" i="3"/>
  <c r="H444" i="3"/>
  <c r="D446" i="3"/>
  <c r="D449" i="2"/>
  <c r="T448" i="2"/>
  <c r="O443" i="3"/>
  <c r="I443" i="3"/>
  <c r="U443" i="3"/>
  <c r="M448" i="2"/>
  <c r="J447" i="2"/>
  <c r="G447" i="2" s="1"/>
  <c r="E447" i="2"/>
  <c r="C448" i="2"/>
  <c r="L448" i="2"/>
  <c r="I447" i="2"/>
  <c r="F447" i="2" s="1"/>
  <c r="K448" i="2"/>
  <c r="H447" i="2"/>
  <c r="C444" i="4"/>
  <c r="AB443" i="3"/>
  <c r="E444" i="4" s="1"/>
  <c r="G444" i="4"/>
  <c r="L444" i="4" s="1"/>
  <c r="H444" i="4"/>
  <c r="I444" i="4"/>
  <c r="M444" i="4" s="1"/>
  <c r="J444" i="4"/>
  <c r="F444" i="4"/>
  <c r="K444" i="4"/>
  <c r="N444" i="4" s="1"/>
  <c r="D445" i="4" l="1"/>
  <c r="O444" i="3"/>
  <c r="I444" i="3"/>
  <c r="U444" i="3"/>
  <c r="C445" i="4"/>
  <c r="AB444" i="3"/>
  <c r="E445" i="4" s="1"/>
  <c r="K449" i="2"/>
  <c r="H448" i="2"/>
  <c r="E448" i="2" s="1"/>
  <c r="T449" i="2"/>
  <c r="D450" i="2"/>
  <c r="I448" i="2"/>
  <c r="L449" i="2"/>
  <c r="C449" i="2"/>
  <c r="F448" i="2"/>
  <c r="D447" i="3"/>
  <c r="F445" i="4"/>
  <c r="G445" i="4"/>
  <c r="L445" i="4" s="1"/>
  <c r="H445" i="4"/>
  <c r="J445" i="4"/>
  <c r="K445" i="4"/>
  <c r="N445" i="4" s="1"/>
  <c r="I445" i="4"/>
  <c r="M445" i="4" s="1"/>
  <c r="J448" i="2"/>
  <c r="G448" i="2" s="1"/>
  <c r="M449" i="2"/>
  <c r="A446" i="4"/>
  <c r="G445" i="3"/>
  <c r="S445" i="3"/>
  <c r="Y445" i="3" s="1"/>
  <c r="Z445" i="3" s="1"/>
  <c r="AA445" i="3" s="1"/>
  <c r="H445" i="3"/>
  <c r="T445" i="3"/>
  <c r="J445" i="3"/>
  <c r="V445" i="3"/>
  <c r="M445" i="3"/>
  <c r="N445" i="3"/>
  <c r="P445" i="3"/>
  <c r="C445" i="3"/>
  <c r="E445" i="3"/>
  <c r="F445" i="3" s="1"/>
  <c r="D446" i="4" l="1"/>
  <c r="K450" i="2"/>
  <c r="H449" i="2"/>
  <c r="D448" i="3"/>
  <c r="C446" i="4"/>
  <c r="AB445" i="3"/>
  <c r="E446" i="4" s="1"/>
  <c r="A447" i="4"/>
  <c r="P446" i="3"/>
  <c r="E446" i="3"/>
  <c r="F446" i="3" s="1"/>
  <c r="G446" i="3"/>
  <c r="S446" i="3"/>
  <c r="Y446" i="3" s="1"/>
  <c r="Z446" i="3" s="1"/>
  <c r="AA446" i="3" s="1"/>
  <c r="H446" i="3"/>
  <c r="T446" i="3"/>
  <c r="J446" i="3"/>
  <c r="V446" i="3"/>
  <c r="M446" i="3"/>
  <c r="C446" i="3"/>
  <c r="N446" i="3"/>
  <c r="F446" i="4"/>
  <c r="H446" i="4"/>
  <c r="I446" i="4"/>
  <c r="M446" i="4" s="1"/>
  <c r="J446" i="4"/>
  <c r="K446" i="4"/>
  <c r="N446" i="4" s="1"/>
  <c r="G446" i="4"/>
  <c r="L446" i="4" s="1"/>
  <c r="M450" i="2"/>
  <c r="J449" i="2"/>
  <c r="G449" i="2" s="1"/>
  <c r="E449" i="2"/>
  <c r="C450" i="2"/>
  <c r="I445" i="3"/>
  <c r="U445" i="3"/>
  <c r="O445" i="3"/>
  <c r="L450" i="2"/>
  <c r="I449" i="2"/>
  <c r="F449" i="2" s="1"/>
  <c r="D451" i="2"/>
  <c r="T450" i="2"/>
  <c r="D447" i="4" l="1"/>
  <c r="I446" i="3"/>
  <c r="U446" i="3"/>
  <c r="O446" i="3"/>
  <c r="A448" i="4"/>
  <c r="M447" i="3"/>
  <c r="N447" i="3"/>
  <c r="C447" i="3"/>
  <c r="P447" i="3"/>
  <c r="E447" i="3"/>
  <c r="F447" i="3" s="1"/>
  <c r="G447" i="3"/>
  <c r="S447" i="3"/>
  <c r="Y447" i="3" s="1"/>
  <c r="Z447" i="3" s="1"/>
  <c r="AA447" i="3" s="1"/>
  <c r="H447" i="3"/>
  <c r="T447" i="3"/>
  <c r="J447" i="3"/>
  <c r="V447" i="3"/>
  <c r="L451" i="2"/>
  <c r="I450" i="2"/>
  <c r="F450" i="2" s="1"/>
  <c r="K447" i="4"/>
  <c r="N447" i="4" s="1"/>
  <c r="F447" i="4"/>
  <c r="G447" i="4"/>
  <c r="L447" i="4" s="1"/>
  <c r="H447" i="4"/>
  <c r="I447" i="4"/>
  <c r="M447" i="4" s="1"/>
  <c r="J447" i="4"/>
  <c r="C451" i="2"/>
  <c r="T451" i="2" s="1"/>
  <c r="D452" i="2"/>
  <c r="C447" i="4"/>
  <c r="AB446" i="3"/>
  <c r="E447" i="4" s="1"/>
  <c r="D449" i="3"/>
  <c r="M451" i="2"/>
  <c r="J450" i="2"/>
  <c r="G450" i="2" s="1"/>
  <c r="K451" i="2"/>
  <c r="H450" i="2"/>
  <c r="E450" i="2" s="1"/>
  <c r="D448" i="4" l="1"/>
  <c r="J451" i="2"/>
  <c r="G451" i="2" s="1"/>
  <c r="M452" i="2"/>
  <c r="D450" i="3"/>
  <c r="O447" i="3"/>
  <c r="I447" i="3"/>
  <c r="U447" i="3"/>
  <c r="A449" i="4"/>
  <c r="J448" i="3"/>
  <c r="V448" i="3"/>
  <c r="M448" i="3"/>
  <c r="N448" i="3"/>
  <c r="C448" i="3"/>
  <c r="P448" i="3"/>
  <c r="E448" i="3"/>
  <c r="F448" i="3" s="1"/>
  <c r="G448" i="3"/>
  <c r="S448" i="3"/>
  <c r="Y448" i="3" s="1"/>
  <c r="Z448" i="3" s="1"/>
  <c r="AA448" i="3" s="1"/>
  <c r="H448" i="3"/>
  <c r="T448" i="3"/>
  <c r="T452" i="2"/>
  <c r="D453" i="2"/>
  <c r="I451" i="2"/>
  <c r="L452" i="2"/>
  <c r="C448" i="4"/>
  <c r="AB447" i="3"/>
  <c r="E448" i="4" s="1"/>
  <c r="I448" i="4"/>
  <c r="M448" i="4" s="1"/>
  <c r="K448" i="4"/>
  <c r="N448" i="4" s="1"/>
  <c r="F448" i="4"/>
  <c r="G448" i="4"/>
  <c r="L448" i="4" s="1"/>
  <c r="H448" i="4"/>
  <c r="J448" i="4"/>
  <c r="E451" i="2"/>
  <c r="C452" i="2"/>
  <c r="F451" i="2"/>
  <c r="K452" i="2"/>
  <c r="H451" i="2"/>
  <c r="D449" i="4" l="1"/>
  <c r="G449" i="4"/>
  <c r="L449" i="4" s="1"/>
  <c r="I449" i="4"/>
  <c r="M449" i="4" s="1"/>
  <c r="K449" i="4"/>
  <c r="N449" i="4" s="1"/>
  <c r="H449" i="4"/>
  <c r="A450" i="4"/>
  <c r="G449" i="3"/>
  <c r="S449" i="3"/>
  <c r="Y449" i="3" s="1"/>
  <c r="Z449" i="3" s="1"/>
  <c r="AA449" i="3" s="1"/>
  <c r="H449" i="3"/>
  <c r="J449" i="3"/>
  <c r="V449" i="3"/>
  <c r="M449" i="3"/>
  <c r="N449" i="3"/>
  <c r="P449" i="3"/>
  <c r="T449" i="3"/>
  <c r="C449" i="3"/>
  <c r="E449" i="3"/>
  <c r="F449" i="3" s="1"/>
  <c r="O448" i="3"/>
  <c r="I448" i="3"/>
  <c r="F449" i="4" s="1"/>
  <c r="U448" i="3"/>
  <c r="J449" i="4" s="1"/>
  <c r="D451" i="3"/>
  <c r="M453" i="2"/>
  <c r="J452" i="2"/>
  <c r="G452" i="2" s="1"/>
  <c r="K453" i="2"/>
  <c r="H452" i="2"/>
  <c r="E452" i="2" s="1"/>
  <c r="I452" i="2"/>
  <c r="F452" i="2" s="1"/>
  <c r="L453" i="2"/>
  <c r="C453" i="2"/>
  <c r="D454" i="2"/>
  <c r="C449" i="4"/>
  <c r="AB448" i="3"/>
  <c r="E449" i="4" s="1"/>
  <c r="D450" i="4" l="1"/>
  <c r="C454" i="2"/>
  <c r="I449" i="3"/>
  <c r="U449" i="3"/>
  <c r="O449" i="3"/>
  <c r="G450" i="4"/>
  <c r="L450" i="4" s="1"/>
  <c r="H450" i="4"/>
  <c r="I450" i="4"/>
  <c r="M450" i="4" s="1"/>
  <c r="J450" i="4"/>
  <c r="F450" i="4"/>
  <c r="K450" i="4"/>
  <c r="N450" i="4" s="1"/>
  <c r="L454" i="2"/>
  <c r="I453" i="2"/>
  <c r="F453" i="2" s="1"/>
  <c r="A451" i="4"/>
  <c r="P450" i="3"/>
  <c r="H450" i="3"/>
  <c r="T450" i="3"/>
  <c r="J450" i="3"/>
  <c r="V450" i="3"/>
  <c r="M450" i="3"/>
  <c r="N450" i="3"/>
  <c r="S450" i="3"/>
  <c r="Y450" i="3" s="1"/>
  <c r="Z450" i="3" s="1"/>
  <c r="AA450" i="3" s="1"/>
  <c r="C450" i="3"/>
  <c r="E450" i="3"/>
  <c r="F450" i="3" s="1"/>
  <c r="G450" i="3"/>
  <c r="C450" i="4"/>
  <c r="AB449" i="3"/>
  <c r="E450" i="4" s="1"/>
  <c r="T453" i="2"/>
  <c r="D452" i="3"/>
  <c r="K454" i="2"/>
  <c r="H453" i="2"/>
  <c r="E453" i="2" s="1"/>
  <c r="M454" i="2"/>
  <c r="J453" i="2"/>
  <c r="G453" i="2" s="1"/>
  <c r="D455" i="2"/>
  <c r="T454" i="2"/>
  <c r="D451" i="4" l="1"/>
  <c r="K455" i="2"/>
  <c r="H454" i="2"/>
  <c r="J454" i="2"/>
  <c r="G454" i="2" s="1"/>
  <c r="M455" i="2"/>
  <c r="G451" i="4"/>
  <c r="L451" i="4" s="1"/>
  <c r="J451" i="4"/>
  <c r="K451" i="4"/>
  <c r="N451" i="4" s="1"/>
  <c r="I451" i="4"/>
  <c r="M451" i="4" s="1"/>
  <c r="C455" i="2"/>
  <c r="E454" i="2"/>
  <c r="D453" i="3"/>
  <c r="A452" i="4"/>
  <c r="M451" i="3"/>
  <c r="C451" i="3"/>
  <c r="E451" i="3"/>
  <c r="F451" i="3" s="1"/>
  <c r="G451" i="3"/>
  <c r="S451" i="3"/>
  <c r="Y451" i="3" s="1"/>
  <c r="Z451" i="3" s="1"/>
  <c r="AA451" i="3" s="1"/>
  <c r="H451" i="3"/>
  <c r="T451" i="3"/>
  <c r="J451" i="3"/>
  <c r="V451" i="3"/>
  <c r="N451" i="3"/>
  <c r="P451" i="3"/>
  <c r="C451" i="4"/>
  <c r="AB450" i="3"/>
  <c r="E451" i="4" s="1"/>
  <c r="T455" i="2"/>
  <c r="D456" i="2"/>
  <c r="O450" i="3"/>
  <c r="H451" i="4" s="1"/>
  <c r="U450" i="3"/>
  <c r="I450" i="3"/>
  <c r="F451" i="4" s="1"/>
  <c r="I454" i="2"/>
  <c r="F454" i="2" s="1"/>
  <c r="L455" i="2"/>
  <c r="D452" i="4" l="1"/>
  <c r="A453" i="4"/>
  <c r="J452" i="3"/>
  <c r="V452" i="3"/>
  <c r="N452" i="3"/>
  <c r="P452" i="3"/>
  <c r="E452" i="3"/>
  <c r="F452" i="3" s="1"/>
  <c r="G452" i="3"/>
  <c r="S452" i="3"/>
  <c r="Y452" i="3" s="1"/>
  <c r="Z452" i="3" s="1"/>
  <c r="AA452" i="3" s="1"/>
  <c r="C452" i="3"/>
  <c r="H452" i="3"/>
  <c r="M452" i="3"/>
  <c r="T452" i="3"/>
  <c r="D457" i="2"/>
  <c r="O451" i="3"/>
  <c r="I451" i="3"/>
  <c r="U451" i="3"/>
  <c r="C452" i="4"/>
  <c r="AB451" i="3"/>
  <c r="E452" i="4" s="1"/>
  <c r="F452" i="4"/>
  <c r="H452" i="4"/>
  <c r="I452" i="4"/>
  <c r="M452" i="4" s="1"/>
  <c r="J452" i="4"/>
  <c r="G452" i="4"/>
  <c r="L452" i="4" s="1"/>
  <c r="K452" i="4"/>
  <c r="N452" i="4" s="1"/>
  <c r="M456" i="2"/>
  <c r="J455" i="2"/>
  <c r="G455" i="2" s="1"/>
  <c r="L456" i="2"/>
  <c r="I455" i="2"/>
  <c r="D454" i="3"/>
  <c r="K456" i="2"/>
  <c r="H455" i="2"/>
  <c r="E455" i="2"/>
  <c r="F455" i="2"/>
  <c r="C456" i="2"/>
  <c r="D453" i="4" l="1"/>
  <c r="C457" i="2"/>
  <c r="K457" i="2"/>
  <c r="H456" i="2"/>
  <c r="E456" i="2" s="1"/>
  <c r="A454" i="4"/>
  <c r="G453" i="3"/>
  <c r="S453" i="3"/>
  <c r="Y453" i="3" s="1"/>
  <c r="Z453" i="3" s="1"/>
  <c r="AA453" i="3" s="1"/>
  <c r="M453" i="3"/>
  <c r="N453" i="3"/>
  <c r="P453" i="3"/>
  <c r="T453" i="3"/>
  <c r="V453" i="3"/>
  <c r="C453" i="3"/>
  <c r="E453" i="3"/>
  <c r="F453" i="3" s="1"/>
  <c r="H453" i="3"/>
  <c r="J453" i="3"/>
  <c r="D455" i="3"/>
  <c r="L457" i="2"/>
  <c r="I456" i="2"/>
  <c r="F456" i="2" s="1"/>
  <c r="I452" i="3"/>
  <c r="F453" i="4" s="1"/>
  <c r="O452" i="3"/>
  <c r="U452" i="3"/>
  <c r="M457" i="2"/>
  <c r="J456" i="2"/>
  <c r="D458" i="2"/>
  <c r="T457" i="2"/>
  <c r="T456" i="2"/>
  <c r="G456" i="2"/>
  <c r="K453" i="4"/>
  <c r="N453" i="4" s="1"/>
  <c r="G453" i="4"/>
  <c r="L453" i="4" s="1"/>
  <c r="H453" i="4"/>
  <c r="I453" i="4"/>
  <c r="M453" i="4" s="1"/>
  <c r="J453" i="4"/>
  <c r="C453" i="4"/>
  <c r="AB452" i="3"/>
  <c r="E453" i="4" s="1"/>
  <c r="D454" i="4" l="1"/>
  <c r="I457" i="2"/>
  <c r="L458" i="2"/>
  <c r="C454" i="4"/>
  <c r="AB453" i="3"/>
  <c r="E454" i="4" s="1"/>
  <c r="I454" i="4"/>
  <c r="M454" i="4" s="1"/>
  <c r="K454" i="4"/>
  <c r="N454" i="4" s="1"/>
  <c r="G454" i="4"/>
  <c r="L454" i="4" s="1"/>
  <c r="J454" i="4"/>
  <c r="A455" i="4"/>
  <c r="P454" i="3"/>
  <c r="H454" i="3"/>
  <c r="T454" i="3"/>
  <c r="J454" i="3"/>
  <c r="V454" i="3"/>
  <c r="M454" i="3"/>
  <c r="N454" i="3"/>
  <c r="S454" i="3"/>
  <c r="Y454" i="3" s="1"/>
  <c r="Z454" i="3" s="1"/>
  <c r="AA454" i="3" s="1"/>
  <c r="C454" i="3"/>
  <c r="E454" i="3"/>
  <c r="F454" i="3" s="1"/>
  <c r="G454" i="3"/>
  <c r="K458" i="2"/>
  <c r="H457" i="2"/>
  <c r="D456" i="3"/>
  <c r="T458" i="2"/>
  <c r="D459" i="2"/>
  <c r="I453" i="3"/>
  <c r="F454" i="4" s="1"/>
  <c r="U453" i="3"/>
  <c r="O453" i="3"/>
  <c r="H454" i="4" s="1"/>
  <c r="J457" i="2"/>
  <c r="G457" i="2" s="1"/>
  <c r="M458" i="2"/>
  <c r="C458" i="2"/>
  <c r="E457" i="2"/>
  <c r="F457" i="2"/>
  <c r="D455" i="4" l="1"/>
  <c r="O454" i="3"/>
  <c r="U454" i="3"/>
  <c r="I454" i="3"/>
  <c r="C455" i="4"/>
  <c r="AB454" i="3"/>
  <c r="E455" i="4" s="1"/>
  <c r="D460" i="2"/>
  <c r="D457" i="3"/>
  <c r="L459" i="2"/>
  <c r="I458" i="2"/>
  <c r="F458" i="2"/>
  <c r="C459" i="2"/>
  <c r="T459" i="2" s="1"/>
  <c r="K459" i="2"/>
  <c r="H458" i="2"/>
  <c r="E458" i="2" s="1"/>
  <c r="A456" i="4"/>
  <c r="M455" i="3"/>
  <c r="C455" i="3"/>
  <c r="E455" i="3"/>
  <c r="F455" i="3" s="1"/>
  <c r="G455" i="3"/>
  <c r="S455" i="3"/>
  <c r="Y455" i="3" s="1"/>
  <c r="Z455" i="3" s="1"/>
  <c r="AA455" i="3" s="1"/>
  <c r="H455" i="3"/>
  <c r="T455" i="3"/>
  <c r="J455" i="3"/>
  <c r="V455" i="3"/>
  <c r="N455" i="3"/>
  <c r="P455" i="3"/>
  <c r="M459" i="2"/>
  <c r="J458" i="2"/>
  <c r="G458" i="2" s="1"/>
  <c r="G455" i="4"/>
  <c r="L455" i="4" s="1"/>
  <c r="I455" i="4"/>
  <c r="M455" i="4" s="1"/>
  <c r="J455" i="4"/>
  <c r="K455" i="4"/>
  <c r="N455" i="4" s="1"/>
  <c r="F455" i="4"/>
  <c r="H455" i="4"/>
  <c r="D456" i="4" l="1"/>
  <c r="O455" i="3"/>
  <c r="I455" i="3"/>
  <c r="U455" i="3"/>
  <c r="D458" i="3"/>
  <c r="A457" i="4"/>
  <c r="J456" i="3"/>
  <c r="V456" i="3"/>
  <c r="N456" i="3"/>
  <c r="E456" i="3"/>
  <c r="F456" i="3" s="1"/>
  <c r="G456" i="3"/>
  <c r="S456" i="3"/>
  <c r="Y456" i="3" s="1"/>
  <c r="Z456" i="3" s="1"/>
  <c r="AA456" i="3" s="1"/>
  <c r="C456" i="3"/>
  <c r="H456" i="3"/>
  <c r="M456" i="3"/>
  <c r="T456" i="3"/>
  <c r="P456" i="3"/>
  <c r="D461" i="2"/>
  <c r="T460" i="2"/>
  <c r="M460" i="2"/>
  <c r="J459" i="2"/>
  <c r="C456" i="4"/>
  <c r="AB455" i="3"/>
  <c r="E456" i="4" s="1"/>
  <c r="G459" i="2"/>
  <c r="G456" i="4"/>
  <c r="L456" i="4" s="1"/>
  <c r="H456" i="4"/>
  <c r="I456" i="4"/>
  <c r="M456" i="4" s="1"/>
  <c r="J456" i="4"/>
  <c r="F456" i="4"/>
  <c r="K456" i="4"/>
  <c r="N456" i="4" s="1"/>
  <c r="K460" i="2"/>
  <c r="H459" i="2"/>
  <c r="C460" i="2"/>
  <c r="E459" i="2"/>
  <c r="L460" i="2"/>
  <c r="I459" i="2"/>
  <c r="F459" i="2" s="1"/>
  <c r="D457" i="4" l="1"/>
  <c r="K461" i="2"/>
  <c r="H460" i="2"/>
  <c r="J460" i="2"/>
  <c r="G460" i="2" s="1"/>
  <c r="M461" i="2"/>
  <c r="U456" i="3"/>
  <c r="I456" i="3"/>
  <c r="O456" i="3"/>
  <c r="D462" i="2"/>
  <c r="F457" i="4"/>
  <c r="G457" i="4"/>
  <c r="L457" i="4" s="1"/>
  <c r="H457" i="4"/>
  <c r="J457" i="4"/>
  <c r="K457" i="4"/>
  <c r="N457" i="4" s="1"/>
  <c r="I457" i="4"/>
  <c r="M457" i="4" s="1"/>
  <c r="C457" i="4"/>
  <c r="AB456" i="3"/>
  <c r="E457" i="4" s="1"/>
  <c r="D459" i="3"/>
  <c r="I460" i="2"/>
  <c r="F460" i="2" s="1"/>
  <c r="L461" i="2"/>
  <c r="C461" i="2"/>
  <c r="T461" i="2" s="1"/>
  <c r="E460" i="2"/>
  <c r="A458" i="4"/>
  <c r="G457" i="3"/>
  <c r="S457" i="3"/>
  <c r="Y457" i="3" s="1"/>
  <c r="Z457" i="3" s="1"/>
  <c r="AA457" i="3" s="1"/>
  <c r="N457" i="3"/>
  <c r="P457" i="3"/>
  <c r="M457" i="3"/>
  <c r="T457" i="3"/>
  <c r="C457" i="3"/>
  <c r="V457" i="3"/>
  <c r="E457" i="3"/>
  <c r="F457" i="3" s="1"/>
  <c r="J457" i="3"/>
  <c r="H457" i="3"/>
  <c r="D458" i="4" l="1"/>
  <c r="I461" i="2"/>
  <c r="L462" i="2"/>
  <c r="D463" i="2"/>
  <c r="D460" i="3"/>
  <c r="C458" i="4"/>
  <c r="AB457" i="3"/>
  <c r="E458" i="4" s="1"/>
  <c r="M462" i="2"/>
  <c r="J461" i="2"/>
  <c r="G461" i="2" s="1"/>
  <c r="A459" i="4"/>
  <c r="P458" i="3"/>
  <c r="H458" i="3"/>
  <c r="T458" i="3"/>
  <c r="M458" i="3"/>
  <c r="E458" i="3"/>
  <c r="F458" i="3" s="1"/>
  <c r="G458" i="3"/>
  <c r="J458" i="3"/>
  <c r="N458" i="3"/>
  <c r="S458" i="3"/>
  <c r="Y458" i="3" s="1"/>
  <c r="Z458" i="3" s="1"/>
  <c r="AA458" i="3" s="1"/>
  <c r="C458" i="3"/>
  <c r="V458" i="3"/>
  <c r="H458" i="4"/>
  <c r="I458" i="4"/>
  <c r="M458" i="4" s="1"/>
  <c r="J458" i="4"/>
  <c r="G458" i="4"/>
  <c r="L458" i="4" s="1"/>
  <c r="K458" i="4"/>
  <c r="N458" i="4" s="1"/>
  <c r="K462" i="2"/>
  <c r="H461" i="2"/>
  <c r="E461" i="2" s="1"/>
  <c r="I457" i="3"/>
  <c r="F458" i="4" s="1"/>
  <c r="U457" i="3"/>
  <c r="O457" i="3"/>
  <c r="F461" i="2"/>
  <c r="C462" i="2"/>
  <c r="D459" i="4" l="1"/>
  <c r="M463" i="2"/>
  <c r="J462" i="2"/>
  <c r="G462" i="2" s="1"/>
  <c r="A460" i="4"/>
  <c r="M459" i="3"/>
  <c r="C459" i="3"/>
  <c r="E459" i="3"/>
  <c r="F459" i="3" s="1"/>
  <c r="H459" i="3"/>
  <c r="J459" i="3"/>
  <c r="V459" i="3"/>
  <c r="P459" i="3"/>
  <c r="S459" i="3"/>
  <c r="Y459" i="3" s="1"/>
  <c r="Z459" i="3" s="1"/>
  <c r="AA459" i="3" s="1"/>
  <c r="T459" i="3"/>
  <c r="G459" i="3"/>
  <c r="N459" i="3"/>
  <c r="K463" i="2"/>
  <c r="H462" i="2"/>
  <c r="D461" i="3"/>
  <c r="I458" i="3"/>
  <c r="O458" i="3"/>
  <c r="U458" i="3"/>
  <c r="D464" i="2"/>
  <c r="T463" i="2"/>
  <c r="C459" i="4"/>
  <c r="AB458" i="3"/>
  <c r="E459" i="4" s="1"/>
  <c r="T462" i="2"/>
  <c r="L463" i="2"/>
  <c r="I462" i="2"/>
  <c r="F462" i="2"/>
  <c r="C463" i="2"/>
  <c r="E462" i="2"/>
  <c r="K459" i="4"/>
  <c r="N459" i="4" s="1"/>
  <c r="F459" i="4"/>
  <c r="G459" i="4"/>
  <c r="L459" i="4" s="1"/>
  <c r="H459" i="4"/>
  <c r="I459" i="4"/>
  <c r="M459" i="4" s="1"/>
  <c r="J459" i="4"/>
  <c r="D460" i="4" l="1"/>
  <c r="D462" i="3"/>
  <c r="A461" i="4"/>
  <c r="J460" i="3"/>
  <c r="V460" i="3"/>
  <c r="N460" i="3"/>
  <c r="E460" i="3"/>
  <c r="F460" i="3" s="1"/>
  <c r="T460" i="3"/>
  <c r="G460" i="3"/>
  <c r="H460" i="3"/>
  <c r="M460" i="3"/>
  <c r="S460" i="3"/>
  <c r="Y460" i="3" s="1"/>
  <c r="Z460" i="3" s="1"/>
  <c r="AA460" i="3" s="1"/>
  <c r="C460" i="3"/>
  <c r="P460" i="3"/>
  <c r="C464" i="2"/>
  <c r="E463" i="2"/>
  <c r="O459" i="3"/>
  <c r="U459" i="3"/>
  <c r="J460" i="4" s="1"/>
  <c r="I459" i="3"/>
  <c r="I463" i="2"/>
  <c r="F463" i="2" s="1"/>
  <c r="L464" i="2"/>
  <c r="K464" i="2"/>
  <c r="H463" i="2"/>
  <c r="C460" i="4"/>
  <c r="AB459" i="3"/>
  <c r="E460" i="4" s="1"/>
  <c r="I460" i="4"/>
  <c r="M460" i="4" s="1"/>
  <c r="K460" i="4"/>
  <c r="N460" i="4" s="1"/>
  <c r="F460" i="4"/>
  <c r="G460" i="4"/>
  <c r="L460" i="4" s="1"/>
  <c r="H460" i="4"/>
  <c r="J463" i="2"/>
  <c r="G463" i="2" s="1"/>
  <c r="M464" i="2"/>
  <c r="D465" i="2"/>
  <c r="D461" i="4" l="1"/>
  <c r="U460" i="3"/>
  <c r="I460" i="3"/>
  <c r="O460" i="3"/>
  <c r="G461" i="4"/>
  <c r="L461" i="4" s="1"/>
  <c r="I461" i="4"/>
  <c r="M461" i="4" s="1"/>
  <c r="J461" i="4"/>
  <c r="K461" i="4"/>
  <c r="N461" i="4" s="1"/>
  <c r="F461" i="4"/>
  <c r="H461" i="4"/>
  <c r="D466" i="2"/>
  <c r="D463" i="3"/>
  <c r="C465" i="2"/>
  <c r="G464" i="2"/>
  <c r="T464" i="2"/>
  <c r="K465" i="2"/>
  <c r="H464" i="2"/>
  <c r="E464" i="2" s="1"/>
  <c r="A462" i="4"/>
  <c r="H461" i="3"/>
  <c r="V461" i="3"/>
  <c r="J461" i="3"/>
  <c r="M461" i="3"/>
  <c r="N461" i="3"/>
  <c r="C461" i="3"/>
  <c r="P461" i="3"/>
  <c r="E461" i="3"/>
  <c r="F461" i="3" s="1"/>
  <c r="G461" i="3"/>
  <c r="T461" i="3"/>
  <c r="S461" i="3"/>
  <c r="Y461" i="3" s="1"/>
  <c r="Z461" i="3" s="1"/>
  <c r="AA461" i="3" s="1"/>
  <c r="M465" i="2"/>
  <c r="J464" i="2"/>
  <c r="L465" i="2"/>
  <c r="I464" i="2"/>
  <c r="F464" i="2" s="1"/>
  <c r="C461" i="4"/>
  <c r="AB460" i="3"/>
  <c r="E461" i="4" s="1"/>
  <c r="D462" i="4" l="1"/>
  <c r="K466" i="2"/>
  <c r="H465" i="2"/>
  <c r="G462" i="4"/>
  <c r="L462" i="4" s="1"/>
  <c r="I462" i="4"/>
  <c r="M462" i="4" s="1"/>
  <c r="K462" i="4"/>
  <c r="N462" i="4" s="1"/>
  <c r="A463" i="4"/>
  <c r="H462" i="3"/>
  <c r="T462" i="3"/>
  <c r="J462" i="3"/>
  <c r="M462" i="3"/>
  <c r="N462" i="3"/>
  <c r="P462" i="3"/>
  <c r="S462" i="3"/>
  <c r="Y462" i="3" s="1"/>
  <c r="Z462" i="3" s="1"/>
  <c r="AA462" i="3" s="1"/>
  <c r="G462" i="3"/>
  <c r="V462" i="3"/>
  <c r="C462" i="3"/>
  <c r="E462" i="3"/>
  <c r="F462" i="3" s="1"/>
  <c r="F465" i="2"/>
  <c r="E465" i="2"/>
  <c r="C466" i="2"/>
  <c r="C462" i="4"/>
  <c r="AB461" i="3"/>
  <c r="E462" i="4" s="1"/>
  <c r="D464" i="3"/>
  <c r="L466" i="2"/>
  <c r="I465" i="2"/>
  <c r="I461" i="3"/>
  <c r="F462" i="4" s="1"/>
  <c r="U461" i="3"/>
  <c r="J462" i="4" s="1"/>
  <c r="O461" i="3"/>
  <c r="H462" i="4" s="1"/>
  <c r="T465" i="2"/>
  <c r="M466" i="2"/>
  <c r="J465" i="2"/>
  <c r="G465" i="2" s="1"/>
  <c r="D467" i="2"/>
  <c r="T466" i="2"/>
  <c r="D463" i="4" l="1"/>
  <c r="I462" i="3"/>
  <c r="F463" i="4" s="1"/>
  <c r="O462" i="3"/>
  <c r="U462" i="3"/>
  <c r="G463" i="4"/>
  <c r="L463" i="4" s="1"/>
  <c r="H463" i="4"/>
  <c r="J463" i="4"/>
  <c r="K463" i="4"/>
  <c r="N463" i="4" s="1"/>
  <c r="I463" i="4"/>
  <c r="M463" i="4" s="1"/>
  <c r="I466" i="2"/>
  <c r="L467" i="2"/>
  <c r="D465" i="3"/>
  <c r="A464" i="4"/>
  <c r="C463" i="3"/>
  <c r="E463" i="3"/>
  <c r="F463" i="3" s="1"/>
  <c r="J463" i="3"/>
  <c r="M463" i="3"/>
  <c r="N463" i="3"/>
  <c r="P463" i="3"/>
  <c r="G463" i="3"/>
  <c r="T463" i="3"/>
  <c r="V463" i="3"/>
  <c r="S463" i="3"/>
  <c r="Y463" i="3" s="1"/>
  <c r="Z463" i="3" s="1"/>
  <c r="AA463" i="3" s="1"/>
  <c r="H463" i="3"/>
  <c r="D468" i="2"/>
  <c r="C463" i="4"/>
  <c r="AB462" i="3"/>
  <c r="E463" i="4" s="1"/>
  <c r="K467" i="2"/>
  <c r="H466" i="2"/>
  <c r="E466" i="2" s="1"/>
  <c r="C467" i="2"/>
  <c r="F466" i="2"/>
  <c r="J466" i="2"/>
  <c r="G466" i="2" s="1"/>
  <c r="M467" i="2"/>
  <c r="D464" i="4" l="1"/>
  <c r="C468" i="2"/>
  <c r="C464" i="4"/>
  <c r="AB463" i="3"/>
  <c r="E464" i="4" s="1"/>
  <c r="T468" i="2"/>
  <c r="D469" i="2"/>
  <c r="A465" i="4"/>
  <c r="N464" i="3"/>
  <c r="J464" i="3"/>
  <c r="M464" i="3"/>
  <c r="P464" i="3"/>
  <c r="C464" i="3"/>
  <c r="E464" i="3"/>
  <c r="F464" i="3" s="1"/>
  <c r="S464" i="3"/>
  <c r="Y464" i="3" s="1"/>
  <c r="Z464" i="3" s="1"/>
  <c r="AA464" i="3" s="1"/>
  <c r="G464" i="3"/>
  <c r="H464" i="3"/>
  <c r="T464" i="3"/>
  <c r="V464" i="3"/>
  <c r="G467" i="2"/>
  <c r="O463" i="3"/>
  <c r="H464" i="4" s="1"/>
  <c r="I463" i="3"/>
  <c r="F464" i="4" s="1"/>
  <c r="U463" i="3"/>
  <c r="J464" i="4" s="1"/>
  <c r="T467" i="2"/>
  <c r="M468" i="2"/>
  <c r="J467" i="2"/>
  <c r="I464" i="4"/>
  <c r="M464" i="4" s="1"/>
  <c r="K464" i="4"/>
  <c r="N464" i="4" s="1"/>
  <c r="G464" i="4"/>
  <c r="L464" i="4" s="1"/>
  <c r="K468" i="2"/>
  <c r="H467" i="2"/>
  <c r="E467" i="2" s="1"/>
  <c r="D466" i="3"/>
  <c r="I467" i="2"/>
  <c r="F467" i="2" s="1"/>
  <c r="L468" i="2"/>
  <c r="D465" i="4" l="1"/>
  <c r="K465" i="4"/>
  <c r="N465" i="4" s="1"/>
  <c r="G465" i="4"/>
  <c r="L465" i="4" s="1"/>
  <c r="I465" i="4"/>
  <c r="M465" i="4" s="1"/>
  <c r="D470" i="2"/>
  <c r="L469" i="2"/>
  <c r="I468" i="2"/>
  <c r="O464" i="3"/>
  <c r="H465" i="4" s="1"/>
  <c r="U464" i="3"/>
  <c r="J465" i="4" s="1"/>
  <c r="I464" i="3"/>
  <c r="F465" i="4" s="1"/>
  <c r="M469" i="2"/>
  <c r="J468" i="2"/>
  <c r="G468" i="2" s="1"/>
  <c r="F468" i="2"/>
  <c r="E468" i="2"/>
  <c r="C469" i="2"/>
  <c r="T469" i="2" s="1"/>
  <c r="D467" i="3"/>
  <c r="A466" i="4"/>
  <c r="M465" i="3"/>
  <c r="N465" i="3"/>
  <c r="C465" i="3"/>
  <c r="P465" i="3"/>
  <c r="E465" i="3"/>
  <c r="F465" i="3" s="1"/>
  <c r="S465" i="3"/>
  <c r="Y465" i="3" s="1"/>
  <c r="Z465" i="3" s="1"/>
  <c r="AA465" i="3" s="1"/>
  <c r="H465" i="3"/>
  <c r="V465" i="3"/>
  <c r="T465" i="3"/>
  <c r="J465" i="3"/>
  <c r="G465" i="3"/>
  <c r="C465" i="4"/>
  <c r="AB464" i="3"/>
  <c r="E465" i="4" s="1"/>
  <c r="K469" i="2"/>
  <c r="H468" i="2"/>
  <c r="D466" i="4" l="1"/>
  <c r="D468" i="3"/>
  <c r="I469" i="2"/>
  <c r="L470" i="2"/>
  <c r="C470" i="2"/>
  <c r="F469" i="2"/>
  <c r="T470" i="2"/>
  <c r="D471" i="2"/>
  <c r="I465" i="3"/>
  <c r="U465" i="3"/>
  <c r="O465" i="3"/>
  <c r="H466" i="4" s="1"/>
  <c r="A467" i="4"/>
  <c r="H466" i="3"/>
  <c r="T466" i="3"/>
  <c r="M466" i="3"/>
  <c r="N466" i="3"/>
  <c r="P466" i="3"/>
  <c r="C466" i="3"/>
  <c r="S466" i="3"/>
  <c r="Y466" i="3" s="1"/>
  <c r="Z466" i="3" s="1"/>
  <c r="AA466" i="3" s="1"/>
  <c r="E466" i="3"/>
  <c r="F466" i="3" s="1"/>
  <c r="G466" i="3"/>
  <c r="J466" i="3"/>
  <c r="V466" i="3"/>
  <c r="J469" i="2"/>
  <c r="G469" i="2" s="1"/>
  <c r="M470" i="2"/>
  <c r="K470" i="2"/>
  <c r="H469" i="2"/>
  <c r="E469" i="2" s="1"/>
  <c r="I466" i="4"/>
  <c r="M466" i="4" s="1"/>
  <c r="K466" i="4"/>
  <c r="N466" i="4" s="1"/>
  <c r="F466" i="4"/>
  <c r="G466" i="4"/>
  <c r="L466" i="4" s="1"/>
  <c r="J466" i="4"/>
  <c r="C466" i="4"/>
  <c r="AB465" i="3"/>
  <c r="E466" i="4" s="1"/>
  <c r="D467" i="4" l="1"/>
  <c r="A468" i="4"/>
  <c r="C467" i="3"/>
  <c r="E467" i="3"/>
  <c r="F467" i="3" s="1"/>
  <c r="M467" i="3"/>
  <c r="N467" i="3"/>
  <c r="P467" i="3"/>
  <c r="S467" i="3"/>
  <c r="Y467" i="3" s="1"/>
  <c r="Z467" i="3" s="1"/>
  <c r="AA467" i="3" s="1"/>
  <c r="G467" i="3"/>
  <c r="T467" i="3"/>
  <c r="H467" i="3"/>
  <c r="J467" i="3"/>
  <c r="V467" i="3"/>
  <c r="K471" i="2"/>
  <c r="H470" i="2"/>
  <c r="C467" i="4"/>
  <c r="AB466" i="3"/>
  <c r="E467" i="4" s="1"/>
  <c r="E470" i="2"/>
  <c r="C471" i="2"/>
  <c r="M471" i="2"/>
  <c r="J470" i="2"/>
  <c r="G470" i="2" s="1"/>
  <c r="L471" i="2"/>
  <c r="I470" i="2"/>
  <c r="F470" i="2" s="1"/>
  <c r="G467" i="4"/>
  <c r="L467" i="4" s="1"/>
  <c r="I467" i="4"/>
  <c r="M467" i="4" s="1"/>
  <c r="K467" i="4"/>
  <c r="N467" i="4" s="1"/>
  <c r="H467" i="4"/>
  <c r="D469" i="3"/>
  <c r="T471" i="2"/>
  <c r="D472" i="2"/>
  <c r="O466" i="3"/>
  <c r="U466" i="3"/>
  <c r="J467" i="4" s="1"/>
  <c r="I466" i="3"/>
  <c r="F467" i="4" s="1"/>
  <c r="D468" i="4" l="1"/>
  <c r="M472" i="2"/>
  <c r="J471" i="2"/>
  <c r="G471" i="2" s="1"/>
  <c r="C472" i="2"/>
  <c r="D470" i="3"/>
  <c r="A469" i="4"/>
  <c r="M468" i="3"/>
  <c r="N468" i="3"/>
  <c r="C468" i="3"/>
  <c r="P468" i="3"/>
  <c r="E468" i="3"/>
  <c r="F468" i="3" s="1"/>
  <c r="S468" i="3"/>
  <c r="Y468" i="3" s="1"/>
  <c r="Z468" i="3" s="1"/>
  <c r="AA468" i="3" s="1"/>
  <c r="G468" i="3"/>
  <c r="T468" i="3"/>
  <c r="V468" i="3"/>
  <c r="H468" i="3"/>
  <c r="J468" i="3"/>
  <c r="C468" i="4"/>
  <c r="AB467" i="3"/>
  <c r="E468" i="4" s="1"/>
  <c r="O467" i="3"/>
  <c r="U467" i="3"/>
  <c r="I467" i="3"/>
  <c r="K472" i="2"/>
  <c r="H471" i="2"/>
  <c r="E471" i="2" s="1"/>
  <c r="G468" i="4"/>
  <c r="L468" i="4" s="1"/>
  <c r="H468" i="4"/>
  <c r="I468" i="4"/>
  <c r="M468" i="4" s="1"/>
  <c r="J468" i="4"/>
  <c r="F468" i="4"/>
  <c r="K468" i="4"/>
  <c r="N468" i="4" s="1"/>
  <c r="D473" i="2"/>
  <c r="L472" i="2"/>
  <c r="I471" i="2"/>
  <c r="F471" i="2" s="1"/>
  <c r="D469" i="4" l="1"/>
  <c r="C469" i="4"/>
  <c r="AB468" i="3"/>
  <c r="E469" i="4" s="1"/>
  <c r="G469" i="4"/>
  <c r="L469" i="4" s="1"/>
  <c r="I469" i="4"/>
  <c r="M469" i="4" s="1"/>
  <c r="K469" i="4"/>
  <c r="N469" i="4" s="1"/>
  <c r="D471" i="3"/>
  <c r="D474" i="2"/>
  <c r="C473" i="2"/>
  <c r="F472" i="2"/>
  <c r="K473" i="2"/>
  <c r="H472" i="2"/>
  <c r="E472" i="2" s="1"/>
  <c r="O468" i="3"/>
  <c r="H469" i="4" s="1"/>
  <c r="I468" i="3"/>
  <c r="F469" i="4" s="1"/>
  <c r="U468" i="3"/>
  <c r="J469" i="4" s="1"/>
  <c r="L473" i="2"/>
  <c r="I472" i="2"/>
  <c r="A470" i="4"/>
  <c r="M469" i="3"/>
  <c r="N469" i="3"/>
  <c r="C469" i="3"/>
  <c r="P469" i="3"/>
  <c r="E469" i="3"/>
  <c r="F469" i="3" s="1"/>
  <c r="S469" i="3"/>
  <c r="Y469" i="3" s="1"/>
  <c r="Z469" i="3" s="1"/>
  <c r="AA469" i="3" s="1"/>
  <c r="H469" i="3"/>
  <c r="V469" i="3"/>
  <c r="J469" i="3"/>
  <c r="G469" i="3"/>
  <c r="T469" i="3"/>
  <c r="J472" i="2"/>
  <c r="G472" i="2" s="1"/>
  <c r="M473" i="2"/>
  <c r="T472" i="2"/>
  <c r="D470" i="4" l="1"/>
  <c r="I473" i="2"/>
  <c r="L474" i="2"/>
  <c r="D472" i="3"/>
  <c r="I469" i="3"/>
  <c r="U469" i="3"/>
  <c r="O469" i="3"/>
  <c r="A471" i="4"/>
  <c r="M470" i="3"/>
  <c r="N470" i="3"/>
  <c r="C470" i="3"/>
  <c r="P470" i="3"/>
  <c r="E470" i="3"/>
  <c r="F470" i="3" s="1"/>
  <c r="S470" i="3"/>
  <c r="Y470" i="3" s="1"/>
  <c r="Z470" i="3" s="1"/>
  <c r="AA470" i="3" s="1"/>
  <c r="H470" i="3"/>
  <c r="J470" i="3"/>
  <c r="G470" i="3"/>
  <c r="T470" i="3"/>
  <c r="V470" i="3"/>
  <c r="K474" i="2"/>
  <c r="H473" i="2"/>
  <c r="E473" i="2" s="1"/>
  <c r="M474" i="2"/>
  <c r="J473" i="2"/>
  <c r="F473" i="2"/>
  <c r="C474" i="2"/>
  <c r="C470" i="4"/>
  <c r="AB469" i="3"/>
  <c r="E470" i="4" s="1"/>
  <c r="D475" i="2"/>
  <c r="T474" i="2"/>
  <c r="F470" i="4"/>
  <c r="H470" i="4"/>
  <c r="J470" i="4"/>
  <c r="G470" i="4"/>
  <c r="L470" i="4" s="1"/>
  <c r="I470" i="4"/>
  <c r="M470" i="4" s="1"/>
  <c r="K470" i="4"/>
  <c r="N470" i="4" s="1"/>
  <c r="G473" i="2"/>
  <c r="T473" i="2"/>
  <c r="D471" i="4" l="1"/>
  <c r="K475" i="2"/>
  <c r="H474" i="2"/>
  <c r="C471" i="4"/>
  <c r="AB470" i="3"/>
  <c r="E471" i="4" s="1"/>
  <c r="K471" i="4"/>
  <c r="N471" i="4" s="1"/>
  <c r="G471" i="4"/>
  <c r="L471" i="4" s="1"/>
  <c r="I471" i="4"/>
  <c r="M471" i="4" s="1"/>
  <c r="D476" i="2"/>
  <c r="F474" i="2"/>
  <c r="E474" i="2"/>
  <c r="C475" i="2"/>
  <c r="D473" i="3"/>
  <c r="O470" i="3"/>
  <c r="H471" i="4" s="1"/>
  <c r="U470" i="3"/>
  <c r="J471" i="4" s="1"/>
  <c r="I470" i="3"/>
  <c r="F471" i="4" s="1"/>
  <c r="L475" i="2"/>
  <c r="I474" i="2"/>
  <c r="A472" i="4"/>
  <c r="C471" i="3"/>
  <c r="J471" i="3"/>
  <c r="M471" i="3"/>
  <c r="N471" i="3"/>
  <c r="P471" i="3"/>
  <c r="E471" i="3"/>
  <c r="F471" i="3" s="1"/>
  <c r="G471" i="3"/>
  <c r="T471" i="3"/>
  <c r="V471" i="3"/>
  <c r="H471" i="3"/>
  <c r="S471" i="3"/>
  <c r="Y471" i="3" s="1"/>
  <c r="Z471" i="3" s="1"/>
  <c r="AA471" i="3" s="1"/>
  <c r="M475" i="2"/>
  <c r="J474" i="2"/>
  <c r="G474" i="2" s="1"/>
  <c r="D472" i="4" l="1"/>
  <c r="I475" i="2"/>
  <c r="L476" i="2"/>
  <c r="C476" i="2"/>
  <c r="E475" i="2"/>
  <c r="F475" i="2"/>
  <c r="C472" i="4"/>
  <c r="AB471" i="3"/>
  <c r="E472" i="4" s="1"/>
  <c r="D474" i="3"/>
  <c r="J475" i="2"/>
  <c r="G475" i="2" s="1"/>
  <c r="M476" i="2"/>
  <c r="K476" i="2"/>
  <c r="H475" i="2"/>
  <c r="I472" i="4"/>
  <c r="M472" i="4" s="1"/>
  <c r="K472" i="4"/>
  <c r="N472" i="4" s="1"/>
  <c r="G472" i="4"/>
  <c r="L472" i="4" s="1"/>
  <c r="T475" i="2"/>
  <c r="O471" i="3"/>
  <c r="H472" i="4" s="1"/>
  <c r="I471" i="3"/>
  <c r="F472" i="4" s="1"/>
  <c r="U471" i="3"/>
  <c r="J472" i="4" s="1"/>
  <c r="A473" i="4"/>
  <c r="V472" i="3"/>
  <c r="J472" i="3"/>
  <c r="M472" i="3"/>
  <c r="N472" i="3"/>
  <c r="C472" i="3"/>
  <c r="P472" i="3"/>
  <c r="S472" i="3"/>
  <c r="Y472" i="3" s="1"/>
  <c r="Z472" i="3" s="1"/>
  <c r="AA472" i="3" s="1"/>
  <c r="H472" i="3"/>
  <c r="T472" i="3"/>
  <c r="E472" i="3"/>
  <c r="F472" i="3" s="1"/>
  <c r="G472" i="3"/>
  <c r="T476" i="2"/>
  <c r="D477" i="2"/>
  <c r="D473" i="4" l="1"/>
  <c r="A474" i="4"/>
  <c r="H473" i="3"/>
  <c r="V473" i="3"/>
  <c r="J473" i="3"/>
  <c r="M473" i="3"/>
  <c r="N473" i="3"/>
  <c r="C473" i="3"/>
  <c r="P473" i="3"/>
  <c r="E473" i="3"/>
  <c r="F473" i="3" s="1"/>
  <c r="G473" i="3"/>
  <c r="T473" i="3"/>
  <c r="S473" i="3"/>
  <c r="Y473" i="3" s="1"/>
  <c r="Z473" i="3" s="1"/>
  <c r="AA473" i="3" s="1"/>
  <c r="D475" i="3"/>
  <c r="E476" i="2"/>
  <c r="F476" i="2"/>
  <c r="C477" i="2"/>
  <c r="T477" i="2" s="1"/>
  <c r="D478" i="2"/>
  <c r="L477" i="2"/>
  <c r="I476" i="2"/>
  <c r="G473" i="4"/>
  <c r="L473" i="4" s="1"/>
  <c r="I473" i="4"/>
  <c r="M473" i="4" s="1"/>
  <c r="J473" i="4"/>
  <c r="K473" i="4"/>
  <c r="N473" i="4" s="1"/>
  <c r="F473" i="4"/>
  <c r="K477" i="2"/>
  <c r="H476" i="2"/>
  <c r="C473" i="4"/>
  <c r="AB472" i="3"/>
  <c r="E473" i="4" s="1"/>
  <c r="I472" i="3"/>
  <c r="O472" i="3"/>
  <c r="H473" i="4" s="1"/>
  <c r="U472" i="3"/>
  <c r="M477" i="2"/>
  <c r="J476" i="2"/>
  <c r="G476" i="2" s="1"/>
  <c r="D474" i="4" l="1"/>
  <c r="I473" i="3"/>
  <c r="U473" i="3"/>
  <c r="O473" i="3"/>
  <c r="H474" i="4" s="1"/>
  <c r="D479" i="2"/>
  <c r="A475" i="4"/>
  <c r="H474" i="3"/>
  <c r="V474" i="3"/>
  <c r="J474" i="3"/>
  <c r="M474" i="3"/>
  <c r="N474" i="3"/>
  <c r="G474" i="3"/>
  <c r="T474" i="3"/>
  <c r="S474" i="3"/>
  <c r="Y474" i="3" s="1"/>
  <c r="Z474" i="3" s="1"/>
  <c r="AA474" i="3" s="1"/>
  <c r="E474" i="3"/>
  <c r="F474" i="3" s="1"/>
  <c r="P474" i="3"/>
  <c r="C474" i="3"/>
  <c r="L478" i="2"/>
  <c r="I477" i="2"/>
  <c r="F477" i="2" s="1"/>
  <c r="G477" i="2"/>
  <c r="K478" i="2"/>
  <c r="H477" i="2"/>
  <c r="C478" i="2"/>
  <c r="T478" i="2" s="1"/>
  <c r="E477" i="2"/>
  <c r="C474" i="4"/>
  <c r="AB473" i="3"/>
  <c r="E474" i="4" s="1"/>
  <c r="D476" i="3"/>
  <c r="G474" i="4"/>
  <c r="L474" i="4" s="1"/>
  <c r="I474" i="4"/>
  <c r="M474" i="4" s="1"/>
  <c r="J474" i="4"/>
  <c r="F474" i="4"/>
  <c r="K474" i="4"/>
  <c r="N474" i="4" s="1"/>
  <c r="M478" i="2"/>
  <c r="J477" i="2"/>
  <c r="D475" i="4" l="1"/>
  <c r="I478" i="2"/>
  <c r="L479" i="2"/>
  <c r="D477" i="3"/>
  <c r="A476" i="4"/>
  <c r="C475" i="3"/>
  <c r="G475" i="3"/>
  <c r="T475" i="3"/>
  <c r="H475" i="3"/>
  <c r="V475" i="3"/>
  <c r="J475" i="3"/>
  <c r="M475" i="3"/>
  <c r="N475" i="3"/>
  <c r="S475" i="3"/>
  <c r="Y475" i="3" s="1"/>
  <c r="Z475" i="3" s="1"/>
  <c r="AA475" i="3" s="1"/>
  <c r="E475" i="3"/>
  <c r="F475" i="3" s="1"/>
  <c r="P475" i="3"/>
  <c r="G475" i="4"/>
  <c r="L475" i="4" s="1"/>
  <c r="I475" i="4"/>
  <c r="M475" i="4" s="1"/>
  <c r="K475" i="4"/>
  <c r="N475" i="4" s="1"/>
  <c r="D480" i="2"/>
  <c r="U474" i="3"/>
  <c r="J475" i="4" s="1"/>
  <c r="I474" i="3"/>
  <c r="F475" i="4" s="1"/>
  <c r="O474" i="3"/>
  <c r="H475" i="4" s="1"/>
  <c r="J478" i="2"/>
  <c r="G478" i="2" s="1"/>
  <c r="M479" i="2"/>
  <c r="C479" i="2"/>
  <c r="E478" i="2"/>
  <c r="F478" i="2"/>
  <c r="K479" i="2"/>
  <c r="H478" i="2"/>
  <c r="C475" i="4"/>
  <c r="AB474" i="3"/>
  <c r="E475" i="4" s="1"/>
  <c r="D476" i="4" l="1"/>
  <c r="A477" i="4"/>
  <c r="S476" i="3"/>
  <c r="Y476" i="3" s="1"/>
  <c r="Z476" i="3" s="1"/>
  <c r="AA476" i="3" s="1"/>
  <c r="G476" i="3"/>
  <c r="T476" i="3"/>
  <c r="H476" i="3"/>
  <c r="V476" i="3"/>
  <c r="J476" i="3"/>
  <c r="M476" i="3"/>
  <c r="N476" i="3"/>
  <c r="C476" i="3"/>
  <c r="P476" i="3"/>
  <c r="E476" i="3"/>
  <c r="F476" i="3" s="1"/>
  <c r="G476" i="4"/>
  <c r="L476" i="4" s="1"/>
  <c r="I476" i="4"/>
  <c r="M476" i="4" s="1"/>
  <c r="K476" i="4"/>
  <c r="N476" i="4" s="1"/>
  <c r="D478" i="3"/>
  <c r="E479" i="2"/>
  <c r="C480" i="2"/>
  <c r="T480" i="2"/>
  <c r="D481" i="2"/>
  <c r="O475" i="3"/>
  <c r="H476" i="4" s="1"/>
  <c r="U475" i="3"/>
  <c r="J476" i="4" s="1"/>
  <c r="I475" i="3"/>
  <c r="F476" i="4" s="1"/>
  <c r="I479" i="2"/>
  <c r="F479" i="2" s="1"/>
  <c r="L480" i="2"/>
  <c r="M480" i="2"/>
  <c r="J479" i="2"/>
  <c r="G479" i="2" s="1"/>
  <c r="T479" i="2"/>
  <c r="K480" i="2"/>
  <c r="H479" i="2"/>
  <c r="C476" i="4"/>
  <c r="AB475" i="3"/>
  <c r="E476" i="4" s="1"/>
  <c r="D477" i="4" l="1"/>
  <c r="L481" i="2"/>
  <c r="I480" i="2"/>
  <c r="F480" i="2" s="1"/>
  <c r="D479" i="3"/>
  <c r="C477" i="4"/>
  <c r="AB476" i="3"/>
  <c r="E477" i="4" s="1"/>
  <c r="D482" i="2"/>
  <c r="T481" i="2"/>
  <c r="M481" i="2"/>
  <c r="J480" i="2"/>
  <c r="G480" i="2" s="1"/>
  <c r="K481" i="2"/>
  <c r="H480" i="2"/>
  <c r="U476" i="3"/>
  <c r="I476" i="3"/>
  <c r="O476" i="3"/>
  <c r="K477" i="4"/>
  <c r="N477" i="4" s="1"/>
  <c r="F477" i="4"/>
  <c r="H477" i="4"/>
  <c r="I477" i="4"/>
  <c r="M477" i="4" s="1"/>
  <c r="J477" i="4"/>
  <c r="G477" i="4"/>
  <c r="L477" i="4" s="1"/>
  <c r="C481" i="2"/>
  <c r="E480" i="2"/>
  <c r="A478" i="4"/>
  <c r="E477" i="3"/>
  <c r="F477" i="3" s="1"/>
  <c r="S477" i="3"/>
  <c r="Y477" i="3" s="1"/>
  <c r="Z477" i="3" s="1"/>
  <c r="AA477" i="3" s="1"/>
  <c r="G477" i="3"/>
  <c r="T477" i="3"/>
  <c r="H477" i="3"/>
  <c r="V477" i="3"/>
  <c r="J477" i="3"/>
  <c r="M477" i="3"/>
  <c r="C477" i="3"/>
  <c r="N477" i="3"/>
  <c r="P477" i="3"/>
  <c r="D478" i="4" l="1"/>
  <c r="D483" i="2"/>
  <c r="J481" i="2"/>
  <c r="G481" i="2" s="1"/>
  <c r="M482" i="2"/>
  <c r="D480" i="3"/>
  <c r="I477" i="3"/>
  <c r="U477" i="3"/>
  <c r="J478" i="4" s="1"/>
  <c r="O477" i="3"/>
  <c r="H478" i="4" s="1"/>
  <c r="I478" i="4"/>
  <c r="M478" i="4" s="1"/>
  <c r="K478" i="4"/>
  <c r="N478" i="4" s="1"/>
  <c r="F478" i="4"/>
  <c r="G478" i="4"/>
  <c r="L478" i="4" s="1"/>
  <c r="I481" i="2"/>
  <c r="L482" i="2"/>
  <c r="C482" i="2"/>
  <c r="F481" i="2"/>
  <c r="K482" i="2"/>
  <c r="H481" i="2"/>
  <c r="E481" i="2" s="1"/>
  <c r="C478" i="4"/>
  <c r="AB477" i="3"/>
  <c r="E478" i="4" s="1"/>
  <c r="A479" i="4"/>
  <c r="P478" i="3"/>
  <c r="E478" i="3"/>
  <c r="F478" i="3" s="1"/>
  <c r="G478" i="3"/>
  <c r="S478" i="3"/>
  <c r="Y478" i="3" s="1"/>
  <c r="Z478" i="3" s="1"/>
  <c r="AA478" i="3" s="1"/>
  <c r="H478" i="3"/>
  <c r="T478" i="3"/>
  <c r="J478" i="3"/>
  <c r="V478" i="3"/>
  <c r="M478" i="3"/>
  <c r="C478" i="3"/>
  <c r="N478" i="3"/>
  <c r="D479" i="4" l="1"/>
  <c r="I482" i="2"/>
  <c r="L483" i="2"/>
  <c r="F482" i="2"/>
  <c r="C483" i="2"/>
  <c r="D481" i="3"/>
  <c r="A480" i="4"/>
  <c r="M479" i="3"/>
  <c r="N479" i="3"/>
  <c r="C479" i="3"/>
  <c r="P479" i="3"/>
  <c r="E479" i="3"/>
  <c r="F479" i="3" s="1"/>
  <c r="G479" i="3"/>
  <c r="S479" i="3"/>
  <c r="Y479" i="3" s="1"/>
  <c r="Z479" i="3" s="1"/>
  <c r="AA479" i="3" s="1"/>
  <c r="H479" i="3"/>
  <c r="T479" i="3"/>
  <c r="J479" i="3"/>
  <c r="V479" i="3"/>
  <c r="M483" i="2"/>
  <c r="J482" i="2"/>
  <c r="G482" i="2" s="1"/>
  <c r="I478" i="3"/>
  <c r="U478" i="3"/>
  <c r="O478" i="3"/>
  <c r="D484" i="2"/>
  <c r="G479" i="4"/>
  <c r="L479" i="4" s="1"/>
  <c r="I479" i="4"/>
  <c r="M479" i="4" s="1"/>
  <c r="J479" i="4"/>
  <c r="K479" i="4"/>
  <c r="N479" i="4" s="1"/>
  <c r="H479" i="4"/>
  <c r="F479" i="4"/>
  <c r="K483" i="2"/>
  <c r="H482" i="2"/>
  <c r="E482" i="2" s="1"/>
  <c r="T482" i="2"/>
  <c r="C479" i="4"/>
  <c r="AB478" i="3"/>
  <c r="E479" i="4" s="1"/>
  <c r="D480" i="4" l="1"/>
  <c r="M484" i="2"/>
  <c r="J483" i="2"/>
  <c r="C480" i="4"/>
  <c r="AB479" i="3"/>
  <c r="E480" i="4" s="1"/>
  <c r="G480" i="4"/>
  <c r="L480" i="4" s="1"/>
  <c r="I480" i="4"/>
  <c r="M480" i="4" s="1"/>
  <c r="K480" i="4"/>
  <c r="N480" i="4" s="1"/>
  <c r="C484" i="2"/>
  <c r="D482" i="3"/>
  <c r="T483" i="2"/>
  <c r="G483" i="2"/>
  <c r="A481" i="4"/>
  <c r="J480" i="3"/>
  <c r="V480" i="3"/>
  <c r="M480" i="3"/>
  <c r="N480" i="3"/>
  <c r="C480" i="3"/>
  <c r="P480" i="3"/>
  <c r="E480" i="3"/>
  <c r="F480" i="3" s="1"/>
  <c r="G480" i="3"/>
  <c r="S480" i="3"/>
  <c r="Y480" i="3" s="1"/>
  <c r="Z480" i="3" s="1"/>
  <c r="AA480" i="3" s="1"/>
  <c r="H480" i="3"/>
  <c r="T480" i="3"/>
  <c r="I483" i="2"/>
  <c r="F483" i="2" s="1"/>
  <c r="L484" i="2"/>
  <c r="D485" i="2"/>
  <c r="T484" i="2"/>
  <c r="O479" i="3"/>
  <c r="H480" i="4" s="1"/>
  <c r="U479" i="3"/>
  <c r="J480" i="4" s="1"/>
  <c r="I479" i="3"/>
  <c r="F480" i="4" s="1"/>
  <c r="H483" i="2"/>
  <c r="E483" i="2" s="1"/>
  <c r="K484" i="2"/>
  <c r="D481" i="4" l="1"/>
  <c r="C481" i="4"/>
  <c r="AB480" i="3"/>
  <c r="E481" i="4" s="1"/>
  <c r="D486" i="2"/>
  <c r="A482" i="4"/>
  <c r="G481" i="3"/>
  <c r="S481" i="3"/>
  <c r="Y481" i="3" s="1"/>
  <c r="Z481" i="3" s="1"/>
  <c r="AA481" i="3" s="1"/>
  <c r="H481" i="3"/>
  <c r="T481" i="3"/>
  <c r="J481" i="3"/>
  <c r="V481" i="3"/>
  <c r="M481" i="3"/>
  <c r="N481" i="3"/>
  <c r="P481" i="3"/>
  <c r="E481" i="3"/>
  <c r="F481" i="3" s="1"/>
  <c r="C481" i="3"/>
  <c r="D483" i="3"/>
  <c r="I484" i="2"/>
  <c r="L485" i="2"/>
  <c r="G481" i="4"/>
  <c r="L481" i="4" s="1"/>
  <c r="F481" i="4"/>
  <c r="H481" i="4"/>
  <c r="I481" i="4"/>
  <c r="M481" i="4" s="1"/>
  <c r="J481" i="4"/>
  <c r="K481" i="4"/>
  <c r="N481" i="4" s="1"/>
  <c r="K485" i="2"/>
  <c r="H484" i="2"/>
  <c r="O480" i="3"/>
  <c r="I480" i="3"/>
  <c r="U480" i="3"/>
  <c r="J484" i="2"/>
  <c r="G484" i="2" s="1"/>
  <c r="M485" i="2"/>
  <c r="C485" i="2"/>
  <c r="T485" i="2" s="1"/>
  <c r="E484" i="2"/>
  <c r="F484" i="2"/>
  <c r="D482" i="4" l="1"/>
  <c r="M486" i="2"/>
  <c r="J485" i="2"/>
  <c r="A483" i="4"/>
  <c r="P482" i="3"/>
  <c r="E482" i="3"/>
  <c r="F482" i="3" s="1"/>
  <c r="G482" i="3"/>
  <c r="S482" i="3"/>
  <c r="Y482" i="3" s="1"/>
  <c r="Z482" i="3" s="1"/>
  <c r="AA482" i="3" s="1"/>
  <c r="H482" i="3"/>
  <c r="T482" i="3"/>
  <c r="J482" i="3"/>
  <c r="V482" i="3"/>
  <c r="M482" i="3"/>
  <c r="C482" i="3"/>
  <c r="N482" i="3"/>
  <c r="I482" i="4"/>
  <c r="M482" i="4" s="1"/>
  <c r="K482" i="4"/>
  <c r="N482" i="4" s="1"/>
  <c r="G482" i="4"/>
  <c r="L482" i="4" s="1"/>
  <c r="I485" i="2"/>
  <c r="F485" i="2" s="1"/>
  <c r="L486" i="2"/>
  <c r="D484" i="3"/>
  <c r="K486" i="2"/>
  <c r="H485" i="2"/>
  <c r="E485" i="2" s="1"/>
  <c r="T486" i="2"/>
  <c r="D487" i="2"/>
  <c r="I481" i="3"/>
  <c r="F482" i="4" s="1"/>
  <c r="U481" i="3"/>
  <c r="J482" i="4" s="1"/>
  <c r="O481" i="3"/>
  <c r="H482" i="4" s="1"/>
  <c r="G485" i="2"/>
  <c r="C482" i="4"/>
  <c r="AB481" i="3"/>
  <c r="E482" i="4" s="1"/>
  <c r="C486" i="2"/>
  <c r="D483" i="4" l="1"/>
  <c r="D488" i="2"/>
  <c r="A484" i="4"/>
  <c r="M483" i="3"/>
  <c r="N483" i="3"/>
  <c r="C483" i="3"/>
  <c r="P483" i="3"/>
  <c r="E483" i="3"/>
  <c r="F483" i="3" s="1"/>
  <c r="G483" i="3"/>
  <c r="S483" i="3"/>
  <c r="Y483" i="3" s="1"/>
  <c r="Z483" i="3" s="1"/>
  <c r="AA483" i="3" s="1"/>
  <c r="H483" i="3"/>
  <c r="T483" i="3"/>
  <c r="J483" i="3"/>
  <c r="V483" i="3"/>
  <c r="I482" i="3"/>
  <c r="U482" i="3"/>
  <c r="J483" i="4" s="1"/>
  <c r="O482" i="3"/>
  <c r="H483" i="4" s="1"/>
  <c r="C487" i="2"/>
  <c r="I483" i="4"/>
  <c r="M483" i="4" s="1"/>
  <c r="K483" i="4"/>
  <c r="N483" i="4" s="1"/>
  <c r="F483" i="4"/>
  <c r="G483" i="4"/>
  <c r="L483" i="4" s="1"/>
  <c r="H486" i="2"/>
  <c r="E486" i="2" s="1"/>
  <c r="K487" i="2"/>
  <c r="D485" i="3"/>
  <c r="C483" i="4"/>
  <c r="AB482" i="3"/>
  <c r="E483" i="4" s="1"/>
  <c r="M487" i="2"/>
  <c r="J486" i="2"/>
  <c r="G486" i="2" s="1"/>
  <c r="L487" i="2"/>
  <c r="I486" i="2"/>
  <c r="F486" i="2" s="1"/>
  <c r="D484" i="4" l="1"/>
  <c r="I487" i="2"/>
  <c r="L488" i="2"/>
  <c r="A485" i="4"/>
  <c r="J484" i="3"/>
  <c r="V484" i="3"/>
  <c r="M484" i="3"/>
  <c r="N484" i="3"/>
  <c r="C484" i="3"/>
  <c r="P484" i="3"/>
  <c r="E484" i="3"/>
  <c r="F484" i="3" s="1"/>
  <c r="G484" i="3"/>
  <c r="S484" i="3"/>
  <c r="Y484" i="3" s="1"/>
  <c r="Z484" i="3" s="1"/>
  <c r="AA484" i="3" s="1"/>
  <c r="H484" i="3"/>
  <c r="T484" i="3"/>
  <c r="C488" i="2"/>
  <c r="F487" i="2"/>
  <c r="O483" i="3"/>
  <c r="H484" i="4" s="1"/>
  <c r="U483" i="3"/>
  <c r="J484" i="4" s="1"/>
  <c r="I483" i="3"/>
  <c r="F484" i="4" s="1"/>
  <c r="J487" i="2"/>
  <c r="G487" i="2" s="1"/>
  <c r="M488" i="2"/>
  <c r="D486" i="3"/>
  <c r="K488" i="2"/>
  <c r="H487" i="2"/>
  <c r="E487" i="2" s="1"/>
  <c r="C484" i="4"/>
  <c r="AB483" i="3"/>
  <c r="E484" i="4" s="1"/>
  <c r="G484" i="4"/>
  <c r="L484" i="4" s="1"/>
  <c r="I484" i="4"/>
  <c r="M484" i="4" s="1"/>
  <c r="K484" i="4"/>
  <c r="N484" i="4" s="1"/>
  <c r="T487" i="2"/>
  <c r="T488" i="2"/>
  <c r="D489" i="2"/>
  <c r="D485" i="4" l="1"/>
  <c r="C485" i="4"/>
  <c r="AB484" i="3"/>
  <c r="E485" i="4" s="1"/>
  <c r="O484" i="3"/>
  <c r="H485" i="4" s="1"/>
  <c r="I484" i="3"/>
  <c r="U484" i="3"/>
  <c r="D490" i="2"/>
  <c r="T489" i="2"/>
  <c r="E488" i="2"/>
  <c r="F488" i="2"/>
  <c r="C489" i="2"/>
  <c r="F485" i="4"/>
  <c r="G485" i="4"/>
  <c r="L485" i="4" s="1"/>
  <c r="I485" i="4"/>
  <c r="M485" i="4" s="1"/>
  <c r="J485" i="4"/>
  <c r="K485" i="4"/>
  <c r="N485" i="4" s="1"/>
  <c r="I488" i="2"/>
  <c r="L489" i="2"/>
  <c r="D487" i="3"/>
  <c r="K489" i="2"/>
  <c r="H488" i="2"/>
  <c r="M489" i="2"/>
  <c r="J488" i="2"/>
  <c r="G488" i="2" s="1"/>
  <c r="A486" i="4"/>
  <c r="G485" i="3"/>
  <c r="S485" i="3"/>
  <c r="Y485" i="3" s="1"/>
  <c r="Z485" i="3" s="1"/>
  <c r="AA485" i="3" s="1"/>
  <c r="H485" i="3"/>
  <c r="T485" i="3"/>
  <c r="J485" i="3"/>
  <c r="V485" i="3"/>
  <c r="M485" i="3"/>
  <c r="N485" i="3"/>
  <c r="P485" i="3"/>
  <c r="E485" i="3"/>
  <c r="F485" i="3" s="1"/>
  <c r="C485" i="3"/>
  <c r="D486" i="4" l="1"/>
  <c r="C486" i="4"/>
  <c r="AB485" i="3"/>
  <c r="E486" i="4" s="1"/>
  <c r="D488" i="3"/>
  <c r="H489" i="2"/>
  <c r="K490" i="2"/>
  <c r="I489" i="2"/>
  <c r="L490" i="2"/>
  <c r="D491" i="2"/>
  <c r="T490" i="2"/>
  <c r="A487" i="4"/>
  <c r="P486" i="3"/>
  <c r="E486" i="3"/>
  <c r="F486" i="3" s="1"/>
  <c r="G486" i="3"/>
  <c r="S486" i="3"/>
  <c r="Y486" i="3" s="1"/>
  <c r="Z486" i="3" s="1"/>
  <c r="AA486" i="3" s="1"/>
  <c r="H486" i="3"/>
  <c r="T486" i="3"/>
  <c r="J486" i="3"/>
  <c r="V486" i="3"/>
  <c r="M486" i="3"/>
  <c r="C486" i="3"/>
  <c r="N486" i="3"/>
  <c r="I485" i="3"/>
  <c r="F486" i="4" s="1"/>
  <c r="U485" i="3"/>
  <c r="J486" i="4" s="1"/>
  <c r="O485" i="3"/>
  <c r="M490" i="2"/>
  <c r="J489" i="2"/>
  <c r="G489" i="2" s="1"/>
  <c r="G486" i="4"/>
  <c r="L486" i="4" s="1"/>
  <c r="H486" i="4"/>
  <c r="I486" i="4"/>
  <c r="M486" i="4" s="1"/>
  <c r="K486" i="4"/>
  <c r="N486" i="4" s="1"/>
  <c r="F489" i="2"/>
  <c r="C490" i="2"/>
  <c r="E489" i="2"/>
  <c r="D487" i="4" l="1"/>
  <c r="I490" i="2"/>
  <c r="L491" i="2"/>
  <c r="I491" i="2" s="1"/>
  <c r="K491" i="2"/>
  <c r="H491" i="2" s="1"/>
  <c r="H490" i="2"/>
  <c r="D489" i="3"/>
  <c r="J490" i="2"/>
  <c r="G490" i="2" s="1"/>
  <c r="M491" i="2"/>
  <c r="J491" i="2" s="1"/>
  <c r="A488" i="4"/>
  <c r="M487" i="3"/>
  <c r="N487" i="3"/>
  <c r="C487" i="3"/>
  <c r="P487" i="3"/>
  <c r="E487" i="3"/>
  <c r="F487" i="3" s="1"/>
  <c r="G487" i="3"/>
  <c r="S487" i="3"/>
  <c r="Y487" i="3" s="1"/>
  <c r="Z487" i="3" s="1"/>
  <c r="AA487" i="3" s="1"/>
  <c r="H487" i="3"/>
  <c r="T487" i="3"/>
  <c r="J487" i="3"/>
  <c r="V487" i="3"/>
  <c r="I486" i="3"/>
  <c r="F487" i="4" s="1"/>
  <c r="U486" i="3"/>
  <c r="J487" i="4" s="1"/>
  <c r="O486" i="3"/>
  <c r="H487" i="4" s="1"/>
  <c r="C491" i="2"/>
  <c r="E490" i="2"/>
  <c r="F490" i="2"/>
  <c r="G487" i="4"/>
  <c r="L487" i="4" s="1"/>
  <c r="I487" i="4"/>
  <c r="M487" i="4" s="1"/>
  <c r="K487" i="4"/>
  <c r="N487" i="4" s="1"/>
  <c r="C487" i="4"/>
  <c r="AB486" i="3"/>
  <c r="E487" i="4" s="1"/>
  <c r="C488" i="4" l="1"/>
  <c r="AB487" i="3"/>
  <c r="E488" i="4" s="1"/>
  <c r="D490" i="3"/>
  <c r="D488" i="4"/>
  <c r="A489" i="4"/>
  <c r="J488" i="3"/>
  <c r="V488" i="3"/>
  <c r="M488" i="3"/>
  <c r="N488" i="3"/>
  <c r="C488" i="3"/>
  <c r="P488" i="3"/>
  <c r="E488" i="3"/>
  <c r="F488" i="3" s="1"/>
  <c r="G488" i="3"/>
  <c r="S488" i="3"/>
  <c r="Y488" i="3" s="1"/>
  <c r="Z488" i="3" s="1"/>
  <c r="AA488" i="3" s="1"/>
  <c r="T488" i="3"/>
  <c r="H488" i="3"/>
  <c r="O487" i="3"/>
  <c r="I487" i="3"/>
  <c r="U487" i="3"/>
  <c r="J488" i="4" s="1"/>
  <c r="E491" i="2"/>
  <c r="F491" i="2"/>
  <c r="G491" i="2"/>
  <c r="T491" i="2"/>
  <c r="K488" i="4"/>
  <c r="N488" i="4" s="1"/>
  <c r="F488" i="4"/>
  <c r="G488" i="4"/>
  <c r="L488" i="4" s="1"/>
  <c r="H488" i="4"/>
  <c r="I488" i="4"/>
  <c r="M488" i="4" s="1"/>
  <c r="D489" i="4" l="1"/>
  <c r="C489" i="4"/>
  <c r="AB488" i="3"/>
  <c r="E489" i="4" s="1"/>
  <c r="I489" i="4"/>
  <c r="M489" i="4" s="1"/>
  <c r="K489" i="4"/>
  <c r="N489" i="4" s="1"/>
  <c r="G489" i="4"/>
  <c r="L489" i="4" s="1"/>
  <c r="A490" i="4"/>
  <c r="G489" i="3"/>
  <c r="S489" i="3"/>
  <c r="Y489" i="3" s="1"/>
  <c r="Z489" i="3" s="1"/>
  <c r="AA489" i="3" s="1"/>
  <c r="H489" i="3"/>
  <c r="T489" i="3"/>
  <c r="J489" i="3"/>
  <c r="V489" i="3"/>
  <c r="M489" i="3"/>
  <c r="N489" i="3"/>
  <c r="P489" i="3"/>
  <c r="C489" i="3"/>
  <c r="E489" i="3"/>
  <c r="F489" i="3" s="1"/>
  <c r="O488" i="3"/>
  <c r="H489" i="4" s="1"/>
  <c r="I488" i="3"/>
  <c r="F489" i="4" s="1"/>
  <c r="U488" i="3"/>
  <c r="J489" i="4" s="1"/>
  <c r="D490" i="4" l="1"/>
  <c r="I489" i="3"/>
  <c r="U489" i="3"/>
  <c r="O489" i="3"/>
  <c r="F490" i="4"/>
  <c r="G490" i="4"/>
  <c r="L490" i="4" s="1"/>
  <c r="H490" i="4"/>
  <c r="I490" i="4"/>
  <c r="M490" i="4" s="1"/>
  <c r="J490" i="4"/>
  <c r="K490" i="4"/>
  <c r="N490" i="4" s="1"/>
  <c r="C490" i="4"/>
  <c r="AB489" i="3"/>
  <c r="E490" i="4" s="1"/>
  <c r="A491" i="4"/>
  <c r="P490" i="3"/>
  <c r="E490" i="3"/>
  <c r="F490" i="3" s="1"/>
  <c r="G490" i="3"/>
  <c r="S490" i="3"/>
  <c r="H490" i="3"/>
  <c r="T490" i="3"/>
  <c r="J490" i="3"/>
  <c r="V490" i="3"/>
  <c r="M490" i="3"/>
  <c r="C490" i="3"/>
  <c r="N490" i="3"/>
  <c r="Y490" i="3" l="1"/>
  <c r="Z490" i="3" s="1"/>
  <c r="AA490" i="3" s="1"/>
  <c r="D491" i="4" s="1"/>
  <c r="Y491" i="3"/>
  <c r="Z491" i="3" s="1"/>
  <c r="C491" i="4"/>
  <c r="AB490" i="3"/>
  <c r="E491" i="4" s="1"/>
  <c r="I490" i="3"/>
  <c r="U490" i="3"/>
  <c r="O490" i="3"/>
  <c r="F491" i="4"/>
  <c r="G491" i="4"/>
  <c r="L491" i="4" s="1"/>
  <c r="H491" i="4"/>
  <c r="I491" i="4"/>
  <c r="M491" i="4" s="1"/>
  <c r="J491" i="4"/>
  <c r="K491" i="4"/>
  <c r="N491" i="4" s="1"/>
  <c r="AA491" i="3" l="1"/>
  <c r="D492" i="4" s="1"/>
  <c r="AA492" i="3" l="1"/>
  <c r="AA493" i="3"/>
  <c r="D493" i="4"/>
  <c r="AA494" i="3" l="1"/>
  <c r="D494" i="4"/>
  <c r="D495" i="4" l="1"/>
  <c r="AA495" i="3"/>
  <c r="AA496" i="3" l="1"/>
  <c r="D496" i="4"/>
  <c r="AA497" i="3" l="1"/>
  <c r="D497" i="4"/>
  <c r="AA498" i="3" l="1"/>
  <c r="D498" i="4"/>
  <c r="AA499" i="3" l="1"/>
  <c r="D499" i="4"/>
  <c r="AA500" i="3" l="1"/>
  <c r="D500" i="4"/>
  <c r="AA501" i="3" l="1"/>
  <c r="D501" i="4"/>
  <c r="AA502" i="3" l="1"/>
  <c r="D502" i="4"/>
  <c r="AA503" i="3" l="1"/>
  <c r="D503" i="4"/>
  <c r="AA504" i="3" l="1"/>
  <c r="D504" i="4"/>
  <c r="AA505" i="3" l="1"/>
  <c r="D505" i="4"/>
  <c r="D506" i="4" l="1"/>
  <c r="AA506" i="3"/>
  <c r="AA507" i="3" l="1"/>
  <c r="D507" i="4"/>
  <c r="D508" i="4" l="1"/>
  <c r="AA508" i="3"/>
  <c r="D509" i="4" l="1"/>
  <c r="AA509" i="3"/>
  <c r="D510" i="4" l="1"/>
  <c r="AA510" i="3"/>
  <c r="AA511" i="3" l="1"/>
  <c r="D511" i="4"/>
  <c r="AA512" i="3" l="1"/>
  <c r="D512" i="4"/>
  <c r="AA513" i="3" l="1"/>
  <c r="D513" i="4"/>
  <c r="AA514" i="3" l="1"/>
  <c r="D514" i="4"/>
  <c r="AA515" i="3" l="1"/>
  <c r="D515" i="4"/>
  <c r="AA516" i="3" l="1"/>
  <c r="D516" i="4"/>
  <c r="AA517" i="3" l="1"/>
  <c r="D517" i="4"/>
  <c r="AA518" i="3" l="1"/>
  <c r="D518" i="4"/>
  <c r="AA519" i="3" l="1"/>
  <c r="D519" i="4"/>
  <c r="AA520" i="3" l="1"/>
  <c r="D520" i="4"/>
  <c r="D521" i="4" l="1"/>
  <c r="AA521" i="3"/>
  <c r="D522" i="4" l="1"/>
  <c r="AA522" i="3"/>
  <c r="AA523" i="3" l="1"/>
  <c r="D523" i="4"/>
  <c r="AA524" i="3" l="1"/>
  <c r="D524" i="4"/>
  <c r="AA525" i="3" l="1"/>
  <c r="D525" i="4"/>
  <c r="AA526" i="3" l="1"/>
  <c r="D526" i="4"/>
  <c r="AA527" i="3" l="1"/>
  <c r="D527" i="4"/>
  <c r="AA528" i="3" l="1"/>
  <c r="D528" i="4"/>
  <c r="AA529" i="3" l="1"/>
  <c r="D529" i="4"/>
  <c r="AA530" i="3" l="1"/>
  <c r="AA531" i="3" s="1"/>
  <c r="AA532" i="3" s="1"/>
  <c r="D530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AutoBVT</author>
  </authors>
  <commentList>
    <comment ref="A5" authorId="0" shapeId="0" xr:uid="{00000000-0006-0000-0F00-000001000000}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AutoBVT</author>
  </authors>
  <commentList>
    <comment ref="B4" authorId="0" shapeId="0" xr:uid="{00000000-0006-0000-1000-000001000000}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AutoBVT</author>
  </authors>
  <commentList>
    <comment ref="A4" authorId="0" shapeId="0" xr:uid="{00000000-0006-0000-1100-000001000000}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<sst xmlns="http://schemas.openxmlformats.org/spreadsheetml/2006/main" count="142" uniqueCount="77">
  <si>
    <t>GT LỚP 1</t>
  </si>
  <si>
    <t>GT LỚP 2</t>
  </si>
  <si>
    <t>GT LỚP 3</t>
  </si>
  <si>
    <t>GT LỚP 4</t>
  </si>
  <si>
    <t>Sau nối cần</t>
  </si>
  <si>
    <t>Trước nối cần</t>
  </si>
  <si>
    <t>Lắp đặt ban đầu</t>
  </si>
  <si>
    <t>Phải</t>
  </si>
  <si>
    <t xml:space="preserve">Giữa </t>
  </si>
  <si>
    <t xml:space="preserve">Trái </t>
  </si>
  <si>
    <t xml:space="preserve">
Ghi chú</t>
  </si>
  <si>
    <t xml:space="preserve">
 Tư Vấn Giám Sát</t>
  </si>
  <si>
    <t xml:space="preserve">
 Nhà thầu</t>
  </si>
  <si>
    <t xml:space="preserve">
Đội quan trắc</t>
  </si>
  <si>
    <t>Chiều dày lớp đắp (m)</t>
  </si>
  <si>
    <t>Cao độ nền đắp (mm)</t>
  </si>
  <si>
    <t xml:space="preserve">
Số đọc mia tại nền đắp tại tâm  (mm)</t>
  </si>
  <si>
    <t>Tốc độ lún (mm)</t>
  </si>
  <si>
    <t xml:space="preserve"> Cao độ bàn đo lún  (mm)</t>
  </si>
  <si>
    <t xml:space="preserve">  Chiều dài cần nối  (mm)</t>
  </si>
  <si>
    <t xml:space="preserve">  Cao độ quan trắc  (mm)</t>
  </si>
  <si>
    <t>Số đọc mia (mm)</t>
  </si>
  <si>
    <t>Số đọc tại mốc (mm)</t>
  </si>
  <si>
    <t>Cao độ mốc (mm)</t>
  </si>
  <si>
    <t xml:space="preserve"> Ngày quan trắc</t>
  </si>
  <si>
    <t xml:space="preserve">
 Stt</t>
  </si>
  <si>
    <t>Ngày đặt bàn:</t>
  </si>
  <si>
    <t>Km114+840</t>
  </si>
  <si>
    <t>Lý trình:</t>
  </si>
  <si>
    <t>Cao độ mốc:</t>
  </si>
  <si>
    <t>Nắng</t>
  </si>
  <si>
    <t>Thời tiết:</t>
  </si>
  <si>
    <t>Tên mốc:</t>
  </si>
  <si>
    <t>Người lập:</t>
  </si>
  <si>
    <t>BIỂU GHI ĐO QUAN TRẮC LÚN</t>
  </si>
  <si>
    <t>LIÊN DANH CC1 - HẢI ĐĂNG - VẠN CƯỜNG - 492 - BẮC TRUNG NAM</t>
  </si>
  <si>
    <t>BAN QUẢN LÝ DỰ ÁN MỸ THUẬN</t>
  </si>
  <si>
    <t>NHÀ THẦU</t>
  </si>
  <si>
    <t>TƯ VẤN GIÁM SÁT</t>
  </si>
  <si>
    <t>CHỦ ĐẦU TƯ</t>
  </si>
  <si>
    <t>THUỘC DỰ ÁN XÂY DỰNG CÔNG TRÌNH ĐƯỜNG BỘ CAO TỐC BẮC - NAM PHÍA ĐÔNG GIAI ĐOẠN 2021 - 2025</t>
  </si>
  <si>
    <t>DỰ ÁN THÀNH PHẦN ĐOẠN HẬU GIANG - CÀ MAU</t>
  </si>
  <si>
    <t>08/12/015</t>
  </si>
  <si>
    <t>26/11/015</t>
  </si>
  <si>
    <t>17/11/015</t>
  </si>
  <si>
    <t>02/11/015</t>
  </si>
  <si>
    <t>Độ lún tích lũy (mm)</t>
  </si>
  <si>
    <t>Độ lún (mm)</t>
  </si>
  <si>
    <t>Cao độ bàn đo lún (mm)</t>
  </si>
  <si>
    <t>Cao độ quan trắc (mm)</t>
  </si>
  <si>
    <t>Số đọc mia</t>
  </si>
  <si>
    <t>Cao độ đắp (mm)</t>
  </si>
  <si>
    <t>Chiều dày nền đắp (m)</t>
  </si>
  <si>
    <t>Chiều cao nền đắp (m)</t>
  </si>
  <si>
    <t>Tim</t>
  </si>
  <si>
    <t>Trái</t>
  </si>
  <si>
    <t>Cao độ đường ngắm</t>
  </si>
  <si>
    <t>Số đọc mia của mốc</t>
  </si>
  <si>
    <t xml:space="preserve">Cao độ mốc </t>
  </si>
  <si>
    <t>Ngày cộng dồn</t>
  </si>
  <si>
    <t>Ngày</t>
  </si>
  <si>
    <t>Cao độ bàn đo lún</t>
  </si>
  <si>
    <t>Cao độ quan trắc</t>
  </si>
  <si>
    <t>Ghi chú</t>
  </si>
  <si>
    <t>Độ lún (phải) (mm)</t>
  </si>
  <si>
    <t>Độ lún (giữa) (mm)</t>
  </si>
  <si>
    <t>Độ lún (trái) (mm)</t>
  </si>
  <si>
    <t>Giữa</t>
  </si>
  <si>
    <t>chiều dày đắp(m)</t>
  </si>
  <si>
    <t>Cao độ đắp(m)</t>
  </si>
  <si>
    <t>Số ngày</t>
  </si>
  <si>
    <t>Ngày đo</t>
  </si>
  <si>
    <t>BÀN QUAN TRẮC: KM114+840</t>
  </si>
  <si>
    <t>K.Thúc GT</t>
  </si>
  <si>
    <t>GT GD2 LỚP 4</t>
  </si>
  <si>
    <t>GT GD2 LỚP 3</t>
  </si>
  <si>
    <t>GT GD2 LỚP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</si>
</sst>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(* #,##0.00_);_(* \(#,##0.00\);_(* &quot;-&quot;??_);_(@_)"/>
    <numFmt numFmtId="164" formatCode="&quot;Đắp lớp&quot;\ #"/>
    <numFmt numFmtId="165" formatCode="dd\.mm\.yyyy;@"/>
    <numFmt numFmtId="166" formatCode="dd/mm/yyyy;@"/>
    <numFmt numFmtId="167" formatCode="#,##0.0"/>
    <numFmt numFmtId="168" formatCode="0.000"/>
    <numFmt numFmtId="169" formatCode="&quot;&quot;0000"/>
    <numFmt numFmtId="170" formatCode="0;[Red]0"/>
    <numFmt numFmtId="171" formatCode="0_ ;\-0\ "/>
    <numFmt numFmtId="172" formatCode="0.0"/>
    <numFmt numFmtId="173" formatCode="0_ "/>
    <numFmt numFmtId="174" formatCode="0_);[Red]\(0\)"/>
    <numFmt numFmtId="175" formatCode="[$-409]d/mmm;@"/>
  </numFmts>
  <fonts count="28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Times New Roman"/>
      <family val="1"/>
    </font>
    <font>
      <sz val="11"/>
      <color rgb="FF0070C0"/>
      <name val="Times New Roman"/>
      <family val="1"/>
    </font>
    <font>
      <sz val="11"/>
      <color theme="1"/>
      <name val="Times New Roman"/>
      <family val="1"/>
    </font>
    <font>
      <sz val="11"/>
      <name val="굴림체"/>
      <family val="3"/>
      <charset val="129"/>
    </font>
    <font>
      <sz val="11"/>
      <color rgb="FFFF0000"/>
      <name val="Times New Roman"/>
      <family val="1"/>
    </font>
    <font>
      <sz val="9"/>
      <name val="Times New Roman"/>
      <family val="1"/>
    </font>
    <font>
      <sz val="11"/>
      <color rgb="FFED0000"/>
      <name val="Times New Roman"/>
      <family val="1"/>
    </font>
    <font>
      <sz val="9"/>
      <color rgb="FFFF0000"/>
      <name val="Times New Roman"/>
      <family val="1"/>
    </font>
    <font>
      <sz val="9"/>
      <color rgb="FFED0000"/>
      <name val="Times New Roman"/>
      <family val="1"/>
    </font>
    <font>
      <b/>
      <sz val="11"/>
      <name val="Times New Roman"/>
      <family val="1"/>
    </font>
    <font>
      <sz val="10"/>
      <name val=".VnTime"/>
      <family val="2"/>
    </font>
    <font>
      <b/>
      <u/>
      <sz val="14"/>
      <color theme="1"/>
      <name val="Times New Roman"/>
      <family val="1"/>
    </font>
    <font>
      <b/>
      <sz val="11"/>
      <color theme="1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1"/>
      <name val="Times New Roman"/>
      <family val="1"/>
    </font>
    <font>
      <sz val="10"/>
      <color theme="1"/>
      <name val="Times New Roman"/>
      <family val="1"/>
    </font>
    <font>
      <sz val="12"/>
      <name val="Times New Roman"/>
      <family val="1"/>
    </font>
    <font>
      <sz val="10"/>
      <name val="Times New Roman"/>
      <family val="1"/>
    </font>
    <font>
      <sz val="12"/>
      <color theme="1"/>
      <name val="Times New Roman"/>
      <family val="2"/>
    </font>
    <font>
      <sz val="8"/>
      <name val="Times New Roman"/>
      <family val="1"/>
    </font>
    <font>
      <b/>
      <sz val="10"/>
      <name val="Times New Roman"/>
      <family val="1"/>
    </font>
    <font>
      <b/>
      <sz val="10"/>
      <color theme="1"/>
      <name val="Times New Roman"/>
      <family val="1"/>
    </font>
    <font>
      <sz val="12"/>
      <name val="宋体"/>
      <charset val="134"/>
    </font>
    <font>
      <sz val="13"/>
      <name val="Times New Roman"/>
      <family val="1"/>
    </font>
    <font>
      <sz val="11"/>
      <color theme="8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22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hair">
        <color indexed="64"/>
      </top>
      <bottom style="double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8">
    <xf numFmtId="0" fontId="0" fillId="0" borderId="0"/>
    <xf numFmtId="0" fontId="1" fillId="0" borderId="0"/>
    <xf numFmtId="0" fontId="5" fillId="0" borderId="0"/>
    <xf numFmtId="0" fontId="12" fillId="0" borderId="0"/>
    <xf numFmtId="43" fontId="21" fillId="0" borderId="0" applyFont="0" applyFill="0" applyBorder="0" applyAlignment="0" applyProtection="0"/>
    <xf numFmtId="0" fontId="1" fillId="0" borderId="0"/>
    <xf numFmtId="0" fontId="25" fillId="0" borderId="0"/>
    <xf numFmtId="0" fontId="25" fillId="0" borderId="0">
      <alignment vertical="center"/>
    </xf>
  </cellStyleXfs>
  <cellXfs count="257">
    <xf numFmtId="0" fontId="0" fillId="0" borderId="0" xfId="0"/>
    <xf numFmtId="3" fontId="2" fillId="0" borderId="0" xfId="1" applyNumberFormat="1" applyFont="1" applyAlignment="1">
      <alignment horizontal="center"/>
    </xf>
    <xf numFmtId="3" fontId="3" fillId="0" borderId="0" xfId="1" applyNumberFormat="1" applyFont="1" applyAlignment="1">
      <alignment horizontal="center"/>
    </xf>
    <xf numFmtId="3" fontId="2" fillId="0" borderId="0" xfId="1" applyNumberFormat="1" applyFont="1" applyAlignment="1">
      <alignment horizontal="center" vertical="center"/>
    </xf>
    <xf numFmtId="3" fontId="3" fillId="0" borderId="1" xfId="1" applyNumberFormat="1" applyFont="1" applyBorder="1" applyAlignment="1">
      <alignment horizontal="center"/>
    </xf>
    <xf numFmtId="3" fontId="2" fillId="0" borderId="1" xfId="1" applyNumberFormat="1" applyFont="1" applyBorder="1" applyAlignment="1">
      <alignment horizontal="center"/>
    </xf>
    <xf numFmtId="3" fontId="4" fillId="0" borderId="1" xfId="1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3" fontId="4" fillId="0" borderId="1" xfId="1" applyNumberFormat="1" applyFont="1" applyBorder="1" applyAlignment="1">
      <alignment horizontal="center" vertical="center" wrapText="1"/>
    </xf>
    <xf numFmtId="3" fontId="2" fillId="0" borderId="1" xfId="1" applyNumberFormat="1" applyFont="1" applyBorder="1" applyAlignment="1">
      <alignment horizontal="center" vertical="center"/>
    </xf>
    <xf numFmtId="14" fontId="2" fillId="0" borderId="1" xfId="2" applyNumberFormat="1" applyFont="1" applyBorder="1" applyAlignment="1">
      <alignment vertical="center" shrinkToFit="1"/>
    </xf>
    <xf numFmtId="14" fontId="2" fillId="0" borderId="2" xfId="2" applyNumberFormat="1" applyFont="1" applyBorder="1" applyAlignment="1">
      <alignment vertical="center" shrinkToFit="1"/>
    </xf>
    <xf numFmtId="3" fontId="2" fillId="0" borderId="2" xfId="1" applyNumberFormat="1" applyFont="1" applyBorder="1" applyAlignment="1">
      <alignment horizontal="center" vertical="center"/>
    </xf>
    <xf numFmtId="4" fontId="4" fillId="0" borderId="1" xfId="1" applyNumberFormat="1" applyFont="1" applyBorder="1" applyAlignment="1">
      <alignment horizontal="center"/>
    </xf>
    <xf numFmtId="164" fontId="2" fillId="0" borderId="1" xfId="1" applyNumberFormat="1" applyFont="1" applyBorder="1" applyAlignment="1">
      <alignment horizontal="center"/>
    </xf>
    <xf numFmtId="164" fontId="6" fillId="0" borderId="1" xfId="1" applyNumberFormat="1" applyFont="1" applyBorder="1" applyAlignment="1">
      <alignment horizontal="center"/>
    </xf>
    <xf numFmtId="164" fontId="7" fillId="0" borderId="1" xfId="1" applyNumberFormat="1" applyFont="1" applyBorder="1" applyAlignment="1">
      <alignment horizontal="center"/>
    </xf>
    <xf numFmtId="0" fontId="6" fillId="0" borderId="1" xfId="1" applyFont="1" applyBorder="1" applyAlignment="1">
      <alignment horizontal="center"/>
    </xf>
    <xf numFmtId="3" fontId="3" fillId="2" borderId="1" xfId="1" applyNumberFormat="1" applyFont="1" applyFill="1" applyBorder="1" applyAlignment="1">
      <alignment horizontal="center"/>
    </xf>
    <xf numFmtId="0" fontId="8" fillId="0" borderId="1" xfId="1" applyFont="1" applyBorder="1" applyAlignment="1">
      <alignment horizontal="center"/>
    </xf>
    <xf numFmtId="165" fontId="2" fillId="0" borderId="0" xfId="1" applyNumberFormat="1" applyFont="1" applyAlignment="1">
      <alignment horizontal="center"/>
    </xf>
    <xf numFmtId="3" fontId="7" fillId="0" borderId="1" xfId="1" applyNumberFormat="1" applyFont="1" applyBorder="1" applyAlignment="1">
      <alignment horizontal="center"/>
    </xf>
    <xf numFmtId="3" fontId="9" fillId="0" borderId="2" xfId="1" applyNumberFormat="1" applyFont="1" applyBorder="1" applyAlignment="1">
      <alignment horizontal="center" vertical="center" wrapText="1"/>
    </xf>
    <xf numFmtId="4" fontId="2" fillId="0" borderId="1" xfId="1" applyNumberFormat="1" applyFont="1" applyBorder="1" applyAlignment="1">
      <alignment horizontal="center"/>
    </xf>
    <xf numFmtId="3" fontId="8" fillId="0" borderId="0" xfId="1" applyNumberFormat="1" applyFont="1" applyAlignment="1">
      <alignment horizontal="center"/>
    </xf>
    <xf numFmtId="166" fontId="8" fillId="0" borderId="0" xfId="1" applyNumberFormat="1" applyFont="1" applyAlignment="1">
      <alignment horizontal="center"/>
    </xf>
    <xf numFmtId="3" fontId="10" fillId="0" borderId="2" xfId="1" applyNumberFormat="1" applyFont="1" applyBorder="1" applyAlignment="1">
      <alignment horizontal="center" vertical="center" wrapText="1"/>
    </xf>
    <xf numFmtId="3" fontId="8" fillId="0" borderId="1" xfId="1" applyNumberFormat="1" applyFont="1" applyBorder="1" applyAlignment="1">
      <alignment horizontal="center"/>
    </xf>
    <xf numFmtId="4" fontId="8" fillId="0" borderId="1" xfId="1" applyNumberFormat="1" applyFont="1" applyBorder="1" applyAlignment="1">
      <alignment horizontal="center"/>
    </xf>
    <xf numFmtId="3" fontId="8" fillId="0" borderId="1" xfId="1" applyNumberFormat="1" applyFont="1" applyBorder="1" applyAlignment="1">
      <alignment horizontal="center" vertical="center" wrapText="1"/>
    </xf>
    <xf numFmtId="3" fontId="8" fillId="0" borderId="1" xfId="1" applyNumberFormat="1" applyFont="1" applyBorder="1" applyAlignment="1">
      <alignment horizontal="center" vertical="center"/>
    </xf>
    <xf numFmtId="14" fontId="8" fillId="0" borderId="2" xfId="2" applyNumberFormat="1" applyFont="1" applyBorder="1" applyAlignment="1">
      <alignment vertical="center" shrinkToFit="1"/>
    </xf>
    <xf numFmtId="3" fontId="8" fillId="0" borderId="2" xfId="1" applyNumberFormat="1" applyFont="1" applyBorder="1" applyAlignment="1">
      <alignment horizontal="center" vertical="center"/>
    </xf>
    <xf numFmtId="3" fontId="2" fillId="0" borderId="1" xfId="1" applyNumberFormat="1" applyFont="1" applyBorder="1" applyAlignment="1">
      <alignment horizontal="center" vertical="center" wrapText="1"/>
    </xf>
    <xf numFmtId="3" fontId="2" fillId="0" borderId="10" xfId="1" applyNumberFormat="1" applyFont="1" applyBorder="1" applyAlignment="1">
      <alignment horizontal="center"/>
    </xf>
    <xf numFmtId="3" fontId="2" fillId="0" borderId="11" xfId="1" applyNumberFormat="1" applyFont="1" applyBorder="1" applyAlignment="1">
      <alignment horizontal="center"/>
    </xf>
    <xf numFmtId="3" fontId="3" fillId="0" borderId="11" xfId="1" applyNumberFormat="1" applyFont="1" applyBorder="1" applyAlignment="1">
      <alignment horizontal="center"/>
    </xf>
    <xf numFmtId="3" fontId="2" fillId="0" borderId="11" xfId="1" applyNumberFormat="1" applyFont="1" applyBorder="1" applyAlignment="1">
      <alignment horizontal="center" vertical="center"/>
    </xf>
    <xf numFmtId="3" fontId="2" fillId="0" borderId="12" xfId="1" applyNumberFormat="1" applyFont="1" applyBorder="1"/>
    <xf numFmtId="3" fontId="11" fillId="0" borderId="13" xfId="1" applyNumberFormat="1" applyFont="1" applyBorder="1" applyAlignment="1">
      <alignment horizontal="center"/>
    </xf>
    <xf numFmtId="3" fontId="11" fillId="0" borderId="14" xfId="1" applyNumberFormat="1" applyFont="1" applyBorder="1" applyAlignment="1">
      <alignment horizontal="center"/>
    </xf>
    <xf numFmtId="0" fontId="4" fillId="0" borderId="14" xfId="3" applyFont="1" applyBorder="1"/>
    <xf numFmtId="0" fontId="4" fillId="0" borderId="14" xfId="3" applyFont="1" applyBorder="1" applyAlignment="1">
      <alignment vertical="center"/>
    </xf>
    <xf numFmtId="0" fontId="4" fillId="0" borderId="15" xfId="3" applyFont="1" applyBorder="1" applyAlignment="1">
      <alignment vertical="center"/>
    </xf>
    <xf numFmtId="3" fontId="4" fillId="0" borderId="14" xfId="3" applyNumberFormat="1" applyFont="1" applyBorder="1" applyAlignment="1">
      <alignment vertical="center"/>
    </xf>
    <xf numFmtId="3" fontId="11" fillId="0" borderId="16" xfId="1" applyNumberFormat="1" applyFont="1" applyBorder="1" applyAlignment="1">
      <alignment horizontal="center"/>
    </xf>
    <xf numFmtId="3" fontId="11" fillId="0" borderId="17" xfId="1" applyNumberFormat="1" applyFont="1" applyBorder="1" applyAlignment="1">
      <alignment horizontal="center"/>
    </xf>
    <xf numFmtId="0" fontId="4" fillId="0" borderId="17" xfId="3" applyFont="1" applyBorder="1"/>
    <xf numFmtId="0" fontId="4" fillId="0" borderId="17" xfId="3" applyFont="1" applyBorder="1" applyAlignment="1">
      <alignment vertical="center"/>
    </xf>
    <xf numFmtId="0" fontId="4" fillId="0" borderId="18" xfId="3" applyFont="1" applyBorder="1" applyAlignment="1">
      <alignment vertical="center"/>
    </xf>
    <xf numFmtId="0" fontId="17" fillId="3" borderId="0" xfId="3" applyFont="1" applyFill="1" applyAlignment="1">
      <alignment vertical="center"/>
    </xf>
    <xf numFmtId="0" fontId="17" fillId="3" borderId="0" xfId="3" applyFont="1" applyFill="1" applyAlignment="1">
      <alignment horizontal="center"/>
    </xf>
    <xf numFmtId="0" fontId="18" fillId="3" borderId="0" xfId="3" applyFont="1" applyFill="1" applyAlignment="1">
      <alignment horizontal="center"/>
    </xf>
    <xf numFmtId="0" fontId="17" fillId="0" borderId="0" xfId="3" applyFont="1" applyAlignment="1">
      <alignment horizontal="center"/>
    </xf>
    <xf numFmtId="0" fontId="17" fillId="0" borderId="0" xfId="3" applyFont="1" applyAlignment="1">
      <alignment horizontal="center" vertical="center"/>
    </xf>
    <xf numFmtId="167" fontId="17" fillId="0" borderId="0" xfId="3" applyNumberFormat="1" applyFont="1" applyAlignment="1">
      <alignment horizontal="center" vertical="center"/>
    </xf>
    <xf numFmtId="0" fontId="19" fillId="0" borderId="0" xfId="3" applyFont="1" applyAlignment="1">
      <alignment horizontal="center" vertical="center"/>
    </xf>
    <xf numFmtId="167" fontId="19" fillId="0" borderId="0" xfId="3" applyNumberFormat="1" applyFont="1" applyAlignment="1">
      <alignment horizontal="center" vertical="center"/>
    </xf>
    <xf numFmtId="4" fontId="19" fillId="0" borderId="0" xfId="3" applyNumberFormat="1" applyFont="1" applyAlignment="1">
      <alignment horizontal="center" vertical="center"/>
    </xf>
    <xf numFmtId="4" fontId="19" fillId="3" borderId="0" xfId="3" applyNumberFormat="1" applyFont="1" applyFill="1" applyAlignment="1">
      <alignment horizontal="center" vertical="center"/>
    </xf>
    <xf numFmtId="0" fontId="19" fillId="3" borderId="0" xfId="3" applyFont="1" applyFill="1" applyAlignment="1">
      <alignment horizontal="center" vertical="center"/>
    </xf>
    <xf numFmtId="0" fontId="17" fillId="3" borderId="0" xfId="3" applyFont="1" applyFill="1" applyAlignment="1">
      <alignment horizontal="center" vertical="center"/>
    </xf>
    <xf numFmtId="166" fontId="17" fillId="3" borderId="0" xfId="3" applyNumberFormat="1" applyFont="1" applyFill="1" applyAlignment="1">
      <alignment horizontal="center" vertical="center"/>
    </xf>
    <xf numFmtId="168" fontId="20" fillId="3" borderId="1" xfId="3" applyNumberFormat="1" applyFont="1" applyFill="1" applyBorder="1" applyAlignment="1">
      <alignment horizontal="center" vertical="center"/>
    </xf>
    <xf numFmtId="168" fontId="20" fillId="3" borderId="1" xfId="3" applyNumberFormat="1" applyFont="1" applyFill="1" applyBorder="1" applyAlignment="1">
      <alignment horizontal="center" vertical="center" wrapText="1"/>
    </xf>
    <xf numFmtId="169" fontId="20" fillId="0" borderId="9" xfId="3" applyNumberFormat="1" applyFont="1" applyBorder="1" applyAlignment="1">
      <alignment horizontal="center" vertical="center" wrapText="1"/>
    </xf>
    <xf numFmtId="169" fontId="20" fillId="0" borderId="1" xfId="3" applyNumberFormat="1" applyFont="1" applyBorder="1" applyAlignment="1">
      <alignment horizontal="center" vertical="center" wrapText="1"/>
    </xf>
    <xf numFmtId="3" fontId="20" fillId="0" borderId="3" xfId="3" applyNumberFormat="1" applyFont="1" applyBorder="1" applyAlignment="1">
      <alignment horizontal="center" vertical="center"/>
    </xf>
    <xf numFmtId="169" fontId="18" fillId="0" borderId="1" xfId="3" applyNumberFormat="1" applyFont="1" applyBorder="1" applyAlignment="1">
      <alignment horizontal="center" vertical="center"/>
    </xf>
    <xf numFmtId="169" fontId="20" fillId="0" borderId="1" xfId="3" applyNumberFormat="1" applyFont="1" applyBorder="1" applyAlignment="1">
      <alignment horizontal="center" vertical="center"/>
    </xf>
    <xf numFmtId="170" fontId="20" fillId="0" borderId="1" xfId="3" applyNumberFormat="1" applyFont="1" applyBorder="1" applyAlignment="1">
      <alignment horizontal="center" vertical="center"/>
    </xf>
    <xf numFmtId="171" fontId="20" fillId="0" borderId="3" xfId="3" applyNumberFormat="1" applyFont="1" applyBorder="1" applyAlignment="1">
      <alignment horizontal="center" vertical="center"/>
    </xf>
    <xf numFmtId="171" fontId="20" fillId="0" borderId="1" xfId="4" applyNumberFormat="1" applyFont="1" applyFill="1" applyBorder="1" applyAlignment="1">
      <alignment horizontal="center" vertical="center"/>
    </xf>
    <xf numFmtId="170" fontId="20" fillId="0" borderId="3" xfId="3" applyNumberFormat="1" applyFont="1" applyBorder="1" applyAlignment="1">
      <alignment horizontal="center" vertical="center"/>
    </xf>
    <xf numFmtId="170" fontId="18" fillId="0" borderId="1" xfId="3" applyNumberFormat="1" applyFont="1" applyBorder="1" applyAlignment="1">
      <alignment horizontal="center" vertical="center"/>
    </xf>
    <xf numFmtId="1" fontId="18" fillId="0" borderId="1" xfId="3" applyNumberFormat="1" applyFont="1" applyBorder="1" applyAlignment="1">
      <alignment horizontal="center" vertical="center"/>
    </xf>
    <xf numFmtId="166" fontId="18" fillId="0" borderId="1" xfId="3" applyNumberFormat="1" applyFont="1" applyBorder="1" applyAlignment="1">
      <alignment horizontal="center" vertical="center"/>
    </xf>
    <xf numFmtId="0" fontId="18" fillId="3" borderId="0" xfId="3" applyFont="1" applyFill="1" applyAlignment="1">
      <alignment vertical="center"/>
    </xf>
    <xf numFmtId="14" fontId="22" fillId="0" borderId="0" xfId="2" applyNumberFormat="1" applyFont="1" applyAlignment="1">
      <alignment horizontal="center" vertical="center" shrinkToFit="1"/>
    </xf>
    <xf numFmtId="0" fontId="18" fillId="4" borderId="0" xfId="3" applyFont="1" applyFill="1" applyAlignment="1">
      <alignment vertical="center"/>
    </xf>
    <xf numFmtId="0" fontId="18" fillId="4" borderId="0" xfId="3" applyFont="1" applyFill="1" applyAlignment="1">
      <alignment horizontal="center"/>
    </xf>
    <xf numFmtId="14" fontId="22" fillId="0" borderId="22" xfId="2" applyNumberFormat="1" applyFont="1" applyBorder="1" applyAlignment="1">
      <alignment horizontal="center" vertical="center" shrinkToFit="1"/>
    </xf>
    <xf numFmtId="14" fontId="22" fillId="0" borderId="23" xfId="2" applyNumberFormat="1" applyFont="1" applyBorder="1" applyAlignment="1">
      <alignment horizontal="center" vertical="center" shrinkToFit="1"/>
    </xf>
    <xf numFmtId="0" fontId="18" fillId="3" borderId="0" xfId="3" applyFont="1" applyFill="1" applyAlignment="1">
      <alignment horizontal="center" vertical="center"/>
    </xf>
    <xf numFmtId="3" fontId="18" fillId="3" borderId="0" xfId="3" applyNumberFormat="1" applyFont="1" applyFill="1" applyAlignment="1">
      <alignment horizontal="center"/>
    </xf>
    <xf numFmtId="0" fontId="18" fillId="0" borderId="24" xfId="3" applyFont="1" applyBorder="1" applyAlignment="1">
      <alignment horizontal="center" vertical="center"/>
    </xf>
    <xf numFmtId="0" fontId="18" fillId="2" borderId="0" xfId="3" applyFont="1" applyFill="1" applyAlignment="1">
      <alignment horizontal="center" vertical="center"/>
    </xf>
    <xf numFmtId="3" fontId="18" fillId="2" borderId="0" xfId="3" applyNumberFormat="1" applyFont="1" applyFill="1" applyAlignment="1">
      <alignment horizontal="center"/>
    </xf>
    <xf numFmtId="0" fontId="18" fillId="2" borderId="0" xfId="3" applyFont="1" applyFill="1" applyAlignment="1">
      <alignment horizontal="center"/>
    </xf>
    <xf numFmtId="0" fontId="18" fillId="5" borderId="0" xfId="3" applyFont="1" applyFill="1" applyAlignment="1">
      <alignment horizontal="center" vertical="center"/>
    </xf>
    <xf numFmtId="3" fontId="18" fillId="5" borderId="0" xfId="3" applyNumberFormat="1" applyFont="1" applyFill="1" applyAlignment="1">
      <alignment horizontal="center"/>
    </xf>
    <xf numFmtId="0" fontId="18" fillId="5" borderId="0" xfId="3" applyFont="1" applyFill="1" applyAlignment="1">
      <alignment horizontal="center"/>
    </xf>
    <xf numFmtId="0" fontId="18" fillId="0" borderId="0" xfId="3" applyFont="1" applyAlignment="1">
      <alignment horizontal="center" vertical="center"/>
    </xf>
    <xf numFmtId="3" fontId="18" fillId="0" borderId="0" xfId="3" applyNumberFormat="1" applyFont="1" applyAlignment="1">
      <alignment horizontal="center"/>
    </xf>
    <xf numFmtId="0" fontId="18" fillId="0" borderId="0" xfId="3" applyFont="1" applyAlignment="1">
      <alignment horizontal="center"/>
    </xf>
    <xf numFmtId="0" fontId="18" fillId="4" borderId="0" xfId="3" applyFont="1" applyFill="1" applyAlignment="1">
      <alignment horizontal="center" vertical="center"/>
    </xf>
    <xf numFmtId="3" fontId="18" fillId="4" borderId="0" xfId="3" applyNumberFormat="1" applyFont="1" applyFill="1" applyAlignment="1">
      <alignment horizontal="center"/>
    </xf>
    <xf numFmtId="169" fontId="20" fillId="0" borderId="21" xfId="3" applyNumberFormat="1" applyFont="1" applyBorder="1" applyAlignment="1">
      <alignment horizontal="center" vertical="center" wrapText="1"/>
    </xf>
    <xf numFmtId="169" fontId="20" fillId="0" borderId="3" xfId="3" applyNumberFormat="1" applyFont="1" applyBorder="1" applyAlignment="1">
      <alignment horizontal="center" vertical="center" wrapText="1"/>
    </xf>
    <xf numFmtId="169" fontId="18" fillId="0" borderId="3" xfId="3" applyNumberFormat="1" applyFont="1" applyBorder="1" applyAlignment="1">
      <alignment horizontal="center" vertical="center"/>
    </xf>
    <xf numFmtId="169" fontId="20" fillId="0" borderId="3" xfId="3" applyNumberFormat="1" applyFont="1" applyBorder="1" applyAlignment="1">
      <alignment horizontal="center" vertical="center"/>
    </xf>
    <xf numFmtId="171" fontId="20" fillId="0" borderId="3" xfId="4" applyNumberFormat="1" applyFont="1" applyFill="1" applyBorder="1" applyAlignment="1">
      <alignment horizontal="center" vertical="center"/>
    </xf>
    <xf numFmtId="170" fontId="18" fillId="0" borderId="3" xfId="3" applyNumberFormat="1" applyFont="1" applyBorder="1" applyAlignment="1">
      <alignment horizontal="center" vertical="center"/>
    </xf>
    <xf numFmtId="1" fontId="18" fillId="0" borderId="3" xfId="3" applyNumberFormat="1" applyFont="1" applyBorder="1" applyAlignment="1">
      <alignment horizontal="center" vertical="center"/>
    </xf>
    <xf numFmtId="166" fontId="18" fillId="0" borderId="3" xfId="3" applyNumberFormat="1" applyFont="1" applyBorder="1" applyAlignment="1">
      <alignment horizontal="center" vertical="center"/>
    </xf>
    <xf numFmtId="167" fontId="18" fillId="0" borderId="1" xfId="3" applyNumberFormat="1" applyFont="1" applyBorder="1" applyAlignment="1">
      <alignment horizontal="center" vertical="center" wrapText="1"/>
    </xf>
    <xf numFmtId="4" fontId="18" fillId="0" borderId="1" xfId="3" applyNumberFormat="1" applyFont="1" applyBorder="1" applyAlignment="1">
      <alignment horizontal="center" vertical="center" wrapText="1"/>
    </xf>
    <xf numFmtId="4" fontId="20" fillId="0" borderId="1" xfId="3" applyNumberFormat="1" applyFont="1" applyBorder="1" applyAlignment="1">
      <alignment horizontal="center" vertical="center" wrapText="1"/>
    </xf>
    <xf numFmtId="167" fontId="20" fillId="0" borderId="1" xfId="3" applyNumberFormat="1" applyFont="1" applyBorder="1" applyAlignment="1">
      <alignment horizontal="center" vertical="center" wrapText="1"/>
    </xf>
    <xf numFmtId="0" fontId="24" fillId="3" borderId="0" xfId="3" applyFont="1" applyFill="1" applyAlignment="1">
      <alignment vertical="center"/>
    </xf>
    <xf numFmtId="0" fontId="24" fillId="3" borderId="0" xfId="3" applyFont="1" applyFill="1" applyAlignment="1">
      <alignment horizontal="center"/>
    </xf>
    <xf numFmtId="0" fontId="24" fillId="0" borderId="24" xfId="3" applyFont="1" applyBorder="1" applyAlignment="1">
      <alignment vertical="center"/>
    </xf>
    <xf numFmtId="0" fontId="18" fillId="3" borderId="0" xfId="3" applyFont="1" applyFill="1"/>
    <xf numFmtId="0" fontId="18" fillId="3" borderId="25" xfId="3" applyFont="1" applyFill="1" applyBorder="1" applyAlignment="1">
      <alignment horizontal="center"/>
    </xf>
    <xf numFmtId="0" fontId="18" fillId="0" borderId="0" xfId="3" applyFont="1"/>
    <xf numFmtId="0" fontId="20" fillId="0" borderId="0" xfId="3" applyFont="1"/>
    <xf numFmtId="0" fontId="20" fillId="3" borderId="0" xfId="3" applyFont="1" applyFill="1"/>
    <xf numFmtId="0" fontId="24" fillId="3" borderId="0" xfId="5" applyFont="1" applyFill="1"/>
    <xf numFmtId="166" fontId="24" fillId="3" borderId="26" xfId="5" applyNumberFormat="1" applyFont="1" applyFill="1" applyBorder="1" applyAlignment="1">
      <alignment horizontal="left"/>
    </xf>
    <xf numFmtId="0" fontId="18" fillId="3" borderId="24" xfId="3" applyFont="1" applyFill="1" applyBorder="1"/>
    <xf numFmtId="0" fontId="18" fillId="3" borderId="10" xfId="3" applyFont="1" applyFill="1" applyBorder="1" applyAlignment="1">
      <alignment horizontal="center"/>
    </xf>
    <xf numFmtId="0" fontId="18" fillId="3" borderId="11" xfId="3" applyFont="1" applyFill="1" applyBorder="1" applyAlignment="1">
      <alignment horizontal="center"/>
    </xf>
    <xf numFmtId="3" fontId="11" fillId="0" borderId="11" xfId="1" applyNumberFormat="1" applyFont="1" applyBorder="1" applyAlignment="1">
      <alignment horizontal="center"/>
    </xf>
    <xf numFmtId="0" fontId="4" fillId="0" borderId="11" xfId="3" applyFont="1" applyBorder="1"/>
    <xf numFmtId="0" fontId="4" fillId="0" borderId="11" xfId="3" applyFont="1" applyBorder="1" applyAlignment="1">
      <alignment vertical="center"/>
    </xf>
    <xf numFmtId="0" fontId="4" fillId="0" borderId="12" xfId="3" applyFont="1" applyBorder="1" applyAlignment="1">
      <alignment vertical="center"/>
    </xf>
    <xf numFmtId="0" fontId="18" fillId="3" borderId="13" xfId="3" applyFont="1" applyFill="1" applyBorder="1" applyAlignment="1">
      <alignment horizontal="center"/>
    </xf>
    <xf numFmtId="0" fontId="18" fillId="3" borderId="14" xfId="3" applyFont="1" applyFill="1" applyBorder="1" applyAlignment="1">
      <alignment horizontal="center"/>
    </xf>
    <xf numFmtId="0" fontId="18" fillId="3" borderId="16" xfId="3" applyFont="1" applyFill="1" applyBorder="1" applyAlignment="1">
      <alignment horizontal="center"/>
    </xf>
    <xf numFmtId="0" fontId="18" fillId="3" borderId="17" xfId="3" applyFont="1" applyFill="1" applyBorder="1" applyAlignment="1">
      <alignment horizontal="center"/>
    </xf>
    <xf numFmtId="0" fontId="17" fillId="3" borderId="27" xfId="3" applyFont="1" applyFill="1" applyBorder="1" applyAlignment="1">
      <alignment vertical="center"/>
    </xf>
    <xf numFmtId="0" fontId="25" fillId="0" borderId="0" xfId="6"/>
    <xf numFmtId="0" fontId="25" fillId="8" borderId="0" xfId="6" applyFill="1"/>
    <xf numFmtId="0" fontId="25" fillId="3" borderId="0" xfId="6" applyFill="1" applyAlignment="1">
      <alignment vertical="center"/>
    </xf>
    <xf numFmtId="0" fontId="20" fillId="3" borderId="0" xfId="6" applyFont="1" applyFill="1" applyAlignment="1">
      <alignment vertical="center"/>
    </xf>
    <xf numFmtId="168" fontId="20" fillId="3" borderId="0" xfId="6" applyNumberFormat="1" applyFont="1" applyFill="1" applyAlignment="1">
      <alignment vertical="center"/>
    </xf>
    <xf numFmtId="166" fontId="20" fillId="3" borderId="0" xfId="6" applyNumberFormat="1" applyFont="1" applyFill="1" applyAlignment="1">
      <alignment vertical="center"/>
    </xf>
    <xf numFmtId="0" fontId="20" fillId="0" borderId="1" xfId="6" applyFont="1" applyBorder="1" applyAlignment="1">
      <alignment horizontal="center" vertical="center" wrapText="1"/>
    </xf>
    <xf numFmtId="1" fontId="20" fillId="0" borderId="1" xfId="6" applyNumberFormat="1" applyFont="1" applyBorder="1" applyAlignment="1">
      <alignment horizontal="center" vertical="center" wrapText="1"/>
    </xf>
    <xf numFmtId="168" fontId="20" fillId="0" borderId="1" xfId="6" applyNumberFormat="1" applyFont="1" applyBorder="1" applyAlignment="1">
      <alignment horizontal="center" vertical="center" wrapText="1"/>
    </xf>
    <xf numFmtId="2" fontId="20" fillId="0" borderId="1" xfId="6" applyNumberFormat="1" applyFont="1" applyBorder="1" applyAlignment="1">
      <alignment horizontal="center" vertical="center" wrapText="1"/>
    </xf>
    <xf numFmtId="0" fontId="20" fillId="2" borderId="1" xfId="6" applyFont="1" applyFill="1" applyBorder="1" applyAlignment="1">
      <alignment horizontal="center" vertical="center" wrapText="1"/>
    </xf>
    <xf numFmtId="172" fontId="25" fillId="0" borderId="0" xfId="6" applyNumberFormat="1"/>
    <xf numFmtId="173" fontId="25" fillId="0" borderId="0" xfId="6" applyNumberFormat="1"/>
    <xf numFmtId="174" fontId="25" fillId="0" borderId="0" xfId="6" applyNumberFormat="1"/>
    <xf numFmtId="168" fontId="25" fillId="0" borderId="0" xfId="6" applyNumberFormat="1"/>
    <xf numFmtId="175" fontId="25" fillId="0" borderId="0" xfId="6" applyNumberFormat="1"/>
    <xf numFmtId="0" fontId="22" fillId="0" borderId="26" xfId="7" applyFont="1" applyBorder="1" applyAlignment="1">
      <alignment horizontal="center" vertical="center" wrapText="1"/>
    </xf>
    <xf numFmtId="0" fontId="20" fillId="0" borderId="1" xfId="7" applyFont="1" applyBorder="1" applyAlignment="1">
      <alignment horizontal="center" vertical="center" textRotation="90" wrapText="1"/>
    </xf>
    <xf numFmtId="3" fontId="11" fillId="0" borderId="0" xfId="1" applyNumberFormat="1" applyFont="1" applyAlignment="1">
      <alignment horizontal="center"/>
    </xf>
    <xf numFmtId="0" fontId="4" fillId="0" borderId="0" xfId="3" applyFont="1"/>
    <xf numFmtId="0" fontId="4" fillId="0" borderId="20" xfId="3" applyFont="1" applyBorder="1"/>
    <xf numFmtId="0" fontId="4" fillId="0" borderId="20" xfId="3" applyFont="1" applyBorder="1" applyAlignment="1">
      <alignment vertical="center"/>
    </xf>
    <xf numFmtId="0" fontId="4" fillId="0" borderId="21" xfId="3" applyFont="1" applyBorder="1" applyAlignment="1">
      <alignment vertical="center"/>
    </xf>
    <xf numFmtId="0" fontId="4" fillId="0" borderId="10" xfId="3" applyFont="1" applyBorder="1"/>
    <xf numFmtId="0" fontId="4" fillId="0" borderId="13" xfId="3" applyFont="1" applyBorder="1"/>
    <xf numFmtId="0" fontId="4" fillId="0" borderId="16" xfId="3" applyFont="1" applyBorder="1"/>
    <xf numFmtId="0" fontId="14" fillId="3" borderId="19" xfId="3" applyFont="1" applyFill="1" applyBorder="1" applyAlignment="1">
      <alignment vertical="center" wrapText="1"/>
    </xf>
    <xf numFmtId="0" fontId="14" fillId="3" borderId="20" xfId="3" applyFont="1" applyFill="1" applyBorder="1" applyAlignment="1">
      <alignment vertical="center" wrapText="1"/>
    </xf>
    <xf numFmtId="0" fontId="14" fillId="3" borderId="25" xfId="3" applyFont="1" applyFill="1" applyBorder="1" applyAlignment="1">
      <alignment vertical="center" wrapText="1"/>
    </xf>
    <xf numFmtId="0" fontId="14" fillId="3" borderId="0" xfId="3" applyFont="1" applyFill="1" applyAlignment="1">
      <alignment vertical="center" wrapText="1"/>
    </xf>
    <xf numFmtId="0" fontId="14" fillId="3" borderId="4" xfId="3" applyFont="1" applyFill="1" applyBorder="1" applyAlignment="1">
      <alignment vertical="center" wrapText="1"/>
    </xf>
    <xf numFmtId="0" fontId="14" fillId="3" borderId="5" xfId="3" applyFont="1" applyFill="1" applyBorder="1" applyAlignment="1">
      <alignment vertical="center" wrapText="1"/>
    </xf>
    <xf numFmtId="3" fontId="6" fillId="2" borderId="1" xfId="1" applyNumberFormat="1" applyFont="1" applyFill="1" applyBorder="1" applyAlignment="1">
      <alignment horizontal="center" vertical="center"/>
    </xf>
    <xf numFmtId="14" fontId="6" fillId="2" borderId="1" xfId="2" applyNumberFormat="1" applyFont="1" applyFill="1" applyBorder="1" applyAlignment="1">
      <alignment vertical="center" shrinkToFit="1"/>
    </xf>
    <xf numFmtId="3" fontId="6" fillId="2" borderId="1" xfId="1" applyNumberFormat="1" applyFont="1" applyFill="1" applyBorder="1" applyAlignment="1">
      <alignment horizontal="center" vertical="center" wrapText="1"/>
    </xf>
    <xf numFmtId="3" fontId="6" fillId="2" borderId="1" xfId="1" applyNumberFormat="1" applyFont="1" applyFill="1" applyBorder="1" applyAlignment="1">
      <alignment horizontal="center"/>
    </xf>
    <xf numFmtId="0" fontId="6" fillId="2" borderId="1" xfId="1" applyFont="1" applyFill="1" applyBorder="1" applyAlignment="1">
      <alignment horizontal="center"/>
    </xf>
    <xf numFmtId="3" fontId="6" fillId="2" borderId="0" xfId="1" applyNumberFormat="1" applyFont="1" applyFill="1" applyAlignment="1">
      <alignment horizontal="center"/>
    </xf>
    <xf numFmtId="14" fontId="6" fillId="0" borderId="1" xfId="2" applyNumberFormat="1" applyFont="1" applyBorder="1" applyAlignment="1">
      <alignment vertical="center" shrinkToFit="1"/>
    </xf>
    <xf numFmtId="3" fontId="6" fillId="0" borderId="1" xfId="1" applyNumberFormat="1" applyFont="1" applyBorder="1" applyAlignment="1">
      <alignment horizontal="center" vertical="center"/>
    </xf>
    <xf numFmtId="3" fontId="6" fillId="0" borderId="1" xfId="1" applyNumberFormat="1" applyFont="1" applyBorder="1" applyAlignment="1">
      <alignment horizontal="center" vertical="center" wrapText="1"/>
    </xf>
    <xf numFmtId="3" fontId="6" fillId="0" borderId="1" xfId="1" applyNumberFormat="1" applyFont="1" applyBorder="1" applyAlignment="1">
      <alignment horizontal="center"/>
    </xf>
    <xf numFmtId="3" fontId="6" fillId="0" borderId="0" xfId="1" applyNumberFormat="1" applyFont="1" applyAlignment="1">
      <alignment horizontal="center"/>
    </xf>
    <xf numFmtId="3" fontId="0" fillId="0" borderId="0" xfId="0" applyNumberFormat="1"/>
    <xf numFmtId="166" fontId="18" fillId="2" borderId="1" xfId="3" applyNumberFormat="1" applyFont="1" applyFill="1" applyBorder="1" applyAlignment="1">
      <alignment horizontal="center" vertical="center"/>
    </xf>
    <xf numFmtId="168" fontId="20" fillId="2" borderId="1" xfId="6" applyNumberFormat="1" applyFont="1" applyFill="1" applyBorder="1" applyAlignment="1">
      <alignment horizontal="center" vertical="center" wrapText="1"/>
    </xf>
    <xf numFmtId="2" fontId="20" fillId="2" borderId="1" xfId="6" applyNumberFormat="1" applyFont="1" applyFill="1" applyBorder="1" applyAlignment="1">
      <alignment horizontal="center" vertical="center" wrapText="1"/>
    </xf>
    <xf numFmtId="1" fontId="20" fillId="2" borderId="1" xfId="6" applyNumberFormat="1" applyFont="1" applyFill="1" applyBorder="1" applyAlignment="1">
      <alignment horizontal="center" vertical="center" wrapText="1"/>
    </xf>
    <xf numFmtId="3" fontId="3" fillId="0" borderId="28" xfId="1" applyNumberFormat="1" applyFont="1" applyBorder="1" applyAlignment="1">
      <alignment horizontal="center"/>
    </xf>
    <xf numFmtId="3" fontId="0" fillId="0" borderId="0" xfId="0" applyNumberFormat="1" applyAlignment="1">
      <alignment horizontal="center" vertical="center"/>
    </xf>
    <xf numFmtId="3" fontId="27" fillId="0" borderId="1" xfId="1" applyNumberFormat="1" applyFont="1" applyBorder="1" applyAlignment="1">
      <alignment horizontal="center" vertical="center"/>
    </xf>
    <xf numFmtId="3" fontId="2" fillId="0" borderId="9" xfId="1" applyNumberFormat="1" applyFont="1" applyBorder="1" applyAlignment="1">
      <alignment horizontal="center" vertical="center" wrapText="1"/>
    </xf>
    <xf numFmtId="3" fontId="2" fillId="0" borderId="8" xfId="1" applyNumberFormat="1" applyFont="1" applyBorder="1" applyAlignment="1">
      <alignment horizontal="center" vertical="center" wrapText="1"/>
    </xf>
    <xf numFmtId="3" fontId="2" fillId="0" borderId="7" xfId="1" applyNumberFormat="1" applyFont="1" applyBorder="1" applyAlignment="1">
      <alignment horizontal="center" vertical="center" wrapText="1"/>
    </xf>
    <xf numFmtId="3" fontId="2" fillId="0" borderId="2" xfId="1" applyNumberFormat="1" applyFont="1" applyBorder="1" applyAlignment="1">
      <alignment horizontal="center" vertical="center" wrapText="1"/>
    </xf>
    <xf numFmtId="3" fontId="2" fillId="0" borderId="3" xfId="1" applyNumberFormat="1" applyFont="1" applyBorder="1" applyAlignment="1">
      <alignment horizontal="center" vertical="center" wrapText="1"/>
    </xf>
    <xf numFmtId="0" fontId="14" fillId="0" borderId="21" xfId="3" applyFont="1" applyBorder="1" applyAlignment="1">
      <alignment horizontal="center" vertical="center" wrapText="1"/>
    </xf>
    <xf numFmtId="0" fontId="14" fillId="0" borderId="20" xfId="3" applyFont="1" applyBorder="1" applyAlignment="1">
      <alignment horizontal="center" vertical="center" wrapText="1"/>
    </xf>
    <xf numFmtId="0" fontId="14" fillId="0" borderId="19" xfId="3" applyFont="1" applyBorder="1" applyAlignment="1">
      <alignment horizontal="center" vertical="center" wrapText="1"/>
    </xf>
    <xf numFmtId="0" fontId="13" fillId="0" borderId="9" xfId="3" applyFont="1" applyBorder="1" applyAlignment="1">
      <alignment horizontal="center" vertical="center" wrapText="1"/>
    </xf>
    <xf numFmtId="0" fontId="13" fillId="0" borderId="8" xfId="3" applyFont="1" applyBorder="1" applyAlignment="1">
      <alignment horizontal="center" vertical="center" wrapText="1"/>
    </xf>
    <xf numFmtId="0" fontId="13" fillId="0" borderId="7" xfId="3" applyFont="1" applyBorder="1" applyAlignment="1">
      <alignment horizontal="center" vertical="center" wrapText="1"/>
    </xf>
    <xf numFmtId="14" fontId="4" fillId="0" borderId="14" xfId="3" applyNumberFormat="1" applyFont="1" applyBorder="1" applyAlignment="1">
      <alignment horizontal="center" vertical="center"/>
    </xf>
    <xf numFmtId="3" fontId="3" fillId="0" borderId="9" xfId="1" applyNumberFormat="1" applyFont="1" applyBorder="1" applyAlignment="1">
      <alignment horizontal="center" vertical="center" wrapText="1"/>
    </xf>
    <xf numFmtId="3" fontId="3" fillId="0" borderId="8" xfId="1" applyNumberFormat="1" applyFont="1" applyBorder="1" applyAlignment="1">
      <alignment horizontal="center" vertical="center" wrapText="1"/>
    </xf>
    <xf numFmtId="3" fontId="3" fillId="0" borderId="7" xfId="1" applyNumberFormat="1" applyFont="1" applyBorder="1" applyAlignment="1">
      <alignment horizontal="center" vertical="center" wrapText="1"/>
    </xf>
    <xf numFmtId="3" fontId="2" fillId="0" borderId="6" xfId="1" applyNumberFormat="1" applyFont="1" applyBorder="1" applyAlignment="1">
      <alignment horizontal="center" vertical="center" wrapText="1"/>
    </xf>
    <xf numFmtId="3" fontId="2" fillId="0" borderId="5" xfId="1" applyNumberFormat="1" applyFont="1" applyBorder="1" applyAlignment="1">
      <alignment horizontal="center" vertical="center" wrapText="1"/>
    </xf>
    <xf numFmtId="3" fontId="2" fillId="0" borderId="4" xfId="1" applyNumberFormat="1" applyFont="1" applyBorder="1" applyAlignment="1">
      <alignment horizontal="center" vertical="center" wrapText="1"/>
    </xf>
    <xf numFmtId="3" fontId="11" fillId="0" borderId="21" xfId="1" applyNumberFormat="1" applyFont="1" applyBorder="1" applyAlignment="1">
      <alignment horizontal="center" wrapText="1"/>
    </xf>
    <xf numFmtId="3" fontId="11" fillId="0" borderId="20" xfId="1" applyNumberFormat="1" applyFont="1" applyBorder="1" applyAlignment="1">
      <alignment horizontal="center" wrapText="1"/>
    </xf>
    <xf numFmtId="3" fontId="11" fillId="0" borderId="19" xfId="1" applyNumberFormat="1" applyFont="1" applyBorder="1" applyAlignment="1">
      <alignment horizontal="center" wrapText="1"/>
    </xf>
    <xf numFmtId="3" fontId="11" fillId="0" borderId="21" xfId="1" applyNumberFormat="1" applyFont="1" applyBorder="1" applyAlignment="1">
      <alignment horizontal="center"/>
    </xf>
    <xf numFmtId="3" fontId="11" fillId="0" borderId="20" xfId="1" applyNumberFormat="1" applyFont="1" applyBorder="1" applyAlignment="1">
      <alignment horizontal="center"/>
    </xf>
    <xf numFmtId="3" fontId="11" fillId="0" borderId="19" xfId="1" applyNumberFormat="1" applyFont="1" applyBorder="1" applyAlignment="1">
      <alignment horizontal="center"/>
    </xf>
    <xf numFmtId="0" fontId="14" fillId="0" borderId="1" xfId="3" applyFont="1" applyBorder="1" applyAlignment="1">
      <alignment horizontal="center" vertical="center" wrapText="1"/>
    </xf>
    <xf numFmtId="0" fontId="14" fillId="0" borderId="6" xfId="3" applyFont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0" fontId="14" fillId="0" borderId="4" xfId="3" applyFont="1" applyBorder="1" applyAlignment="1">
      <alignment horizontal="center" vertical="center" wrapText="1"/>
    </xf>
    <xf numFmtId="3" fontId="11" fillId="0" borderId="6" xfId="1" applyNumberFormat="1" applyFont="1" applyBorder="1" applyAlignment="1">
      <alignment horizontal="center"/>
    </xf>
    <xf numFmtId="3" fontId="11" fillId="0" borderId="5" xfId="1" applyNumberFormat="1" applyFont="1" applyBorder="1" applyAlignment="1">
      <alignment horizontal="center"/>
    </xf>
    <xf numFmtId="3" fontId="11" fillId="0" borderId="4" xfId="1" applyNumberFormat="1" applyFont="1" applyBorder="1" applyAlignment="1">
      <alignment horizontal="center"/>
    </xf>
    <xf numFmtId="0" fontId="14" fillId="3" borderId="6" xfId="3" applyFont="1" applyFill="1" applyBorder="1" applyAlignment="1">
      <alignment horizontal="center" vertical="center" wrapText="1"/>
    </xf>
    <xf numFmtId="0" fontId="14" fillId="3" borderId="5" xfId="3" applyFont="1" applyFill="1" applyBorder="1" applyAlignment="1">
      <alignment horizontal="center" vertical="center" wrapText="1"/>
    </xf>
    <xf numFmtId="0" fontId="14" fillId="3" borderId="4" xfId="3" applyFont="1" applyFill="1" applyBorder="1" applyAlignment="1">
      <alignment horizontal="center" vertical="center" wrapText="1"/>
    </xf>
    <xf numFmtId="0" fontId="14" fillId="3" borderId="26" xfId="3" applyFont="1" applyFill="1" applyBorder="1" applyAlignment="1">
      <alignment horizontal="center" vertical="center" wrapText="1"/>
    </xf>
    <xf numFmtId="0" fontId="14" fillId="3" borderId="0" xfId="3" applyFont="1" applyFill="1" applyAlignment="1">
      <alignment horizontal="center" vertical="center" wrapText="1"/>
    </xf>
    <xf numFmtId="0" fontId="14" fillId="3" borderId="25" xfId="3" applyFont="1" applyFill="1" applyBorder="1" applyAlignment="1">
      <alignment horizontal="center" vertical="center" wrapText="1"/>
    </xf>
    <xf numFmtId="3" fontId="11" fillId="0" borderId="6" xfId="1" applyNumberFormat="1" applyFont="1" applyBorder="1" applyAlignment="1">
      <alignment horizontal="center" vertical="center"/>
    </xf>
    <xf numFmtId="3" fontId="11" fillId="0" borderId="5" xfId="1" applyNumberFormat="1" applyFont="1" applyBorder="1" applyAlignment="1">
      <alignment horizontal="center" vertical="center"/>
    </xf>
    <xf numFmtId="3" fontId="11" fillId="0" borderId="4" xfId="1" applyNumberFormat="1" applyFont="1" applyBorder="1" applyAlignment="1">
      <alignment horizontal="center" vertical="center"/>
    </xf>
    <xf numFmtId="0" fontId="20" fillId="3" borderId="1" xfId="3" applyFont="1" applyFill="1" applyBorder="1" applyAlignment="1">
      <alignment horizontal="center" vertical="center" wrapText="1"/>
    </xf>
    <xf numFmtId="3" fontId="11" fillId="0" borderId="21" xfId="1" applyNumberFormat="1" applyFont="1" applyBorder="1" applyAlignment="1">
      <alignment horizontal="center" vertical="center" wrapText="1"/>
    </xf>
    <xf numFmtId="3" fontId="11" fillId="0" borderId="20" xfId="1" applyNumberFormat="1" applyFont="1" applyBorder="1" applyAlignment="1">
      <alignment horizontal="center" vertical="center" wrapText="1"/>
    </xf>
    <xf numFmtId="3" fontId="11" fillId="0" borderId="19" xfId="1" applyNumberFormat="1" applyFont="1" applyBorder="1" applyAlignment="1">
      <alignment horizontal="center" vertical="center" wrapText="1"/>
    </xf>
    <xf numFmtId="3" fontId="11" fillId="0" borderId="21" xfId="1" applyNumberFormat="1" applyFont="1" applyBorder="1" applyAlignment="1">
      <alignment horizontal="center" vertical="center"/>
    </xf>
    <xf numFmtId="3" fontId="11" fillId="0" borderId="20" xfId="1" applyNumberFormat="1" applyFont="1" applyBorder="1" applyAlignment="1">
      <alignment horizontal="center" vertical="center"/>
    </xf>
    <xf numFmtId="3" fontId="11" fillId="0" borderId="19" xfId="1" applyNumberFormat="1" applyFont="1" applyBorder="1" applyAlignment="1">
      <alignment horizontal="center" vertical="center"/>
    </xf>
    <xf numFmtId="0" fontId="13" fillId="0" borderId="26" xfId="3" applyFont="1" applyBorder="1" applyAlignment="1">
      <alignment horizontal="center" vertical="center" wrapText="1"/>
    </xf>
    <xf numFmtId="0" fontId="13" fillId="0" borderId="0" xfId="3" applyFont="1" applyAlignment="1">
      <alignment horizontal="center" vertical="center" wrapText="1"/>
    </xf>
    <xf numFmtId="0" fontId="13" fillId="0" borderId="25" xfId="3" applyFont="1" applyBorder="1" applyAlignment="1">
      <alignment horizontal="center" vertical="center" wrapText="1"/>
    </xf>
    <xf numFmtId="14" fontId="4" fillId="0" borderId="11" xfId="3" applyNumberFormat="1" applyFont="1" applyBorder="1" applyAlignment="1">
      <alignment horizontal="center" vertical="center"/>
    </xf>
    <xf numFmtId="0" fontId="23" fillId="7" borderId="1" xfId="3" applyFont="1" applyFill="1" applyBorder="1" applyAlignment="1">
      <alignment horizontal="center" vertical="center"/>
    </xf>
    <xf numFmtId="0" fontId="23" fillId="6" borderId="1" xfId="3" applyFont="1" applyFill="1" applyBorder="1" applyAlignment="1">
      <alignment horizontal="center" vertical="center"/>
    </xf>
    <xf numFmtId="0" fontId="24" fillId="2" borderId="1" xfId="3" applyFont="1" applyFill="1" applyBorder="1" applyAlignment="1">
      <alignment horizontal="center" vertical="center"/>
    </xf>
    <xf numFmtId="0" fontId="23" fillId="0" borderId="1" xfId="3" applyFont="1" applyBorder="1" applyAlignment="1">
      <alignment horizontal="center" vertical="center"/>
    </xf>
    <xf numFmtId="166" fontId="18" fillId="0" borderId="1" xfId="3" applyNumberFormat="1" applyFont="1" applyBorder="1" applyAlignment="1">
      <alignment horizontal="center" vertical="center" wrapText="1"/>
    </xf>
    <xf numFmtId="0" fontId="18" fillId="0" borderId="1" xfId="3" applyFont="1" applyBorder="1" applyAlignment="1">
      <alignment horizontal="center" vertical="center" wrapText="1"/>
    </xf>
    <xf numFmtId="0" fontId="20" fillId="0" borderId="1" xfId="3" applyFont="1" applyBorder="1" applyAlignment="1">
      <alignment horizontal="center" vertical="center" wrapText="1"/>
    </xf>
    <xf numFmtId="168" fontId="20" fillId="0" borderId="1" xfId="7" applyNumberFormat="1" applyFont="1" applyBorder="1" applyAlignment="1">
      <alignment horizontal="center" vertical="center" wrapText="1"/>
    </xf>
    <xf numFmtId="0" fontId="20" fillId="0" borderId="1" xfId="6" applyFont="1" applyBorder="1" applyAlignment="1">
      <alignment horizontal="center" vertical="center" wrapText="1"/>
    </xf>
    <xf numFmtId="0" fontId="14" fillId="3" borderId="1" xfId="3" applyFont="1" applyFill="1" applyBorder="1" applyAlignment="1">
      <alignment horizontal="center" vertical="center" wrapText="1"/>
    </xf>
    <xf numFmtId="0" fontId="14" fillId="3" borderId="9" xfId="3" applyFont="1" applyFill="1" applyBorder="1" applyAlignment="1">
      <alignment horizontal="center" vertical="center" wrapText="1"/>
    </xf>
    <xf numFmtId="0" fontId="14" fillId="3" borderId="8" xfId="3" applyFont="1" applyFill="1" applyBorder="1" applyAlignment="1">
      <alignment horizontal="center" vertical="center" wrapText="1"/>
    </xf>
    <xf numFmtId="0" fontId="14" fillId="3" borderId="7" xfId="3" applyFont="1" applyFill="1" applyBorder="1" applyAlignment="1">
      <alignment horizontal="center" vertical="center" wrapText="1"/>
    </xf>
    <xf numFmtId="166" fontId="4" fillId="0" borderId="11" xfId="3" applyNumberFormat="1" applyFont="1" applyBorder="1" applyAlignment="1">
      <alignment horizontal="center" vertical="center"/>
    </xf>
    <xf numFmtId="0" fontId="4" fillId="0" borderId="11" xfId="3" applyFont="1" applyBorder="1" applyAlignment="1">
      <alignment horizontal="center" vertical="center"/>
    </xf>
    <xf numFmtId="49" fontId="20" fillId="0" borderId="1" xfId="2" applyNumberFormat="1" applyFont="1" applyBorder="1" applyAlignment="1">
      <alignment horizontal="center" vertical="center" wrapText="1" shrinkToFit="1"/>
    </xf>
    <xf numFmtId="166" fontId="20" fillId="0" borderId="1" xfId="6" applyNumberFormat="1" applyFont="1" applyBorder="1" applyAlignment="1">
      <alignment horizontal="center" vertical="center" wrapText="1"/>
    </xf>
    <xf numFmtId="168" fontId="20" fillId="0" borderId="1" xfId="6" applyNumberFormat="1" applyFont="1" applyBorder="1" applyAlignment="1">
      <alignment horizontal="center" vertical="center" textRotation="90" wrapText="1"/>
    </xf>
    <xf numFmtId="168" fontId="20" fillId="0" borderId="2" xfId="6" applyNumberFormat="1" applyFont="1" applyBorder="1" applyAlignment="1">
      <alignment horizontal="center" vertical="center" textRotation="90" wrapText="1"/>
    </xf>
    <xf numFmtId="168" fontId="20" fillId="0" borderId="3" xfId="6" applyNumberFormat="1" applyFont="1" applyBorder="1" applyAlignment="1">
      <alignment horizontal="center" vertical="center" textRotation="90" wrapText="1"/>
    </xf>
    <xf numFmtId="0" fontId="20" fillId="0" borderId="1" xfId="6" applyFont="1" applyBorder="1" applyAlignment="1">
      <alignment horizontal="center" vertical="center" textRotation="90" wrapText="1"/>
    </xf>
    <xf numFmtId="166" fontId="26" fillId="0" borderId="1" xfId="2" applyNumberFormat="1" applyFont="1" applyBorder="1" applyAlignment="1">
      <alignment horizontal="center" vertical="center"/>
    </xf>
    <xf numFmtId="4" fontId="4" fillId="2" borderId="1" xfId="1" applyNumberFormat="1" applyFont="1" applyFill="1" applyBorder="1" applyAlignment="1">
      <alignment horizontal="center"/>
    </xf>
    <xf numFmtId="2" fontId="25" fillId="0" borderId="0" xfId="6" applyNumberFormat="1"/>
  </cellXfs>
  <cellStyles count="8">
    <cellStyle name="Bình thường 2" xfId="1" xr:uid="{F458BAFE-9EEC-460C-B4E6-3CCF0D0437B7}"/>
    <cellStyle name="Comma 2" xfId="4" xr:uid="{C11C5B42-AD5E-4256-A9F1-AEC080FDF25B}"/>
    <cellStyle name="Normal" xfId="0" builtinId="0"/>
    <cellStyle name="Normal 2" xfId="3" xr:uid="{2AF792B4-6580-452B-BD81-4AFA668C30B9}"/>
    <cellStyle name="Normal 3" xfId="6" xr:uid="{6D232629-3694-48AB-9F33-C418ED0FEB89}"/>
    <cellStyle name="Normal_Form" xfId="5" xr:uid="{FAF999E3-CF39-4262-BEE5-58517EAEE2DA}"/>
    <cellStyle name="표준_계측(양식)" xfId="2" xr:uid="{8CB92832-0C68-4314-AFAD-051ED7D94076}"/>
    <cellStyle name="常规_路堤稳定和沉降观测 - 沉降板" xfId="7" xr:uid="{7F2C756E-42DF-42DF-BBA4-E7340451CA7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500"/>
              <a:t>Biểu</a:t>
            </a:r>
            <a:r>
              <a:rPr lang="en-US" sz="1500" baseline="0"/>
              <a:t> đồ </a:t>
            </a:r>
            <a:r>
              <a:rPr lang="en-US" sz="1500"/>
              <a:t>Bàn quan trắc lún-Lý trình: </a:t>
            </a:r>
            <a:r>
              <a:rPr lang="vi-VN" sz="1500"/>
              <a:t>Km114</a:t>
            </a:r>
            <a:r>
              <a:rPr lang="en-US" sz="1500"/>
              <a:t>+840</a:t>
            </a:r>
          </a:p>
        </c:rich>
      </c:tx>
      <c:layout>
        <c:manualLayout>
          <c:xMode val="edge"/>
          <c:yMode val="edge"/>
          <c:x val="0.32029193342431123"/>
          <c:y val="1.3865124053103648E-2"/>
        </c:manualLayout>
      </c:layout>
      <c:overlay val="0"/>
      <c:spPr>
        <a:solidFill>
          <a:srgbClr val="FFFFFF"/>
        </a:solidFill>
        <a:ln w="6350">
          <a:solidFill>
            <a:srgbClr val="000000"/>
          </a:solidFill>
          <a:prstDash val="solid"/>
        </a:ln>
        <a:effectLst>
          <a:outerShdw sx="1000" sy="1000" algn="br">
            <a:srgbClr val="000000"/>
          </a:outerShdw>
        </a:effectLst>
      </c:spPr>
    </c:title>
    <c:autoTitleDeleted val="0"/>
    <c:plotArea>
      <c:layout>
        <c:manualLayout>
          <c:layoutTarget val="inner"/>
          <c:xMode val="edge"/>
          <c:yMode val="edge"/>
          <c:x val="7.4589286974132543E-2"/>
          <c:y val="0.13662332142282568"/>
          <c:w val="0.83566878980891657"/>
          <c:h val="0.69972640034865863"/>
        </c:manualLayout>
      </c:layout>
      <c:scatterChart>
        <c:scatterStyle val="lineMarker"/>
        <c:varyColors val="0"/>
        <c:ser>
          <c:idx val="1"/>
          <c:order val="1"/>
          <c:tx>
            <c:strRef>
              <c:f>'SL.114+840'!$L$12</c:f>
              <c:strCache>
                <c:ptCount val="1"/>
                <c:pt idx="0">
                  <c:v>Độ lún (trái) (mm)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circle"/>
            <c:size val="2"/>
            <c:spPr>
              <a:solidFill>
                <a:srgbClr val="FF00FF"/>
              </a:solidFill>
              <a:ln w="12700">
                <a:solidFill>
                  <a:srgbClr val="FF00FF"/>
                </a:solidFill>
                <a:prstDash val="solid"/>
              </a:ln>
            </c:spPr>
          </c:marker>
          <c:xVal>
            <c:numRef>
              <c:f>'SL.114+840'!$A$14:$A$800</c:f>
              <c:numCache>
                <c:formatCode>dd/mm/yyyy;@</c:formatCode>
                <c:ptCount val="787"/>
                <c:pt idx="0">
                  <c:v>45270</c:v>
                </c:pt>
                <c:pt idx="1">
                  <c:v>45271</c:v>
                </c:pt>
                <c:pt idx="2">
                  <c:v>45272</c:v>
                </c:pt>
                <c:pt idx="3">
                  <c:v>45273</c:v>
                </c:pt>
                <c:pt idx="4">
                  <c:v>45274</c:v>
                </c:pt>
                <c:pt idx="5">
                  <c:v>45275</c:v>
                </c:pt>
                <c:pt idx="6">
                  <c:v>45276</c:v>
                </c:pt>
                <c:pt idx="7">
                  <c:v>45277</c:v>
                </c:pt>
                <c:pt idx="8">
                  <c:v>45278</c:v>
                </c:pt>
                <c:pt idx="9">
                  <c:v>45279</c:v>
                </c:pt>
                <c:pt idx="10">
                  <c:v>45280</c:v>
                </c:pt>
                <c:pt idx="11">
                  <c:v>45281</c:v>
                </c:pt>
                <c:pt idx="12">
                  <c:v>45282</c:v>
                </c:pt>
                <c:pt idx="13">
                  <c:v>45283</c:v>
                </c:pt>
                <c:pt idx="14">
                  <c:v>45284</c:v>
                </c:pt>
                <c:pt idx="15">
                  <c:v>45285</c:v>
                </c:pt>
                <c:pt idx="16">
                  <c:v>45286</c:v>
                </c:pt>
                <c:pt idx="17">
                  <c:v>45287</c:v>
                </c:pt>
                <c:pt idx="18">
                  <c:v>45288</c:v>
                </c:pt>
                <c:pt idx="19">
                  <c:v>45289</c:v>
                </c:pt>
                <c:pt idx="20">
                  <c:v>45290</c:v>
                </c:pt>
                <c:pt idx="21">
                  <c:v>45291</c:v>
                </c:pt>
                <c:pt idx="22">
                  <c:v>45292</c:v>
                </c:pt>
                <c:pt idx="23">
                  <c:v>45293</c:v>
                </c:pt>
                <c:pt idx="24">
                  <c:v>45294</c:v>
                </c:pt>
                <c:pt idx="25">
                  <c:v>45295</c:v>
                </c:pt>
                <c:pt idx="26">
                  <c:v>45296</c:v>
                </c:pt>
                <c:pt idx="27">
                  <c:v>45297</c:v>
                </c:pt>
                <c:pt idx="28">
                  <c:v>45298</c:v>
                </c:pt>
                <c:pt idx="29">
                  <c:v>45299</c:v>
                </c:pt>
                <c:pt idx="30">
                  <c:v>45300</c:v>
                </c:pt>
                <c:pt idx="31">
                  <c:v>45301</c:v>
                </c:pt>
                <c:pt idx="32">
                  <c:v>45302</c:v>
                </c:pt>
                <c:pt idx="33">
                  <c:v>45303</c:v>
                </c:pt>
                <c:pt idx="34">
                  <c:v>45304</c:v>
                </c:pt>
                <c:pt idx="35">
                  <c:v>45305</c:v>
                </c:pt>
                <c:pt idx="36">
                  <c:v>45306</c:v>
                </c:pt>
                <c:pt idx="37">
                  <c:v>45307</c:v>
                </c:pt>
                <c:pt idx="38">
                  <c:v>45308</c:v>
                </c:pt>
                <c:pt idx="39">
                  <c:v>45309</c:v>
                </c:pt>
                <c:pt idx="40">
                  <c:v>45310</c:v>
                </c:pt>
                <c:pt idx="41">
                  <c:v>45311</c:v>
                </c:pt>
                <c:pt idx="42">
                  <c:v>45312</c:v>
                </c:pt>
                <c:pt idx="43">
                  <c:v>45313</c:v>
                </c:pt>
                <c:pt idx="44">
                  <c:v>45314</c:v>
                </c:pt>
                <c:pt idx="45">
                  <c:v>45315</c:v>
                </c:pt>
                <c:pt idx="46">
                  <c:v>45316</c:v>
                </c:pt>
                <c:pt idx="47">
                  <c:v>45317</c:v>
                </c:pt>
                <c:pt idx="48">
                  <c:v>45318</c:v>
                </c:pt>
                <c:pt idx="49">
                  <c:v>45319</c:v>
                </c:pt>
                <c:pt idx="50">
                  <c:v>45320</c:v>
                </c:pt>
                <c:pt idx="51">
                  <c:v>45321</c:v>
                </c:pt>
                <c:pt idx="52">
                  <c:v>45322</c:v>
                </c:pt>
                <c:pt idx="53">
                  <c:v>45323</c:v>
                </c:pt>
                <c:pt idx="54">
                  <c:v>45324</c:v>
                </c:pt>
                <c:pt idx="55">
                  <c:v>45325</c:v>
                </c:pt>
                <c:pt idx="56">
                  <c:v>45326</c:v>
                </c:pt>
                <c:pt idx="57">
                  <c:v>45327</c:v>
                </c:pt>
                <c:pt idx="58">
                  <c:v>45328</c:v>
                </c:pt>
                <c:pt idx="59">
                  <c:v>45329</c:v>
                </c:pt>
                <c:pt idx="60">
                  <c:v>45330</c:v>
                </c:pt>
                <c:pt idx="61">
                  <c:v>45331</c:v>
                </c:pt>
                <c:pt idx="62">
                  <c:v>45332</c:v>
                </c:pt>
                <c:pt idx="63">
                  <c:v>45333</c:v>
                </c:pt>
                <c:pt idx="64">
                  <c:v>45334</c:v>
                </c:pt>
                <c:pt idx="65">
                  <c:v>45335</c:v>
                </c:pt>
                <c:pt idx="66">
                  <c:v>45336</c:v>
                </c:pt>
                <c:pt idx="67">
                  <c:v>45337</c:v>
                </c:pt>
                <c:pt idx="68">
                  <c:v>45338</c:v>
                </c:pt>
                <c:pt idx="69">
                  <c:v>45339</c:v>
                </c:pt>
                <c:pt idx="70">
                  <c:v>45340</c:v>
                </c:pt>
                <c:pt idx="71">
                  <c:v>45341</c:v>
                </c:pt>
                <c:pt idx="72">
                  <c:v>45342</c:v>
                </c:pt>
                <c:pt idx="73">
                  <c:v>45343</c:v>
                </c:pt>
                <c:pt idx="74">
                  <c:v>45344</c:v>
                </c:pt>
                <c:pt idx="75">
                  <c:v>45345</c:v>
                </c:pt>
                <c:pt idx="76">
                  <c:v>45346</c:v>
                </c:pt>
                <c:pt idx="77">
                  <c:v>45347</c:v>
                </c:pt>
                <c:pt idx="78">
                  <c:v>45348</c:v>
                </c:pt>
                <c:pt idx="79">
                  <c:v>45349</c:v>
                </c:pt>
                <c:pt idx="80">
                  <c:v>45350</c:v>
                </c:pt>
                <c:pt idx="81">
                  <c:v>45351</c:v>
                </c:pt>
                <c:pt idx="82">
                  <c:v>45352</c:v>
                </c:pt>
                <c:pt idx="83">
                  <c:v>45353</c:v>
                </c:pt>
                <c:pt idx="84">
                  <c:v>45354</c:v>
                </c:pt>
                <c:pt idx="85">
                  <c:v>45355</c:v>
                </c:pt>
                <c:pt idx="86">
                  <c:v>45356</c:v>
                </c:pt>
                <c:pt idx="87">
                  <c:v>45357</c:v>
                </c:pt>
                <c:pt idx="88">
                  <c:v>45358</c:v>
                </c:pt>
                <c:pt idx="89">
                  <c:v>45359</c:v>
                </c:pt>
                <c:pt idx="90">
                  <c:v>45360</c:v>
                </c:pt>
                <c:pt idx="91">
                  <c:v>45361</c:v>
                </c:pt>
                <c:pt idx="92">
                  <c:v>45362</c:v>
                </c:pt>
                <c:pt idx="93">
                  <c:v>45363</c:v>
                </c:pt>
                <c:pt idx="94">
                  <c:v>45364</c:v>
                </c:pt>
                <c:pt idx="95">
                  <c:v>45365</c:v>
                </c:pt>
                <c:pt idx="96">
                  <c:v>45366</c:v>
                </c:pt>
                <c:pt idx="97">
                  <c:v>45367</c:v>
                </c:pt>
                <c:pt idx="98">
                  <c:v>45368</c:v>
                </c:pt>
                <c:pt idx="99">
                  <c:v>45369</c:v>
                </c:pt>
                <c:pt idx="100">
                  <c:v>45370</c:v>
                </c:pt>
                <c:pt idx="101">
                  <c:v>45371</c:v>
                </c:pt>
                <c:pt idx="102">
                  <c:v>45372</c:v>
                </c:pt>
                <c:pt idx="103">
                  <c:v>45373</c:v>
                </c:pt>
                <c:pt idx="104">
                  <c:v>45374</c:v>
                </c:pt>
                <c:pt idx="105">
                  <c:v>45375</c:v>
                </c:pt>
                <c:pt idx="106">
                  <c:v>45376</c:v>
                </c:pt>
                <c:pt idx="107">
                  <c:v>45377</c:v>
                </c:pt>
                <c:pt idx="108">
                  <c:v>45378</c:v>
                </c:pt>
                <c:pt idx="109">
                  <c:v>45379</c:v>
                </c:pt>
                <c:pt idx="110">
                  <c:v>45380</c:v>
                </c:pt>
                <c:pt idx="111">
                  <c:v>45381</c:v>
                </c:pt>
                <c:pt idx="112">
                  <c:v>45382</c:v>
                </c:pt>
                <c:pt idx="113">
                  <c:v>45383</c:v>
                </c:pt>
                <c:pt idx="114">
                  <c:v>45384</c:v>
                </c:pt>
                <c:pt idx="115">
                  <c:v>45385</c:v>
                </c:pt>
                <c:pt idx="116">
                  <c:v>45386</c:v>
                </c:pt>
                <c:pt idx="117">
                  <c:v>45387</c:v>
                </c:pt>
                <c:pt idx="118">
                  <c:v>45388</c:v>
                </c:pt>
                <c:pt idx="119">
                  <c:v>45389</c:v>
                </c:pt>
                <c:pt idx="120">
                  <c:v>45390</c:v>
                </c:pt>
                <c:pt idx="121">
                  <c:v>45391</c:v>
                </c:pt>
                <c:pt idx="122">
                  <c:v>45392</c:v>
                </c:pt>
                <c:pt idx="123">
                  <c:v>45393</c:v>
                </c:pt>
                <c:pt idx="124">
                  <c:v>45394</c:v>
                </c:pt>
                <c:pt idx="125">
                  <c:v>45395</c:v>
                </c:pt>
                <c:pt idx="126">
                  <c:v>45396</c:v>
                </c:pt>
                <c:pt idx="127">
                  <c:v>45397</c:v>
                </c:pt>
                <c:pt idx="128">
                  <c:v>45398</c:v>
                </c:pt>
                <c:pt idx="129">
                  <c:v>45399</c:v>
                </c:pt>
                <c:pt idx="130">
                  <c:v>45400</c:v>
                </c:pt>
                <c:pt idx="131">
                  <c:v>45401</c:v>
                </c:pt>
                <c:pt idx="132">
                  <c:v>45402</c:v>
                </c:pt>
                <c:pt idx="133">
                  <c:v>45403</c:v>
                </c:pt>
                <c:pt idx="134">
                  <c:v>45404</c:v>
                </c:pt>
                <c:pt idx="135">
                  <c:v>45405</c:v>
                </c:pt>
                <c:pt idx="136">
                  <c:v>45406</c:v>
                </c:pt>
                <c:pt idx="137">
                  <c:v>45407</c:v>
                </c:pt>
                <c:pt idx="138">
                  <c:v>45408</c:v>
                </c:pt>
                <c:pt idx="139">
                  <c:v>45409</c:v>
                </c:pt>
                <c:pt idx="140">
                  <c:v>45410</c:v>
                </c:pt>
                <c:pt idx="141">
                  <c:v>45411</c:v>
                </c:pt>
                <c:pt idx="142">
                  <c:v>45412</c:v>
                </c:pt>
                <c:pt idx="143">
                  <c:v>45413</c:v>
                </c:pt>
                <c:pt idx="144">
                  <c:v>45414</c:v>
                </c:pt>
                <c:pt idx="145">
                  <c:v>45415</c:v>
                </c:pt>
                <c:pt idx="146">
                  <c:v>45416</c:v>
                </c:pt>
                <c:pt idx="147">
                  <c:v>45417</c:v>
                </c:pt>
                <c:pt idx="148">
                  <c:v>45418</c:v>
                </c:pt>
                <c:pt idx="149">
                  <c:v>45419</c:v>
                </c:pt>
                <c:pt idx="150">
                  <c:v>45420</c:v>
                </c:pt>
                <c:pt idx="151">
                  <c:v>45421</c:v>
                </c:pt>
                <c:pt idx="152">
                  <c:v>45422</c:v>
                </c:pt>
                <c:pt idx="153">
                  <c:v>45423</c:v>
                </c:pt>
                <c:pt idx="154">
                  <c:v>45424</c:v>
                </c:pt>
                <c:pt idx="155">
                  <c:v>45425</c:v>
                </c:pt>
                <c:pt idx="156">
                  <c:v>45426</c:v>
                </c:pt>
                <c:pt idx="157">
                  <c:v>45427</c:v>
                </c:pt>
                <c:pt idx="158">
                  <c:v>45428</c:v>
                </c:pt>
                <c:pt idx="159">
                  <c:v>45429</c:v>
                </c:pt>
                <c:pt idx="160">
                  <c:v>45430</c:v>
                </c:pt>
                <c:pt idx="161">
                  <c:v>45431</c:v>
                </c:pt>
                <c:pt idx="162">
                  <c:v>45432</c:v>
                </c:pt>
                <c:pt idx="163">
                  <c:v>45433</c:v>
                </c:pt>
                <c:pt idx="164">
                  <c:v>45434</c:v>
                </c:pt>
                <c:pt idx="165">
                  <c:v>45435</c:v>
                </c:pt>
                <c:pt idx="166">
                  <c:v>45436</c:v>
                </c:pt>
                <c:pt idx="167">
                  <c:v>45437</c:v>
                </c:pt>
                <c:pt idx="168">
                  <c:v>45438</c:v>
                </c:pt>
                <c:pt idx="169">
                  <c:v>45439</c:v>
                </c:pt>
                <c:pt idx="170">
                  <c:v>45440</c:v>
                </c:pt>
                <c:pt idx="171">
                  <c:v>45441</c:v>
                </c:pt>
                <c:pt idx="172">
                  <c:v>45442</c:v>
                </c:pt>
                <c:pt idx="173">
                  <c:v>45443</c:v>
                </c:pt>
                <c:pt idx="174">
                  <c:v>45444</c:v>
                </c:pt>
                <c:pt idx="175">
                  <c:v>45445</c:v>
                </c:pt>
                <c:pt idx="176">
                  <c:v>45446</c:v>
                </c:pt>
                <c:pt idx="177">
                  <c:v>45447</c:v>
                </c:pt>
                <c:pt idx="178">
                  <c:v>45448</c:v>
                </c:pt>
                <c:pt idx="179">
                  <c:v>45449</c:v>
                </c:pt>
                <c:pt idx="180">
                  <c:v>45450</c:v>
                </c:pt>
                <c:pt idx="181">
                  <c:v>45451</c:v>
                </c:pt>
                <c:pt idx="182">
                  <c:v>45452</c:v>
                </c:pt>
                <c:pt idx="183">
                  <c:v>45453</c:v>
                </c:pt>
                <c:pt idx="184">
                  <c:v>45454</c:v>
                </c:pt>
                <c:pt idx="185">
                  <c:v>45455</c:v>
                </c:pt>
                <c:pt idx="186">
                  <c:v>45456</c:v>
                </c:pt>
                <c:pt idx="187">
                  <c:v>45457</c:v>
                </c:pt>
                <c:pt idx="188">
                  <c:v>45458</c:v>
                </c:pt>
                <c:pt idx="189">
                  <c:v>45459</c:v>
                </c:pt>
                <c:pt idx="190">
                  <c:v>45460</c:v>
                </c:pt>
                <c:pt idx="191">
                  <c:v>45461</c:v>
                </c:pt>
                <c:pt idx="192">
                  <c:v>45462</c:v>
                </c:pt>
                <c:pt idx="193">
                  <c:v>45463</c:v>
                </c:pt>
                <c:pt idx="194">
                  <c:v>45464</c:v>
                </c:pt>
                <c:pt idx="195">
                  <c:v>45465</c:v>
                </c:pt>
                <c:pt idx="196">
                  <c:v>45466</c:v>
                </c:pt>
                <c:pt idx="197">
                  <c:v>45467</c:v>
                </c:pt>
                <c:pt idx="198">
                  <c:v>45468</c:v>
                </c:pt>
                <c:pt idx="199">
                  <c:v>45469</c:v>
                </c:pt>
                <c:pt idx="200">
                  <c:v>45470</c:v>
                </c:pt>
                <c:pt idx="201">
                  <c:v>45471</c:v>
                </c:pt>
                <c:pt idx="202">
                  <c:v>45472</c:v>
                </c:pt>
                <c:pt idx="203">
                  <c:v>45473</c:v>
                </c:pt>
                <c:pt idx="204">
                  <c:v>45474</c:v>
                </c:pt>
                <c:pt idx="205">
                  <c:v>45475</c:v>
                </c:pt>
                <c:pt idx="206">
                  <c:v>45476</c:v>
                </c:pt>
                <c:pt idx="207">
                  <c:v>45477</c:v>
                </c:pt>
                <c:pt idx="208">
                  <c:v>45478</c:v>
                </c:pt>
                <c:pt idx="209">
                  <c:v>45479</c:v>
                </c:pt>
                <c:pt idx="210">
                  <c:v>45480</c:v>
                </c:pt>
                <c:pt idx="211">
                  <c:v>45481</c:v>
                </c:pt>
                <c:pt idx="212">
                  <c:v>45482</c:v>
                </c:pt>
                <c:pt idx="213">
                  <c:v>45483</c:v>
                </c:pt>
                <c:pt idx="214">
                  <c:v>45484</c:v>
                </c:pt>
                <c:pt idx="215">
                  <c:v>45485</c:v>
                </c:pt>
                <c:pt idx="216">
                  <c:v>45486</c:v>
                </c:pt>
                <c:pt idx="217">
                  <c:v>45487</c:v>
                </c:pt>
                <c:pt idx="218">
                  <c:v>45488</c:v>
                </c:pt>
                <c:pt idx="219">
                  <c:v>45489</c:v>
                </c:pt>
                <c:pt idx="220">
                  <c:v>45490</c:v>
                </c:pt>
                <c:pt idx="221">
                  <c:v>45491</c:v>
                </c:pt>
                <c:pt idx="222">
                  <c:v>45492</c:v>
                </c:pt>
                <c:pt idx="223">
                  <c:v>45493</c:v>
                </c:pt>
                <c:pt idx="224">
                  <c:v>45494</c:v>
                </c:pt>
                <c:pt idx="225">
                  <c:v>45495</c:v>
                </c:pt>
                <c:pt idx="226">
                  <c:v>45496</c:v>
                </c:pt>
                <c:pt idx="227">
                  <c:v>45497</c:v>
                </c:pt>
                <c:pt idx="228">
                  <c:v>45498</c:v>
                </c:pt>
                <c:pt idx="229">
                  <c:v>45499</c:v>
                </c:pt>
                <c:pt idx="230">
                  <c:v>45500</c:v>
                </c:pt>
                <c:pt idx="231">
                  <c:v>45501</c:v>
                </c:pt>
                <c:pt idx="232">
                  <c:v>45502</c:v>
                </c:pt>
                <c:pt idx="233">
                  <c:v>45503</c:v>
                </c:pt>
                <c:pt idx="234">
                  <c:v>45504</c:v>
                </c:pt>
                <c:pt idx="235">
                  <c:v>45505</c:v>
                </c:pt>
                <c:pt idx="236">
                  <c:v>45506</c:v>
                </c:pt>
                <c:pt idx="237">
                  <c:v>45507</c:v>
                </c:pt>
                <c:pt idx="238">
                  <c:v>45508</c:v>
                </c:pt>
                <c:pt idx="239">
                  <c:v>45509</c:v>
                </c:pt>
                <c:pt idx="240">
                  <c:v>45510</c:v>
                </c:pt>
                <c:pt idx="241">
                  <c:v>45511</c:v>
                </c:pt>
                <c:pt idx="242">
                  <c:v>45512</c:v>
                </c:pt>
                <c:pt idx="243">
                  <c:v>45513</c:v>
                </c:pt>
                <c:pt idx="244">
                  <c:v>45514</c:v>
                </c:pt>
                <c:pt idx="245">
                  <c:v>45515</c:v>
                </c:pt>
                <c:pt idx="246">
                  <c:v>45516</c:v>
                </c:pt>
                <c:pt idx="247">
                  <c:v>45517</c:v>
                </c:pt>
                <c:pt idx="248">
                  <c:v>45518</c:v>
                </c:pt>
                <c:pt idx="249">
                  <c:v>45519</c:v>
                </c:pt>
                <c:pt idx="250">
                  <c:v>45520</c:v>
                </c:pt>
                <c:pt idx="251">
                  <c:v>45521</c:v>
                </c:pt>
                <c:pt idx="252">
                  <c:v>45522</c:v>
                </c:pt>
                <c:pt idx="253">
                  <c:v>45523</c:v>
                </c:pt>
                <c:pt idx="254">
                  <c:v>45524</c:v>
                </c:pt>
                <c:pt idx="255">
                  <c:v>45525</c:v>
                </c:pt>
                <c:pt idx="256">
                  <c:v>45526</c:v>
                </c:pt>
                <c:pt idx="257">
                  <c:v>45527</c:v>
                </c:pt>
                <c:pt idx="258">
                  <c:v>45528</c:v>
                </c:pt>
                <c:pt idx="259">
                  <c:v>45529</c:v>
                </c:pt>
                <c:pt idx="260">
                  <c:v>45530</c:v>
                </c:pt>
                <c:pt idx="261">
                  <c:v>45531</c:v>
                </c:pt>
                <c:pt idx="262">
                  <c:v>45532</c:v>
                </c:pt>
                <c:pt idx="263">
                  <c:v>45533</c:v>
                </c:pt>
                <c:pt idx="264">
                  <c:v>45534</c:v>
                </c:pt>
                <c:pt idx="265">
                  <c:v>45535</c:v>
                </c:pt>
                <c:pt idx="266">
                  <c:v>45536</c:v>
                </c:pt>
                <c:pt idx="267">
                  <c:v>45537</c:v>
                </c:pt>
                <c:pt idx="268">
                  <c:v>45538</c:v>
                </c:pt>
                <c:pt idx="269">
                  <c:v>45539</c:v>
                </c:pt>
                <c:pt idx="270">
                  <c:v>45540</c:v>
                </c:pt>
                <c:pt idx="271">
                  <c:v>45541</c:v>
                </c:pt>
                <c:pt idx="272">
                  <c:v>45542</c:v>
                </c:pt>
                <c:pt idx="273">
                  <c:v>45543</c:v>
                </c:pt>
                <c:pt idx="274">
                  <c:v>45544</c:v>
                </c:pt>
                <c:pt idx="275">
                  <c:v>45545</c:v>
                </c:pt>
                <c:pt idx="276">
                  <c:v>45546</c:v>
                </c:pt>
                <c:pt idx="277">
                  <c:v>45547</c:v>
                </c:pt>
                <c:pt idx="278">
                  <c:v>45548</c:v>
                </c:pt>
                <c:pt idx="279">
                  <c:v>45549</c:v>
                </c:pt>
                <c:pt idx="280">
                  <c:v>45550</c:v>
                </c:pt>
                <c:pt idx="281">
                  <c:v>45551</c:v>
                </c:pt>
                <c:pt idx="282">
                  <c:v>45552</c:v>
                </c:pt>
                <c:pt idx="283">
                  <c:v>45553</c:v>
                </c:pt>
                <c:pt idx="284">
                  <c:v>45554</c:v>
                </c:pt>
                <c:pt idx="285">
                  <c:v>45555</c:v>
                </c:pt>
                <c:pt idx="286">
                  <c:v>45556</c:v>
                </c:pt>
                <c:pt idx="287">
                  <c:v>45557</c:v>
                </c:pt>
                <c:pt idx="288">
                  <c:v>45558</c:v>
                </c:pt>
                <c:pt idx="289">
                  <c:v>45559</c:v>
                </c:pt>
                <c:pt idx="290">
                  <c:v>45560</c:v>
                </c:pt>
                <c:pt idx="291">
                  <c:v>45561</c:v>
                </c:pt>
                <c:pt idx="292">
                  <c:v>45562</c:v>
                </c:pt>
                <c:pt idx="293">
                  <c:v>45563</c:v>
                </c:pt>
                <c:pt idx="294">
                  <c:v>45564</c:v>
                </c:pt>
                <c:pt idx="295">
                  <c:v>45565</c:v>
                </c:pt>
                <c:pt idx="296">
                  <c:v>45566</c:v>
                </c:pt>
                <c:pt idx="297">
                  <c:v>45567</c:v>
                </c:pt>
                <c:pt idx="298">
                  <c:v>45568</c:v>
                </c:pt>
                <c:pt idx="299">
                  <c:v>45569</c:v>
                </c:pt>
                <c:pt idx="300">
                  <c:v>45570</c:v>
                </c:pt>
                <c:pt idx="301">
                  <c:v>45571</c:v>
                </c:pt>
                <c:pt idx="302">
                  <c:v>45572</c:v>
                </c:pt>
                <c:pt idx="303">
                  <c:v>45573</c:v>
                </c:pt>
                <c:pt idx="304">
                  <c:v>45574</c:v>
                </c:pt>
                <c:pt idx="305">
                  <c:v>45575</c:v>
                </c:pt>
                <c:pt idx="306">
                  <c:v>45576</c:v>
                </c:pt>
                <c:pt idx="307">
                  <c:v>45577</c:v>
                </c:pt>
                <c:pt idx="308">
                  <c:v>45578</c:v>
                </c:pt>
                <c:pt idx="309">
                  <c:v>45579</c:v>
                </c:pt>
                <c:pt idx="310">
                  <c:v>45580</c:v>
                </c:pt>
                <c:pt idx="311">
                  <c:v>45581</c:v>
                </c:pt>
                <c:pt idx="312">
                  <c:v>45582</c:v>
                </c:pt>
                <c:pt idx="313">
                  <c:v>45583</c:v>
                </c:pt>
                <c:pt idx="314">
                  <c:v>45584</c:v>
                </c:pt>
                <c:pt idx="315">
                  <c:v>45585</c:v>
                </c:pt>
                <c:pt idx="316">
                  <c:v>45586</c:v>
                </c:pt>
                <c:pt idx="317">
                  <c:v>45587</c:v>
                </c:pt>
                <c:pt idx="318">
                  <c:v>45588</c:v>
                </c:pt>
                <c:pt idx="319">
                  <c:v>45589</c:v>
                </c:pt>
                <c:pt idx="320">
                  <c:v>45590</c:v>
                </c:pt>
                <c:pt idx="321">
                  <c:v>45591</c:v>
                </c:pt>
                <c:pt idx="322">
                  <c:v>45592</c:v>
                </c:pt>
                <c:pt idx="323">
                  <c:v>45593</c:v>
                </c:pt>
                <c:pt idx="324">
                  <c:v>45594</c:v>
                </c:pt>
                <c:pt idx="325">
                  <c:v>45595</c:v>
                </c:pt>
                <c:pt idx="326">
                  <c:v>45596</c:v>
                </c:pt>
                <c:pt idx="327">
                  <c:v>45597</c:v>
                </c:pt>
                <c:pt idx="328">
                  <c:v>45598</c:v>
                </c:pt>
                <c:pt idx="329">
                  <c:v>45599</c:v>
                </c:pt>
                <c:pt idx="330">
                  <c:v>45600</c:v>
                </c:pt>
                <c:pt idx="331">
                  <c:v>45601</c:v>
                </c:pt>
                <c:pt idx="332">
                  <c:v>45602</c:v>
                </c:pt>
                <c:pt idx="333">
                  <c:v>45603</c:v>
                </c:pt>
                <c:pt idx="334">
                  <c:v>45604</c:v>
                </c:pt>
                <c:pt idx="335">
                  <c:v>45605</c:v>
                </c:pt>
                <c:pt idx="336">
                  <c:v>45606</c:v>
                </c:pt>
                <c:pt idx="337">
                  <c:v>45607</c:v>
                </c:pt>
                <c:pt idx="338">
                  <c:v>45608</c:v>
                </c:pt>
                <c:pt idx="339">
                  <c:v>45609</c:v>
                </c:pt>
                <c:pt idx="340">
                  <c:v>45610</c:v>
                </c:pt>
                <c:pt idx="341">
                  <c:v>45611</c:v>
                </c:pt>
                <c:pt idx="342">
                  <c:v>45612</c:v>
                </c:pt>
                <c:pt idx="343">
                  <c:v>45613</c:v>
                </c:pt>
                <c:pt idx="344">
                  <c:v>45614</c:v>
                </c:pt>
                <c:pt idx="345">
                  <c:v>45615</c:v>
                </c:pt>
                <c:pt idx="346">
                  <c:v>45616</c:v>
                </c:pt>
                <c:pt idx="347">
                  <c:v>45617</c:v>
                </c:pt>
                <c:pt idx="348">
                  <c:v>45618</c:v>
                </c:pt>
                <c:pt idx="349">
                  <c:v>45619</c:v>
                </c:pt>
                <c:pt idx="350">
                  <c:v>45620</c:v>
                </c:pt>
                <c:pt idx="351">
                  <c:v>45621</c:v>
                </c:pt>
                <c:pt idx="352">
                  <c:v>45622</c:v>
                </c:pt>
                <c:pt idx="353">
                  <c:v>45623</c:v>
                </c:pt>
                <c:pt idx="354">
                  <c:v>45624</c:v>
                </c:pt>
                <c:pt idx="355">
                  <c:v>45625</c:v>
                </c:pt>
                <c:pt idx="356">
                  <c:v>45626</c:v>
                </c:pt>
                <c:pt idx="357">
                  <c:v>45627</c:v>
                </c:pt>
                <c:pt idx="358">
                  <c:v>45628</c:v>
                </c:pt>
                <c:pt idx="359">
                  <c:v>45629</c:v>
                </c:pt>
                <c:pt idx="360">
                  <c:v>45630</c:v>
                </c:pt>
                <c:pt idx="361">
                  <c:v>45631</c:v>
                </c:pt>
                <c:pt idx="362">
                  <c:v>45632</c:v>
                </c:pt>
                <c:pt idx="363">
                  <c:v>45633</c:v>
                </c:pt>
                <c:pt idx="364">
                  <c:v>45634</c:v>
                </c:pt>
                <c:pt idx="365">
                  <c:v>45635</c:v>
                </c:pt>
                <c:pt idx="366">
                  <c:v>45636</c:v>
                </c:pt>
                <c:pt idx="367">
                  <c:v>45637</c:v>
                </c:pt>
                <c:pt idx="368">
                  <c:v>45638</c:v>
                </c:pt>
                <c:pt idx="369">
                  <c:v>45639</c:v>
                </c:pt>
                <c:pt idx="370">
                  <c:v>45640</c:v>
                </c:pt>
                <c:pt idx="371">
                  <c:v>45641</c:v>
                </c:pt>
                <c:pt idx="372">
                  <c:v>45642</c:v>
                </c:pt>
                <c:pt idx="373">
                  <c:v>45643</c:v>
                </c:pt>
                <c:pt idx="374">
                  <c:v>45644</c:v>
                </c:pt>
                <c:pt idx="375">
                  <c:v>45645</c:v>
                </c:pt>
                <c:pt idx="376">
                  <c:v>45646</c:v>
                </c:pt>
                <c:pt idx="377">
                  <c:v>45647</c:v>
                </c:pt>
                <c:pt idx="378">
                  <c:v>45648</c:v>
                </c:pt>
                <c:pt idx="379">
                  <c:v>45649</c:v>
                </c:pt>
                <c:pt idx="380">
                  <c:v>45650</c:v>
                </c:pt>
                <c:pt idx="381">
                  <c:v>45651</c:v>
                </c:pt>
                <c:pt idx="382">
                  <c:v>45652</c:v>
                </c:pt>
                <c:pt idx="383">
                  <c:v>45653</c:v>
                </c:pt>
                <c:pt idx="384">
                  <c:v>45654</c:v>
                </c:pt>
                <c:pt idx="385">
                  <c:v>45655</c:v>
                </c:pt>
                <c:pt idx="386">
                  <c:v>45656</c:v>
                </c:pt>
                <c:pt idx="387">
                  <c:v>45657</c:v>
                </c:pt>
                <c:pt idx="388">
                  <c:v>45658</c:v>
                </c:pt>
                <c:pt idx="389">
                  <c:v>45659</c:v>
                </c:pt>
                <c:pt idx="390">
                  <c:v>45660</c:v>
                </c:pt>
                <c:pt idx="391">
                  <c:v>45661</c:v>
                </c:pt>
                <c:pt idx="392">
                  <c:v>45662</c:v>
                </c:pt>
                <c:pt idx="393">
                  <c:v>45663</c:v>
                </c:pt>
                <c:pt idx="394">
                  <c:v>45664</c:v>
                </c:pt>
                <c:pt idx="395">
                  <c:v>45665</c:v>
                </c:pt>
                <c:pt idx="396">
                  <c:v>45666</c:v>
                </c:pt>
                <c:pt idx="397">
                  <c:v>45667</c:v>
                </c:pt>
                <c:pt idx="398">
                  <c:v>45668</c:v>
                </c:pt>
                <c:pt idx="399">
                  <c:v>45669</c:v>
                </c:pt>
                <c:pt idx="400">
                  <c:v>45670</c:v>
                </c:pt>
                <c:pt idx="401">
                  <c:v>45671</c:v>
                </c:pt>
                <c:pt idx="402">
                  <c:v>45672</c:v>
                </c:pt>
                <c:pt idx="403">
                  <c:v>45673</c:v>
                </c:pt>
                <c:pt idx="404">
                  <c:v>45674</c:v>
                </c:pt>
                <c:pt idx="405">
                  <c:v>45675</c:v>
                </c:pt>
                <c:pt idx="406">
                  <c:v>45676</c:v>
                </c:pt>
                <c:pt idx="407">
                  <c:v>45677</c:v>
                </c:pt>
                <c:pt idx="408">
                  <c:v>45678</c:v>
                </c:pt>
                <c:pt idx="409">
                  <c:v>45679</c:v>
                </c:pt>
                <c:pt idx="410">
                  <c:v>45680</c:v>
                </c:pt>
                <c:pt idx="411">
                  <c:v>45681</c:v>
                </c:pt>
                <c:pt idx="412">
                  <c:v>45682</c:v>
                </c:pt>
                <c:pt idx="413">
                  <c:v>45683</c:v>
                </c:pt>
                <c:pt idx="414">
                  <c:v>45684</c:v>
                </c:pt>
                <c:pt idx="415">
                  <c:v>45685</c:v>
                </c:pt>
                <c:pt idx="416">
                  <c:v>45686</c:v>
                </c:pt>
                <c:pt idx="417">
                  <c:v>45687</c:v>
                </c:pt>
                <c:pt idx="418">
                  <c:v>45688</c:v>
                </c:pt>
                <c:pt idx="419">
                  <c:v>45689</c:v>
                </c:pt>
                <c:pt idx="420">
                  <c:v>45690</c:v>
                </c:pt>
                <c:pt idx="421">
                  <c:v>45691</c:v>
                </c:pt>
                <c:pt idx="422">
                  <c:v>45692</c:v>
                </c:pt>
                <c:pt idx="423">
                  <c:v>45693</c:v>
                </c:pt>
                <c:pt idx="424">
                  <c:v>45694</c:v>
                </c:pt>
                <c:pt idx="425">
                  <c:v>45695</c:v>
                </c:pt>
                <c:pt idx="426">
                  <c:v>45696</c:v>
                </c:pt>
                <c:pt idx="427">
                  <c:v>45697</c:v>
                </c:pt>
                <c:pt idx="428">
                  <c:v>45698</c:v>
                </c:pt>
                <c:pt idx="429">
                  <c:v>45699</c:v>
                </c:pt>
                <c:pt idx="430">
                  <c:v>45700</c:v>
                </c:pt>
                <c:pt idx="431">
                  <c:v>45701</c:v>
                </c:pt>
                <c:pt idx="432">
                  <c:v>45702</c:v>
                </c:pt>
                <c:pt idx="433">
                  <c:v>45703</c:v>
                </c:pt>
                <c:pt idx="434">
                  <c:v>45704</c:v>
                </c:pt>
                <c:pt idx="435">
                  <c:v>45705</c:v>
                </c:pt>
                <c:pt idx="436">
                  <c:v>45706</c:v>
                </c:pt>
                <c:pt idx="437">
                  <c:v>45707</c:v>
                </c:pt>
                <c:pt idx="438">
                  <c:v>45708</c:v>
                </c:pt>
                <c:pt idx="439">
                  <c:v>45709</c:v>
                </c:pt>
                <c:pt idx="440">
                  <c:v>45710</c:v>
                </c:pt>
                <c:pt idx="441">
                  <c:v>45711</c:v>
                </c:pt>
                <c:pt idx="442">
                  <c:v>45712</c:v>
                </c:pt>
                <c:pt idx="443">
                  <c:v>45713</c:v>
                </c:pt>
                <c:pt idx="444">
                  <c:v>45714</c:v>
                </c:pt>
                <c:pt idx="445">
                  <c:v>45715</c:v>
                </c:pt>
                <c:pt idx="446">
                  <c:v>45716</c:v>
                </c:pt>
                <c:pt idx="447">
                  <c:v>45717</c:v>
                </c:pt>
                <c:pt idx="448">
                  <c:v>45718</c:v>
                </c:pt>
                <c:pt idx="449">
                  <c:v>45719</c:v>
                </c:pt>
                <c:pt idx="450">
                  <c:v>45720</c:v>
                </c:pt>
                <c:pt idx="451">
                  <c:v>45721</c:v>
                </c:pt>
                <c:pt idx="452">
                  <c:v>45722</c:v>
                </c:pt>
                <c:pt idx="453">
                  <c:v>45723</c:v>
                </c:pt>
                <c:pt idx="454">
                  <c:v>45724</c:v>
                </c:pt>
                <c:pt idx="455">
                  <c:v>45725</c:v>
                </c:pt>
                <c:pt idx="456">
                  <c:v>45726</c:v>
                </c:pt>
                <c:pt idx="457">
                  <c:v>45727</c:v>
                </c:pt>
                <c:pt idx="458">
                  <c:v>45728</c:v>
                </c:pt>
                <c:pt idx="459">
                  <c:v>45729</c:v>
                </c:pt>
                <c:pt idx="460">
                  <c:v>45730</c:v>
                </c:pt>
                <c:pt idx="461">
                  <c:v>45731</c:v>
                </c:pt>
                <c:pt idx="462">
                  <c:v>45732</c:v>
                </c:pt>
                <c:pt idx="463">
                  <c:v>45733</c:v>
                </c:pt>
                <c:pt idx="464">
                  <c:v>45734</c:v>
                </c:pt>
                <c:pt idx="465">
                  <c:v>45735</c:v>
                </c:pt>
                <c:pt idx="466">
                  <c:v>45736</c:v>
                </c:pt>
                <c:pt idx="467">
                  <c:v>45737</c:v>
                </c:pt>
                <c:pt idx="468">
                  <c:v>45738</c:v>
                </c:pt>
                <c:pt idx="469">
                  <c:v>45739</c:v>
                </c:pt>
                <c:pt idx="470">
                  <c:v>45740</c:v>
                </c:pt>
                <c:pt idx="471">
                  <c:v>45741</c:v>
                </c:pt>
                <c:pt idx="472">
                  <c:v>45742</c:v>
                </c:pt>
                <c:pt idx="473">
                  <c:v>45743</c:v>
                </c:pt>
                <c:pt idx="474">
                  <c:v>45744</c:v>
                </c:pt>
                <c:pt idx="475">
                  <c:v>45745</c:v>
                </c:pt>
                <c:pt idx="476">
                  <c:v>45746</c:v>
                </c:pt>
                <c:pt idx="477">
                  <c:v>45747</c:v>
                </c:pt>
                <c:pt idx="478">
                  <c:v>45748</c:v>
                </c:pt>
                <c:pt idx="479">
                  <c:v>45749</c:v>
                </c:pt>
                <c:pt idx="480">
                  <c:v>45750</c:v>
                </c:pt>
                <c:pt idx="481">
                  <c:v>45751</c:v>
                </c:pt>
                <c:pt idx="482">
                  <c:v>45752</c:v>
                </c:pt>
                <c:pt idx="483">
                  <c:v>45753</c:v>
                </c:pt>
                <c:pt idx="484">
                  <c:v>45754</c:v>
                </c:pt>
                <c:pt idx="485">
                  <c:v>45755</c:v>
                </c:pt>
                <c:pt idx="486">
                  <c:v>45756</c:v>
                </c:pt>
                <c:pt idx="487">
                  <c:v>45757</c:v>
                </c:pt>
                <c:pt idx="488">
                  <c:v>45758</c:v>
                </c:pt>
                <c:pt idx="489">
                  <c:v>45759</c:v>
                </c:pt>
                <c:pt idx="490">
                  <c:v>45760</c:v>
                </c:pt>
                <c:pt idx="491">
                  <c:v>45761</c:v>
                </c:pt>
                <c:pt idx="492">
                  <c:v>45762</c:v>
                </c:pt>
                <c:pt idx="493">
                  <c:v>45763</c:v>
                </c:pt>
                <c:pt idx="494">
                  <c:v>45764</c:v>
                </c:pt>
                <c:pt idx="495">
                  <c:v>45765</c:v>
                </c:pt>
                <c:pt idx="496">
                  <c:v>45766</c:v>
                </c:pt>
                <c:pt idx="497">
                  <c:v>45767</c:v>
                </c:pt>
                <c:pt idx="498">
                  <c:v>45768</c:v>
                </c:pt>
                <c:pt idx="499">
                  <c:v>45771</c:v>
                </c:pt>
                <c:pt idx="500">
                  <c:v>45775</c:v>
                </c:pt>
                <c:pt idx="501">
                  <c:v>45778</c:v>
                </c:pt>
                <c:pt idx="502">
                  <c:v>45782</c:v>
                </c:pt>
                <c:pt idx="503">
                  <c:v>45785</c:v>
                </c:pt>
                <c:pt idx="504">
                  <c:v>45789</c:v>
                </c:pt>
                <c:pt idx="505">
                  <c:v>45792</c:v>
                </c:pt>
                <c:pt idx="506">
                  <c:v>45796</c:v>
                </c:pt>
                <c:pt idx="507">
                  <c:v>45803</c:v>
                </c:pt>
                <c:pt idx="508">
                  <c:v>45810</c:v>
                </c:pt>
                <c:pt idx="509">
                  <c:v>45817</c:v>
                </c:pt>
                <c:pt idx="510">
                  <c:v>45824</c:v>
                </c:pt>
                <c:pt idx="511">
                  <c:v>45831</c:v>
                </c:pt>
                <c:pt idx="512">
                  <c:v>45838</c:v>
                </c:pt>
                <c:pt idx="513">
                  <c:v>45845</c:v>
                </c:pt>
                <c:pt idx="514">
                  <c:v>45852</c:v>
                </c:pt>
                <c:pt idx="515">
                  <c:v>45859</c:v>
                </c:pt>
                <c:pt idx="516">
                  <c:v>45866</c:v>
                </c:pt>
              </c:numCache>
            </c:numRef>
          </c:xVal>
          <c:yVal>
            <c:numRef>
              <c:f>'SL.114+840'!$L$14:$L$800</c:f>
              <c:numCache>
                <c:formatCode>General</c:formatCode>
                <c:ptCount val="7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-7.9999999999999929</c:v>
                </c:pt>
                <c:pt idx="24">
                  <c:v>-10.999999999999996</c:v>
                </c:pt>
                <c:pt idx="25">
                  <c:v>-15</c:v>
                </c:pt>
                <c:pt idx="26">
                  <c:v>-17</c:v>
                </c:pt>
                <c:pt idx="27">
                  <c:v>-24.999999999999993</c:v>
                </c:pt>
                <c:pt idx="28">
                  <c:v>-27.999999999999996</c:v>
                </c:pt>
                <c:pt idx="29">
                  <c:v>-36.000000000000007</c:v>
                </c:pt>
                <c:pt idx="30">
                  <c:v>-38.999999999999993</c:v>
                </c:pt>
                <c:pt idx="31">
                  <c:v>-47</c:v>
                </c:pt>
                <c:pt idx="32">
                  <c:v>-50</c:v>
                </c:pt>
                <c:pt idx="33">
                  <c:v>-54.000000000000007</c:v>
                </c:pt>
                <c:pt idx="34">
                  <c:v>-56.000000000000007</c:v>
                </c:pt>
                <c:pt idx="35">
                  <c:v>-63.999999999999986</c:v>
                </c:pt>
                <c:pt idx="36">
                  <c:v>-66.999999999999986</c:v>
                </c:pt>
                <c:pt idx="37">
                  <c:v>-71</c:v>
                </c:pt>
                <c:pt idx="38">
                  <c:v>-76</c:v>
                </c:pt>
                <c:pt idx="39">
                  <c:v>-81</c:v>
                </c:pt>
                <c:pt idx="40">
                  <c:v>-86</c:v>
                </c:pt>
                <c:pt idx="41">
                  <c:v>-93.999999999999986</c:v>
                </c:pt>
                <c:pt idx="42">
                  <c:v>-95.999999999999986</c:v>
                </c:pt>
                <c:pt idx="43">
                  <c:v>-99.999999999999986</c:v>
                </c:pt>
                <c:pt idx="44">
                  <c:v>-107</c:v>
                </c:pt>
                <c:pt idx="45">
                  <c:v>-112</c:v>
                </c:pt>
                <c:pt idx="46">
                  <c:v>-116</c:v>
                </c:pt>
                <c:pt idx="47">
                  <c:v>-123.99999999999999</c:v>
                </c:pt>
                <c:pt idx="48">
                  <c:v>-126</c:v>
                </c:pt>
                <c:pt idx="49">
                  <c:v>-130</c:v>
                </c:pt>
                <c:pt idx="50">
                  <c:v>-137</c:v>
                </c:pt>
                <c:pt idx="51">
                  <c:v>-142.00000000000003</c:v>
                </c:pt>
                <c:pt idx="52">
                  <c:v>-144.00000000000003</c:v>
                </c:pt>
                <c:pt idx="53">
                  <c:v>-148.00000000000003</c:v>
                </c:pt>
                <c:pt idx="54">
                  <c:v>-150.00000000000003</c:v>
                </c:pt>
                <c:pt idx="55">
                  <c:v>-154.00000000000003</c:v>
                </c:pt>
                <c:pt idx="56">
                  <c:v>-155.99999999999997</c:v>
                </c:pt>
                <c:pt idx="57">
                  <c:v>-159.99999999999997</c:v>
                </c:pt>
                <c:pt idx="58">
                  <c:v>-161.99999999999997</c:v>
                </c:pt>
                <c:pt idx="59">
                  <c:v>-165.99999999999997</c:v>
                </c:pt>
                <c:pt idx="60">
                  <c:v>-173</c:v>
                </c:pt>
                <c:pt idx="61">
                  <c:v>-178</c:v>
                </c:pt>
                <c:pt idx="62">
                  <c:v>-180</c:v>
                </c:pt>
                <c:pt idx="63">
                  <c:v>-184</c:v>
                </c:pt>
                <c:pt idx="64">
                  <c:v>-186</c:v>
                </c:pt>
                <c:pt idx="65">
                  <c:v>-190</c:v>
                </c:pt>
                <c:pt idx="66">
                  <c:v>-192</c:v>
                </c:pt>
                <c:pt idx="67">
                  <c:v>-196</c:v>
                </c:pt>
                <c:pt idx="68">
                  <c:v>-196</c:v>
                </c:pt>
                <c:pt idx="69">
                  <c:v>-196</c:v>
                </c:pt>
                <c:pt idx="70">
                  <c:v>-196</c:v>
                </c:pt>
                <c:pt idx="71">
                  <c:v>-196</c:v>
                </c:pt>
                <c:pt idx="72">
                  <c:v>-196</c:v>
                </c:pt>
                <c:pt idx="73">
                  <c:v>-196</c:v>
                </c:pt>
                <c:pt idx="74">
                  <c:v>-196</c:v>
                </c:pt>
                <c:pt idx="75">
                  <c:v>-196</c:v>
                </c:pt>
                <c:pt idx="76">
                  <c:v>-196</c:v>
                </c:pt>
                <c:pt idx="77">
                  <c:v>-196</c:v>
                </c:pt>
                <c:pt idx="78">
                  <c:v>-196</c:v>
                </c:pt>
                <c:pt idx="79">
                  <c:v>-196</c:v>
                </c:pt>
                <c:pt idx="80">
                  <c:v>-196</c:v>
                </c:pt>
                <c:pt idx="81">
                  <c:v>-196</c:v>
                </c:pt>
                <c:pt idx="82">
                  <c:v>-196</c:v>
                </c:pt>
                <c:pt idx="83">
                  <c:v>-196</c:v>
                </c:pt>
                <c:pt idx="84">
                  <c:v>-196</c:v>
                </c:pt>
                <c:pt idx="85">
                  <c:v>-196</c:v>
                </c:pt>
                <c:pt idx="86">
                  <c:v>-196</c:v>
                </c:pt>
                <c:pt idx="87">
                  <c:v>-196</c:v>
                </c:pt>
                <c:pt idx="88">
                  <c:v>-196</c:v>
                </c:pt>
                <c:pt idx="89">
                  <c:v>-196</c:v>
                </c:pt>
                <c:pt idx="90">
                  <c:v>-196</c:v>
                </c:pt>
                <c:pt idx="91">
                  <c:v>-196</c:v>
                </c:pt>
                <c:pt idx="92">
                  <c:v>-196</c:v>
                </c:pt>
                <c:pt idx="93">
                  <c:v>-196</c:v>
                </c:pt>
                <c:pt idx="94">
                  <c:v>-196</c:v>
                </c:pt>
                <c:pt idx="95">
                  <c:v>-196</c:v>
                </c:pt>
                <c:pt idx="96">
                  <c:v>-196</c:v>
                </c:pt>
                <c:pt idx="97">
                  <c:v>-196</c:v>
                </c:pt>
                <c:pt idx="98">
                  <c:v>-196</c:v>
                </c:pt>
                <c:pt idx="99">
                  <c:v>-196</c:v>
                </c:pt>
                <c:pt idx="100">
                  <c:v>-196</c:v>
                </c:pt>
                <c:pt idx="101">
                  <c:v>-196</c:v>
                </c:pt>
                <c:pt idx="102">
                  <c:v>-196</c:v>
                </c:pt>
                <c:pt idx="103">
                  <c:v>-196</c:v>
                </c:pt>
                <c:pt idx="104">
                  <c:v>-196</c:v>
                </c:pt>
                <c:pt idx="105">
                  <c:v>-196</c:v>
                </c:pt>
                <c:pt idx="106">
                  <c:v>-196</c:v>
                </c:pt>
                <c:pt idx="107">
                  <c:v>-196</c:v>
                </c:pt>
                <c:pt idx="108">
                  <c:v>-196</c:v>
                </c:pt>
                <c:pt idx="109">
                  <c:v>-196</c:v>
                </c:pt>
                <c:pt idx="110">
                  <c:v>-196</c:v>
                </c:pt>
                <c:pt idx="111">
                  <c:v>-196</c:v>
                </c:pt>
                <c:pt idx="112">
                  <c:v>-196</c:v>
                </c:pt>
                <c:pt idx="113">
                  <c:v>-196</c:v>
                </c:pt>
                <c:pt idx="114">
                  <c:v>-196</c:v>
                </c:pt>
                <c:pt idx="115">
                  <c:v>-196</c:v>
                </c:pt>
                <c:pt idx="116">
                  <c:v>-196</c:v>
                </c:pt>
                <c:pt idx="117">
                  <c:v>-196</c:v>
                </c:pt>
                <c:pt idx="118">
                  <c:v>-196</c:v>
                </c:pt>
                <c:pt idx="119">
                  <c:v>-196</c:v>
                </c:pt>
                <c:pt idx="120">
                  <c:v>-196</c:v>
                </c:pt>
                <c:pt idx="121">
                  <c:v>-196</c:v>
                </c:pt>
                <c:pt idx="122">
                  <c:v>-196</c:v>
                </c:pt>
                <c:pt idx="123">
                  <c:v>-196</c:v>
                </c:pt>
                <c:pt idx="124">
                  <c:v>-196</c:v>
                </c:pt>
                <c:pt idx="125">
                  <c:v>-196</c:v>
                </c:pt>
                <c:pt idx="126">
                  <c:v>-202.99999999999997</c:v>
                </c:pt>
                <c:pt idx="127">
                  <c:v>-205.99999999999997</c:v>
                </c:pt>
                <c:pt idx="128">
                  <c:v>-209.99999999999997</c:v>
                </c:pt>
                <c:pt idx="129">
                  <c:v>-214.99999999999997</c:v>
                </c:pt>
                <c:pt idx="130">
                  <c:v>-223.99999999999997</c:v>
                </c:pt>
                <c:pt idx="131">
                  <c:v>-227.99999999999997</c:v>
                </c:pt>
                <c:pt idx="132">
                  <c:v>-230.99999999999997</c:v>
                </c:pt>
                <c:pt idx="133">
                  <c:v>-232.99999999999997</c:v>
                </c:pt>
                <c:pt idx="134">
                  <c:v>-237</c:v>
                </c:pt>
                <c:pt idx="135">
                  <c:v>-245</c:v>
                </c:pt>
                <c:pt idx="136">
                  <c:v>-250</c:v>
                </c:pt>
                <c:pt idx="137">
                  <c:v>-255</c:v>
                </c:pt>
                <c:pt idx="138">
                  <c:v>-259</c:v>
                </c:pt>
                <c:pt idx="139">
                  <c:v>-262</c:v>
                </c:pt>
                <c:pt idx="140">
                  <c:v>-263.99999999999994</c:v>
                </c:pt>
                <c:pt idx="141">
                  <c:v>-267.99999999999994</c:v>
                </c:pt>
                <c:pt idx="142">
                  <c:v>-269.99999999999994</c:v>
                </c:pt>
                <c:pt idx="143">
                  <c:v>-273.99999999999994</c:v>
                </c:pt>
                <c:pt idx="144">
                  <c:v>-274.99999999999994</c:v>
                </c:pt>
                <c:pt idx="145">
                  <c:v>-275.99999999999994</c:v>
                </c:pt>
                <c:pt idx="146">
                  <c:v>-276.99999999999994</c:v>
                </c:pt>
                <c:pt idx="147">
                  <c:v>-276.99999999999994</c:v>
                </c:pt>
                <c:pt idx="148">
                  <c:v>-277.99999999999994</c:v>
                </c:pt>
                <c:pt idx="149">
                  <c:v>-277.99999999999994</c:v>
                </c:pt>
                <c:pt idx="150">
                  <c:v>-278.99999999999994</c:v>
                </c:pt>
                <c:pt idx="151">
                  <c:v>-278.99999999999994</c:v>
                </c:pt>
                <c:pt idx="152">
                  <c:v>-279.99999999999994</c:v>
                </c:pt>
                <c:pt idx="153">
                  <c:v>-279.99999999999994</c:v>
                </c:pt>
                <c:pt idx="154">
                  <c:v>-281</c:v>
                </c:pt>
                <c:pt idx="155">
                  <c:v>-281</c:v>
                </c:pt>
                <c:pt idx="156">
                  <c:v>-281</c:v>
                </c:pt>
                <c:pt idx="157">
                  <c:v>-281</c:v>
                </c:pt>
                <c:pt idx="158">
                  <c:v>-281</c:v>
                </c:pt>
                <c:pt idx="159">
                  <c:v>-281</c:v>
                </c:pt>
                <c:pt idx="160">
                  <c:v>-281</c:v>
                </c:pt>
                <c:pt idx="161">
                  <c:v>-281</c:v>
                </c:pt>
                <c:pt idx="162">
                  <c:v>-281</c:v>
                </c:pt>
                <c:pt idx="163">
                  <c:v>-281</c:v>
                </c:pt>
                <c:pt idx="164">
                  <c:v>-281</c:v>
                </c:pt>
                <c:pt idx="165">
                  <c:v>-281</c:v>
                </c:pt>
                <c:pt idx="166">
                  <c:v>-281</c:v>
                </c:pt>
                <c:pt idx="167">
                  <c:v>-281</c:v>
                </c:pt>
                <c:pt idx="168">
                  <c:v>-281</c:v>
                </c:pt>
                <c:pt idx="169">
                  <c:v>-281</c:v>
                </c:pt>
                <c:pt idx="170">
                  <c:v>-281</c:v>
                </c:pt>
                <c:pt idx="171">
                  <c:v>-281</c:v>
                </c:pt>
                <c:pt idx="172">
                  <c:v>-281</c:v>
                </c:pt>
                <c:pt idx="173">
                  <c:v>-281</c:v>
                </c:pt>
                <c:pt idx="174">
                  <c:v>-281</c:v>
                </c:pt>
                <c:pt idx="175">
                  <c:v>-281</c:v>
                </c:pt>
                <c:pt idx="176">
                  <c:v>-281</c:v>
                </c:pt>
                <c:pt idx="177">
                  <c:v>-281</c:v>
                </c:pt>
                <c:pt idx="178">
                  <c:v>-281</c:v>
                </c:pt>
                <c:pt idx="179">
                  <c:v>-281</c:v>
                </c:pt>
                <c:pt idx="180">
                  <c:v>-281</c:v>
                </c:pt>
                <c:pt idx="181">
                  <c:v>-281</c:v>
                </c:pt>
                <c:pt idx="182">
                  <c:v>-281</c:v>
                </c:pt>
                <c:pt idx="183">
                  <c:v>-281</c:v>
                </c:pt>
                <c:pt idx="184">
                  <c:v>-281</c:v>
                </c:pt>
                <c:pt idx="185">
                  <c:v>-281</c:v>
                </c:pt>
                <c:pt idx="186">
                  <c:v>-281</c:v>
                </c:pt>
                <c:pt idx="187">
                  <c:v>-281</c:v>
                </c:pt>
                <c:pt idx="188">
                  <c:v>-281</c:v>
                </c:pt>
                <c:pt idx="189">
                  <c:v>-281</c:v>
                </c:pt>
                <c:pt idx="190">
                  <c:v>-281</c:v>
                </c:pt>
                <c:pt idx="191">
                  <c:v>-281</c:v>
                </c:pt>
                <c:pt idx="192">
                  <c:v>-281</c:v>
                </c:pt>
                <c:pt idx="193">
                  <c:v>-281</c:v>
                </c:pt>
                <c:pt idx="194">
                  <c:v>-281</c:v>
                </c:pt>
                <c:pt idx="195">
                  <c:v>-281</c:v>
                </c:pt>
                <c:pt idx="196">
                  <c:v>-281</c:v>
                </c:pt>
                <c:pt idx="197">
                  <c:v>-281</c:v>
                </c:pt>
                <c:pt idx="198">
                  <c:v>-281</c:v>
                </c:pt>
                <c:pt idx="199">
                  <c:v>-281</c:v>
                </c:pt>
                <c:pt idx="200">
                  <c:v>-281</c:v>
                </c:pt>
                <c:pt idx="201">
                  <c:v>-281</c:v>
                </c:pt>
                <c:pt idx="202">
                  <c:v>-281</c:v>
                </c:pt>
                <c:pt idx="203">
                  <c:v>-281</c:v>
                </c:pt>
                <c:pt idx="204">
                  <c:v>-281</c:v>
                </c:pt>
                <c:pt idx="205">
                  <c:v>-281</c:v>
                </c:pt>
                <c:pt idx="206">
                  <c:v>-281</c:v>
                </c:pt>
                <c:pt idx="207">
                  <c:v>-281</c:v>
                </c:pt>
                <c:pt idx="208">
                  <c:v>-281</c:v>
                </c:pt>
                <c:pt idx="209">
                  <c:v>-281</c:v>
                </c:pt>
                <c:pt idx="210">
                  <c:v>-281</c:v>
                </c:pt>
                <c:pt idx="211">
                  <c:v>-281</c:v>
                </c:pt>
                <c:pt idx="212">
                  <c:v>-281</c:v>
                </c:pt>
                <c:pt idx="213">
                  <c:v>-281</c:v>
                </c:pt>
                <c:pt idx="214">
                  <c:v>-281</c:v>
                </c:pt>
                <c:pt idx="215">
                  <c:v>-281</c:v>
                </c:pt>
                <c:pt idx="216">
                  <c:v>-281</c:v>
                </c:pt>
                <c:pt idx="217">
                  <c:v>-281</c:v>
                </c:pt>
                <c:pt idx="218">
                  <c:v>-281</c:v>
                </c:pt>
                <c:pt idx="219">
                  <c:v>-281</c:v>
                </c:pt>
                <c:pt idx="220">
                  <c:v>-281</c:v>
                </c:pt>
                <c:pt idx="221">
                  <c:v>-281</c:v>
                </c:pt>
                <c:pt idx="222">
                  <c:v>-281</c:v>
                </c:pt>
                <c:pt idx="223">
                  <c:v>-281</c:v>
                </c:pt>
                <c:pt idx="224">
                  <c:v>-281</c:v>
                </c:pt>
                <c:pt idx="225">
                  <c:v>-281</c:v>
                </c:pt>
                <c:pt idx="226">
                  <c:v>-281</c:v>
                </c:pt>
                <c:pt idx="227">
                  <c:v>-281</c:v>
                </c:pt>
                <c:pt idx="228">
                  <c:v>-281</c:v>
                </c:pt>
                <c:pt idx="229">
                  <c:v>-281</c:v>
                </c:pt>
                <c:pt idx="230">
                  <c:v>-281</c:v>
                </c:pt>
                <c:pt idx="231">
                  <c:v>-281</c:v>
                </c:pt>
                <c:pt idx="232">
                  <c:v>-281</c:v>
                </c:pt>
                <c:pt idx="233">
                  <c:v>-281</c:v>
                </c:pt>
                <c:pt idx="234">
                  <c:v>-281</c:v>
                </c:pt>
                <c:pt idx="235">
                  <c:v>-281</c:v>
                </c:pt>
                <c:pt idx="236">
                  <c:v>-281</c:v>
                </c:pt>
                <c:pt idx="237">
                  <c:v>-281</c:v>
                </c:pt>
                <c:pt idx="238">
                  <c:v>-281</c:v>
                </c:pt>
                <c:pt idx="239">
                  <c:v>-281</c:v>
                </c:pt>
                <c:pt idx="240">
                  <c:v>-281</c:v>
                </c:pt>
                <c:pt idx="241">
                  <c:v>-281</c:v>
                </c:pt>
                <c:pt idx="242">
                  <c:v>-281</c:v>
                </c:pt>
                <c:pt idx="243">
                  <c:v>-281</c:v>
                </c:pt>
                <c:pt idx="244">
                  <c:v>-281</c:v>
                </c:pt>
                <c:pt idx="245">
                  <c:v>-281</c:v>
                </c:pt>
                <c:pt idx="246">
                  <c:v>-281</c:v>
                </c:pt>
                <c:pt idx="247">
                  <c:v>-281</c:v>
                </c:pt>
                <c:pt idx="248">
                  <c:v>-281</c:v>
                </c:pt>
                <c:pt idx="249">
                  <c:v>-281</c:v>
                </c:pt>
                <c:pt idx="250">
                  <c:v>-281</c:v>
                </c:pt>
                <c:pt idx="251">
                  <c:v>-281</c:v>
                </c:pt>
                <c:pt idx="252">
                  <c:v>-281</c:v>
                </c:pt>
                <c:pt idx="253">
                  <c:v>-281</c:v>
                </c:pt>
                <c:pt idx="254">
                  <c:v>-281</c:v>
                </c:pt>
                <c:pt idx="255">
                  <c:v>-281</c:v>
                </c:pt>
                <c:pt idx="256">
                  <c:v>-281</c:v>
                </c:pt>
                <c:pt idx="257">
                  <c:v>-281</c:v>
                </c:pt>
                <c:pt idx="258">
                  <c:v>-281</c:v>
                </c:pt>
                <c:pt idx="259">
                  <c:v>-281</c:v>
                </c:pt>
                <c:pt idx="260">
                  <c:v>-281</c:v>
                </c:pt>
                <c:pt idx="261">
                  <c:v>-281</c:v>
                </c:pt>
                <c:pt idx="262">
                  <c:v>-281</c:v>
                </c:pt>
                <c:pt idx="263">
                  <c:v>-281</c:v>
                </c:pt>
                <c:pt idx="264">
                  <c:v>-281</c:v>
                </c:pt>
                <c:pt idx="265">
                  <c:v>-281</c:v>
                </c:pt>
                <c:pt idx="266">
                  <c:v>-281</c:v>
                </c:pt>
                <c:pt idx="267">
                  <c:v>-281</c:v>
                </c:pt>
                <c:pt idx="268">
                  <c:v>-281</c:v>
                </c:pt>
                <c:pt idx="269">
                  <c:v>-281</c:v>
                </c:pt>
                <c:pt idx="270">
                  <c:v>-281</c:v>
                </c:pt>
                <c:pt idx="271">
                  <c:v>-281</c:v>
                </c:pt>
                <c:pt idx="272">
                  <c:v>-281</c:v>
                </c:pt>
                <c:pt idx="273">
                  <c:v>-281</c:v>
                </c:pt>
                <c:pt idx="274">
                  <c:v>-281</c:v>
                </c:pt>
                <c:pt idx="275">
                  <c:v>-281</c:v>
                </c:pt>
                <c:pt idx="276">
                  <c:v>-281</c:v>
                </c:pt>
                <c:pt idx="277">
                  <c:v>-281</c:v>
                </c:pt>
                <c:pt idx="278">
                  <c:v>-281</c:v>
                </c:pt>
                <c:pt idx="279">
                  <c:v>-281</c:v>
                </c:pt>
                <c:pt idx="280">
                  <c:v>-281</c:v>
                </c:pt>
                <c:pt idx="281">
                  <c:v>-281</c:v>
                </c:pt>
                <c:pt idx="282">
                  <c:v>-281</c:v>
                </c:pt>
                <c:pt idx="283">
                  <c:v>-281</c:v>
                </c:pt>
                <c:pt idx="284">
                  <c:v>-281</c:v>
                </c:pt>
                <c:pt idx="285">
                  <c:v>-281</c:v>
                </c:pt>
                <c:pt idx="286">
                  <c:v>-281</c:v>
                </c:pt>
                <c:pt idx="287">
                  <c:v>-281</c:v>
                </c:pt>
                <c:pt idx="288">
                  <c:v>-281</c:v>
                </c:pt>
                <c:pt idx="289">
                  <c:v>-281</c:v>
                </c:pt>
                <c:pt idx="290">
                  <c:v>-281</c:v>
                </c:pt>
                <c:pt idx="291">
                  <c:v>-281</c:v>
                </c:pt>
                <c:pt idx="292">
                  <c:v>-281</c:v>
                </c:pt>
                <c:pt idx="293">
                  <c:v>-281</c:v>
                </c:pt>
                <c:pt idx="294">
                  <c:v>-281</c:v>
                </c:pt>
                <c:pt idx="295">
                  <c:v>-281</c:v>
                </c:pt>
                <c:pt idx="296">
                  <c:v>-281</c:v>
                </c:pt>
                <c:pt idx="297">
                  <c:v>-281</c:v>
                </c:pt>
                <c:pt idx="298">
                  <c:v>-281</c:v>
                </c:pt>
                <c:pt idx="299">
                  <c:v>-281</c:v>
                </c:pt>
                <c:pt idx="300">
                  <c:v>-281</c:v>
                </c:pt>
                <c:pt idx="301">
                  <c:v>-281</c:v>
                </c:pt>
                <c:pt idx="302">
                  <c:v>-281</c:v>
                </c:pt>
                <c:pt idx="303">
                  <c:v>-281</c:v>
                </c:pt>
                <c:pt idx="304">
                  <c:v>-281</c:v>
                </c:pt>
                <c:pt idx="305">
                  <c:v>-281</c:v>
                </c:pt>
                <c:pt idx="306">
                  <c:v>-281</c:v>
                </c:pt>
                <c:pt idx="307">
                  <c:v>-281</c:v>
                </c:pt>
                <c:pt idx="308">
                  <c:v>-281</c:v>
                </c:pt>
                <c:pt idx="309">
                  <c:v>-281</c:v>
                </c:pt>
                <c:pt idx="310">
                  <c:v>-281</c:v>
                </c:pt>
                <c:pt idx="311">
                  <c:v>-281</c:v>
                </c:pt>
                <c:pt idx="312">
                  <c:v>-281</c:v>
                </c:pt>
                <c:pt idx="313">
                  <c:v>-281</c:v>
                </c:pt>
                <c:pt idx="314">
                  <c:v>-281</c:v>
                </c:pt>
                <c:pt idx="315">
                  <c:v>-281</c:v>
                </c:pt>
                <c:pt idx="316">
                  <c:v>-281</c:v>
                </c:pt>
                <c:pt idx="317">
                  <c:v>-281</c:v>
                </c:pt>
                <c:pt idx="318">
                  <c:v>-281</c:v>
                </c:pt>
                <c:pt idx="319">
                  <c:v>-281</c:v>
                </c:pt>
                <c:pt idx="320">
                  <c:v>-281</c:v>
                </c:pt>
                <c:pt idx="321">
                  <c:v>-281</c:v>
                </c:pt>
                <c:pt idx="322">
                  <c:v>-281</c:v>
                </c:pt>
                <c:pt idx="323">
                  <c:v>-281</c:v>
                </c:pt>
                <c:pt idx="324">
                  <c:v>-281</c:v>
                </c:pt>
                <c:pt idx="325">
                  <c:v>-281</c:v>
                </c:pt>
                <c:pt idx="326">
                  <c:v>-281</c:v>
                </c:pt>
                <c:pt idx="327">
                  <c:v>-281</c:v>
                </c:pt>
                <c:pt idx="328">
                  <c:v>-281</c:v>
                </c:pt>
                <c:pt idx="329">
                  <c:v>-281</c:v>
                </c:pt>
                <c:pt idx="330">
                  <c:v>-281</c:v>
                </c:pt>
                <c:pt idx="331">
                  <c:v>-281</c:v>
                </c:pt>
                <c:pt idx="332">
                  <c:v>-281</c:v>
                </c:pt>
                <c:pt idx="333">
                  <c:v>-281</c:v>
                </c:pt>
                <c:pt idx="334">
                  <c:v>-281</c:v>
                </c:pt>
                <c:pt idx="335">
                  <c:v>-281</c:v>
                </c:pt>
                <c:pt idx="336">
                  <c:v>-281</c:v>
                </c:pt>
                <c:pt idx="337">
                  <c:v>-281</c:v>
                </c:pt>
                <c:pt idx="338">
                  <c:v>-281</c:v>
                </c:pt>
                <c:pt idx="339">
                  <c:v>-281</c:v>
                </c:pt>
                <c:pt idx="340">
                  <c:v>-281</c:v>
                </c:pt>
                <c:pt idx="341">
                  <c:v>-281</c:v>
                </c:pt>
                <c:pt idx="342">
                  <c:v>-281</c:v>
                </c:pt>
                <c:pt idx="343">
                  <c:v>-281</c:v>
                </c:pt>
                <c:pt idx="344">
                  <c:v>-281</c:v>
                </c:pt>
                <c:pt idx="345">
                  <c:v>-281</c:v>
                </c:pt>
                <c:pt idx="346">
                  <c:v>-281</c:v>
                </c:pt>
                <c:pt idx="347">
                  <c:v>-281</c:v>
                </c:pt>
                <c:pt idx="348">
                  <c:v>-281</c:v>
                </c:pt>
                <c:pt idx="349">
                  <c:v>-281</c:v>
                </c:pt>
                <c:pt idx="350">
                  <c:v>-281</c:v>
                </c:pt>
                <c:pt idx="351">
                  <c:v>-281</c:v>
                </c:pt>
                <c:pt idx="352">
                  <c:v>-281</c:v>
                </c:pt>
                <c:pt idx="353">
                  <c:v>-281</c:v>
                </c:pt>
                <c:pt idx="354">
                  <c:v>-281</c:v>
                </c:pt>
                <c:pt idx="355">
                  <c:v>-281</c:v>
                </c:pt>
                <c:pt idx="356">
                  <c:v>-281</c:v>
                </c:pt>
                <c:pt idx="357">
                  <c:v>-281</c:v>
                </c:pt>
                <c:pt idx="358">
                  <c:v>-281</c:v>
                </c:pt>
                <c:pt idx="359">
                  <c:v>-281</c:v>
                </c:pt>
                <c:pt idx="360">
                  <c:v>-281</c:v>
                </c:pt>
                <c:pt idx="361">
                  <c:v>-281</c:v>
                </c:pt>
                <c:pt idx="362">
                  <c:v>-281</c:v>
                </c:pt>
                <c:pt idx="363">
                  <c:v>-281</c:v>
                </c:pt>
                <c:pt idx="364">
                  <c:v>-281</c:v>
                </c:pt>
                <c:pt idx="365">
                  <c:v>-281</c:v>
                </c:pt>
                <c:pt idx="366">
                  <c:v>-281</c:v>
                </c:pt>
                <c:pt idx="367">
                  <c:v>-281</c:v>
                </c:pt>
                <c:pt idx="368">
                  <c:v>-291</c:v>
                </c:pt>
                <c:pt idx="369">
                  <c:v>-301</c:v>
                </c:pt>
                <c:pt idx="370">
                  <c:v>-307</c:v>
                </c:pt>
                <c:pt idx="371">
                  <c:v>-315</c:v>
                </c:pt>
                <c:pt idx="372">
                  <c:v>-325</c:v>
                </c:pt>
                <c:pt idx="373">
                  <c:v>-333.99999999999994</c:v>
                </c:pt>
                <c:pt idx="374">
                  <c:v>-343</c:v>
                </c:pt>
                <c:pt idx="375">
                  <c:v>-352</c:v>
                </c:pt>
                <c:pt idx="376">
                  <c:v>-361</c:v>
                </c:pt>
                <c:pt idx="377">
                  <c:v>-371</c:v>
                </c:pt>
                <c:pt idx="378">
                  <c:v>-380</c:v>
                </c:pt>
                <c:pt idx="379">
                  <c:v>-388</c:v>
                </c:pt>
                <c:pt idx="380">
                  <c:v>-395.99999999999994</c:v>
                </c:pt>
                <c:pt idx="381">
                  <c:v>-404.99999999999994</c:v>
                </c:pt>
                <c:pt idx="382">
                  <c:v>-415</c:v>
                </c:pt>
                <c:pt idx="383">
                  <c:v>-424</c:v>
                </c:pt>
                <c:pt idx="384">
                  <c:v>-432</c:v>
                </c:pt>
                <c:pt idx="385">
                  <c:v>-441</c:v>
                </c:pt>
                <c:pt idx="386">
                  <c:v>-449</c:v>
                </c:pt>
                <c:pt idx="387">
                  <c:v>-458</c:v>
                </c:pt>
                <c:pt idx="388">
                  <c:v>-466</c:v>
                </c:pt>
                <c:pt idx="389">
                  <c:v>-474.00000000000006</c:v>
                </c:pt>
                <c:pt idx="390">
                  <c:v>-482.00000000000006</c:v>
                </c:pt>
                <c:pt idx="391">
                  <c:v>-488.99999999999994</c:v>
                </c:pt>
                <c:pt idx="392">
                  <c:v>-497.99999999999994</c:v>
                </c:pt>
                <c:pt idx="393">
                  <c:v>-506</c:v>
                </c:pt>
                <c:pt idx="394">
                  <c:v>-514</c:v>
                </c:pt>
                <c:pt idx="395">
                  <c:v>-522</c:v>
                </c:pt>
                <c:pt idx="396">
                  <c:v>-530</c:v>
                </c:pt>
                <c:pt idx="397">
                  <c:v>-537</c:v>
                </c:pt>
                <c:pt idx="398">
                  <c:v>-546</c:v>
                </c:pt>
                <c:pt idx="399">
                  <c:v>-554</c:v>
                </c:pt>
                <c:pt idx="400">
                  <c:v>-562</c:v>
                </c:pt>
                <c:pt idx="401">
                  <c:v>-571.00000000000011</c:v>
                </c:pt>
                <c:pt idx="402">
                  <c:v>-579.00000000000011</c:v>
                </c:pt>
                <c:pt idx="403">
                  <c:v>-588.00000000000011</c:v>
                </c:pt>
                <c:pt idx="404">
                  <c:v>-596.00000000000011</c:v>
                </c:pt>
                <c:pt idx="405">
                  <c:v>-604.00000000000011</c:v>
                </c:pt>
                <c:pt idx="406">
                  <c:v>-611</c:v>
                </c:pt>
                <c:pt idx="407">
                  <c:v>-618</c:v>
                </c:pt>
                <c:pt idx="408">
                  <c:v>-624</c:v>
                </c:pt>
                <c:pt idx="409">
                  <c:v>-629</c:v>
                </c:pt>
                <c:pt idx="410">
                  <c:v>-634</c:v>
                </c:pt>
                <c:pt idx="411">
                  <c:v>-638</c:v>
                </c:pt>
                <c:pt idx="412">
                  <c:v>-641</c:v>
                </c:pt>
                <c:pt idx="413">
                  <c:v>-643</c:v>
                </c:pt>
                <c:pt idx="414">
                  <c:v>-647</c:v>
                </c:pt>
                <c:pt idx="415">
                  <c:v>-650</c:v>
                </c:pt>
                <c:pt idx="416">
                  <c:v>-654</c:v>
                </c:pt>
                <c:pt idx="417">
                  <c:v>-661</c:v>
                </c:pt>
                <c:pt idx="418">
                  <c:v>-666</c:v>
                </c:pt>
                <c:pt idx="419">
                  <c:v>-671</c:v>
                </c:pt>
                <c:pt idx="420">
                  <c:v>-675</c:v>
                </c:pt>
                <c:pt idx="421">
                  <c:v>-678</c:v>
                </c:pt>
                <c:pt idx="422">
                  <c:v>-680</c:v>
                </c:pt>
                <c:pt idx="423">
                  <c:v>-684</c:v>
                </c:pt>
                <c:pt idx="424">
                  <c:v>-687</c:v>
                </c:pt>
                <c:pt idx="425">
                  <c:v>-689</c:v>
                </c:pt>
                <c:pt idx="426">
                  <c:v>-693.00000000000011</c:v>
                </c:pt>
                <c:pt idx="427">
                  <c:v>-695.00000000000011</c:v>
                </c:pt>
                <c:pt idx="428">
                  <c:v>-700.00000000000011</c:v>
                </c:pt>
                <c:pt idx="429">
                  <c:v>-705.00000000000011</c:v>
                </c:pt>
                <c:pt idx="430">
                  <c:v>-709.00000000000011</c:v>
                </c:pt>
                <c:pt idx="431">
                  <c:v>-712.00000000000011</c:v>
                </c:pt>
                <c:pt idx="432">
                  <c:v>-714.00000000000011</c:v>
                </c:pt>
                <c:pt idx="433">
                  <c:v>-718.00000000000011</c:v>
                </c:pt>
                <c:pt idx="434">
                  <c:v>-721.00000000000011</c:v>
                </c:pt>
                <c:pt idx="435">
                  <c:v>-725.00000000000011</c:v>
                </c:pt>
                <c:pt idx="436">
                  <c:v>-727.00000000000011</c:v>
                </c:pt>
                <c:pt idx="437">
                  <c:v>-732.00000000000011</c:v>
                </c:pt>
                <c:pt idx="438">
                  <c:v>-737</c:v>
                </c:pt>
                <c:pt idx="439">
                  <c:v>-744</c:v>
                </c:pt>
                <c:pt idx="440">
                  <c:v>-749</c:v>
                </c:pt>
                <c:pt idx="441">
                  <c:v>-756</c:v>
                </c:pt>
                <c:pt idx="442">
                  <c:v>-759</c:v>
                </c:pt>
                <c:pt idx="443">
                  <c:v>-761</c:v>
                </c:pt>
                <c:pt idx="444">
                  <c:v>-765</c:v>
                </c:pt>
                <c:pt idx="445">
                  <c:v>-772</c:v>
                </c:pt>
                <c:pt idx="446">
                  <c:v>-777</c:v>
                </c:pt>
                <c:pt idx="447">
                  <c:v>-782</c:v>
                </c:pt>
                <c:pt idx="448">
                  <c:v>-786</c:v>
                </c:pt>
                <c:pt idx="449">
                  <c:v>-789</c:v>
                </c:pt>
                <c:pt idx="450">
                  <c:v>-791</c:v>
                </c:pt>
                <c:pt idx="451">
                  <c:v>-795</c:v>
                </c:pt>
                <c:pt idx="452">
                  <c:v>-798</c:v>
                </c:pt>
                <c:pt idx="453">
                  <c:v>-802</c:v>
                </c:pt>
                <c:pt idx="454">
                  <c:v>-809</c:v>
                </c:pt>
                <c:pt idx="455">
                  <c:v>-814</c:v>
                </c:pt>
                <c:pt idx="456">
                  <c:v>-819.00000000000011</c:v>
                </c:pt>
                <c:pt idx="457">
                  <c:v>-823.00000000000011</c:v>
                </c:pt>
                <c:pt idx="458">
                  <c:v>-826.00000000000011</c:v>
                </c:pt>
                <c:pt idx="459">
                  <c:v>-828.00000000000011</c:v>
                </c:pt>
                <c:pt idx="460">
                  <c:v>-832.00000000000011</c:v>
                </c:pt>
                <c:pt idx="461">
                  <c:v>-835.00000000000011</c:v>
                </c:pt>
                <c:pt idx="462">
                  <c:v>-837.00000000000011</c:v>
                </c:pt>
                <c:pt idx="463">
                  <c:v>-841.00000000000011</c:v>
                </c:pt>
                <c:pt idx="464">
                  <c:v>-843.00000000000011</c:v>
                </c:pt>
                <c:pt idx="465">
                  <c:v>-848.00000000000011</c:v>
                </c:pt>
                <c:pt idx="466">
                  <c:v>-853.00000000000011</c:v>
                </c:pt>
                <c:pt idx="467">
                  <c:v>-857.00000000000011</c:v>
                </c:pt>
                <c:pt idx="468">
                  <c:v>-860</c:v>
                </c:pt>
                <c:pt idx="469">
                  <c:v>-862</c:v>
                </c:pt>
                <c:pt idx="470">
                  <c:v>-866</c:v>
                </c:pt>
                <c:pt idx="471">
                  <c:v>-869</c:v>
                </c:pt>
                <c:pt idx="472">
                  <c:v>-873</c:v>
                </c:pt>
                <c:pt idx="473">
                  <c:v>-875</c:v>
                </c:pt>
                <c:pt idx="474">
                  <c:v>-880</c:v>
                </c:pt>
                <c:pt idx="475">
                  <c:v>-883</c:v>
                </c:pt>
                <c:pt idx="476">
                  <c:v>-887</c:v>
                </c:pt>
                <c:pt idx="477">
                  <c:v>-890</c:v>
                </c:pt>
                <c:pt idx="478">
                  <c:v>-890</c:v>
                </c:pt>
                <c:pt idx="479">
                  <c:v>-890</c:v>
                </c:pt>
                <c:pt idx="480">
                  <c:v>-890</c:v>
                </c:pt>
                <c:pt idx="481">
                  <c:v>-890</c:v>
                </c:pt>
                <c:pt idx="482">
                  <c:v>-890</c:v>
                </c:pt>
                <c:pt idx="483">
                  <c:v>-890</c:v>
                </c:pt>
                <c:pt idx="484">
                  <c:v>-890</c:v>
                </c:pt>
                <c:pt idx="485">
                  <c:v>-890</c:v>
                </c:pt>
                <c:pt idx="486">
                  <c:v>-890</c:v>
                </c:pt>
                <c:pt idx="487">
                  <c:v>-890</c:v>
                </c:pt>
                <c:pt idx="488">
                  <c:v>-890</c:v>
                </c:pt>
                <c:pt idx="489">
                  <c:v>-890</c:v>
                </c:pt>
                <c:pt idx="490">
                  <c:v>-890</c:v>
                </c:pt>
                <c:pt idx="491">
                  <c:v>-890</c:v>
                </c:pt>
                <c:pt idx="492">
                  <c:v>-890</c:v>
                </c:pt>
                <c:pt idx="493">
                  <c:v>-890</c:v>
                </c:pt>
                <c:pt idx="494">
                  <c:v>-890</c:v>
                </c:pt>
                <c:pt idx="495">
                  <c:v>-890</c:v>
                </c:pt>
                <c:pt idx="496">
                  <c:v>-890</c:v>
                </c:pt>
                <c:pt idx="497">
                  <c:v>-890</c:v>
                </c:pt>
                <c:pt idx="498">
                  <c:v>-890</c:v>
                </c:pt>
                <c:pt idx="499">
                  <c:v>-912</c:v>
                </c:pt>
                <c:pt idx="500">
                  <c:v>-937</c:v>
                </c:pt>
                <c:pt idx="501">
                  <c:v>-959</c:v>
                </c:pt>
                <c:pt idx="502">
                  <c:v>-989</c:v>
                </c:pt>
                <c:pt idx="503">
                  <c:v>-1004.9999999999999</c:v>
                </c:pt>
                <c:pt idx="504">
                  <c:v>-1031</c:v>
                </c:pt>
                <c:pt idx="505">
                  <c:v>-1043</c:v>
                </c:pt>
                <c:pt idx="506">
                  <c:v>-1065</c:v>
                </c:pt>
                <c:pt idx="507">
                  <c:v>-1089.9999999999998</c:v>
                </c:pt>
                <c:pt idx="508">
                  <c:v>-1109.9999999999998</c:v>
                </c:pt>
                <c:pt idx="509">
                  <c:v>-1125</c:v>
                </c:pt>
                <c:pt idx="510">
                  <c:v>-1138</c:v>
                </c:pt>
                <c:pt idx="511">
                  <c:v>-1150</c:v>
                </c:pt>
                <c:pt idx="512">
                  <c:v>-1160</c:v>
                </c:pt>
                <c:pt idx="513">
                  <c:v>-1170</c:v>
                </c:pt>
                <c:pt idx="514">
                  <c:v>-1180</c:v>
                </c:pt>
                <c:pt idx="515">
                  <c:v>-1188.9999999999998</c:v>
                </c:pt>
                <c:pt idx="516">
                  <c:v>-1198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5F0-4DB6-B2FD-C4BD27DE1ECE}"/>
            </c:ext>
          </c:extLst>
        </c:ser>
        <c:ser>
          <c:idx val="2"/>
          <c:order val="2"/>
          <c:tx>
            <c:strRef>
              <c:f>'SL.114+840'!$M$12</c:f>
              <c:strCache>
                <c:ptCount val="1"/>
                <c:pt idx="0">
                  <c:v>Độ lún (giữa) (mm)</c:v>
                </c:pt>
              </c:strCache>
            </c:strRef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triangle"/>
            <c:size val="2"/>
            <c:spPr>
              <a:solidFill>
                <a:srgbClr val="0000FF"/>
              </a:solidFill>
              <a:ln w="12700">
                <a:solidFill>
                  <a:srgbClr val="0000FF"/>
                </a:solidFill>
                <a:prstDash val="solid"/>
              </a:ln>
            </c:spPr>
          </c:marker>
          <c:xVal>
            <c:numRef>
              <c:f>'SL.114+840'!$A$14:$A$800</c:f>
              <c:numCache>
                <c:formatCode>dd/mm/yyyy;@</c:formatCode>
                <c:ptCount val="787"/>
                <c:pt idx="0">
                  <c:v>45270</c:v>
                </c:pt>
                <c:pt idx="1">
                  <c:v>45271</c:v>
                </c:pt>
                <c:pt idx="2">
                  <c:v>45272</c:v>
                </c:pt>
                <c:pt idx="3">
                  <c:v>45273</c:v>
                </c:pt>
                <c:pt idx="4">
                  <c:v>45274</c:v>
                </c:pt>
                <c:pt idx="5">
                  <c:v>45275</c:v>
                </c:pt>
                <c:pt idx="6">
                  <c:v>45276</c:v>
                </c:pt>
                <c:pt idx="7">
                  <c:v>45277</c:v>
                </c:pt>
                <c:pt idx="8">
                  <c:v>45278</c:v>
                </c:pt>
                <c:pt idx="9">
                  <c:v>45279</c:v>
                </c:pt>
                <c:pt idx="10">
                  <c:v>45280</c:v>
                </c:pt>
                <c:pt idx="11">
                  <c:v>45281</c:v>
                </c:pt>
                <c:pt idx="12">
                  <c:v>45282</c:v>
                </c:pt>
                <c:pt idx="13">
                  <c:v>45283</c:v>
                </c:pt>
                <c:pt idx="14">
                  <c:v>45284</c:v>
                </c:pt>
                <c:pt idx="15">
                  <c:v>45285</c:v>
                </c:pt>
                <c:pt idx="16">
                  <c:v>45286</c:v>
                </c:pt>
                <c:pt idx="17">
                  <c:v>45287</c:v>
                </c:pt>
                <c:pt idx="18">
                  <c:v>45288</c:v>
                </c:pt>
                <c:pt idx="19">
                  <c:v>45289</c:v>
                </c:pt>
                <c:pt idx="20">
                  <c:v>45290</c:v>
                </c:pt>
                <c:pt idx="21">
                  <c:v>45291</c:v>
                </c:pt>
                <c:pt idx="22">
                  <c:v>45292</c:v>
                </c:pt>
                <c:pt idx="23">
                  <c:v>45293</c:v>
                </c:pt>
                <c:pt idx="24">
                  <c:v>45294</c:v>
                </c:pt>
                <c:pt idx="25">
                  <c:v>45295</c:v>
                </c:pt>
                <c:pt idx="26">
                  <c:v>45296</c:v>
                </c:pt>
                <c:pt idx="27">
                  <c:v>45297</c:v>
                </c:pt>
                <c:pt idx="28">
                  <c:v>45298</c:v>
                </c:pt>
                <c:pt idx="29">
                  <c:v>45299</c:v>
                </c:pt>
                <c:pt idx="30">
                  <c:v>45300</c:v>
                </c:pt>
                <c:pt idx="31">
                  <c:v>45301</c:v>
                </c:pt>
                <c:pt idx="32">
                  <c:v>45302</c:v>
                </c:pt>
                <c:pt idx="33">
                  <c:v>45303</c:v>
                </c:pt>
                <c:pt idx="34">
                  <c:v>45304</c:v>
                </c:pt>
                <c:pt idx="35">
                  <c:v>45305</c:v>
                </c:pt>
                <c:pt idx="36">
                  <c:v>45306</c:v>
                </c:pt>
                <c:pt idx="37">
                  <c:v>45307</c:v>
                </c:pt>
                <c:pt idx="38">
                  <c:v>45308</c:v>
                </c:pt>
                <c:pt idx="39">
                  <c:v>45309</c:v>
                </c:pt>
                <c:pt idx="40">
                  <c:v>45310</c:v>
                </c:pt>
                <c:pt idx="41">
                  <c:v>45311</c:v>
                </c:pt>
                <c:pt idx="42">
                  <c:v>45312</c:v>
                </c:pt>
                <c:pt idx="43">
                  <c:v>45313</c:v>
                </c:pt>
                <c:pt idx="44">
                  <c:v>45314</c:v>
                </c:pt>
                <c:pt idx="45">
                  <c:v>45315</c:v>
                </c:pt>
                <c:pt idx="46">
                  <c:v>45316</c:v>
                </c:pt>
                <c:pt idx="47">
                  <c:v>45317</c:v>
                </c:pt>
                <c:pt idx="48">
                  <c:v>45318</c:v>
                </c:pt>
                <c:pt idx="49">
                  <c:v>45319</c:v>
                </c:pt>
                <c:pt idx="50">
                  <c:v>45320</c:v>
                </c:pt>
                <c:pt idx="51">
                  <c:v>45321</c:v>
                </c:pt>
                <c:pt idx="52">
                  <c:v>45322</c:v>
                </c:pt>
                <c:pt idx="53">
                  <c:v>45323</c:v>
                </c:pt>
                <c:pt idx="54">
                  <c:v>45324</c:v>
                </c:pt>
                <c:pt idx="55">
                  <c:v>45325</c:v>
                </c:pt>
                <c:pt idx="56">
                  <c:v>45326</c:v>
                </c:pt>
                <c:pt idx="57">
                  <c:v>45327</c:v>
                </c:pt>
                <c:pt idx="58">
                  <c:v>45328</c:v>
                </c:pt>
                <c:pt idx="59">
                  <c:v>45329</c:v>
                </c:pt>
                <c:pt idx="60">
                  <c:v>45330</c:v>
                </c:pt>
                <c:pt idx="61">
                  <c:v>45331</c:v>
                </c:pt>
                <c:pt idx="62">
                  <c:v>45332</c:v>
                </c:pt>
                <c:pt idx="63">
                  <c:v>45333</c:v>
                </c:pt>
                <c:pt idx="64">
                  <c:v>45334</c:v>
                </c:pt>
                <c:pt idx="65">
                  <c:v>45335</c:v>
                </c:pt>
                <c:pt idx="66">
                  <c:v>45336</c:v>
                </c:pt>
                <c:pt idx="67">
                  <c:v>45337</c:v>
                </c:pt>
                <c:pt idx="68">
                  <c:v>45338</c:v>
                </c:pt>
                <c:pt idx="69">
                  <c:v>45339</c:v>
                </c:pt>
                <c:pt idx="70">
                  <c:v>45340</c:v>
                </c:pt>
                <c:pt idx="71">
                  <c:v>45341</c:v>
                </c:pt>
                <c:pt idx="72">
                  <c:v>45342</c:v>
                </c:pt>
                <c:pt idx="73">
                  <c:v>45343</c:v>
                </c:pt>
                <c:pt idx="74">
                  <c:v>45344</c:v>
                </c:pt>
                <c:pt idx="75">
                  <c:v>45345</c:v>
                </c:pt>
                <c:pt idx="76">
                  <c:v>45346</c:v>
                </c:pt>
                <c:pt idx="77">
                  <c:v>45347</c:v>
                </c:pt>
                <c:pt idx="78">
                  <c:v>45348</c:v>
                </c:pt>
                <c:pt idx="79">
                  <c:v>45349</c:v>
                </c:pt>
                <c:pt idx="80">
                  <c:v>45350</c:v>
                </c:pt>
                <c:pt idx="81">
                  <c:v>45351</c:v>
                </c:pt>
                <c:pt idx="82">
                  <c:v>45352</c:v>
                </c:pt>
                <c:pt idx="83">
                  <c:v>45353</c:v>
                </c:pt>
                <c:pt idx="84">
                  <c:v>45354</c:v>
                </c:pt>
                <c:pt idx="85">
                  <c:v>45355</c:v>
                </c:pt>
                <c:pt idx="86">
                  <c:v>45356</c:v>
                </c:pt>
                <c:pt idx="87">
                  <c:v>45357</c:v>
                </c:pt>
                <c:pt idx="88">
                  <c:v>45358</c:v>
                </c:pt>
                <c:pt idx="89">
                  <c:v>45359</c:v>
                </c:pt>
                <c:pt idx="90">
                  <c:v>45360</c:v>
                </c:pt>
                <c:pt idx="91">
                  <c:v>45361</c:v>
                </c:pt>
                <c:pt idx="92">
                  <c:v>45362</c:v>
                </c:pt>
                <c:pt idx="93">
                  <c:v>45363</c:v>
                </c:pt>
                <c:pt idx="94">
                  <c:v>45364</c:v>
                </c:pt>
                <c:pt idx="95">
                  <c:v>45365</c:v>
                </c:pt>
                <c:pt idx="96">
                  <c:v>45366</c:v>
                </c:pt>
                <c:pt idx="97">
                  <c:v>45367</c:v>
                </c:pt>
                <c:pt idx="98">
                  <c:v>45368</c:v>
                </c:pt>
                <c:pt idx="99">
                  <c:v>45369</c:v>
                </c:pt>
                <c:pt idx="100">
                  <c:v>45370</c:v>
                </c:pt>
                <c:pt idx="101">
                  <c:v>45371</c:v>
                </c:pt>
                <c:pt idx="102">
                  <c:v>45372</c:v>
                </c:pt>
                <c:pt idx="103">
                  <c:v>45373</c:v>
                </c:pt>
                <c:pt idx="104">
                  <c:v>45374</c:v>
                </c:pt>
                <c:pt idx="105">
                  <c:v>45375</c:v>
                </c:pt>
                <c:pt idx="106">
                  <c:v>45376</c:v>
                </c:pt>
                <c:pt idx="107">
                  <c:v>45377</c:v>
                </c:pt>
                <c:pt idx="108">
                  <c:v>45378</c:v>
                </c:pt>
                <c:pt idx="109">
                  <c:v>45379</c:v>
                </c:pt>
                <c:pt idx="110">
                  <c:v>45380</c:v>
                </c:pt>
                <c:pt idx="111">
                  <c:v>45381</c:v>
                </c:pt>
                <c:pt idx="112">
                  <c:v>45382</c:v>
                </c:pt>
                <c:pt idx="113">
                  <c:v>45383</c:v>
                </c:pt>
                <c:pt idx="114">
                  <c:v>45384</c:v>
                </c:pt>
                <c:pt idx="115">
                  <c:v>45385</c:v>
                </c:pt>
                <c:pt idx="116">
                  <c:v>45386</c:v>
                </c:pt>
                <c:pt idx="117">
                  <c:v>45387</c:v>
                </c:pt>
                <c:pt idx="118">
                  <c:v>45388</c:v>
                </c:pt>
                <c:pt idx="119">
                  <c:v>45389</c:v>
                </c:pt>
                <c:pt idx="120">
                  <c:v>45390</c:v>
                </c:pt>
                <c:pt idx="121">
                  <c:v>45391</c:v>
                </c:pt>
                <c:pt idx="122">
                  <c:v>45392</c:v>
                </c:pt>
                <c:pt idx="123">
                  <c:v>45393</c:v>
                </c:pt>
                <c:pt idx="124">
                  <c:v>45394</c:v>
                </c:pt>
                <c:pt idx="125">
                  <c:v>45395</c:v>
                </c:pt>
                <c:pt idx="126">
                  <c:v>45396</c:v>
                </c:pt>
                <c:pt idx="127">
                  <c:v>45397</c:v>
                </c:pt>
                <c:pt idx="128">
                  <c:v>45398</c:v>
                </c:pt>
                <c:pt idx="129">
                  <c:v>45399</c:v>
                </c:pt>
                <c:pt idx="130">
                  <c:v>45400</c:v>
                </c:pt>
                <c:pt idx="131">
                  <c:v>45401</c:v>
                </c:pt>
                <c:pt idx="132">
                  <c:v>45402</c:v>
                </c:pt>
                <c:pt idx="133">
                  <c:v>45403</c:v>
                </c:pt>
                <c:pt idx="134">
                  <c:v>45404</c:v>
                </c:pt>
                <c:pt idx="135">
                  <c:v>45405</c:v>
                </c:pt>
                <c:pt idx="136">
                  <c:v>45406</c:v>
                </c:pt>
                <c:pt idx="137">
                  <c:v>45407</c:v>
                </c:pt>
                <c:pt idx="138">
                  <c:v>45408</c:v>
                </c:pt>
                <c:pt idx="139">
                  <c:v>45409</c:v>
                </c:pt>
                <c:pt idx="140">
                  <c:v>45410</c:v>
                </c:pt>
                <c:pt idx="141">
                  <c:v>45411</c:v>
                </c:pt>
                <c:pt idx="142">
                  <c:v>45412</c:v>
                </c:pt>
                <c:pt idx="143">
                  <c:v>45413</c:v>
                </c:pt>
                <c:pt idx="144">
                  <c:v>45414</c:v>
                </c:pt>
                <c:pt idx="145">
                  <c:v>45415</c:v>
                </c:pt>
                <c:pt idx="146">
                  <c:v>45416</c:v>
                </c:pt>
                <c:pt idx="147">
                  <c:v>45417</c:v>
                </c:pt>
                <c:pt idx="148">
                  <c:v>45418</c:v>
                </c:pt>
                <c:pt idx="149">
                  <c:v>45419</c:v>
                </c:pt>
                <c:pt idx="150">
                  <c:v>45420</c:v>
                </c:pt>
                <c:pt idx="151">
                  <c:v>45421</c:v>
                </c:pt>
                <c:pt idx="152">
                  <c:v>45422</c:v>
                </c:pt>
                <c:pt idx="153">
                  <c:v>45423</c:v>
                </c:pt>
                <c:pt idx="154">
                  <c:v>45424</c:v>
                </c:pt>
                <c:pt idx="155">
                  <c:v>45425</c:v>
                </c:pt>
                <c:pt idx="156">
                  <c:v>45426</c:v>
                </c:pt>
                <c:pt idx="157">
                  <c:v>45427</c:v>
                </c:pt>
                <c:pt idx="158">
                  <c:v>45428</c:v>
                </c:pt>
                <c:pt idx="159">
                  <c:v>45429</c:v>
                </c:pt>
                <c:pt idx="160">
                  <c:v>45430</c:v>
                </c:pt>
                <c:pt idx="161">
                  <c:v>45431</c:v>
                </c:pt>
                <c:pt idx="162">
                  <c:v>45432</c:v>
                </c:pt>
                <c:pt idx="163">
                  <c:v>45433</c:v>
                </c:pt>
                <c:pt idx="164">
                  <c:v>45434</c:v>
                </c:pt>
                <c:pt idx="165">
                  <c:v>45435</c:v>
                </c:pt>
                <c:pt idx="166">
                  <c:v>45436</c:v>
                </c:pt>
                <c:pt idx="167">
                  <c:v>45437</c:v>
                </c:pt>
                <c:pt idx="168">
                  <c:v>45438</c:v>
                </c:pt>
                <c:pt idx="169">
                  <c:v>45439</c:v>
                </c:pt>
                <c:pt idx="170">
                  <c:v>45440</c:v>
                </c:pt>
                <c:pt idx="171">
                  <c:v>45441</c:v>
                </c:pt>
                <c:pt idx="172">
                  <c:v>45442</c:v>
                </c:pt>
                <c:pt idx="173">
                  <c:v>45443</c:v>
                </c:pt>
                <c:pt idx="174">
                  <c:v>45444</c:v>
                </c:pt>
                <c:pt idx="175">
                  <c:v>45445</c:v>
                </c:pt>
                <c:pt idx="176">
                  <c:v>45446</c:v>
                </c:pt>
                <c:pt idx="177">
                  <c:v>45447</c:v>
                </c:pt>
                <c:pt idx="178">
                  <c:v>45448</c:v>
                </c:pt>
                <c:pt idx="179">
                  <c:v>45449</c:v>
                </c:pt>
                <c:pt idx="180">
                  <c:v>45450</c:v>
                </c:pt>
                <c:pt idx="181">
                  <c:v>45451</c:v>
                </c:pt>
                <c:pt idx="182">
                  <c:v>45452</c:v>
                </c:pt>
                <c:pt idx="183">
                  <c:v>45453</c:v>
                </c:pt>
                <c:pt idx="184">
                  <c:v>45454</c:v>
                </c:pt>
                <c:pt idx="185">
                  <c:v>45455</c:v>
                </c:pt>
                <c:pt idx="186">
                  <c:v>45456</c:v>
                </c:pt>
                <c:pt idx="187">
                  <c:v>45457</c:v>
                </c:pt>
                <c:pt idx="188">
                  <c:v>45458</c:v>
                </c:pt>
                <c:pt idx="189">
                  <c:v>45459</c:v>
                </c:pt>
                <c:pt idx="190">
                  <c:v>45460</c:v>
                </c:pt>
                <c:pt idx="191">
                  <c:v>45461</c:v>
                </c:pt>
                <c:pt idx="192">
                  <c:v>45462</c:v>
                </c:pt>
                <c:pt idx="193">
                  <c:v>45463</c:v>
                </c:pt>
                <c:pt idx="194">
                  <c:v>45464</c:v>
                </c:pt>
                <c:pt idx="195">
                  <c:v>45465</c:v>
                </c:pt>
                <c:pt idx="196">
                  <c:v>45466</c:v>
                </c:pt>
                <c:pt idx="197">
                  <c:v>45467</c:v>
                </c:pt>
                <c:pt idx="198">
                  <c:v>45468</c:v>
                </c:pt>
                <c:pt idx="199">
                  <c:v>45469</c:v>
                </c:pt>
                <c:pt idx="200">
                  <c:v>45470</c:v>
                </c:pt>
                <c:pt idx="201">
                  <c:v>45471</c:v>
                </c:pt>
                <c:pt idx="202">
                  <c:v>45472</c:v>
                </c:pt>
                <c:pt idx="203">
                  <c:v>45473</c:v>
                </c:pt>
                <c:pt idx="204">
                  <c:v>45474</c:v>
                </c:pt>
                <c:pt idx="205">
                  <c:v>45475</c:v>
                </c:pt>
                <c:pt idx="206">
                  <c:v>45476</c:v>
                </c:pt>
                <c:pt idx="207">
                  <c:v>45477</c:v>
                </c:pt>
                <c:pt idx="208">
                  <c:v>45478</c:v>
                </c:pt>
                <c:pt idx="209">
                  <c:v>45479</c:v>
                </c:pt>
                <c:pt idx="210">
                  <c:v>45480</c:v>
                </c:pt>
                <c:pt idx="211">
                  <c:v>45481</c:v>
                </c:pt>
                <c:pt idx="212">
                  <c:v>45482</c:v>
                </c:pt>
                <c:pt idx="213">
                  <c:v>45483</c:v>
                </c:pt>
                <c:pt idx="214">
                  <c:v>45484</c:v>
                </c:pt>
                <c:pt idx="215">
                  <c:v>45485</c:v>
                </c:pt>
                <c:pt idx="216">
                  <c:v>45486</c:v>
                </c:pt>
                <c:pt idx="217">
                  <c:v>45487</c:v>
                </c:pt>
                <c:pt idx="218">
                  <c:v>45488</c:v>
                </c:pt>
                <c:pt idx="219">
                  <c:v>45489</c:v>
                </c:pt>
                <c:pt idx="220">
                  <c:v>45490</c:v>
                </c:pt>
                <c:pt idx="221">
                  <c:v>45491</c:v>
                </c:pt>
                <c:pt idx="222">
                  <c:v>45492</c:v>
                </c:pt>
                <c:pt idx="223">
                  <c:v>45493</c:v>
                </c:pt>
                <c:pt idx="224">
                  <c:v>45494</c:v>
                </c:pt>
                <c:pt idx="225">
                  <c:v>45495</c:v>
                </c:pt>
                <c:pt idx="226">
                  <c:v>45496</c:v>
                </c:pt>
                <c:pt idx="227">
                  <c:v>45497</c:v>
                </c:pt>
                <c:pt idx="228">
                  <c:v>45498</c:v>
                </c:pt>
                <c:pt idx="229">
                  <c:v>45499</c:v>
                </c:pt>
                <c:pt idx="230">
                  <c:v>45500</c:v>
                </c:pt>
                <c:pt idx="231">
                  <c:v>45501</c:v>
                </c:pt>
                <c:pt idx="232">
                  <c:v>45502</c:v>
                </c:pt>
                <c:pt idx="233">
                  <c:v>45503</c:v>
                </c:pt>
                <c:pt idx="234">
                  <c:v>45504</c:v>
                </c:pt>
                <c:pt idx="235">
                  <c:v>45505</c:v>
                </c:pt>
                <c:pt idx="236">
                  <c:v>45506</c:v>
                </c:pt>
                <c:pt idx="237">
                  <c:v>45507</c:v>
                </c:pt>
                <c:pt idx="238">
                  <c:v>45508</c:v>
                </c:pt>
                <c:pt idx="239">
                  <c:v>45509</c:v>
                </c:pt>
                <c:pt idx="240">
                  <c:v>45510</c:v>
                </c:pt>
                <c:pt idx="241">
                  <c:v>45511</c:v>
                </c:pt>
                <c:pt idx="242">
                  <c:v>45512</c:v>
                </c:pt>
                <c:pt idx="243">
                  <c:v>45513</c:v>
                </c:pt>
                <c:pt idx="244">
                  <c:v>45514</c:v>
                </c:pt>
                <c:pt idx="245">
                  <c:v>45515</c:v>
                </c:pt>
                <c:pt idx="246">
                  <c:v>45516</c:v>
                </c:pt>
                <c:pt idx="247">
                  <c:v>45517</c:v>
                </c:pt>
                <c:pt idx="248">
                  <c:v>45518</c:v>
                </c:pt>
                <c:pt idx="249">
                  <c:v>45519</c:v>
                </c:pt>
                <c:pt idx="250">
                  <c:v>45520</c:v>
                </c:pt>
                <c:pt idx="251">
                  <c:v>45521</c:v>
                </c:pt>
                <c:pt idx="252">
                  <c:v>45522</c:v>
                </c:pt>
                <c:pt idx="253">
                  <c:v>45523</c:v>
                </c:pt>
                <c:pt idx="254">
                  <c:v>45524</c:v>
                </c:pt>
                <c:pt idx="255">
                  <c:v>45525</c:v>
                </c:pt>
                <c:pt idx="256">
                  <c:v>45526</c:v>
                </c:pt>
                <c:pt idx="257">
                  <c:v>45527</c:v>
                </c:pt>
                <c:pt idx="258">
                  <c:v>45528</c:v>
                </c:pt>
                <c:pt idx="259">
                  <c:v>45529</c:v>
                </c:pt>
                <c:pt idx="260">
                  <c:v>45530</c:v>
                </c:pt>
                <c:pt idx="261">
                  <c:v>45531</c:v>
                </c:pt>
                <c:pt idx="262">
                  <c:v>45532</c:v>
                </c:pt>
                <c:pt idx="263">
                  <c:v>45533</c:v>
                </c:pt>
                <c:pt idx="264">
                  <c:v>45534</c:v>
                </c:pt>
                <c:pt idx="265">
                  <c:v>45535</c:v>
                </c:pt>
                <c:pt idx="266">
                  <c:v>45536</c:v>
                </c:pt>
                <c:pt idx="267">
                  <c:v>45537</c:v>
                </c:pt>
                <c:pt idx="268">
                  <c:v>45538</c:v>
                </c:pt>
                <c:pt idx="269">
                  <c:v>45539</c:v>
                </c:pt>
                <c:pt idx="270">
                  <c:v>45540</c:v>
                </c:pt>
                <c:pt idx="271">
                  <c:v>45541</c:v>
                </c:pt>
                <c:pt idx="272">
                  <c:v>45542</c:v>
                </c:pt>
                <c:pt idx="273">
                  <c:v>45543</c:v>
                </c:pt>
                <c:pt idx="274">
                  <c:v>45544</c:v>
                </c:pt>
                <c:pt idx="275">
                  <c:v>45545</c:v>
                </c:pt>
                <c:pt idx="276">
                  <c:v>45546</c:v>
                </c:pt>
                <c:pt idx="277">
                  <c:v>45547</c:v>
                </c:pt>
                <c:pt idx="278">
                  <c:v>45548</c:v>
                </c:pt>
                <c:pt idx="279">
                  <c:v>45549</c:v>
                </c:pt>
                <c:pt idx="280">
                  <c:v>45550</c:v>
                </c:pt>
                <c:pt idx="281">
                  <c:v>45551</c:v>
                </c:pt>
                <c:pt idx="282">
                  <c:v>45552</c:v>
                </c:pt>
                <c:pt idx="283">
                  <c:v>45553</c:v>
                </c:pt>
                <c:pt idx="284">
                  <c:v>45554</c:v>
                </c:pt>
                <c:pt idx="285">
                  <c:v>45555</c:v>
                </c:pt>
                <c:pt idx="286">
                  <c:v>45556</c:v>
                </c:pt>
                <c:pt idx="287">
                  <c:v>45557</c:v>
                </c:pt>
                <c:pt idx="288">
                  <c:v>45558</c:v>
                </c:pt>
                <c:pt idx="289">
                  <c:v>45559</c:v>
                </c:pt>
                <c:pt idx="290">
                  <c:v>45560</c:v>
                </c:pt>
                <c:pt idx="291">
                  <c:v>45561</c:v>
                </c:pt>
                <c:pt idx="292">
                  <c:v>45562</c:v>
                </c:pt>
                <c:pt idx="293">
                  <c:v>45563</c:v>
                </c:pt>
                <c:pt idx="294">
                  <c:v>45564</c:v>
                </c:pt>
                <c:pt idx="295">
                  <c:v>45565</c:v>
                </c:pt>
                <c:pt idx="296">
                  <c:v>45566</c:v>
                </c:pt>
                <c:pt idx="297">
                  <c:v>45567</c:v>
                </c:pt>
                <c:pt idx="298">
                  <c:v>45568</c:v>
                </c:pt>
                <c:pt idx="299">
                  <c:v>45569</c:v>
                </c:pt>
                <c:pt idx="300">
                  <c:v>45570</c:v>
                </c:pt>
                <c:pt idx="301">
                  <c:v>45571</c:v>
                </c:pt>
                <c:pt idx="302">
                  <c:v>45572</c:v>
                </c:pt>
                <c:pt idx="303">
                  <c:v>45573</c:v>
                </c:pt>
                <c:pt idx="304">
                  <c:v>45574</c:v>
                </c:pt>
                <c:pt idx="305">
                  <c:v>45575</c:v>
                </c:pt>
                <c:pt idx="306">
                  <c:v>45576</c:v>
                </c:pt>
                <c:pt idx="307">
                  <c:v>45577</c:v>
                </c:pt>
                <c:pt idx="308">
                  <c:v>45578</c:v>
                </c:pt>
                <c:pt idx="309">
                  <c:v>45579</c:v>
                </c:pt>
                <c:pt idx="310">
                  <c:v>45580</c:v>
                </c:pt>
                <c:pt idx="311">
                  <c:v>45581</c:v>
                </c:pt>
                <c:pt idx="312">
                  <c:v>45582</c:v>
                </c:pt>
                <c:pt idx="313">
                  <c:v>45583</c:v>
                </c:pt>
                <c:pt idx="314">
                  <c:v>45584</c:v>
                </c:pt>
                <c:pt idx="315">
                  <c:v>45585</c:v>
                </c:pt>
                <c:pt idx="316">
                  <c:v>45586</c:v>
                </c:pt>
                <c:pt idx="317">
                  <c:v>45587</c:v>
                </c:pt>
                <c:pt idx="318">
                  <c:v>45588</c:v>
                </c:pt>
                <c:pt idx="319">
                  <c:v>45589</c:v>
                </c:pt>
                <c:pt idx="320">
                  <c:v>45590</c:v>
                </c:pt>
                <c:pt idx="321">
                  <c:v>45591</c:v>
                </c:pt>
                <c:pt idx="322">
                  <c:v>45592</c:v>
                </c:pt>
                <c:pt idx="323">
                  <c:v>45593</c:v>
                </c:pt>
                <c:pt idx="324">
                  <c:v>45594</c:v>
                </c:pt>
                <c:pt idx="325">
                  <c:v>45595</c:v>
                </c:pt>
                <c:pt idx="326">
                  <c:v>45596</c:v>
                </c:pt>
                <c:pt idx="327">
                  <c:v>45597</c:v>
                </c:pt>
                <c:pt idx="328">
                  <c:v>45598</c:v>
                </c:pt>
                <c:pt idx="329">
                  <c:v>45599</c:v>
                </c:pt>
                <c:pt idx="330">
                  <c:v>45600</c:v>
                </c:pt>
                <c:pt idx="331">
                  <c:v>45601</c:v>
                </c:pt>
                <c:pt idx="332">
                  <c:v>45602</c:v>
                </c:pt>
                <c:pt idx="333">
                  <c:v>45603</c:v>
                </c:pt>
                <c:pt idx="334">
                  <c:v>45604</c:v>
                </c:pt>
                <c:pt idx="335">
                  <c:v>45605</c:v>
                </c:pt>
                <c:pt idx="336">
                  <c:v>45606</c:v>
                </c:pt>
                <c:pt idx="337">
                  <c:v>45607</c:v>
                </c:pt>
                <c:pt idx="338">
                  <c:v>45608</c:v>
                </c:pt>
                <c:pt idx="339">
                  <c:v>45609</c:v>
                </c:pt>
                <c:pt idx="340">
                  <c:v>45610</c:v>
                </c:pt>
                <c:pt idx="341">
                  <c:v>45611</c:v>
                </c:pt>
                <c:pt idx="342">
                  <c:v>45612</c:v>
                </c:pt>
                <c:pt idx="343">
                  <c:v>45613</c:v>
                </c:pt>
                <c:pt idx="344">
                  <c:v>45614</c:v>
                </c:pt>
                <c:pt idx="345">
                  <c:v>45615</c:v>
                </c:pt>
                <c:pt idx="346">
                  <c:v>45616</c:v>
                </c:pt>
                <c:pt idx="347">
                  <c:v>45617</c:v>
                </c:pt>
                <c:pt idx="348">
                  <c:v>45618</c:v>
                </c:pt>
                <c:pt idx="349">
                  <c:v>45619</c:v>
                </c:pt>
                <c:pt idx="350">
                  <c:v>45620</c:v>
                </c:pt>
                <c:pt idx="351">
                  <c:v>45621</c:v>
                </c:pt>
                <c:pt idx="352">
                  <c:v>45622</c:v>
                </c:pt>
                <c:pt idx="353">
                  <c:v>45623</c:v>
                </c:pt>
                <c:pt idx="354">
                  <c:v>45624</c:v>
                </c:pt>
                <c:pt idx="355">
                  <c:v>45625</c:v>
                </c:pt>
                <c:pt idx="356">
                  <c:v>45626</c:v>
                </c:pt>
                <c:pt idx="357">
                  <c:v>45627</c:v>
                </c:pt>
                <c:pt idx="358">
                  <c:v>45628</c:v>
                </c:pt>
                <c:pt idx="359">
                  <c:v>45629</c:v>
                </c:pt>
                <c:pt idx="360">
                  <c:v>45630</c:v>
                </c:pt>
                <c:pt idx="361">
                  <c:v>45631</c:v>
                </c:pt>
                <c:pt idx="362">
                  <c:v>45632</c:v>
                </c:pt>
                <c:pt idx="363">
                  <c:v>45633</c:v>
                </c:pt>
                <c:pt idx="364">
                  <c:v>45634</c:v>
                </c:pt>
                <c:pt idx="365">
                  <c:v>45635</c:v>
                </c:pt>
                <c:pt idx="366">
                  <c:v>45636</c:v>
                </c:pt>
                <c:pt idx="367">
                  <c:v>45637</c:v>
                </c:pt>
                <c:pt idx="368">
                  <c:v>45638</c:v>
                </c:pt>
                <c:pt idx="369">
                  <c:v>45639</c:v>
                </c:pt>
                <c:pt idx="370">
                  <c:v>45640</c:v>
                </c:pt>
                <c:pt idx="371">
                  <c:v>45641</c:v>
                </c:pt>
                <c:pt idx="372">
                  <c:v>45642</c:v>
                </c:pt>
                <c:pt idx="373">
                  <c:v>45643</c:v>
                </c:pt>
                <c:pt idx="374">
                  <c:v>45644</c:v>
                </c:pt>
                <c:pt idx="375">
                  <c:v>45645</c:v>
                </c:pt>
                <c:pt idx="376">
                  <c:v>45646</c:v>
                </c:pt>
                <c:pt idx="377">
                  <c:v>45647</c:v>
                </c:pt>
                <c:pt idx="378">
                  <c:v>45648</c:v>
                </c:pt>
                <c:pt idx="379">
                  <c:v>45649</c:v>
                </c:pt>
                <c:pt idx="380">
                  <c:v>45650</c:v>
                </c:pt>
                <c:pt idx="381">
                  <c:v>45651</c:v>
                </c:pt>
                <c:pt idx="382">
                  <c:v>45652</c:v>
                </c:pt>
                <c:pt idx="383">
                  <c:v>45653</c:v>
                </c:pt>
                <c:pt idx="384">
                  <c:v>45654</c:v>
                </c:pt>
                <c:pt idx="385">
                  <c:v>45655</c:v>
                </c:pt>
                <c:pt idx="386">
                  <c:v>45656</c:v>
                </c:pt>
                <c:pt idx="387">
                  <c:v>45657</c:v>
                </c:pt>
                <c:pt idx="388">
                  <c:v>45658</c:v>
                </c:pt>
                <c:pt idx="389">
                  <c:v>45659</c:v>
                </c:pt>
                <c:pt idx="390">
                  <c:v>45660</c:v>
                </c:pt>
                <c:pt idx="391">
                  <c:v>45661</c:v>
                </c:pt>
                <c:pt idx="392">
                  <c:v>45662</c:v>
                </c:pt>
                <c:pt idx="393">
                  <c:v>45663</c:v>
                </c:pt>
                <c:pt idx="394">
                  <c:v>45664</c:v>
                </c:pt>
                <c:pt idx="395">
                  <c:v>45665</c:v>
                </c:pt>
                <c:pt idx="396">
                  <c:v>45666</c:v>
                </c:pt>
                <c:pt idx="397">
                  <c:v>45667</c:v>
                </c:pt>
                <c:pt idx="398">
                  <c:v>45668</c:v>
                </c:pt>
                <c:pt idx="399">
                  <c:v>45669</c:v>
                </c:pt>
                <c:pt idx="400">
                  <c:v>45670</c:v>
                </c:pt>
                <c:pt idx="401">
                  <c:v>45671</c:v>
                </c:pt>
                <c:pt idx="402">
                  <c:v>45672</c:v>
                </c:pt>
                <c:pt idx="403">
                  <c:v>45673</c:v>
                </c:pt>
                <c:pt idx="404">
                  <c:v>45674</c:v>
                </c:pt>
                <c:pt idx="405">
                  <c:v>45675</c:v>
                </c:pt>
                <c:pt idx="406">
                  <c:v>45676</c:v>
                </c:pt>
                <c:pt idx="407">
                  <c:v>45677</c:v>
                </c:pt>
                <c:pt idx="408">
                  <c:v>45678</c:v>
                </c:pt>
                <c:pt idx="409">
                  <c:v>45679</c:v>
                </c:pt>
                <c:pt idx="410">
                  <c:v>45680</c:v>
                </c:pt>
                <c:pt idx="411">
                  <c:v>45681</c:v>
                </c:pt>
                <c:pt idx="412">
                  <c:v>45682</c:v>
                </c:pt>
                <c:pt idx="413">
                  <c:v>45683</c:v>
                </c:pt>
                <c:pt idx="414">
                  <c:v>45684</c:v>
                </c:pt>
                <c:pt idx="415">
                  <c:v>45685</c:v>
                </c:pt>
                <c:pt idx="416">
                  <c:v>45686</c:v>
                </c:pt>
                <c:pt idx="417">
                  <c:v>45687</c:v>
                </c:pt>
                <c:pt idx="418">
                  <c:v>45688</c:v>
                </c:pt>
                <c:pt idx="419">
                  <c:v>45689</c:v>
                </c:pt>
                <c:pt idx="420">
                  <c:v>45690</c:v>
                </c:pt>
                <c:pt idx="421">
                  <c:v>45691</c:v>
                </c:pt>
                <c:pt idx="422">
                  <c:v>45692</c:v>
                </c:pt>
                <c:pt idx="423">
                  <c:v>45693</c:v>
                </c:pt>
                <c:pt idx="424">
                  <c:v>45694</c:v>
                </c:pt>
                <c:pt idx="425">
                  <c:v>45695</c:v>
                </c:pt>
                <c:pt idx="426">
                  <c:v>45696</c:v>
                </c:pt>
                <c:pt idx="427">
                  <c:v>45697</c:v>
                </c:pt>
                <c:pt idx="428">
                  <c:v>45698</c:v>
                </c:pt>
                <c:pt idx="429">
                  <c:v>45699</c:v>
                </c:pt>
                <c:pt idx="430">
                  <c:v>45700</c:v>
                </c:pt>
                <c:pt idx="431">
                  <c:v>45701</c:v>
                </c:pt>
                <c:pt idx="432">
                  <c:v>45702</c:v>
                </c:pt>
                <c:pt idx="433">
                  <c:v>45703</c:v>
                </c:pt>
                <c:pt idx="434">
                  <c:v>45704</c:v>
                </c:pt>
                <c:pt idx="435">
                  <c:v>45705</c:v>
                </c:pt>
                <c:pt idx="436">
                  <c:v>45706</c:v>
                </c:pt>
                <c:pt idx="437">
                  <c:v>45707</c:v>
                </c:pt>
                <c:pt idx="438">
                  <c:v>45708</c:v>
                </c:pt>
                <c:pt idx="439">
                  <c:v>45709</c:v>
                </c:pt>
                <c:pt idx="440">
                  <c:v>45710</c:v>
                </c:pt>
                <c:pt idx="441">
                  <c:v>45711</c:v>
                </c:pt>
                <c:pt idx="442">
                  <c:v>45712</c:v>
                </c:pt>
                <c:pt idx="443">
                  <c:v>45713</c:v>
                </c:pt>
                <c:pt idx="444">
                  <c:v>45714</c:v>
                </c:pt>
                <c:pt idx="445">
                  <c:v>45715</c:v>
                </c:pt>
                <c:pt idx="446">
                  <c:v>45716</c:v>
                </c:pt>
                <c:pt idx="447">
                  <c:v>45717</c:v>
                </c:pt>
                <c:pt idx="448">
                  <c:v>45718</c:v>
                </c:pt>
                <c:pt idx="449">
                  <c:v>45719</c:v>
                </c:pt>
                <c:pt idx="450">
                  <c:v>45720</c:v>
                </c:pt>
                <c:pt idx="451">
                  <c:v>45721</c:v>
                </c:pt>
                <c:pt idx="452">
                  <c:v>45722</c:v>
                </c:pt>
                <c:pt idx="453">
                  <c:v>45723</c:v>
                </c:pt>
                <c:pt idx="454">
                  <c:v>45724</c:v>
                </c:pt>
                <c:pt idx="455">
                  <c:v>45725</c:v>
                </c:pt>
                <c:pt idx="456">
                  <c:v>45726</c:v>
                </c:pt>
                <c:pt idx="457">
                  <c:v>45727</c:v>
                </c:pt>
                <c:pt idx="458">
                  <c:v>45728</c:v>
                </c:pt>
                <c:pt idx="459">
                  <c:v>45729</c:v>
                </c:pt>
                <c:pt idx="460">
                  <c:v>45730</c:v>
                </c:pt>
                <c:pt idx="461">
                  <c:v>45731</c:v>
                </c:pt>
                <c:pt idx="462">
                  <c:v>45732</c:v>
                </c:pt>
                <c:pt idx="463">
                  <c:v>45733</c:v>
                </c:pt>
                <c:pt idx="464">
                  <c:v>45734</c:v>
                </c:pt>
                <c:pt idx="465">
                  <c:v>45735</c:v>
                </c:pt>
                <c:pt idx="466">
                  <c:v>45736</c:v>
                </c:pt>
                <c:pt idx="467">
                  <c:v>45737</c:v>
                </c:pt>
                <c:pt idx="468">
                  <c:v>45738</c:v>
                </c:pt>
                <c:pt idx="469">
                  <c:v>45739</c:v>
                </c:pt>
                <c:pt idx="470">
                  <c:v>45740</c:v>
                </c:pt>
                <c:pt idx="471">
                  <c:v>45741</c:v>
                </c:pt>
                <c:pt idx="472">
                  <c:v>45742</c:v>
                </c:pt>
                <c:pt idx="473">
                  <c:v>45743</c:v>
                </c:pt>
                <c:pt idx="474">
                  <c:v>45744</c:v>
                </c:pt>
                <c:pt idx="475">
                  <c:v>45745</c:v>
                </c:pt>
                <c:pt idx="476">
                  <c:v>45746</c:v>
                </c:pt>
                <c:pt idx="477">
                  <c:v>45747</c:v>
                </c:pt>
                <c:pt idx="478">
                  <c:v>45748</c:v>
                </c:pt>
                <c:pt idx="479">
                  <c:v>45749</c:v>
                </c:pt>
                <c:pt idx="480">
                  <c:v>45750</c:v>
                </c:pt>
                <c:pt idx="481">
                  <c:v>45751</c:v>
                </c:pt>
                <c:pt idx="482">
                  <c:v>45752</c:v>
                </c:pt>
                <c:pt idx="483">
                  <c:v>45753</c:v>
                </c:pt>
                <c:pt idx="484">
                  <c:v>45754</c:v>
                </c:pt>
                <c:pt idx="485">
                  <c:v>45755</c:v>
                </c:pt>
                <c:pt idx="486">
                  <c:v>45756</c:v>
                </c:pt>
                <c:pt idx="487">
                  <c:v>45757</c:v>
                </c:pt>
                <c:pt idx="488">
                  <c:v>45758</c:v>
                </c:pt>
                <c:pt idx="489">
                  <c:v>45759</c:v>
                </c:pt>
                <c:pt idx="490">
                  <c:v>45760</c:v>
                </c:pt>
                <c:pt idx="491">
                  <c:v>45761</c:v>
                </c:pt>
                <c:pt idx="492">
                  <c:v>45762</c:v>
                </c:pt>
                <c:pt idx="493">
                  <c:v>45763</c:v>
                </c:pt>
                <c:pt idx="494">
                  <c:v>45764</c:v>
                </c:pt>
                <c:pt idx="495">
                  <c:v>45765</c:v>
                </c:pt>
                <c:pt idx="496">
                  <c:v>45766</c:v>
                </c:pt>
                <c:pt idx="497">
                  <c:v>45767</c:v>
                </c:pt>
                <c:pt idx="498">
                  <c:v>45768</c:v>
                </c:pt>
                <c:pt idx="499">
                  <c:v>45771</c:v>
                </c:pt>
                <c:pt idx="500">
                  <c:v>45775</c:v>
                </c:pt>
                <c:pt idx="501">
                  <c:v>45778</c:v>
                </c:pt>
                <c:pt idx="502">
                  <c:v>45782</c:v>
                </c:pt>
                <c:pt idx="503">
                  <c:v>45785</c:v>
                </c:pt>
                <c:pt idx="504">
                  <c:v>45789</c:v>
                </c:pt>
                <c:pt idx="505">
                  <c:v>45792</c:v>
                </c:pt>
                <c:pt idx="506">
                  <c:v>45796</c:v>
                </c:pt>
                <c:pt idx="507">
                  <c:v>45803</c:v>
                </c:pt>
                <c:pt idx="508">
                  <c:v>45810</c:v>
                </c:pt>
                <c:pt idx="509">
                  <c:v>45817</c:v>
                </c:pt>
                <c:pt idx="510">
                  <c:v>45824</c:v>
                </c:pt>
                <c:pt idx="511">
                  <c:v>45831</c:v>
                </c:pt>
                <c:pt idx="512">
                  <c:v>45838</c:v>
                </c:pt>
                <c:pt idx="513">
                  <c:v>45845</c:v>
                </c:pt>
                <c:pt idx="514">
                  <c:v>45852</c:v>
                </c:pt>
                <c:pt idx="515">
                  <c:v>45859</c:v>
                </c:pt>
                <c:pt idx="516">
                  <c:v>45866</c:v>
                </c:pt>
              </c:numCache>
            </c:numRef>
          </c:xVal>
          <c:yVal>
            <c:numRef>
              <c:f>'SL.114+840'!$M$14:$M$800</c:f>
              <c:numCache>
                <c:formatCode>0</c:formatCode>
                <c:ptCount val="787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-8.0000000000000071</c:v>
                </c:pt>
                <c:pt idx="24">
                  <c:v>-14.000000000000012</c:v>
                </c:pt>
                <c:pt idx="25">
                  <c:v>-20.000000000000004</c:v>
                </c:pt>
                <c:pt idx="26">
                  <c:v>-26.000000000000011</c:v>
                </c:pt>
                <c:pt idx="27">
                  <c:v>-35</c:v>
                </c:pt>
                <c:pt idx="28">
                  <c:v>-38.000000000000007</c:v>
                </c:pt>
                <c:pt idx="29">
                  <c:v>-47.000000000000007</c:v>
                </c:pt>
                <c:pt idx="30">
                  <c:v>-50</c:v>
                </c:pt>
                <c:pt idx="31">
                  <c:v>-58</c:v>
                </c:pt>
                <c:pt idx="32">
                  <c:v>-64</c:v>
                </c:pt>
                <c:pt idx="33">
                  <c:v>-71.000000000000014</c:v>
                </c:pt>
                <c:pt idx="34">
                  <c:v>-77.000000000000014</c:v>
                </c:pt>
                <c:pt idx="35">
                  <c:v>-86</c:v>
                </c:pt>
                <c:pt idx="36">
                  <c:v>-89.000000000000014</c:v>
                </c:pt>
                <c:pt idx="37">
                  <c:v>-93</c:v>
                </c:pt>
                <c:pt idx="38">
                  <c:v>-95</c:v>
                </c:pt>
                <c:pt idx="39">
                  <c:v>-100</c:v>
                </c:pt>
                <c:pt idx="40">
                  <c:v>-105.00000000000001</c:v>
                </c:pt>
                <c:pt idx="41">
                  <c:v>-113</c:v>
                </c:pt>
                <c:pt idx="42">
                  <c:v>-117</c:v>
                </c:pt>
                <c:pt idx="43">
                  <c:v>-124</c:v>
                </c:pt>
                <c:pt idx="44">
                  <c:v>-129</c:v>
                </c:pt>
                <c:pt idx="45">
                  <c:v>-133</c:v>
                </c:pt>
                <c:pt idx="46">
                  <c:v>-137</c:v>
                </c:pt>
                <c:pt idx="47">
                  <c:v>-145.00000000000003</c:v>
                </c:pt>
                <c:pt idx="48">
                  <c:v>-149.00000000000003</c:v>
                </c:pt>
                <c:pt idx="49">
                  <c:v>-156</c:v>
                </c:pt>
                <c:pt idx="50">
                  <c:v>-161</c:v>
                </c:pt>
                <c:pt idx="51">
                  <c:v>-163</c:v>
                </c:pt>
                <c:pt idx="52">
                  <c:v>-167</c:v>
                </c:pt>
                <c:pt idx="53">
                  <c:v>-174</c:v>
                </c:pt>
                <c:pt idx="54">
                  <c:v>-179</c:v>
                </c:pt>
                <c:pt idx="55">
                  <c:v>-183</c:v>
                </c:pt>
                <c:pt idx="56">
                  <c:v>-191</c:v>
                </c:pt>
                <c:pt idx="57">
                  <c:v>-193</c:v>
                </c:pt>
                <c:pt idx="58">
                  <c:v>-197</c:v>
                </c:pt>
                <c:pt idx="59">
                  <c:v>-204.00000000000003</c:v>
                </c:pt>
                <c:pt idx="60">
                  <c:v>-209.00000000000003</c:v>
                </c:pt>
                <c:pt idx="61">
                  <c:v>-211.00000000000003</c:v>
                </c:pt>
                <c:pt idx="62">
                  <c:v>-213.00000000000003</c:v>
                </c:pt>
                <c:pt idx="63">
                  <c:v>-217.00000000000003</c:v>
                </c:pt>
                <c:pt idx="64">
                  <c:v>-224</c:v>
                </c:pt>
                <c:pt idx="65">
                  <c:v>-229</c:v>
                </c:pt>
                <c:pt idx="66">
                  <c:v>-233</c:v>
                </c:pt>
                <c:pt idx="67">
                  <c:v>-241</c:v>
                </c:pt>
                <c:pt idx="68">
                  <c:v>-243</c:v>
                </c:pt>
                <c:pt idx="69">
                  <c:v>-247</c:v>
                </c:pt>
                <c:pt idx="70">
                  <c:v>-254</c:v>
                </c:pt>
                <c:pt idx="71">
                  <c:v>-259</c:v>
                </c:pt>
                <c:pt idx="72">
                  <c:v>-263</c:v>
                </c:pt>
                <c:pt idx="73">
                  <c:v>-271</c:v>
                </c:pt>
                <c:pt idx="74">
                  <c:v>-273</c:v>
                </c:pt>
                <c:pt idx="75">
                  <c:v>-277</c:v>
                </c:pt>
                <c:pt idx="76">
                  <c:v>-284.00000000000006</c:v>
                </c:pt>
                <c:pt idx="77">
                  <c:v>-289.00000000000006</c:v>
                </c:pt>
                <c:pt idx="78">
                  <c:v>-291.00000000000006</c:v>
                </c:pt>
                <c:pt idx="79">
                  <c:v>-291.00000000000006</c:v>
                </c:pt>
                <c:pt idx="80">
                  <c:v>-291.00000000000006</c:v>
                </c:pt>
                <c:pt idx="81">
                  <c:v>-291.00000000000006</c:v>
                </c:pt>
                <c:pt idx="82">
                  <c:v>-291.00000000000006</c:v>
                </c:pt>
                <c:pt idx="83">
                  <c:v>-291.00000000000006</c:v>
                </c:pt>
                <c:pt idx="84">
                  <c:v>-291.00000000000006</c:v>
                </c:pt>
                <c:pt idx="85">
                  <c:v>-291.00000000000006</c:v>
                </c:pt>
                <c:pt idx="86">
                  <c:v>-291.00000000000006</c:v>
                </c:pt>
                <c:pt idx="87">
                  <c:v>-291.00000000000006</c:v>
                </c:pt>
                <c:pt idx="88">
                  <c:v>-291.00000000000006</c:v>
                </c:pt>
                <c:pt idx="89">
                  <c:v>-291.00000000000006</c:v>
                </c:pt>
                <c:pt idx="90">
                  <c:v>-291.00000000000006</c:v>
                </c:pt>
                <c:pt idx="91">
                  <c:v>-291.00000000000006</c:v>
                </c:pt>
                <c:pt idx="92">
                  <c:v>-291.00000000000006</c:v>
                </c:pt>
                <c:pt idx="93">
                  <c:v>-291.00000000000006</c:v>
                </c:pt>
                <c:pt idx="94">
                  <c:v>-291.00000000000006</c:v>
                </c:pt>
                <c:pt idx="95">
                  <c:v>-291.00000000000006</c:v>
                </c:pt>
                <c:pt idx="96">
                  <c:v>-291.00000000000006</c:v>
                </c:pt>
                <c:pt idx="97">
                  <c:v>-291.00000000000006</c:v>
                </c:pt>
                <c:pt idx="98">
                  <c:v>-291.00000000000006</c:v>
                </c:pt>
                <c:pt idx="99">
                  <c:v>-291.00000000000006</c:v>
                </c:pt>
                <c:pt idx="100">
                  <c:v>-291.00000000000006</c:v>
                </c:pt>
                <c:pt idx="101">
                  <c:v>-291.00000000000006</c:v>
                </c:pt>
                <c:pt idx="102">
                  <c:v>-291.00000000000006</c:v>
                </c:pt>
                <c:pt idx="103">
                  <c:v>-291.00000000000006</c:v>
                </c:pt>
                <c:pt idx="104">
                  <c:v>-291.00000000000006</c:v>
                </c:pt>
                <c:pt idx="105">
                  <c:v>-291.00000000000006</c:v>
                </c:pt>
                <c:pt idx="106">
                  <c:v>-291.00000000000006</c:v>
                </c:pt>
                <c:pt idx="107">
                  <c:v>-291.00000000000006</c:v>
                </c:pt>
                <c:pt idx="108">
                  <c:v>-291.00000000000006</c:v>
                </c:pt>
                <c:pt idx="109">
                  <c:v>-291.00000000000006</c:v>
                </c:pt>
                <c:pt idx="110">
                  <c:v>-291.00000000000006</c:v>
                </c:pt>
                <c:pt idx="111">
                  <c:v>-291.00000000000006</c:v>
                </c:pt>
                <c:pt idx="112">
                  <c:v>-291.00000000000006</c:v>
                </c:pt>
                <c:pt idx="113">
                  <c:v>-291.00000000000006</c:v>
                </c:pt>
                <c:pt idx="114">
                  <c:v>-291.00000000000006</c:v>
                </c:pt>
                <c:pt idx="115">
                  <c:v>-291.00000000000006</c:v>
                </c:pt>
                <c:pt idx="116">
                  <c:v>-291.00000000000006</c:v>
                </c:pt>
                <c:pt idx="117">
                  <c:v>-291.00000000000006</c:v>
                </c:pt>
                <c:pt idx="118">
                  <c:v>-291.00000000000006</c:v>
                </c:pt>
                <c:pt idx="119">
                  <c:v>-291.00000000000006</c:v>
                </c:pt>
                <c:pt idx="120">
                  <c:v>-291.00000000000006</c:v>
                </c:pt>
                <c:pt idx="121">
                  <c:v>-291.00000000000006</c:v>
                </c:pt>
                <c:pt idx="122">
                  <c:v>-291.00000000000006</c:v>
                </c:pt>
                <c:pt idx="123">
                  <c:v>-291.00000000000006</c:v>
                </c:pt>
                <c:pt idx="124">
                  <c:v>-291.00000000000006</c:v>
                </c:pt>
                <c:pt idx="125">
                  <c:v>-291.00000000000006</c:v>
                </c:pt>
                <c:pt idx="126">
                  <c:v>-300.00000000000006</c:v>
                </c:pt>
                <c:pt idx="127">
                  <c:v>-303.00000000000006</c:v>
                </c:pt>
                <c:pt idx="128">
                  <c:v>-307</c:v>
                </c:pt>
                <c:pt idx="129">
                  <c:v>-309</c:v>
                </c:pt>
                <c:pt idx="130">
                  <c:v>-318</c:v>
                </c:pt>
                <c:pt idx="131">
                  <c:v>-321</c:v>
                </c:pt>
                <c:pt idx="132">
                  <c:v>-325</c:v>
                </c:pt>
                <c:pt idx="133">
                  <c:v>-330</c:v>
                </c:pt>
                <c:pt idx="134">
                  <c:v>-334.99999999999994</c:v>
                </c:pt>
                <c:pt idx="135">
                  <c:v>-344</c:v>
                </c:pt>
                <c:pt idx="136">
                  <c:v>-349</c:v>
                </c:pt>
                <c:pt idx="137">
                  <c:v>-353</c:v>
                </c:pt>
                <c:pt idx="138">
                  <c:v>-357</c:v>
                </c:pt>
                <c:pt idx="139">
                  <c:v>-364</c:v>
                </c:pt>
                <c:pt idx="140">
                  <c:v>-369</c:v>
                </c:pt>
                <c:pt idx="141">
                  <c:v>-374</c:v>
                </c:pt>
                <c:pt idx="142">
                  <c:v>-378</c:v>
                </c:pt>
                <c:pt idx="143">
                  <c:v>-381</c:v>
                </c:pt>
                <c:pt idx="144">
                  <c:v>-383</c:v>
                </c:pt>
                <c:pt idx="145">
                  <c:v>-390</c:v>
                </c:pt>
                <c:pt idx="146">
                  <c:v>-395</c:v>
                </c:pt>
                <c:pt idx="147">
                  <c:v>-400</c:v>
                </c:pt>
                <c:pt idx="148">
                  <c:v>-407</c:v>
                </c:pt>
                <c:pt idx="149">
                  <c:v>-412.00000000000006</c:v>
                </c:pt>
                <c:pt idx="150">
                  <c:v>-417.00000000000006</c:v>
                </c:pt>
                <c:pt idx="151">
                  <c:v>-421.00000000000006</c:v>
                </c:pt>
                <c:pt idx="152">
                  <c:v>-424.00000000000006</c:v>
                </c:pt>
                <c:pt idx="153">
                  <c:v>-426.00000000000006</c:v>
                </c:pt>
                <c:pt idx="154">
                  <c:v>-433.00000000000006</c:v>
                </c:pt>
                <c:pt idx="155">
                  <c:v>-438.00000000000006</c:v>
                </c:pt>
                <c:pt idx="156">
                  <c:v>-443.00000000000006</c:v>
                </c:pt>
                <c:pt idx="157">
                  <c:v>-447.99999999999994</c:v>
                </c:pt>
                <c:pt idx="158">
                  <c:v>-452.99999999999994</c:v>
                </c:pt>
                <c:pt idx="159">
                  <c:v>-456.99999999999994</c:v>
                </c:pt>
                <c:pt idx="160">
                  <c:v>-459.99999999999994</c:v>
                </c:pt>
                <c:pt idx="161">
                  <c:v>-461.99999999999994</c:v>
                </c:pt>
                <c:pt idx="162">
                  <c:v>-464.99999999999994</c:v>
                </c:pt>
                <c:pt idx="163">
                  <c:v>-465.99999999999994</c:v>
                </c:pt>
                <c:pt idx="164">
                  <c:v>-468</c:v>
                </c:pt>
                <c:pt idx="165">
                  <c:v>-469</c:v>
                </c:pt>
                <c:pt idx="166">
                  <c:v>-471</c:v>
                </c:pt>
                <c:pt idx="167">
                  <c:v>-473</c:v>
                </c:pt>
                <c:pt idx="168">
                  <c:v>-473</c:v>
                </c:pt>
                <c:pt idx="169">
                  <c:v>-473</c:v>
                </c:pt>
                <c:pt idx="170">
                  <c:v>-473</c:v>
                </c:pt>
                <c:pt idx="171">
                  <c:v>-473</c:v>
                </c:pt>
                <c:pt idx="172">
                  <c:v>-473</c:v>
                </c:pt>
                <c:pt idx="173">
                  <c:v>-473</c:v>
                </c:pt>
                <c:pt idx="174">
                  <c:v>-473</c:v>
                </c:pt>
                <c:pt idx="175">
                  <c:v>-473</c:v>
                </c:pt>
                <c:pt idx="176">
                  <c:v>-473</c:v>
                </c:pt>
                <c:pt idx="177">
                  <c:v>-473</c:v>
                </c:pt>
                <c:pt idx="178">
                  <c:v>-473</c:v>
                </c:pt>
                <c:pt idx="179">
                  <c:v>-473</c:v>
                </c:pt>
                <c:pt idx="180">
                  <c:v>-473</c:v>
                </c:pt>
                <c:pt idx="181">
                  <c:v>-473</c:v>
                </c:pt>
                <c:pt idx="182">
                  <c:v>-473</c:v>
                </c:pt>
                <c:pt idx="183">
                  <c:v>-473</c:v>
                </c:pt>
                <c:pt idx="184">
                  <c:v>-473</c:v>
                </c:pt>
                <c:pt idx="185">
                  <c:v>-473</c:v>
                </c:pt>
                <c:pt idx="186">
                  <c:v>-473</c:v>
                </c:pt>
                <c:pt idx="187">
                  <c:v>-473</c:v>
                </c:pt>
                <c:pt idx="188">
                  <c:v>-473</c:v>
                </c:pt>
                <c:pt idx="189">
                  <c:v>-473</c:v>
                </c:pt>
                <c:pt idx="190">
                  <c:v>-473</c:v>
                </c:pt>
                <c:pt idx="191">
                  <c:v>-473</c:v>
                </c:pt>
                <c:pt idx="192">
                  <c:v>-473</c:v>
                </c:pt>
                <c:pt idx="193">
                  <c:v>-473</c:v>
                </c:pt>
                <c:pt idx="194">
                  <c:v>-473</c:v>
                </c:pt>
                <c:pt idx="195">
                  <c:v>-473</c:v>
                </c:pt>
                <c:pt idx="196">
                  <c:v>-473</c:v>
                </c:pt>
                <c:pt idx="197">
                  <c:v>-473</c:v>
                </c:pt>
                <c:pt idx="198">
                  <c:v>-473</c:v>
                </c:pt>
                <c:pt idx="199">
                  <c:v>-473</c:v>
                </c:pt>
                <c:pt idx="200">
                  <c:v>-473</c:v>
                </c:pt>
                <c:pt idx="201">
                  <c:v>-473</c:v>
                </c:pt>
                <c:pt idx="202">
                  <c:v>-473</c:v>
                </c:pt>
                <c:pt idx="203">
                  <c:v>-473</c:v>
                </c:pt>
                <c:pt idx="204">
                  <c:v>-473</c:v>
                </c:pt>
                <c:pt idx="205">
                  <c:v>-473</c:v>
                </c:pt>
                <c:pt idx="206">
                  <c:v>-473</c:v>
                </c:pt>
                <c:pt idx="207">
                  <c:v>-473</c:v>
                </c:pt>
                <c:pt idx="208">
                  <c:v>-473</c:v>
                </c:pt>
                <c:pt idx="209">
                  <c:v>-473</c:v>
                </c:pt>
                <c:pt idx="210">
                  <c:v>-473</c:v>
                </c:pt>
                <c:pt idx="211">
                  <c:v>-473</c:v>
                </c:pt>
                <c:pt idx="212">
                  <c:v>-473</c:v>
                </c:pt>
                <c:pt idx="213">
                  <c:v>-473</c:v>
                </c:pt>
                <c:pt idx="214">
                  <c:v>-473</c:v>
                </c:pt>
                <c:pt idx="215">
                  <c:v>-473</c:v>
                </c:pt>
                <c:pt idx="216">
                  <c:v>-473</c:v>
                </c:pt>
                <c:pt idx="217">
                  <c:v>-473</c:v>
                </c:pt>
                <c:pt idx="218">
                  <c:v>-473</c:v>
                </c:pt>
                <c:pt idx="219">
                  <c:v>-473</c:v>
                </c:pt>
                <c:pt idx="220">
                  <c:v>-473</c:v>
                </c:pt>
                <c:pt idx="221">
                  <c:v>-473</c:v>
                </c:pt>
                <c:pt idx="222">
                  <c:v>-473</c:v>
                </c:pt>
                <c:pt idx="223">
                  <c:v>-473</c:v>
                </c:pt>
                <c:pt idx="224">
                  <c:v>-473</c:v>
                </c:pt>
                <c:pt idx="225">
                  <c:v>-473</c:v>
                </c:pt>
                <c:pt idx="226">
                  <c:v>-473</c:v>
                </c:pt>
                <c:pt idx="227">
                  <c:v>-473</c:v>
                </c:pt>
                <c:pt idx="228">
                  <c:v>-473</c:v>
                </c:pt>
                <c:pt idx="229">
                  <c:v>-473</c:v>
                </c:pt>
                <c:pt idx="230">
                  <c:v>-473</c:v>
                </c:pt>
                <c:pt idx="231">
                  <c:v>-473</c:v>
                </c:pt>
                <c:pt idx="232">
                  <c:v>-473</c:v>
                </c:pt>
                <c:pt idx="233">
                  <c:v>-473</c:v>
                </c:pt>
                <c:pt idx="234">
                  <c:v>-473</c:v>
                </c:pt>
                <c:pt idx="235">
                  <c:v>-473</c:v>
                </c:pt>
                <c:pt idx="236">
                  <c:v>-473</c:v>
                </c:pt>
                <c:pt idx="237">
                  <c:v>-473</c:v>
                </c:pt>
                <c:pt idx="238">
                  <c:v>-473</c:v>
                </c:pt>
                <c:pt idx="239">
                  <c:v>-473</c:v>
                </c:pt>
                <c:pt idx="240">
                  <c:v>-473</c:v>
                </c:pt>
                <c:pt idx="241">
                  <c:v>-473</c:v>
                </c:pt>
                <c:pt idx="242">
                  <c:v>-473</c:v>
                </c:pt>
                <c:pt idx="243">
                  <c:v>-473</c:v>
                </c:pt>
                <c:pt idx="244">
                  <c:v>-473</c:v>
                </c:pt>
                <c:pt idx="245">
                  <c:v>-473</c:v>
                </c:pt>
                <c:pt idx="246">
                  <c:v>-473</c:v>
                </c:pt>
                <c:pt idx="247">
                  <c:v>-473</c:v>
                </c:pt>
                <c:pt idx="248">
                  <c:v>-473</c:v>
                </c:pt>
                <c:pt idx="249">
                  <c:v>-473</c:v>
                </c:pt>
                <c:pt idx="250">
                  <c:v>-473</c:v>
                </c:pt>
                <c:pt idx="251">
                  <c:v>-473</c:v>
                </c:pt>
                <c:pt idx="252">
                  <c:v>-473</c:v>
                </c:pt>
                <c:pt idx="253">
                  <c:v>-473</c:v>
                </c:pt>
                <c:pt idx="254">
                  <c:v>-473</c:v>
                </c:pt>
                <c:pt idx="255">
                  <c:v>-473</c:v>
                </c:pt>
                <c:pt idx="256">
                  <c:v>-473</c:v>
                </c:pt>
                <c:pt idx="257">
                  <c:v>-473</c:v>
                </c:pt>
                <c:pt idx="258">
                  <c:v>-473</c:v>
                </c:pt>
                <c:pt idx="259">
                  <c:v>-473</c:v>
                </c:pt>
                <c:pt idx="260">
                  <c:v>-473</c:v>
                </c:pt>
                <c:pt idx="261">
                  <c:v>-473</c:v>
                </c:pt>
                <c:pt idx="262">
                  <c:v>-473</c:v>
                </c:pt>
                <c:pt idx="263">
                  <c:v>-473</c:v>
                </c:pt>
                <c:pt idx="264">
                  <c:v>-473</c:v>
                </c:pt>
                <c:pt idx="265">
                  <c:v>-473</c:v>
                </c:pt>
                <c:pt idx="266">
                  <c:v>-473</c:v>
                </c:pt>
                <c:pt idx="267">
                  <c:v>-473</c:v>
                </c:pt>
                <c:pt idx="268">
                  <c:v>-473</c:v>
                </c:pt>
                <c:pt idx="269">
                  <c:v>-473</c:v>
                </c:pt>
                <c:pt idx="270">
                  <c:v>-473</c:v>
                </c:pt>
                <c:pt idx="271">
                  <c:v>-473</c:v>
                </c:pt>
                <c:pt idx="272">
                  <c:v>-473</c:v>
                </c:pt>
                <c:pt idx="273">
                  <c:v>-473</c:v>
                </c:pt>
                <c:pt idx="274">
                  <c:v>-473</c:v>
                </c:pt>
                <c:pt idx="275">
                  <c:v>-473</c:v>
                </c:pt>
                <c:pt idx="276">
                  <c:v>-473</c:v>
                </c:pt>
                <c:pt idx="277">
                  <c:v>-473</c:v>
                </c:pt>
                <c:pt idx="278">
                  <c:v>-473</c:v>
                </c:pt>
                <c:pt idx="279">
                  <c:v>-473</c:v>
                </c:pt>
                <c:pt idx="280">
                  <c:v>-473</c:v>
                </c:pt>
                <c:pt idx="281">
                  <c:v>-473</c:v>
                </c:pt>
                <c:pt idx="282">
                  <c:v>-473</c:v>
                </c:pt>
                <c:pt idx="283">
                  <c:v>-473</c:v>
                </c:pt>
                <c:pt idx="284">
                  <c:v>-473</c:v>
                </c:pt>
                <c:pt idx="285">
                  <c:v>-473</c:v>
                </c:pt>
                <c:pt idx="286">
                  <c:v>-473</c:v>
                </c:pt>
                <c:pt idx="287">
                  <c:v>-473</c:v>
                </c:pt>
                <c:pt idx="288">
                  <c:v>-473</c:v>
                </c:pt>
                <c:pt idx="289">
                  <c:v>-473</c:v>
                </c:pt>
                <c:pt idx="290">
                  <c:v>-473</c:v>
                </c:pt>
                <c:pt idx="291">
                  <c:v>-473</c:v>
                </c:pt>
                <c:pt idx="292">
                  <c:v>-473</c:v>
                </c:pt>
                <c:pt idx="293">
                  <c:v>-473</c:v>
                </c:pt>
                <c:pt idx="294">
                  <c:v>-473</c:v>
                </c:pt>
                <c:pt idx="295">
                  <c:v>-473</c:v>
                </c:pt>
                <c:pt idx="296">
                  <c:v>-473</c:v>
                </c:pt>
                <c:pt idx="297">
                  <c:v>-473</c:v>
                </c:pt>
                <c:pt idx="298">
                  <c:v>-473</c:v>
                </c:pt>
                <c:pt idx="299">
                  <c:v>-473</c:v>
                </c:pt>
                <c:pt idx="300">
                  <c:v>-473</c:v>
                </c:pt>
                <c:pt idx="301">
                  <c:v>-473</c:v>
                </c:pt>
                <c:pt idx="302">
                  <c:v>-473</c:v>
                </c:pt>
                <c:pt idx="303">
                  <c:v>-473</c:v>
                </c:pt>
                <c:pt idx="304">
                  <c:v>-473</c:v>
                </c:pt>
                <c:pt idx="305">
                  <c:v>-473</c:v>
                </c:pt>
                <c:pt idx="306">
                  <c:v>-473</c:v>
                </c:pt>
                <c:pt idx="307">
                  <c:v>-473</c:v>
                </c:pt>
                <c:pt idx="308">
                  <c:v>-473</c:v>
                </c:pt>
                <c:pt idx="309">
                  <c:v>-473</c:v>
                </c:pt>
                <c:pt idx="310">
                  <c:v>-473</c:v>
                </c:pt>
                <c:pt idx="311">
                  <c:v>-473</c:v>
                </c:pt>
                <c:pt idx="312">
                  <c:v>-473</c:v>
                </c:pt>
                <c:pt idx="313">
                  <c:v>-473</c:v>
                </c:pt>
                <c:pt idx="314">
                  <c:v>-473</c:v>
                </c:pt>
                <c:pt idx="315">
                  <c:v>-473</c:v>
                </c:pt>
                <c:pt idx="316">
                  <c:v>-473</c:v>
                </c:pt>
                <c:pt idx="317">
                  <c:v>-473</c:v>
                </c:pt>
                <c:pt idx="318">
                  <c:v>-473</c:v>
                </c:pt>
                <c:pt idx="319">
                  <c:v>-473</c:v>
                </c:pt>
                <c:pt idx="320">
                  <c:v>-473</c:v>
                </c:pt>
                <c:pt idx="321">
                  <c:v>-473</c:v>
                </c:pt>
                <c:pt idx="322">
                  <c:v>-473</c:v>
                </c:pt>
                <c:pt idx="323">
                  <c:v>-473</c:v>
                </c:pt>
                <c:pt idx="324">
                  <c:v>-473</c:v>
                </c:pt>
                <c:pt idx="325">
                  <c:v>-473</c:v>
                </c:pt>
                <c:pt idx="326">
                  <c:v>-473</c:v>
                </c:pt>
                <c:pt idx="327">
                  <c:v>-473</c:v>
                </c:pt>
                <c:pt idx="328">
                  <c:v>-473</c:v>
                </c:pt>
                <c:pt idx="329">
                  <c:v>-473</c:v>
                </c:pt>
                <c:pt idx="330">
                  <c:v>-473</c:v>
                </c:pt>
                <c:pt idx="331">
                  <c:v>-473</c:v>
                </c:pt>
                <c:pt idx="332">
                  <c:v>-473</c:v>
                </c:pt>
                <c:pt idx="333">
                  <c:v>-473</c:v>
                </c:pt>
                <c:pt idx="334">
                  <c:v>-473</c:v>
                </c:pt>
                <c:pt idx="335">
                  <c:v>-473</c:v>
                </c:pt>
                <c:pt idx="336">
                  <c:v>-473</c:v>
                </c:pt>
                <c:pt idx="337">
                  <c:v>-473</c:v>
                </c:pt>
                <c:pt idx="338">
                  <c:v>-473</c:v>
                </c:pt>
                <c:pt idx="339">
                  <c:v>-473</c:v>
                </c:pt>
                <c:pt idx="340">
                  <c:v>-473</c:v>
                </c:pt>
                <c:pt idx="341">
                  <c:v>-473</c:v>
                </c:pt>
                <c:pt idx="342">
                  <c:v>-473</c:v>
                </c:pt>
                <c:pt idx="343">
                  <c:v>-473</c:v>
                </c:pt>
                <c:pt idx="344">
                  <c:v>-473</c:v>
                </c:pt>
                <c:pt idx="345">
                  <c:v>-473</c:v>
                </c:pt>
                <c:pt idx="346">
                  <c:v>-473</c:v>
                </c:pt>
                <c:pt idx="347">
                  <c:v>-473</c:v>
                </c:pt>
                <c:pt idx="348">
                  <c:v>-473</c:v>
                </c:pt>
                <c:pt idx="349">
                  <c:v>-473</c:v>
                </c:pt>
                <c:pt idx="350">
                  <c:v>-473</c:v>
                </c:pt>
                <c:pt idx="351">
                  <c:v>-473</c:v>
                </c:pt>
                <c:pt idx="352">
                  <c:v>-473</c:v>
                </c:pt>
                <c:pt idx="353">
                  <c:v>-473</c:v>
                </c:pt>
                <c:pt idx="354">
                  <c:v>-473</c:v>
                </c:pt>
                <c:pt idx="355">
                  <c:v>-473</c:v>
                </c:pt>
                <c:pt idx="356">
                  <c:v>-473</c:v>
                </c:pt>
                <c:pt idx="357">
                  <c:v>-473</c:v>
                </c:pt>
                <c:pt idx="358">
                  <c:v>-473</c:v>
                </c:pt>
                <c:pt idx="359">
                  <c:v>-473</c:v>
                </c:pt>
                <c:pt idx="360">
                  <c:v>-473</c:v>
                </c:pt>
                <c:pt idx="361">
                  <c:v>-473</c:v>
                </c:pt>
                <c:pt idx="362">
                  <c:v>-473</c:v>
                </c:pt>
                <c:pt idx="363">
                  <c:v>-473</c:v>
                </c:pt>
                <c:pt idx="364">
                  <c:v>-473</c:v>
                </c:pt>
                <c:pt idx="365">
                  <c:v>-473</c:v>
                </c:pt>
                <c:pt idx="366">
                  <c:v>-473</c:v>
                </c:pt>
                <c:pt idx="367">
                  <c:v>-473</c:v>
                </c:pt>
                <c:pt idx="368">
                  <c:v>-483</c:v>
                </c:pt>
                <c:pt idx="369">
                  <c:v>-493</c:v>
                </c:pt>
                <c:pt idx="370">
                  <c:v>-503</c:v>
                </c:pt>
                <c:pt idx="371">
                  <c:v>-510</c:v>
                </c:pt>
                <c:pt idx="372">
                  <c:v>-520</c:v>
                </c:pt>
                <c:pt idx="373">
                  <c:v>-530</c:v>
                </c:pt>
                <c:pt idx="374">
                  <c:v>-540</c:v>
                </c:pt>
                <c:pt idx="375">
                  <c:v>-547</c:v>
                </c:pt>
                <c:pt idx="376">
                  <c:v>-554</c:v>
                </c:pt>
                <c:pt idx="377">
                  <c:v>-564</c:v>
                </c:pt>
                <c:pt idx="378">
                  <c:v>-574</c:v>
                </c:pt>
                <c:pt idx="379">
                  <c:v>-584</c:v>
                </c:pt>
                <c:pt idx="380">
                  <c:v>-591</c:v>
                </c:pt>
                <c:pt idx="381">
                  <c:v>-598</c:v>
                </c:pt>
                <c:pt idx="382">
                  <c:v>-608</c:v>
                </c:pt>
                <c:pt idx="383">
                  <c:v>-618</c:v>
                </c:pt>
                <c:pt idx="384">
                  <c:v>-628</c:v>
                </c:pt>
                <c:pt idx="385">
                  <c:v>-636</c:v>
                </c:pt>
                <c:pt idx="386">
                  <c:v>-645</c:v>
                </c:pt>
                <c:pt idx="387">
                  <c:v>-653</c:v>
                </c:pt>
                <c:pt idx="388">
                  <c:v>-662</c:v>
                </c:pt>
                <c:pt idx="389">
                  <c:v>-670.99999999999989</c:v>
                </c:pt>
                <c:pt idx="390">
                  <c:v>-679.99999999999989</c:v>
                </c:pt>
                <c:pt idx="391">
                  <c:v>-688</c:v>
                </c:pt>
                <c:pt idx="392">
                  <c:v>-696</c:v>
                </c:pt>
                <c:pt idx="393">
                  <c:v>-705</c:v>
                </c:pt>
                <c:pt idx="394">
                  <c:v>-714</c:v>
                </c:pt>
                <c:pt idx="395">
                  <c:v>-723</c:v>
                </c:pt>
                <c:pt idx="396">
                  <c:v>-731</c:v>
                </c:pt>
                <c:pt idx="397">
                  <c:v>-739</c:v>
                </c:pt>
                <c:pt idx="398">
                  <c:v>-748</c:v>
                </c:pt>
                <c:pt idx="399">
                  <c:v>-756</c:v>
                </c:pt>
                <c:pt idx="400">
                  <c:v>-765</c:v>
                </c:pt>
                <c:pt idx="401">
                  <c:v>-773</c:v>
                </c:pt>
                <c:pt idx="402">
                  <c:v>-780</c:v>
                </c:pt>
                <c:pt idx="403">
                  <c:v>-788.99999999999989</c:v>
                </c:pt>
                <c:pt idx="404">
                  <c:v>-796.99999999999989</c:v>
                </c:pt>
                <c:pt idx="405">
                  <c:v>-804.99999999999989</c:v>
                </c:pt>
                <c:pt idx="406">
                  <c:v>-812</c:v>
                </c:pt>
                <c:pt idx="407">
                  <c:v>-819</c:v>
                </c:pt>
                <c:pt idx="408">
                  <c:v>-825</c:v>
                </c:pt>
                <c:pt idx="409">
                  <c:v>-833</c:v>
                </c:pt>
                <c:pt idx="410">
                  <c:v>-840</c:v>
                </c:pt>
                <c:pt idx="411">
                  <c:v>-849</c:v>
                </c:pt>
                <c:pt idx="412">
                  <c:v>-857</c:v>
                </c:pt>
                <c:pt idx="413">
                  <c:v>-865</c:v>
                </c:pt>
                <c:pt idx="414">
                  <c:v>-874</c:v>
                </c:pt>
                <c:pt idx="415">
                  <c:v>-882</c:v>
                </c:pt>
                <c:pt idx="416">
                  <c:v>-891</c:v>
                </c:pt>
                <c:pt idx="417">
                  <c:v>-899</c:v>
                </c:pt>
                <c:pt idx="418">
                  <c:v>-908</c:v>
                </c:pt>
                <c:pt idx="419">
                  <c:v>-915.99999999999989</c:v>
                </c:pt>
                <c:pt idx="420">
                  <c:v>-924.99999999999989</c:v>
                </c:pt>
                <c:pt idx="421">
                  <c:v>-932.99999999999989</c:v>
                </c:pt>
                <c:pt idx="422">
                  <c:v>-940</c:v>
                </c:pt>
                <c:pt idx="423">
                  <c:v>-949</c:v>
                </c:pt>
                <c:pt idx="424">
                  <c:v>-957</c:v>
                </c:pt>
                <c:pt idx="425">
                  <c:v>-965</c:v>
                </c:pt>
                <c:pt idx="426">
                  <c:v>-972</c:v>
                </c:pt>
                <c:pt idx="427">
                  <c:v>-979</c:v>
                </c:pt>
                <c:pt idx="428">
                  <c:v>-985</c:v>
                </c:pt>
                <c:pt idx="429">
                  <c:v>-993</c:v>
                </c:pt>
                <c:pt idx="430">
                  <c:v>-1000</c:v>
                </c:pt>
                <c:pt idx="431">
                  <c:v>-1009.0000000000001</c:v>
                </c:pt>
                <c:pt idx="432">
                  <c:v>-1017.0000000000001</c:v>
                </c:pt>
                <c:pt idx="433">
                  <c:v>-1025.0000000000002</c:v>
                </c:pt>
                <c:pt idx="434">
                  <c:v>-1034</c:v>
                </c:pt>
                <c:pt idx="435">
                  <c:v>-1043</c:v>
                </c:pt>
                <c:pt idx="436">
                  <c:v>-1051</c:v>
                </c:pt>
                <c:pt idx="437">
                  <c:v>-1060</c:v>
                </c:pt>
                <c:pt idx="438">
                  <c:v>-1068</c:v>
                </c:pt>
                <c:pt idx="439">
                  <c:v>-1075</c:v>
                </c:pt>
                <c:pt idx="440">
                  <c:v>-1084</c:v>
                </c:pt>
                <c:pt idx="441">
                  <c:v>-1092</c:v>
                </c:pt>
                <c:pt idx="442">
                  <c:v>-1100</c:v>
                </c:pt>
                <c:pt idx="443">
                  <c:v>-1107</c:v>
                </c:pt>
                <c:pt idx="444">
                  <c:v>-1114</c:v>
                </c:pt>
                <c:pt idx="445">
                  <c:v>-1120</c:v>
                </c:pt>
                <c:pt idx="446">
                  <c:v>-1128</c:v>
                </c:pt>
                <c:pt idx="447">
                  <c:v>-1135</c:v>
                </c:pt>
                <c:pt idx="448">
                  <c:v>-1144.0000000000002</c:v>
                </c:pt>
                <c:pt idx="449">
                  <c:v>-1152.0000000000002</c:v>
                </c:pt>
                <c:pt idx="450">
                  <c:v>-1160.0000000000002</c:v>
                </c:pt>
                <c:pt idx="451">
                  <c:v>-1167</c:v>
                </c:pt>
                <c:pt idx="452">
                  <c:v>-1174.0000000000002</c:v>
                </c:pt>
                <c:pt idx="453">
                  <c:v>-1183</c:v>
                </c:pt>
                <c:pt idx="454">
                  <c:v>-1191</c:v>
                </c:pt>
                <c:pt idx="455">
                  <c:v>-1199</c:v>
                </c:pt>
                <c:pt idx="456">
                  <c:v>-1206.0000000000002</c:v>
                </c:pt>
                <c:pt idx="457">
                  <c:v>-1213</c:v>
                </c:pt>
                <c:pt idx="458">
                  <c:v>-1219</c:v>
                </c:pt>
                <c:pt idx="459">
                  <c:v>-1227</c:v>
                </c:pt>
                <c:pt idx="460">
                  <c:v>-1234</c:v>
                </c:pt>
                <c:pt idx="461">
                  <c:v>-1243</c:v>
                </c:pt>
                <c:pt idx="462">
                  <c:v>-1251</c:v>
                </c:pt>
                <c:pt idx="463">
                  <c:v>-1258</c:v>
                </c:pt>
                <c:pt idx="464">
                  <c:v>-1265.0000000000002</c:v>
                </c:pt>
                <c:pt idx="465">
                  <c:v>-1272</c:v>
                </c:pt>
                <c:pt idx="466">
                  <c:v>-1277.0000000000002</c:v>
                </c:pt>
                <c:pt idx="467">
                  <c:v>-1282</c:v>
                </c:pt>
                <c:pt idx="468">
                  <c:v>-1289.0000000000002</c:v>
                </c:pt>
                <c:pt idx="469">
                  <c:v>-1293.0000000000002</c:v>
                </c:pt>
                <c:pt idx="470">
                  <c:v>-1297.0000000000002</c:v>
                </c:pt>
                <c:pt idx="471">
                  <c:v>-1302</c:v>
                </c:pt>
                <c:pt idx="472">
                  <c:v>-1306</c:v>
                </c:pt>
                <c:pt idx="473">
                  <c:v>-1310</c:v>
                </c:pt>
                <c:pt idx="474">
                  <c:v>-1313.0000000000002</c:v>
                </c:pt>
                <c:pt idx="475">
                  <c:v>-1316</c:v>
                </c:pt>
                <c:pt idx="476">
                  <c:v>-1320</c:v>
                </c:pt>
                <c:pt idx="477">
                  <c:v>-1323.0000000000002</c:v>
                </c:pt>
                <c:pt idx="478">
                  <c:v>-1330</c:v>
                </c:pt>
                <c:pt idx="479">
                  <c:v>-1335.0000000000002</c:v>
                </c:pt>
                <c:pt idx="480">
                  <c:v>-1340</c:v>
                </c:pt>
                <c:pt idx="481">
                  <c:v>-1347.0000000000002</c:v>
                </c:pt>
                <c:pt idx="482">
                  <c:v>-1351</c:v>
                </c:pt>
                <c:pt idx="483">
                  <c:v>-1355</c:v>
                </c:pt>
                <c:pt idx="484">
                  <c:v>-1360</c:v>
                </c:pt>
                <c:pt idx="485">
                  <c:v>-1364</c:v>
                </c:pt>
                <c:pt idx="486">
                  <c:v>-1374</c:v>
                </c:pt>
                <c:pt idx="487">
                  <c:v>-1384.0000000000002</c:v>
                </c:pt>
                <c:pt idx="488">
                  <c:v>-1394.0000000000002</c:v>
                </c:pt>
                <c:pt idx="489">
                  <c:v>-1401</c:v>
                </c:pt>
                <c:pt idx="490">
                  <c:v>-1411</c:v>
                </c:pt>
                <c:pt idx="491">
                  <c:v>-1421</c:v>
                </c:pt>
                <c:pt idx="492">
                  <c:v>-1429</c:v>
                </c:pt>
                <c:pt idx="493">
                  <c:v>-1439</c:v>
                </c:pt>
                <c:pt idx="494">
                  <c:v>-1449</c:v>
                </c:pt>
                <c:pt idx="495">
                  <c:v>-1458.0000000000002</c:v>
                </c:pt>
                <c:pt idx="496">
                  <c:v>-1466.0000000000002</c:v>
                </c:pt>
                <c:pt idx="497">
                  <c:v>-1472.0000000000002</c:v>
                </c:pt>
                <c:pt idx="498">
                  <c:v>-1477</c:v>
                </c:pt>
                <c:pt idx="499">
                  <c:v>-1497</c:v>
                </c:pt>
                <c:pt idx="500">
                  <c:v>-1522</c:v>
                </c:pt>
                <c:pt idx="501">
                  <c:v>-1537.0000000000002</c:v>
                </c:pt>
                <c:pt idx="502">
                  <c:v>-1561.0000000000002</c:v>
                </c:pt>
                <c:pt idx="503">
                  <c:v>-1573.0000000000002</c:v>
                </c:pt>
                <c:pt idx="504">
                  <c:v>-1598</c:v>
                </c:pt>
                <c:pt idx="505">
                  <c:v>-1608</c:v>
                </c:pt>
                <c:pt idx="506">
                  <c:v>-1630.0000000000002</c:v>
                </c:pt>
                <c:pt idx="507">
                  <c:v>-1650.0000000000002</c:v>
                </c:pt>
                <c:pt idx="508">
                  <c:v>-1668.0000000000002</c:v>
                </c:pt>
                <c:pt idx="509">
                  <c:v>-1684.0000000000002</c:v>
                </c:pt>
                <c:pt idx="510">
                  <c:v>-1700.0000000000002</c:v>
                </c:pt>
                <c:pt idx="511">
                  <c:v>-1715</c:v>
                </c:pt>
                <c:pt idx="512">
                  <c:v>-1730</c:v>
                </c:pt>
                <c:pt idx="513">
                  <c:v>-1743</c:v>
                </c:pt>
                <c:pt idx="514">
                  <c:v>-1755.0000000000002</c:v>
                </c:pt>
                <c:pt idx="515">
                  <c:v>-1765.0000000000002</c:v>
                </c:pt>
                <c:pt idx="516">
                  <c:v>-1775.0000000000002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5F0-4DB6-B2FD-C4BD27DE1ECE}"/>
            </c:ext>
          </c:extLst>
        </c:ser>
        <c:ser>
          <c:idx val="3"/>
          <c:order val="3"/>
          <c:tx>
            <c:strRef>
              <c:f>'SL.114+840'!$N$12</c:f>
              <c:strCache>
                <c:ptCount val="1"/>
                <c:pt idx="0">
                  <c:v>Độ lún (phải) (mm)</c:v>
                </c:pt>
              </c:strCache>
            </c:strRef>
          </c:tx>
          <c:spPr>
            <a:ln w="12700">
              <a:solidFill>
                <a:srgbClr val="800000"/>
              </a:solidFill>
              <a:prstDash val="solid"/>
            </a:ln>
          </c:spPr>
          <c:marker>
            <c:symbol val="x"/>
            <c:size val="2"/>
            <c:spPr>
              <a:solidFill>
                <a:srgbClr val="800000"/>
              </a:solidFill>
              <a:ln w="12700">
                <a:solidFill>
                  <a:srgbClr val="800000"/>
                </a:solidFill>
                <a:prstDash val="solid"/>
              </a:ln>
            </c:spPr>
          </c:marker>
          <c:xVal>
            <c:numRef>
              <c:f>'SL.114+840'!$A$14:$A$800</c:f>
              <c:numCache>
                <c:formatCode>dd/mm/yyyy;@</c:formatCode>
                <c:ptCount val="787"/>
                <c:pt idx="0">
                  <c:v>45270</c:v>
                </c:pt>
                <c:pt idx="1">
                  <c:v>45271</c:v>
                </c:pt>
                <c:pt idx="2">
                  <c:v>45272</c:v>
                </c:pt>
                <c:pt idx="3">
                  <c:v>45273</c:v>
                </c:pt>
                <c:pt idx="4">
                  <c:v>45274</c:v>
                </c:pt>
                <c:pt idx="5">
                  <c:v>45275</c:v>
                </c:pt>
                <c:pt idx="6">
                  <c:v>45276</c:v>
                </c:pt>
                <c:pt idx="7">
                  <c:v>45277</c:v>
                </c:pt>
                <c:pt idx="8">
                  <c:v>45278</c:v>
                </c:pt>
                <c:pt idx="9">
                  <c:v>45279</c:v>
                </c:pt>
                <c:pt idx="10">
                  <c:v>45280</c:v>
                </c:pt>
                <c:pt idx="11">
                  <c:v>45281</c:v>
                </c:pt>
                <c:pt idx="12">
                  <c:v>45282</c:v>
                </c:pt>
                <c:pt idx="13">
                  <c:v>45283</c:v>
                </c:pt>
                <c:pt idx="14">
                  <c:v>45284</c:v>
                </c:pt>
                <c:pt idx="15">
                  <c:v>45285</c:v>
                </c:pt>
                <c:pt idx="16">
                  <c:v>45286</c:v>
                </c:pt>
                <c:pt idx="17">
                  <c:v>45287</c:v>
                </c:pt>
                <c:pt idx="18">
                  <c:v>45288</c:v>
                </c:pt>
                <c:pt idx="19">
                  <c:v>45289</c:v>
                </c:pt>
                <c:pt idx="20">
                  <c:v>45290</c:v>
                </c:pt>
                <c:pt idx="21">
                  <c:v>45291</c:v>
                </c:pt>
                <c:pt idx="22">
                  <c:v>45292</c:v>
                </c:pt>
                <c:pt idx="23">
                  <c:v>45293</c:v>
                </c:pt>
                <c:pt idx="24">
                  <c:v>45294</c:v>
                </c:pt>
                <c:pt idx="25">
                  <c:v>45295</c:v>
                </c:pt>
                <c:pt idx="26">
                  <c:v>45296</c:v>
                </c:pt>
                <c:pt idx="27">
                  <c:v>45297</c:v>
                </c:pt>
                <c:pt idx="28">
                  <c:v>45298</c:v>
                </c:pt>
                <c:pt idx="29">
                  <c:v>45299</c:v>
                </c:pt>
                <c:pt idx="30">
                  <c:v>45300</c:v>
                </c:pt>
                <c:pt idx="31">
                  <c:v>45301</c:v>
                </c:pt>
                <c:pt idx="32">
                  <c:v>45302</c:v>
                </c:pt>
                <c:pt idx="33">
                  <c:v>45303</c:v>
                </c:pt>
                <c:pt idx="34">
                  <c:v>45304</c:v>
                </c:pt>
                <c:pt idx="35">
                  <c:v>45305</c:v>
                </c:pt>
                <c:pt idx="36">
                  <c:v>45306</c:v>
                </c:pt>
                <c:pt idx="37">
                  <c:v>45307</c:v>
                </c:pt>
                <c:pt idx="38">
                  <c:v>45308</c:v>
                </c:pt>
                <c:pt idx="39">
                  <c:v>45309</c:v>
                </c:pt>
                <c:pt idx="40">
                  <c:v>45310</c:v>
                </c:pt>
                <c:pt idx="41">
                  <c:v>45311</c:v>
                </c:pt>
                <c:pt idx="42">
                  <c:v>45312</c:v>
                </c:pt>
                <c:pt idx="43">
                  <c:v>45313</c:v>
                </c:pt>
                <c:pt idx="44">
                  <c:v>45314</c:v>
                </c:pt>
                <c:pt idx="45">
                  <c:v>45315</c:v>
                </c:pt>
                <c:pt idx="46">
                  <c:v>45316</c:v>
                </c:pt>
                <c:pt idx="47">
                  <c:v>45317</c:v>
                </c:pt>
                <c:pt idx="48">
                  <c:v>45318</c:v>
                </c:pt>
                <c:pt idx="49">
                  <c:v>45319</c:v>
                </c:pt>
                <c:pt idx="50">
                  <c:v>45320</c:v>
                </c:pt>
                <c:pt idx="51">
                  <c:v>45321</c:v>
                </c:pt>
                <c:pt idx="52">
                  <c:v>45322</c:v>
                </c:pt>
                <c:pt idx="53">
                  <c:v>45323</c:v>
                </c:pt>
                <c:pt idx="54">
                  <c:v>45324</c:v>
                </c:pt>
                <c:pt idx="55">
                  <c:v>45325</c:v>
                </c:pt>
                <c:pt idx="56">
                  <c:v>45326</c:v>
                </c:pt>
                <c:pt idx="57">
                  <c:v>45327</c:v>
                </c:pt>
                <c:pt idx="58">
                  <c:v>45328</c:v>
                </c:pt>
                <c:pt idx="59">
                  <c:v>45329</c:v>
                </c:pt>
                <c:pt idx="60">
                  <c:v>45330</c:v>
                </c:pt>
                <c:pt idx="61">
                  <c:v>45331</c:v>
                </c:pt>
                <c:pt idx="62">
                  <c:v>45332</c:v>
                </c:pt>
                <c:pt idx="63">
                  <c:v>45333</c:v>
                </c:pt>
                <c:pt idx="64">
                  <c:v>45334</c:v>
                </c:pt>
                <c:pt idx="65">
                  <c:v>45335</c:v>
                </c:pt>
                <c:pt idx="66">
                  <c:v>45336</c:v>
                </c:pt>
                <c:pt idx="67">
                  <c:v>45337</c:v>
                </c:pt>
                <c:pt idx="68">
                  <c:v>45338</c:v>
                </c:pt>
                <c:pt idx="69">
                  <c:v>45339</c:v>
                </c:pt>
                <c:pt idx="70">
                  <c:v>45340</c:v>
                </c:pt>
                <c:pt idx="71">
                  <c:v>45341</c:v>
                </c:pt>
                <c:pt idx="72">
                  <c:v>45342</c:v>
                </c:pt>
                <c:pt idx="73">
                  <c:v>45343</c:v>
                </c:pt>
                <c:pt idx="74">
                  <c:v>45344</c:v>
                </c:pt>
                <c:pt idx="75">
                  <c:v>45345</c:v>
                </c:pt>
                <c:pt idx="76">
                  <c:v>45346</c:v>
                </c:pt>
                <c:pt idx="77">
                  <c:v>45347</c:v>
                </c:pt>
                <c:pt idx="78">
                  <c:v>45348</c:v>
                </c:pt>
                <c:pt idx="79">
                  <c:v>45349</c:v>
                </c:pt>
                <c:pt idx="80">
                  <c:v>45350</c:v>
                </c:pt>
                <c:pt idx="81">
                  <c:v>45351</c:v>
                </c:pt>
                <c:pt idx="82">
                  <c:v>45352</c:v>
                </c:pt>
                <c:pt idx="83">
                  <c:v>45353</c:v>
                </c:pt>
                <c:pt idx="84">
                  <c:v>45354</c:v>
                </c:pt>
                <c:pt idx="85">
                  <c:v>45355</c:v>
                </c:pt>
                <c:pt idx="86">
                  <c:v>45356</c:v>
                </c:pt>
                <c:pt idx="87">
                  <c:v>45357</c:v>
                </c:pt>
                <c:pt idx="88">
                  <c:v>45358</c:v>
                </c:pt>
                <c:pt idx="89">
                  <c:v>45359</c:v>
                </c:pt>
                <c:pt idx="90">
                  <c:v>45360</c:v>
                </c:pt>
                <c:pt idx="91">
                  <c:v>45361</c:v>
                </c:pt>
                <c:pt idx="92">
                  <c:v>45362</c:v>
                </c:pt>
                <c:pt idx="93">
                  <c:v>45363</c:v>
                </c:pt>
                <c:pt idx="94">
                  <c:v>45364</c:v>
                </c:pt>
                <c:pt idx="95">
                  <c:v>45365</c:v>
                </c:pt>
                <c:pt idx="96">
                  <c:v>45366</c:v>
                </c:pt>
                <c:pt idx="97">
                  <c:v>45367</c:v>
                </c:pt>
                <c:pt idx="98">
                  <c:v>45368</c:v>
                </c:pt>
                <c:pt idx="99">
                  <c:v>45369</c:v>
                </c:pt>
                <c:pt idx="100">
                  <c:v>45370</c:v>
                </c:pt>
                <c:pt idx="101">
                  <c:v>45371</c:v>
                </c:pt>
                <c:pt idx="102">
                  <c:v>45372</c:v>
                </c:pt>
                <c:pt idx="103">
                  <c:v>45373</c:v>
                </c:pt>
                <c:pt idx="104">
                  <c:v>45374</c:v>
                </c:pt>
                <c:pt idx="105">
                  <c:v>45375</c:v>
                </c:pt>
                <c:pt idx="106">
                  <c:v>45376</c:v>
                </c:pt>
                <c:pt idx="107">
                  <c:v>45377</c:v>
                </c:pt>
                <c:pt idx="108">
                  <c:v>45378</c:v>
                </c:pt>
                <c:pt idx="109">
                  <c:v>45379</c:v>
                </c:pt>
                <c:pt idx="110">
                  <c:v>45380</c:v>
                </c:pt>
                <c:pt idx="111">
                  <c:v>45381</c:v>
                </c:pt>
                <c:pt idx="112">
                  <c:v>45382</c:v>
                </c:pt>
                <c:pt idx="113">
                  <c:v>45383</c:v>
                </c:pt>
                <c:pt idx="114">
                  <c:v>45384</c:v>
                </c:pt>
                <c:pt idx="115">
                  <c:v>45385</c:v>
                </c:pt>
                <c:pt idx="116">
                  <c:v>45386</c:v>
                </c:pt>
                <c:pt idx="117">
                  <c:v>45387</c:v>
                </c:pt>
                <c:pt idx="118">
                  <c:v>45388</c:v>
                </c:pt>
                <c:pt idx="119">
                  <c:v>45389</c:v>
                </c:pt>
                <c:pt idx="120">
                  <c:v>45390</c:v>
                </c:pt>
                <c:pt idx="121">
                  <c:v>45391</c:v>
                </c:pt>
                <c:pt idx="122">
                  <c:v>45392</c:v>
                </c:pt>
                <c:pt idx="123">
                  <c:v>45393</c:v>
                </c:pt>
                <c:pt idx="124">
                  <c:v>45394</c:v>
                </c:pt>
                <c:pt idx="125">
                  <c:v>45395</c:v>
                </c:pt>
                <c:pt idx="126">
                  <c:v>45396</c:v>
                </c:pt>
                <c:pt idx="127">
                  <c:v>45397</c:v>
                </c:pt>
                <c:pt idx="128">
                  <c:v>45398</c:v>
                </c:pt>
                <c:pt idx="129">
                  <c:v>45399</c:v>
                </c:pt>
                <c:pt idx="130">
                  <c:v>45400</c:v>
                </c:pt>
                <c:pt idx="131">
                  <c:v>45401</c:v>
                </c:pt>
                <c:pt idx="132">
                  <c:v>45402</c:v>
                </c:pt>
                <c:pt idx="133">
                  <c:v>45403</c:v>
                </c:pt>
                <c:pt idx="134">
                  <c:v>45404</c:v>
                </c:pt>
                <c:pt idx="135">
                  <c:v>45405</c:v>
                </c:pt>
                <c:pt idx="136">
                  <c:v>45406</c:v>
                </c:pt>
                <c:pt idx="137">
                  <c:v>45407</c:v>
                </c:pt>
                <c:pt idx="138">
                  <c:v>45408</c:v>
                </c:pt>
                <c:pt idx="139">
                  <c:v>45409</c:v>
                </c:pt>
                <c:pt idx="140">
                  <c:v>45410</c:v>
                </c:pt>
                <c:pt idx="141">
                  <c:v>45411</c:v>
                </c:pt>
                <c:pt idx="142">
                  <c:v>45412</c:v>
                </c:pt>
                <c:pt idx="143">
                  <c:v>45413</c:v>
                </c:pt>
                <c:pt idx="144">
                  <c:v>45414</c:v>
                </c:pt>
                <c:pt idx="145">
                  <c:v>45415</c:v>
                </c:pt>
                <c:pt idx="146">
                  <c:v>45416</c:v>
                </c:pt>
                <c:pt idx="147">
                  <c:v>45417</c:v>
                </c:pt>
                <c:pt idx="148">
                  <c:v>45418</c:v>
                </c:pt>
                <c:pt idx="149">
                  <c:v>45419</c:v>
                </c:pt>
                <c:pt idx="150">
                  <c:v>45420</c:v>
                </c:pt>
                <c:pt idx="151">
                  <c:v>45421</c:v>
                </c:pt>
                <c:pt idx="152">
                  <c:v>45422</c:v>
                </c:pt>
                <c:pt idx="153">
                  <c:v>45423</c:v>
                </c:pt>
                <c:pt idx="154">
                  <c:v>45424</c:v>
                </c:pt>
                <c:pt idx="155">
                  <c:v>45425</c:v>
                </c:pt>
                <c:pt idx="156">
                  <c:v>45426</c:v>
                </c:pt>
                <c:pt idx="157">
                  <c:v>45427</c:v>
                </c:pt>
                <c:pt idx="158">
                  <c:v>45428</c:v>
                </c:pt>
                <c:pt idx="159">
                  <c:v>45429</c:v>
                </c:pt>
                <c:pt idx="160">
                  <c:v>45430</c:v>
                </c:pt>
                <c:pt idx="161">
                  <c:v>45431</c:v>
                </c:pt>
                <c:pt idx="162">
                  <c:v>45432</c:v>
                </c:pt>
                <c:pt idx="163">
                  <c:v>45433</c:v>
                </c:pt>
                <c:pt idx="164">
                  <c:v>45434</c:v>
                </c:pt>
                <c:pt idx="165">
                  <c:v>45435</c:v>
                </c:pt>
                <c:pt idx="166">
                  <c:v>45436</c:v>
                </c:pt>
                <c:pt idx="167">
                  <c:v>45437</c:v>
                </c:pt>
                <c:pt idx="168">
                  <c:v>45438</c:v>
                </c:pt>
                <c:pt idx="169">
                  <c:v>45439</c:v>
                </c:pt>
                <c:pt idx="170">
                  <c:v>45440</c:v>
                </c:pt>
                <c:pt idx="171">
                  <c:v>45441</c:v>
                </c:pt>
                <c:pt idx="172">
                  <c:v>45442</c:v>
                </c:pt>
                <c:pt idx="173">
                  <c:v>45443</c:v>
                </c:pt>
                <c:pt idx="174">
                  <c:v>45444</c:v>
                </c:pt>
                <c:pt idx="175">
                  <c:v>45445</c:v>
                </c:pt>
                <c:pt idx="176">
                  <c:v>45446</c:v>
                </c:pt>
                <c:pt idx="177">
                  <c:v>45447</c:v>
                </c:pt>
                <c:pt idx="178">
                  <c:v>45448</c:v>
                </c:pt>
                <c:pt idx="179">
                  <c:v>45449</c:v>
                </c:pt>
                <c:pt idx="180">
                  <c:v>45450</c:v>
                </c:pt>
                <c:pt idx="181">
                  <c:v>45451</c:v>
                </c:pt>
                <c:pt idx="182">
                  <c:v>45452</c:v>
                </c:pt>
                <c:pt idx="183">
                  <c:v>45453</c:v>
                </c:pt>
                <c:pt idx="184">
                  <c:v>45454</c:v>
                </c:pt>
                <c:pt idx="185">
                  <c:v>45455</c:v>
                </c:pt>
                <c:pt idx="186">
                  <c:v>45456</c:v>
                </c:pt>
                <c:pt idx="187">
                  <c:v>45457</c:v>
                </c:pt>
                <c:pt idx="188">
                  <c:v>45458</c:v>
                </c:pt>
                <c:pt idx="189">
                  <c:v>45459</c:v>
                </c:pt>
                <c:pt idx="190">
                  <c:v>45460</c:v>
                </c:pt>
                <c:pt idx="191">
                  <c:v>45461</c:v>
                </c:pt>
                <c:pt idx="192">
                  <c:v>45462</c:v>
                </c:pt>
                <c:pt idx="193">
                  <c:v>45463</c:v>
                </c:pt>
                <c:pt idx="194">
                  <c:v>45464</c:v>
                </c:pt>
                <c:pt idx="195">
                  <c:v>45465</c:v>
                </c:pt>
                <c:pt idx="196">
                  <c:v>45466</c:v>
                </c:pt>
                <c:pt idx="197">
                  <c:v>45467</c:v>
                </c:pt>
                <c:pt idx="198">
                  <c:v>45468</c:v>
                </c:pt>
                <c:pt idx="199">
                  <c:v>45469</c:v>
                </c:pt>
                <c:pt idx="200">
                  <c:v>45470</c:v>
                </c:pt>
                <c:pt idx="201">
                  <c:v>45471</c:v>
                </c:pt>
                <c:pt idx="202">
                  <c:v>45472</c:v>
                </c:pt>
                <c:pt idx="203">
                  <c:v>45473</c:v>
                </c:pt>
                <c:pt idx="204">
                  <c:v>45474</c:v>
                </c:pt>
                <c:pt idx="205">
                  <c:v>45475</c:v>
                </c:pt>
                <c:pt idx="206">
                  <c:v>45476</c:v>
                </c:pt>
                <c:pt idx="207">
                  <c:v>45477</c:v>
                </c:pt>
                <c:pt idx="208">
                  <c:v>45478</c:v>
                </c:pt>
                <c:pt idx="209">
                  <c:v>45479</c:v>
                </c:pt>
                <c:pt idx="210">
                  <c:v>45480</c:v>
                </c:pt>
                <c:pt idx="211">
                  <c:v>45481</c:v>
                </c:pt>
                <c:pt idx="212">
                  <c:v>45482</c:v>
                </c:pt>
                <c:pt idx="213">
                  <c:v>45483</c:v>
                </c:pt>
                <c:pt idx="214">
                  <c:v>45484</c:v>
                </c:pt>
                <c:pt idx="215">
                  <c:v>45485</c:v>
                </c:pt>
                <c:pt idx="216">
                  <c:v>45486</c:v>
                </c:pt>
                <c:pt idx="217">
                  <c:v>45487</c:v>
                </c:pt>
                <c:pt idx="218">
                  <c:v>45488</c:v>
                </c:pt>
                <c:pt idx="219">
                  <c:v>45489</c:v>
                </c:pt>
                <c:pt idx="220">
                  <c:v>45490</c:v>
                </c:pt>
                <c:pt idx="221">
                  <c:v>45491</c:v>
                </c:pt>
                <c:pt idx="222">
                  <c:v>45492</c:v>
                </c:pt>
                <c:pt idx="223">
                  <c:v>45493</c:v>
                </c:pt>
                <c:pt idx="224">
                  <c:v>45494</c:v>
                </c:pt>
                <c:pt idx="225">
                  <c:v>45495</c:v>
                </c:pt>
                <c:pt idx="226">
                  <c:v>45496</c:v>
                </c:pt>
                <c:pt idx="227">
                  <c:v>45497</c:v>
                </c:pt>
                <c:pt idx="228">
                  <c:v>45498</c:v>
                </c:pt>
                <c:pt idx="229">
                  <c:v>45499</c:v>
                </c:pt>
                <c:pt idx="230">
                  <c:v>45500</c:v>
                </c:pt>
                <c:pt idx="231">
                  <c:v>45501</c:v>
                </c:pt>
                <c:pt idx="232">
                  <c:v>45502</c:v>
                </c:pt>
                <c:pt idx="233">
                  <c:v>45503</c:v>
                </c:pt>
                <c:pt idx="234">
                  <c:v>45504</c:v>
                </c:pt>
                <c:pt idx="235">
                  <c:v>45505</c:v>
                </c:pt>
                <c:pt idx="236">
                  <c:v>45506</c:v>
                </c:pt>
                <c:pt idx="237">
                  <c:v>45507</c:v>
                </c:pt>
                <c:pt idx="238">
                  <c:v>45508</c:v>
                </c:pt>
                <c:pt idx="239">
                  <c:v>45509</c:v>
                </c:pt>
                <c:pt idx="240">
                  <c:v>45510</c:v>
                </c:pt>
                <c:pt idx="241">
                  <c:v>45511</c:v>
                </c:pt>
                <c:pt idx="242">
                  <c:v>45512</c:v>
                </c:pt>
                <c:pt idx="243">
                  <c:v>45513</c:v>
                </c:pt>
                <c:pt idx="244">
                  <c:v>45514</c:v>
                </c:pt>
                <c:pt idx="245">
                  <c:v>45515</c:v>
                </c:pt>
                <c:pt idx="246">
                  <c:v>45516</c:v>
                </c:pt>
                <c:pt idx="247">
                  <c:v>45517</c:v>
                </c:pt>
                <c:pt idx="248">
                  <c:v>45518</c:v>
                </c:pt>
                <c:pt idx="249">
                  <c:v>45519</c:v>
                </c:pt>
                <c:pt idx="250">
                  <c:v>45520</c:v>
                </c:pt>
                <c:pt idx="251">
                  <c:v>45521</c:v>
                </c:pt>
                <c:pt idx="252">
                  <c:v>45522</c:v>
                </c:pt>
                <c:pt idx="253">
                  <c:v>45523</c:v>
                </c:pt>
                <c:pt idx="254">
                  <c:v>45524</c:v>
                </c:pt>
                <c:pt idx="255">
                  <c:v>45525</c:v>
                </c:pt>
                <c:pt idx="256">
                  <c:v>45526</c:v>
                </c:pt>
                <c:pt idx="257">
                  <c:v>45527</c:v>
                </c:pt>
                <c:pt idx="258">
                  <c:v>45528</c:v>
                </c:pt>
                <c:pt idx="259">
                  <c:v>45529</c:v>
                </c:pt>
                <c:pt idx="260">
                  <c:v>45530</c:v>
                </c:pt>
                <c:pt idx="261">
                  <c:v>45531</c:v>
                </c:pt>
                <c:pt idx="262">
                  <c:v>45532</c:v>
                </c:pt>
                <c:pt idx="263">
                  <c:v>45533</c:v>
                </c:pt>
                <c:pt idx="264">
                  <c:v>45534</c:v>
                </c:pt>
                <c:pt idx="265">
                  <c:v>45535</c:v>
                </c:pt>
                <c:pt idx="266">
                  <c:v>45536</c:v>
                </c:pt>
                <c:pt idx="267">
                  <c:v>45537</c:v>
                </c:pt>
                <c:pt idx="268">
                  <c:v>45538</c:v>
                </c:pt>
                <c:pt idx="269">
                  <c:v>45539</c:v>
                </c:pt>
                <c:pt idx="270">
                  <c:v>45540</c:v>
                </c:pt>
                <c:pt idx="271">
                  <c:v>45541</c:v>
                </c:pt>
                <c:pt idx="272">
                  <c:v>45542</c:v>
                </c:pt>
                <c:pt idx="273">
                  <c:v>45543</c:v>
                </c:pt>
                <c:pt idx="274">
                  <c:v>45544</c:v>
                </c:pt>
                <c:pt idx="275">
                  <c:v>45545</c:v>
                </c:pt>
                <c:pt idx="276">
                  <c:v>45546</c:v>
                </c:pt>
                <c:pt idx="277">
                  <c:v>45547</c:v>
                </c:pt>
                <c:pt idx="278">
                  <c:v>45548</c:v>
                </c:pt>
                <c:pt idx="279">
                  <c:v>45549</c:v>
                </c:pt>
                <c:pt idx="280">
                  <c:v>45550</c:v>
                </c:pt>
                <c:pt idx="281">
                  <c:v>45551</c:v>
                </c:pt>
                <c:pt idx="282">
                  <c:v>45552</c:v>
                </c:pt>
                <c:pt idx="283">
                  <c:v>45553</c:v>
                </c:pt>
                <c:pt idx="284">
                  <c:v>45554</c:v>
                </c:pt>
                <c:pt idx="285">
                  <c:v>45555</c:v>
                </c:pt>
                <c:pt idx="286">
                  <c:v>45556</c:v>
                </c:pt>
                <c:pt idx="287">
                  <c:v>45557</c:v>
                </c:pt>
                <c:pt idx="288">
                  <c:v>45558</c:v>
                </c:pt>
                <c:pt idx="289">
                  <c:v>45559</c:v>
                </c:pt>
                <c:pt idx="290">
                  <c:v>45560</c:v>
                </c:pt>
                <c:pt idx="291">
                  <c:v>45561</c:v>
                </c:pt>
                <c:pt idx="292">
                  <c:v>45562</c:v>
                </c:pt>
                <c:pt idx="293">
                  <c:v>45563</c:v>
                </c:pt>
                <c:pt idx="294">
                  <c:v>45564</c:v>
                </c:pt>
                <c:pt idx="295">
                  <c:v>45565</c:v>
                </c:pt>
                <c:pt idx="296">
                  <c:v>45566</c:v>
                </c:pt>
                <c:pt idx="297">
                  <c:v>45567</c:v>
                </c:pt>
                <c:pt idx="298">
                  <c:v>45568</c:v>
                </c:pt>
                <c:pt idx="299">
                  <c:v>45569</c:v>
                </c:pt>
                <c:pt idx="300">
                  <c:v>45570</c:v>
                </c:pt>
                <c:pt idx="301">
                  <c:v>45571</c:v>
                </c:pt>
                <c:pt idx="302">
                  <c:v>45572</c:v>
                </c:pt>
                <c:pt idx="303">
                  <c:v>45573</c:v>
                </c:pt>
                <c:pt idx="304">
                  <c:v>45574</c:v>
                </c:pt>
                <c:pt idx="305">
                  <c:v>45575</c:v>
                </c:pt>
                <c:pt idx="306">
                  <c:v>45576</c:v>
                </c:pt>
                <c:pt idx="307">
                  <c:v>45577</c:v>
                </c:pt>
                <c:pt idx="308">
                  <c:v>45578</c:v>
                </c:pt>
                <c:pt idx="309">
                  <c:v>45579</c:v>
                </c:pt>
                <c:pt idx="310">
                  <c:v>45580</c:v>
                </c:pt>
                <c:pt idx="311">
                  <c:v>45581</c:v>
                </c:pt>
                <c:pt idx="312">
                  <c:v>45582</c:v>
                </c:pt>
                <c:pt idx="313">
                  <c:v>45583</c:v>
                </c:pt>
                <c:pt idx="314">
                  <c:v>45584</c:v>
                </c:pt>
                <c:pt idx="315">
                  <c:v>45585</c:v>
                </c:pt>
                <c:pt idx="316">
                  <c:v>45586</c:v>
                </c:pt>
                <c:pt idx="317">
                  <c:v>45587</c:v>
                </c:pt>
                <c:pt idx="318">
                  <c:v>45588</c:v>
                </c:pt>
                <c:pt idx="319">
                  <c:v>45589</c:v>
                </c:pt>
                <c:pt idx="320">
                  <c:v>45590</c:v>
                </c:pt>
                <c:pt idx="321">
                  <c:v>45591</c:v>
                </c:pt>
                <c:pt idx="322">
                  <c:v>45592</c:v>
                </c:pt>
                <c:pt idx="323">
                  <c:v>45593</c:v>
                </c:pt>
                <c:pt idx="324">
                  <c:v>45594</c:v>
                </c:pt>
                <c:pt idx="325">
                  <c:v>45595</c:v>
                </c:pt>
                <c:pt idx="326">
                  <c:v>45596</c:v>
                </c:pt>
                <c:pt idx="327">
                  <c:v>45597</c:v>
                </c:pt>
                <c:pt idx="328">
                  <c:v>45598</c:v>
                </c:pt>
                <c:pt idx="329">
                  <c:v>45599</c:v>
                </c:pt>
                <c:pt idx="330">
                  <c:v>45600</c:v>
                </c:pt>
                <c:pt idx="331">
                  <c:v>45601</c:v>
                </c:pt>
                <c:pt idx="332">
                  <c:v>45602</c:v>
                </c:pt>
                <c:pt idx="333">
                  <c:v>45603</c:v>
                </c:pt>
                <c:pt idx="334">
                  <c:v>45604</c:v>
                </c:pt>
                <c:pt idx="335">
                  <c:v>45605</c:v>
                </c:pt>
                <c:pt idx="336">
                  <c:v>45606</c:v>
                </c:pt>
                <c:pt idx="337">
                  <c:v>45607</c:v>
                </c:pt>
                <c:pt idx="338">
                  <c:v>45608</c:v>
                </c:pt>
                <c:pt idx="339">
                  <c:v>45609</c:v>
                </c:pt>
                <c:pt idx="340">
                  <c:v>45610</c:v>
                </c:pt>
                <c:pt idx="341">
                  <c:v>45611</c:v>
                </c:pt>
                <c:pt idx="342">
                  <c:v>45612</c:v>
                </c:pt>
                <c:pt idx="343">
                  <c:v>45613</c:v>
                </c:pt>
                <c:pt idx="344">
                  <c:v>45614</c:v>
                </c:pt>
                <c:pt idx="345">
                  <c:v>45615</c:v>
                </c:pt>
                <c:pt idx="346">
                  <c:v>45616</c:v>
                </c:pt>
                <c:pt idx="347">
                  <c:v>45617</c:v>
                </c:pt>
                <c:pt idx="348">
                  <c:v>45618</c:v>
                </c:pt>
                <c:pt idx="349">
                  <c:v>45619</c:v>
                </c:pt>
                <c:pt idx="350">
                  <c:v>45620</c:v>
                </c:pt>
                <c:pt idx="351">
                  <c:v>45621</c:v>
                </c:pt>
                <c:pt idx="352">
                  <c:v>45622</c:v>
                </c:pt>
                <c:pt idx="353">
                  <c:v>45623</c:v>
                </c:pt>
                <c:pt idx="354">
                  <c:v>45624</c:v>
                </c:pt>
                <c:pt idx="355">
                  <c:v>45625</c:v>
                </c:pt>
                <c:pt idx="356">
                  <c:v>45626</c:v>
                </c:pt>
                <c:pt idx="357">
                  <c:v>45627</c:v>
                </c:pt>
                <c:pt idx="358">
                  <c:v>45628</c:v>
                </c:pt>
                <c:pt idx="359">
                  <c:v>45629</c:v>
                </c:pt>
                <c:pt idx="360">
                  <c:v>45630</c:v>
                </c:pt>
                <c:pt idx="361">
                  <c:v>45631</c:v>
                </c:pt>
                <c:pt idx="362">
                  <c:v>45632</c:v>
                </c:pt>
                <c:pt idx="363">
                  <c:v>45633</c:v>
                </c:pt>
                <c:pt idx="364">
                  <c:v>45634</c:v>
                </c:pt>
                <c:pt idx="365">
                  <c:v>45635</c:v>
                </c:pt>
                <c:pt idx="366">
                  <c:v>45636</c:v>
                </c:pt>
                <c:pt idx="367">
                  <c:v>45637</c:v>
                </c:pt>
                <c:pt idx="368">
                  <c:v>45638</c:v>
                </c:pt>
                <c:pt idx="369">
                  <c:v>45639</c:v>
                </c:pt>
                <c:pt idx="370">
                  <c:v>45640</c:v>
                </c:pt>
                <c:pt idx="371">
                  <c:v>45641</c:v>
                </c:pt>
                <c:pt idx="372">
                  <c:v>45642</c:v>
                </c:pt>
                <c:pt idx="373">
                  <c:v>45643</c:v>
                </c:pt>
                <c:pt idx="374">
                  <c:v>45644</c:v>
                </c:pt>
                <c:pt idx="375">
                  <c:v>45645</c:v>
                </c:pt>
                <c:pt idx="376">
                  <c:v>45646</c:v>
                </c:pt>
                <c:pt idx="377">
                  <c:v>45647</c:v>
                </c:pt>
                <c:pt idx="378">
                  <c:v>45648</c:v>
                </c:pt>
                <c:pt idx="379">
                  <c:v>45649</c:v>
                </c:pt>
                <c:pt idx="380">
                  <c:v>45650</c:v>
                </c:pt>
                <c:pt idx="381">
                  <c:v>45651</c:v>
                </c:pt>
                <c:pt idx="382">
                  <c:v>45652</c:v>
                </c:pt>
                <c:pt idx="383">
                  <c:v>45653</c:v>
                </c:pt>
                <c:pt idx="384">
                  <c:v>45654</c:v>
                </c:pt>
                <c:pt idx="385">
                  <c:v>45655</c:v>
                </c:pt>
                <c:pt idx="386">
                  <c:v>45656</c:v>
                </c:pt>
                <c:pt idx="387">
                  <c:v>45657</c:v>
                </c:pt>
                <c:pt idx="388">
                  <c:v>45658</c:v>
                </c:pt>
                <c:pt idx="389">
                  <c:v>45659</c:v>
                </c:pt>
                <c:pt idx="390">
                  <c:v>45660</c:v>
                </c:pt>
                <c:pt idx="391">
                  <c:v>45661</c:v>
                </c:pt>
                <c:pt idx="392">
                  <c:v>45662</c:v>
                </c:pt>
                <c:pt idx="393">
                  <c:v>45663</c:v>
                </c:pt>
                <c:pt idx="394">
                  <c:v>45664</c:v>
                </c:pt>
                <c:pt idx="395">
                  <c:v>45665</c:v>
                </c:pt>
                <c:pt idx="396">
                  <c:v>45666</c:v>
                </c:pt>
                <c:pt idx="397">
                  <c:v>45667</c:v>
                </c:pt>
                <c:pt idx="398">
                  <c:v>45668</c:v>
                </c:pt>
                <c:pt idx="399">
                  <c:v>45669</c:v>
                </c:pt>
                <c:pt idx="400">
                  <c:v>45670</c:v>
                </c:pt>
                <c:pt idx="401">
                  <c:v>45671</c:v>
                </c:pt>
                <c:pt idx="402">
                  <c:v>45672</c:v>
                </c:pt>
                <c:pt idx="403">
                  <c:v>45673</c:v>
                </c:pt>
                <c:pt idx="404">
                  <c:v>45674</c:v>
                </c:pt>
                <c:pt idx="405">
                  <c:v>45675</c:v>
                </c:pt>
                <c:pt idx="406">
                  <c:v>45676</c:v>
                </c:pt>
                <c:pt idx="407">
                  <c:v>45677</c:v>
                </c:pt>
                <c:pt idx="408">
                  <c:v>45678</c:v>
                </c:pt>
                <c:pt idx="409">
                  <c:v>45679</c:v>
                </c:pt>
                <c:pt idx="410">
                  <c:v>45680</c:v>
                </c:pt>
                <c:pt idx="411">
                  <c:v>45681</c:v>
                </c:pt>
                <c:pt idx="412">
                  <c:v>45682</c:v>
                </c:pt>
                <c:pt idx="413">
                  <c:v>45683</c:v>
                </c:pt>
                <c:pt idx="414">
                  <c:v>45684</c:v>
                </c:pt>
                <c:pt idx="415">
                  <c:v>45685</c:v>
                </c:pt>
                <c:pt idx="416">
                  <c:v>45686</c:v>
                </c:pt>
                <c:pt idx="417">
                  <c:v>45687</c:v>
                </c:pt>
                <c:pt idx="418">
                  <c:v>45688</c:v>
                </c:pt>
                <c:pt idx="419">
                  <c:v>45689</c:v>
                </c:pt>
                <c:pt idx="420">
                  <c:v>45690</c:v>
                </c:pt>
                <c:pt idx="421">
                  <c:v>45691</c:v>
                </c:pt>
                <c:pt idx="422">
                  <c:v>45692</c:v>
                </c:pt>
                <c:pt idx="423">
                  <c:v>45693</c:v>
                </c:pt>
                <c:pt idx="424">
                  <c:v>45694</c:v>
                </c:pt>
                <c:pt idx="425">
                  <c:v>45695</c:v>
                </c:pt>
                <c:pt idx="426">
                  <c:v>45696</c:v>
                </c:pt>
                <c:pt idx="427">
                  <c:v>45697</c:v>
                </c:pt>
                <c:pt idx="428">
                  <c:v>45698</c:v>
                </c:pt>
                <c:pt idx="429">
                  <c:v>45699</c:v>
                </c:pt>
                <c:pt idx="430">
                  <c:v>45700</c:v>
                </c:pt>
                <c:pt idx="431">
                  <c:v>45701</c:v>
                </c:pt>
                <c:pt idx="432">
                  <c:v>45702</c:v>
                </c:pt>
                <c:pt idx="433">
                  <c:v>45703</c:v>
                </c:pt>
                <c:pt idx="434">
                  <c:v>45704</c:v>
                </c:pt>
                <c:pt idx="435">
                  <c:v>45705</c:v>
                </c:pt>
                <c:pt idx="436">
                  <c:v>45706</c:v>
                </c:pt>
                <c:pt idx="437">
                  <c:v>45707</c:v>
                </c:pt>
                <c:pt idx="438">
                  <c:v>45708</c:v>
                </c:pt>
                <c:pt idx="439">
                  <c:v>45709</c:v>
                </c:pt>
                <c:pt idx="440">
                  <c:v>45710</c:v>
                </c:pt>
                <c:pt idx="441">
                  <c:v>45711</c:v>
                </c:pt>
                <c:pt idx="442">
                  <c:v>45712</c:v>
                </c:pt>
                <c:pt idx="443">
                  <c:v>45713</c:v>
                </c:pt>
                <c:pt idx="444">
                  <c:v>45714</c:v>
                </c:pt>
                <c:pt idx="445">
                  <c:v>45715</c:v>
                </c:pt>
                <c:pt idx="446">
                  <c:v>45716</c:v>
                </c:pt>
                <c:pt idx="447">
                  <c:v>45717</c:v>
                </c:pt>
                <c:pt idx="448">
                  <c:v>45718</c:v>
                </c:pt>
                <c:pt idx="449">
                  <c:v>45719</c:v>
                </c:pt>
                <c:pt idx="450">
                  <c:v>45720</c:v>
                </c:pt>
                <c:pt idx="451">
                  <c:v>45721</c:v>
                </c:pt>
                <c:pt idx="452">
                  <c:v>45722</c:v>
                </c:pt>
                <c:pt idx="453">
                  <c:v>45723</c:v>
                </c:pt>
                <c:pt idx="454">
                  <c:v>45724</c:v>
                </c:pt>
                <c:pt idx="455">
                  <c:v>45725</c:v>
                </c:pt>
                <c:pt idx="456">
                  <c:v>45726</c:v>
                </c:pt>
                <c:pt idx="457">
                  <c:v>45727</c:v>
                </c:pt>
                <c:pt idx="458">
                  <c:v>45728</c:v>
                </c:pt>
                <c:pt idx="459">
                  <c:v>45729</c:v>
                </c:pt>
                <c:pt idx="460">
                  <c:v>45730</c:v>
                </c:pt>
                <c:pt idx="461">
                  <c:v>45731</c:v>
                </c:pt>
                <c:pt idx="462">
                  <c:v>45732</c:v>
                </c:pt>
                <c:pt idx="463">
                  <c:v>45733</c:v>
                </c:pt>
                <c:pt idx="464">
                  <c:v>45734</c:v>
                </c:pt>
                <c:pt idx="465">
                  <c:v>45735</c:v>
                </c:pt>
                <c:pt idx="466">
                  <c:v>45736</c:v>
                </c:pt>
                <c:pt idx="467">
                  <c:v>45737</c:v>
                </c:pt>
                <c:pt idx="468">
                  <c:v>45738</c:v>
                </c:pt>
                <c:pt idx="469">
                  <c:v>45739</c:v>
                </c:pt>
                <c:pt idx="470">
                  <c:v>45740</c:v>
                </c:pt>
                <c:pt idx="471">
                  <c:v>45741</c:v>
                </c:pt>
                <c:pt idx="472">
                  <c:v>45742</c:v>
                </c:pt>
                <c:pt idx="473">
                  <c:v>45743</c:v>
                </c:pt>
                <c:pt idx="474">
                  <c:v>45744</c:v>
                </c:pt>
                <c:pt idx="475">
                  <c:v>45745</c:v>
                </c:pt>
                <c:pt idx="476">
                  <c:v>45746</c:v>
                </c:pt>
                <c:pt idx="477">
                  <c:v>45747</c:v>
                </c:pt>
                <c:pt idx="478">
                  <c:v>45748</c:v>
                </c:pt>
                <c:pt idx="479">
                  <c:v>45749</c:v>
                </c:pt>
                <c:pt idx="480">
                  <c:v>45750</c:v>
                </c:pt>
                <c:pt idx="481">
                  <c:v>45751</c:v>
                </c:pt>
                <c:pt idx="482">
                  <c:v>45752</c:v>
                </c:pt>
                <c:pt idx="483">
                  <c:v>45753</c:v>
                </c:pt>
                <c:pt idx="484">
                  <c:v>45754</c:v>
                </c:pt>
                <c:pt idx="485">
                  <c:v>45755</c:v>
                </c:pt>
                <c:pt idx="486">
                  <c:v>45756</c:v>
                </c:pt>
                <c:pt idx="487">
                  <c:v>45757</c:v>
                </c:pt>
                <c:pt idx="488">
                  <c:v>45758</c:v>
                </c:pt>
                <c:pt idx="489">
                  <c:v>45759</c:v>
                </c:pt>
                <c:pt idx="490">
                  <c:v>45760</c:v>
                </c:pt>
                <c:pt idx="491">
                  <c:v>45761</c:v>
                </c:pt>
                <c:pt idx="492">
                  <c:v>45762</c:v>
                </c:pt>
                <c:pt idx="493">
                  <c:v>45763</c:v>
                </c:pt>
                <c:pt idx="494">
                  <c:v>45764</c:v>
                </c:pt>
                <c:pt idx="495">
                  <c:v>45765</c:v>
                </c:pt>
                <c:pt idx="496">
                  <c:v>45766</c:v>
                </c:pt>
                <c:pt idx="497">
                  <c:v>45767</c:v>
                </c:pt>
                <c:pt idx="498">
                  <c:v>45768</c:v>
                </c:pt>
                <c:pt idx="499">
                  <c:v>45771</c:v>
                </c:pt>
                <c:pt idx="500">
                  <c:v>45775</c:v>
                </c:pt>
                <c:pt idx="501">
                  <c:v>45778</c:v>
                </c:pt>
                <c:pt idx="502">
                  <c:v>45782</c:v>
                </c:pt>
                <c:pt idx="503">
                  <c:v>45785</c:v>
                </c:pt>
                <c:pt idx="504">
                  <c:v>45789</c:v>
                </c:pt>
                <c:pt idx="505">
                  <c:v>45792</c:v>
                </c:pt>
                <c:pt idx="506">
                  <c:v>45796</c:v>
                </c:pt>
                <c:pt idx="507">
                  <c:v>45803</c:v>
                </c:pt>
                <c:pt idx="508">
                  <c:v>45810</c:v>
                </c:pt>
                <c:pt idx="509">
                  <c:v>45817</c:v>
                </c:pt>
                <c:pt idx="510">
                  <c:v>45824</c:v>
                </c:pt>
                <c:pt idx="511">
                  <c:v>45831</c:v>
                </c:pt>
                <c:pt idx="512">
                  <c:v>45838</c:v>
                </c:pt>
                <c:pt idx="513">
                  <c:v>45845</c:v>
                </c:pt>
                <c:pt idx="514">
                  <c:v>45852</c:v>
                </c:pt>
                <c:pt idx="515">
                  <c:v>45859</c:v>
                </c:pt>
                <c:pt idx="516">
                  <c:v>45866</c:v>
                </c:pt>
              </c:numCache>
            </c:numRef>
          </c:xVal>
          <c:yVal>
            <c:numRef>
              <c:f>'SL.114+840'!$N$14:$N$800</c:f>
              <c:numCache>
                <c:formatCode>General</c:formatCode>
                <c:ptCount val="7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-8.0000000000000071</c:v>
                </c:pt>
                <c:pt idx="18">
                  <c:v>-14.000000000000012</c:v>
                </c:pt>
                <c:pt idx="19">
                  <c:v>-19.999999999999961</c:v>
                </c:pt>
                <c:pt idx="20">
                  <c:v>-25.999999999999968</c:v>
                </c:pt>
                <c:pt idx="21">
                  <c:v>-34.999999999999979</c:v>
                </c:pt>
                <c:pt idx="22">
                  <c:v>-37.999999999999979</c:v>
                </c:pt>
                <c:pt idx="23">
                  <c:v>-44.999999999999986</c:v>
                </c:pt>
                <c:pt idx="24">
                  <c:v>-47.999999999999986</c:v>
                </c:pt>
                <c:pt idx="25">
                  <c:v>-51.999999999999993</c:v>
                </c:pt>
                <c:pt idx="26">
                  <c:v>-56.999999999999993</c:v>
                </c:pt>
                <c:pt idx="27">
                  <c:v>-66</c:v>
                </c:pt>
                <c:pt idx="28">
                  <c:v>-70</c:v>
                </c:pt>
                <c:pt idx="29">
                  <c:v>-78.999999999999957</c:v>
                </c:pt>
                <c:pt idx="30">
                  <c:v>-82.999999999999957</c:v>
                </c:pt>
                <c:pt idx="31">
                  <c:v>-89.999999999999972</c:v>
                </c:pt>
                <c:pt idx="32">
                  <c:v>-92.999999999999972</c:v>
                </c:pt>
                <c:pt idx="33">
                  <c:v>-96.999999999999972</c:v>
                </c:pt>
                <c:pt idx="34">
                  <c:v>-101.99999999999999</c:v>
                </c:pt>
                <c:pt idx="35">
                  <c:v>-110.99999999999999</c:v>
                </c:pt>
                <c:pt idx="36">
                  <c:v>-114.99999999999999</c:v>
                </c:pt>
                <c:pt idx="37">
                  <c:v>-118</c:v>
                </c:pt>
                <c:pt idx="38">
                  <c:v>-120</c:v>
                </c:pt>
                <c:pt idx="39">
                  <c:v>-124</c:v>
                </c:pt>
                <c:pt idx="40">
                  <c:v>-128</c:v>
                </c:pt>
                <c:pt idx="41">
                  <c:v>-136</c:v>
                </c:pt>
                <c:pt idx="42">
                  <c:v>-141</c:v>
                </c:pt>
                <c:pt idx="43">
                  <c:v>-145.00000000000003</c:v>
                </c:pt>
                <c:pt idx="44">
                  <c:v>-148.00000000000003</c:v>
                </c:pt>
                <c:pt idx="45">
                  <c:v>-150.00000000000003</c:v>
                </c:pt>
                <c:pt idx="46">
                  <c:v>-153.00000000000003</c:v>
                </c:pt>
                <c:pt idx="47">
                  <c:v>-161.00000000000003</c:v>
                </c:pt>
                <c:pt idx="48">
                  <c:v>-166.00000000000003</c:v>
                </c:pt>
                <c:pt idx="49">
                  <c:v>-170.00000000000003</c:v>
                </c:pt>
                <c:pt idx="50">
                  <c:v>-172.99999999999994</c:v>
                </c:pt>
                <c:pt idx="51">
                  <c:v>-174.99999999999994</c:v>
                </c:pt>
                <c:pt idx="52">
                  <c:v>-175.99999999999994</c:v>
                </c:pt>
                <c:pt idx="53">
                  <c:v>-175.99999999999994</c:v>
                </c:pt>
                <c:pt idx="54">
                  <c:v>-176.99999999999994</c:v>
                </c:pt>
                <c:pt idx="55">
                  <c:v>-176.99999999999994</c:v>
                </c:pt>
                <c:pt idx="56">
                  <c:v>-177.99999999999994</c:v>
                </c:pt>
                <c:pt idx="57">
                  <c:v>-177.99999999999994</c:v>
                </c:pt>
                <c:pt idx="58">
                  <c:v>-178.99999999999994</c:v>
                </c:pt>
                <c:pt idx="59">
                  <c:v>-179.99999999999994</c:v>
                </c:pt>
                <c:pt idx="60">
                  <c:v>-179.99999999999994</c:v>
                </c:pt>
                <c:pt idx="61">
                  <c:v>-180.99999999999994</c:v>
                </c:pt>
                <c:pt idx="62">
                  <c:v>-181.99999999999994</c:v>
                </c:pt>
                <c:pt idx="63">
                  <c:v>-181.99999999999994</c:v>
                </c:pt>
                <c:pt idx="64">
                  <c:v>-181.99999999999994</c:v>
                </c:pt>
                <c:pt idx="65">
                  <c:v>-182.99999999999994</c:v>
                </c:pt>
                <c:pt idx="66">
                  <c:v>-182.99999999999994</c:v>
                </c:pt>
                <c:pt idx="67">
                  <c:v>-182.99999999999994</c:v>
                </c:pt>
                <c:pt idx="68">
                  <c:v>-182.99999999999994</c:v>
                </c:pt>
                <c:pt idx="69">
                  <c:v>-182.99999999999994</c:v>
                </c:pt>
                <c:pt idx="70">
                  <c:v>-182.99999999999994</c:v>
                </c:pt>
                <c:pt idx="71">
                  <c:v>-182.99999999999994</c:v>
                </c:pt>
                <c:pt idx="72">
                  <c:v>-182.99999999999994</c:v>
                </c:pt>
                <c:pt idx="73">
                  <c:v>-182.99999999999994</c:v>
                </c:pt>
                <c:pt idx="74">
                  <c:v>-182.99999999999994</c:v>
                </c:pt>
                <c:pt idx="75">
                  <c:v>-182.99999999999994</c:v>
                </c:pt>
                <c:pt idx="76">
                  <c:v>-182.99999999999994</c:v>
                </c:pt>
                <c:pt idx="77">
                  <c:v>-182.99999999999994</c:v>
                </c:pt>
                <c:pt idx="78">
                  <c:v>-182.99999999999994</c:v>
                </c:pt>
                <c:pt idx="79">
                  <c:v>-182.99999999999994</c:v>
                </c:pt>
                <c:pt idx="80">
                  <c:v>-182.99999999999994</c:v>
                </c:pt>
                <c:pt idx="81">
                  <c:v>-182.99999999999994</c:v>
                </c:pt>
                <c:pt idx="82">
                  <c:v>-182.99999999999994</c:v>
                </c:pt>
                <c:pt idx="83">
                  <c:v>-182.99999999999994</c:v>
                </c:pt>
                <c:pt idx="84">
                  <c:v>-182.99999999999994</c:v>
                </c:pt>
                <c:pt idx="85">
                  <c:v>-182.99999999999994</c:v>
                </c:pt>
                <c:pt idx="86">
                  <c:v>-182.99999999999994</c:v>
                </c:pt>
                <c:pt idx="87">
                  <c:v>-182.99999999999994</c:v>
                </c:pt>
                <c:pt idx="88">
                  <c:v>-182.99999999999994</c:v>
                </c:pt>
                <c:pt idx="89">
                  <c:v>-182.99999999999994</c:v>
                </c:pt>
                <c:pt idx="90">
                  <c:v>-182.99999999999994</c:v>
                </c:pt>
                <c:pt idx="91">
                  <c:v>-182.99999999999994</c:v>
                </c:pt>
                <c:pt idx="92">
                  <c:v>-182.99999999999994</c:v>
                </c:pt>
                <c:pt idx="93">
                  <c:v>-182.99999999999994</c:v>
                </c:pt>
                <c:pt idx="94">
                  <c:v>-182.99999999999994</c:v>
                </c:pt>
                <c:pt idx="95">
                  <c:v>-182.99999999999994</c:v>
                </c:pt>
                <c:pt idx="96">
                  <c:v>-182.99999999999994</c:v>
                </c:pt>
                <c:pt idx="97">
                  <c:v>-182.99999999999994</c:v>
                </c:pt>
                <c:pt idx="98">
                  <c:v>-182.99999999999994</c:v>
                </c:pt>
                <c:pt idx="99">
                  <c:v>-182.99999999999994</c:v>
                </c:pt>
                <c:pt idx="100">
                  <c:v>-182.99999999999994</c:v>
                </c:pt>
                <c:pt idx="101">
                  <c:v>-182.99999999999994</c:v>
                </c:pt>
                <c:pt idx="102">
                  <c:v>-182.99999999999994</c:v>
                </c:pt>
                <c:pt idx="103">
                  <c:v>-182.99999999999994</c:v>
                </c:pt>
                <c:pt idx="104">
                  <c:v>-182.99999999999994</c:v>
                </c:pt>
                <c:pt idx="105">
                  <c:v>-182.99999999999994</c:v>
                </c:pt>
                <c:pt idx="106">
                  <c:v>-182.99999999999994</c:v>
                </c:pt>
                <c:pt idx="107">
                  <c:v>-182.99999999999994</c:v>
                </c:pt>
                <c:pt idx="108">
                  <c:v>-182.99999999999994</c:v>
                </c:pt>
                <c:pt idx="109">
                  <c:v>-182.99999999999994</c:v>
                </c:pt>
                <c:pt idx="110">
                  <c:v>-182.99999999999994</c:v>
                </c:pt>
                <c:pt idx="111">
                  <c:v>-182.99999999999994</c:v>
                </c:pt>
                <c:pt idx="112">
                  <c:v>-182.99999999999994</c:v>
                </c:pt>
                <c:pt idx="113">
                  <c:v>-182.99999999999994</c:v>
                </c:pt>
                <c:pt idx="114">
                  <c:v>-182.99999999999994</c:v>
                </c:pt>
                <c:pt idx="115">
                  <c:v>-182.99999999999994</c:v>
                </c:pt>
                <c:pt idx="116">
                  <c:v>-182.99999999999994</c:v>
                </c:pt>
                <c:pt idx="117">
                  <c:v>-182.99999999999994</c:v>
                </c:pt>
                <c:pt idx="118">
                  <c:v>-182.99999999999994</c:v>
                </c:pt>
                <c:pt idx="119">
                  <c:v>-182.99999999999994</c:v>
                </c:pt>
                <c:pt idx="120">
                  <c:v>-182.99999999999994</c:v>
                </c:pt>
                <c:pt idx="121">
                  <c:v>-182.99999999999994</c:v>
                </c:pt>
                <c:pt idx="122">
                  <c:v>-182.99999999999994</c:v>
                </c:pt>
                <c:pt idx="123">
                  <c:v>-182.99999999999994</c:v>
                </c:pt>
                <c:pt idx="124">
                  <c:v>-182.99999999999994</c:v>
                </c:pt>
                <c:pt idx="125">
                  <c:v>-182.99999999999994</c:v>
                </c:pt>
                <c:pt idx="126">
                  <c:v>-190.99999999999994</c:v>
                </c:pt>
                <c:pt idx="127">
                  <c:v>-193.99999999999994</c:v>
                </c:pt>
                <c:pt idx="128">
                  <c:v>-197.99999999999994</c:v>
                </c:pt>
                <c:pt idx="129">
                  <c:v>-201.99999999999994</c:v>
                </c:pt>
                <c:pt idx="130">
                  <c:v>-210.99999999999997</c:v>
                </c:pt>
                <c:pt idx="131">
                  <c:v>-213.99999999999997</c:v>
                </c:pt>
                <c:pt idx="132">
                  <c:v>-217.99999999999997</c:v>
                </c:pt>
                <c:pt idx="133">
                  <c:v>-219.99999999999997</c:v>
                </c:pt>
                <c:pt idx="134">
                  <c:v>-224.99999999999997</c:v>
                </c:pt>
                <c:pt idx="135">
                  <c:v>-232.99999999999997</c:v>
                </c:pt>
                <c:pt idx="136">
                  <c:v>-237</c:v>
                </c:pt>
                <c:pt idx="137">
                  <c:v>-240</c:v>
                </c:pt>
                <c:pt idx="138">
                  <c:v>-241</c:v>
                </c:pt>
                <c:pt idx="139">
                  <c:v>-242</c:v>
                </c:pt>
                <c:pt idx="140">
                  <c:v>-243</c:v>
                </c:pt>
                <c:pt idx="141">
                  <c:v>-246</c:v>
                </c:pt>
                <c:pt idx="142">
                  <c:v>-247</c:v>
                </c:pt>
                <c:pt idx="143">
                  <c:v>-249</c:v>
                </c:pt>
                <c:pt idx="144">
                  <c:v>-250</c:v>
                </c:pt>
                <c:pt idx="145">
                  <c:v>-252</c:v>
                </c:pt>
                <c:pt idx="146">
                  <c:v>-254</c:v>
                </c:pt>
                <c:pt idx="147">
                  <c:v>-254</c:v>
                </c:pt>
                <c:pt idx="148">
                  <c:v>-255</c:v>
                </c:pt>
                <c:pt idx="149">
                  <c:v>-255</c:v>
                </c:pt>
                <c:pt idx="150">
                  <c:v>-255</c:v>
                </c:pt>
                <c:pt idx="151">
                  <c:v>-256</c:v>
                </c:pt>
                <c:pt idx="152">
                  <c:v>-256</c:v>
                </c:pt>
                <c:pt idx="153">
                  <c:v>-256</c:v>
                </c:pt>
                <c:pt idx="154">
                  <c:v>-257</c:v>
                </c:pt>
                <c:pt idx="155">
                  <c:v>-257</c:v>
                </c:pt>
                <c:pt idx="156">
                  <c:v>-257</c:v>
                </c:pt>
                <c:pt idx="157">
                  <c:v>-258</c:v>
                </c:pt>
                <c:pt idx="158">
                  <c:v>-258</c:v>
                </c:pt>
                <c:pt idx="159">
                  <c:v>-258</c:v>
                </c:pt>
                <c:pt idx="160">
                  <c:v>-258</c:v>
                </c:pt>
                <c:pt idx="161">
                  <c:v>-258</c:v>
                </c:pt>
                <c:pt idx="162">
                  <c:v>-258</c:v>
                </c:pt>
                <c:pt idx="163">
                  <c:v>-258</c:v>
                </c:pt>
                <c:pt idx="164">
                  <c:v>-258</c:v>
                </c:pt>
                <c:pt idx="165">
                  <c:v>-258</c:v>
                </c:pt>
                <c:pt idx="166">
                  <c:v>-258</c:v>
                </c:pt>
                <c:pt idx="167">
                  <c:v>-258</c:v>
                </c:pt>
                <c:pt idx="168">
                  <c:v>-258</c:v>
                </c:pt>
                <c:pt idx="169">
                  <c:v>-258</c:v>
                </c:pt>
                <c:pt idx="170">
                  <c:v>-258</c:v>
                </c:pt>
                <c:pt idx="171">
                  <c:v>-258</c:v>
                </c:pt>
                <c:pt idx="172">
                  <c:v>-258</c:v>
                </c:pt>
                <c:pt idx="173">
                  <c:v>-258</c:v>
                </c:pt>
                <c:pt idx="174">
                  <c:v>-258</c:v>
                </c:pt>
                <c:pt idx="175">
                  <c:v>-258</c:v>
                </c:pt>
                <c:pt idx="176">
                  <c:v>-258</c:v>
                </c:pt>
                <c:pt idx="177">
                  <c:v>-258</c:v>
                </c:pt>
                <c:pt idx="178">
                  <c:v>-258</c:v>
                </c:pt>
                <c:pt idx="179">
                  <c:v>-258</c:v>
                </c:pt>
                <c:pt idx="180">
                  <c:v>-258</c:v>
                </c:pt>
                <c:pt idx="181">
                  <c:v>-258</c:v>
                </c:pt>
                <c:pt idx="182">
                  <c:v>-258</c:v>
                </c:pt>
                <c:pt idx="183">
                  <c:v>-258</c:v>
                </c:pt>
                <c:pt idx="184">
                  <c:v>-258</c:v>
                </c:pt>
                <c:pt idx="185">
                  <c:v>-258</c:v>
                </c:pt>
                <c:pt idx="186">
                  <c:v>-258</c:v>
                </c:pt>
                <c:pt idx="187">
                  <c:v>-258</c:v>
                </c:pt>
                <c:pt idx="188">
                  <c:v>-258</c:v>
                </c:pt>
                <c:pt idx="189">
                  <c:v>-258</c:v>
                </c:pt>
                <c:pt idx="190">
                  <c:v>-258</c:v>
                </c:pt>
                <c:pt idx="191">
                  <c:v>-258</c:v>
                </c:pt>
                <c:pt idx="192">
                  <c:v>-258</c:v>
                </c:pt>
                <c:pt idx="193">
                  <c:v>-258</c:v>
                </c:pt>
                <c:pt idx="194">
                  <c:v>-258</c:v>
                </c:pt>
                <c:pt idx="195">
                  <c:v>-258</c:v>
                </c:pt>
                <c:pt idx="196">
                  <c:v>-258</c:v>
                </c:pt>
                <c:pt idx="197">
                  <c:v>-258</c:v>
                </c:pt>
                <c:pt idx="198">
                  <c:v>-258</c:v>
                </c:pt>
                <c:pt idx="199">
                  <c:v>-258</c:v>
                </c:pt>
                <c:pt idx="200">
                  <c:v>-258</c:v>
                </c:pt>
                <c:pt idx="201">
                  <c:v>-258</c:v>
                </c:pt>
                <c:pt idx="202">
                  <c:v>-258</c:v>
                </c:pt>
                <c:pt idx="203">
                  <c:v>-258</c:v>
                </c:pt>
                <c:pt idx="204">
                  <c:v>-258</c:v>
                </c:pt>
                <c:pt idx="205">
                  <c:v>-258</c:v>
                </c:pt>
                <c:pt idx="206">
                  <c:v>-258</c:v>
                </c:pt>
                <c:pt idx="207">
                  <c:v>-258</c:v>
                </c:pt>
                <c:pt idx="208">
                  <c:v>-258</c:v>
                </c:pt>
                <c:pt idx="209">
                  <c:v>-258</c:v>
                </c:pt>
                <c:pt idx="210">
                  <c:v>-258</c:v>
                </c:pt>
                <c:pt idx="211">
                  <c:v>-258</c:v>
                </c:pt>
                <c:pt idx="212">
                  <c:v>-258</c:v>
                </c:pt>
                <c:pt idx="213">
                  <c:v>-258</c:v>
                </c:pt>
                <c:pt idx="214">
                  <c:v>-258</c:v>
                </c:pt>
                <c:pt idx="215">
                  <c:v>-258</c:v>
                </c:pt>
                <c:pt idx="216">
                  <c:v>-258</c:v>
                </c:pt>
                <c:pt idx="217">
                  <c:v>-258</c:v>
                </c:pt>
                <c:pt idx="218">
                  <c:v>-258</c:v>
                </c:pt>
                <c:pt idx="219">
                  <c:v>-258</c:v>
                </c:pt>
                <c:pt idx="220">
                  <c:v>-258</c:v>
                </c:pt>
                <c:pt idx="221">
                  <c:v>-258</c:v>
                </c:pt>
                <c:pt idx="222">
                  <c:v>-258</c:v>
                </c:pt>
                <c:pt idx="223">
                  <c:v>-258</c:v>
                </c:pt>
                <c:pt idx="224">
                  <c:v>-258</c:v>
                </c:pt>
                <c:pt idx="225">
                  <c:v>-258</c:v>
                </c:pt>
                <c:pt idx="226">
                  <c:v>-258</c:v>
                </c:pt>
                <c:pt idx="227">
                  <c:v>-258</c:v>
                </c:pt>
                <c:pt idx="228">
                  <c:v>-258</c:v>
                </c:pt>
                <c:pt idx="229">
                  <c:v>-258</c:v>
                </c:pt>
                <c:pt idx="230">
                  <c:v>-258</c:v>
                </c:pt>
                <c:pt idx="231">
                  <c:v>-258</c:v>
                </c:pt>
                <c:pt idx="232">
                  <c:v>-258</c:v>
                </c:pt>
                <c:pt idx="233">
                  <c:v>-258</c:v>
                </c:pt>
                <c:pt idx="234">
                  <c:v>-258</c:v>
                </c:pt>
                <c:pt idx="235">
                  <c:v>-258</c:v>
                </c:pt>
                <c:pt idx="236">
                  <c:v>-258</c:v>
                </c:pt>
                <c:pt idx="237">
                  <c:v>-258</c:v>
                </c:pt>
                <c:pt idx="238">
                  <c:v>-258</c:v>
                </c:pt>
                <c:pt idx="239">
                  <c:v>-258</c:v>
                </c:pt>
                <c:pt idx="240">
                  <c:v>-258</c:v>
                </c:pt>
                <c:pt idx="241">
                  <c:v>-258</c:v>
                </c:pt>
                <c:pt idx="242">
                  <c:v>-258</c:v>
                </c:pt>
                <c:pt idx="243">
                  <c:v>-258</c:v>
                </c:pt>
                <c:pt idx="244">
                  <c:v>-258</c:v>
                </c:pt>
                <c:pt idx="245">
                  <c:v>-258</c:v>
                </c:pt>
                <c:pt idx="246">
                  <c:v>-258</c:v>
                </c:pt>
                <c:pt idx="247">
                  <c:v>-258</c:v>
                </c:pt>
                <c:pt idx="248">
                  <c:v>-258</c:v>
                </c:pt>
                <c:pt idx="249">
                  <c:v>-258</c:v>
                </c:pt>
                <c:pt idx="250">
                  <c:v>-258</c:v>
                </c:pt>
                <c:pt idx="251">
                  <c:v>-258</c:v>
                </c:pt>
                <c:pt idx="252">
                  <c:v>-258</c:v>
                </c:pt>
                <c:pt idx="253">
                  <c:v>-258</c:v>
                </c:pt>
                <c:pt idx="254">
                  <c:v>-258</c:v>
                </c:pt>
                <c:pt idx="255">
                  <c:v>-258</c:v>
                </c:pt>
                <c:pt idx="256">
                  <c:v>-258</c:v>
                </c:pt>
                <c:pt idx="257">
                  <c:v>-258</c:v>
                </c:pt>
                <c:pt idx="258">
                  <c:v>-258</c:v>
                </c:pt>
                <c:pt idx="259">
                  <c:v>-258</c:v>
                </c:pt>
                <c:pt idx="260">
                  <c:v>-258</c:v>
                </c:pt>
                <c:pt idx="261">
                  <c:v>-258</c:v>
                </c:pt>
                <c:pt idx="262">
                  <c:v>-258</c:v>
                </c:pt>
                <c:pt idx="263">
                  <c:v>-258</c:v>
                </c:pt>
                <c:pt idx="264">
                  <c:v>-258</c:v>
                </c:pt>
                <c:pt idx="265">
                  <c:v>-258</c:v>
                </c:pt>
                <c:pt idx="266">
                  <c:v>-258</c:v>
                </c:pt>
                <c:pt idx="267">
                  <c:v>-258</c:v>
                </c:pt>
                <c:pt idx="268">
                  <c:v>-258</c:v>
                </c:pt>
                <c:pt idx="269">
                  <c:v>-258</c:v>
                </c:pt>
                <c:pt idx="270">
                  <c:v>-258</c:v>
                </c:pt>
                <c:pt idx="271">
                  <c:v>-258</c:v>
                </c:pt>
                <c:pt idx="272">
                  <c:v>-258</c:v>
                </c:pt>
                <c:pt idx="273">
                  <c:v>-258</c:v>
                </c:pt>
                <c:pt idx="274">
                  <c:v>-258</c:v>
                </c:pt>
                <c:pt idx="275">
                  <c:v>-258</c:v>
                </c:pt>
                <c:pt idx="276">
                  <c:v>-258</c:v>
                </c:pt>
                <c:pt idx="277">
                  <c:v>-258</c:v>
                </c:pt>
                <c:pt idx="278">
                  <c:v>-258</c:v>
                </c:pt>
                <c:pt idx="279">
                  <c:v>-258</c:v>
                </c:pt>
                <c:pt idx="280">
                  <c:v>-258</c:v>
                </c:pt>
                <c:pt idx="281">
                  <c:v>-258</c:v>
                </c:pt>
                <c:pt idx="282">
                  <c:v>-258</c:v>
                </c:pt>
                <c:pt idx="283">
                  <c:v>-258</c:v>
                </c:pt>
                <c:pt idx="284">
                  <c:v>-258</c:v>
                </c:pt>
                <c:pt idx="285">
                  <c:v>-258</c:v>
                </c:pt>
                <c:pt idx="286">
                  <c:v>-258</c:v>
                </c:pt>
                <c:pt idx="287">
                  <c:v>-258</c:v>
                </c:pt>
                <c:pt idx="288">
                  <c:v>-258</c:v>
                </c:pt>
                <c:pt idx="289">
                  <c:v>-258</c:v>
                </c:pt>
                <c:pt idx="290">
                  <c:v>-258</c:v>
                </c:pt>
                <c:pt idx="291">
                  <c:v>-258</c:v>
                </c:pt>
                <c:pt idx="292">
                  <c:v>-258</c:v>
                </c:pt>
                <c:pt idx="293">
                  <c:v>-258</c:v>
                </c:pt>
                <c:pt idx="294">
                  <c:v>-258</c:v>
                </c:pt>
                <c:pt idx="295">
                  <c:v>-258</c:v>
                </c:pt>
                <c:pt idx="296">
                  <c:v>-258</c:v>
                </c:pt>
                <c:pt idx="297">
                  <c:v>-258</c:v>
                </c:pt>
                <c:pt idx="298">
                  <c:v>-258</c:v>
                </c:pt>
                <c:pt idx="299">
                  <c:v>-258</c:v>
                </c:pt>
                <c:pt idx="300">
                  <c:v>-258</c:v>
                </c:pt>
                <c:pt idx="301">
                  <c:v>-258</c:v>
                </c:pt>
                <c:pt idx="302">
                  <c:v>-258</c:v>
                </c:pt>
                <c:pt idx="303">
                  <c:v>-258</c:v>
                </c:pt>
                <c:pt idx="304">
                  <c:v>-258</c:v>
                </c:pt>
                <c:pt idx="305">
                  <c:v>-258</c:v>
                </c:pt>
                <c:pt idx="306">
                  <c:v>-258</c:v>
                </c:pt>
                <c:pt idx="307">
                  <c:v>-258</c:v>
                </c:pt>
                <c:pt idx="308">
                  <c:v>-258</c:v>
                </c:pt>
                <c:pt idx="309">
                  <c:v>-258</c:v>
                </c:pt>
                <c:pt idx="310">
                  <c:v>-258</c:v>
                </c:pt>
                <c:pt idx="311">
                  <c:v>-258</c:v>
                </c:pt>
                <c:pt idx="312">
                  <c:v>-258</c:v>
                </c:pt>
                <c:pt idx="313">
                  <c:v>-258</c:v>
                </c:pt>
                <c:pt idx="314">
                  <c:v>-258</c:v>
                </c:pt>
                <c:pt idx="315">
                  <c:v>-258</c:v>
                </c:pt>
                <c:pt idx="316">
                  <c:v>-258</c:v>
                </c:pt>
                <c:pt idx="317">
                  <c:v>-258</c:v>
                </c:pt>
                <c:pt idx="318">
                  <c:v>-258</c:v>
                </c:pt>
                <c:pt idx="319">
                  <c:v>-258</c:v>
                </c:pt>
                <c:pt idx="320">
                  <c:v>-258</c:v>
                </c:pt>
                <c:pt idx="321">
                  <c:v>-258</c:v>
                </c:pt>
                <c:pt idx="322">
                  <c:v>-258</c:v>
                </c:pt>
                <c:pt idx="323">
                  <c:v>-258</c:v>
                </c:pt>
                <c:pt idx="324">
                  <c:v>-258</c:v>
                </c:pt>
                <c:pt idx="325">
                  <c:v>-258</c:v>
                </c:pt>
                <c:pt idx="326">
                  <c:v>-258</c:v>
                </c:pt>
                <c:pt idx="327">
                  <c:v>-258</c:v>
                </c:pt>
                <c:pt idx="328">
                  <c:v>-258</c:v>
                </c:pt>
                <c:pt idx="329">
                  <c:v>-258</c:v>
                </c:pt>
                <c:pt idx="330">
                  <c:v>-258</c:v>
                </c:pt>
                <c:pt idx="331">
                  <c:v>-258</c:v>
                </c:pt>
                <c:pt idx="332">
                  <c:v>-258</c:v>
                </c:pt>
                <c:pt idx="333">
                  <c:v>-258</c:v>
                </c:pt>
                <c:pt idx="334">
                  <c:v>-258</c:v>
                </c:pt>
                <c:pt idx="335">
                  <c:v>-258</c:v>
                </c:pt>
                <c:pt idx="336">
                  <c:v>-258</c:v>
                </c:pt>
                <c:pt idx="337">
                  <c:v>-258</c:v>
                </c:pt>
                <c:pt idx="338">
                  <c:v>-258</c:v>
                </c:pt>
                <c:pt idx="339">
                  <c:v>-258</c:v>
                </c:pt>
                <c:pt idx="340">
                  <c:v>-258</c:v>
                </c:pt>
                <c:pt idx="341">
                  <c:v>-258</c:v>
                </c:pt>
                <c:pt idx="342">
                  <c:v>-258</c:v>
                </c:pt>
                <c:pt idx="343">
                  <c:v>-258</c:v>
                </c:pt>
                <c:pt idx="344">
                  <c:v>-258</c:v>
                </c:pt>
                <c:pt idx="345">
                  <c:v>-258</c:v>
                </c:pt>
                <c:pt idx="346">
                  <c:v>-258</c:v>
                </c:pt>
                <c:pt idx="347">
                  <c:v>-258</c:v>
                </c:pt>
                <c:pt idx="348">
                  <c:v>-258</c:v>
                </c:pt>
                <c:pt idx="349">
                  <c:v>-258</c:v>
                </c:pt>
                <c:pt idx="350">
                  <c:v>-258</c:v>
                </c:pt>
                <c:pt idx="351">
                  <c:v>-258</c:v>
                </c:pt>
                <c:pt idx="352">
                  <c:v>-258</c:v>
                </c:pt>
                <c:pt idx="353">
                  <c:v>-258</c:v>
                </c:pt>
                <c:pt idx="354">
                  <c:v>-258</c:v>
                </c:pt>
                <c:pt idx="355">
                  <c:v>-258</c:v>
                </c:pt>
                <c:pt idx="356">
                  <c:v>-258</c:v>
                </c:pt>
                <c:pt idx="357">
                  <c:v>-258</c:v>
                </c:pt>
                <c:pt idx="358">
                  <c:v>-258</c:v>
                </c:pt>
                <c:pt idx="359">
                  <c:v>-258</c:v>
                </c:pt>
                <c:pt idx="360">
                  <c:v>-258</c:v>
                </c:pt>
                <c:pt idx="361">
                  <c:v>-258</c:v>
                </c:pt>
                <c:pt idx="362">
                  <c:v>-258</c:v>
                </c:pt>
                <c:pt idx="363">
                  <c:v>-258</c:v>
                </c:pt>
                <c:pt idx="364">
                  <c:v>-258</c:v>
                </c:pt>
                <c:pt idx="365">
                  <c:v>-258</c:v>
                </c:pt>
                <c:pt idx="366">
                  <c:v>-258</c:v>
                </c:pt>
                <c:pt idx="367">
                  <c:v>-258</c:v>
                </c:pt>
                <c:pt idx="368">
                  <c:v>-268</c:v>
                </c:pt>
                <c:pt idx="369">
                  <c:v>-276</c:v>
                </c:pt>
                <c:pt idx="370">
                  <c:v>-281</c:v>
                </c:pt>
                <c:pt idx="371">
                  <c:v>-287.00000000000006</c:v>
                </c:pt>
                <c:pt idx="372">
                  <c:v>-297.00000000000006</c:v>
                </c:pt>
                <c:pt idx="373">
                  <c:v>-300.99999999999994</c:v>
                </c:pt>
                <c:pt idx="374">
                  <c:v>-303.99999999999994</c:v>
                </c:pt>
                <c:pt idx="375">
                  <c:v>-307.99999999999994</c:v>
                </c:pt>
                <c:pt idx="376">
                  <c:v>-309.99999999999994</c:v>
                </c:pt>
                <c:pt idx="377">
                  <c:v>-316.99999999999994</c:v>
                </c:pt>
                <c:pt idx="378">
                  <c:v>-320.99999999999994</c:v>
                </c:pt>
                <c:pt idx="379">
                  <c:v>-323.99999999999994</c:v>
                </c:pt>
                <c:pt idx="380">
                  <c:v>-327.99999999999994</c:v>
                </c:pt>
                <c:pt idx="381">
                  <c:v>-329.99999999999994</c:v>
                </c:pt>
                <c:pt idx="382">
                  <c:v>-338.99999999999994</c:v>
                </c:pt>
                <c:pt idx="383">
                  <c:v>-347</c:v>
                </c:pt>
                <c:pt idx="384">
                  <c:v>-354</c:v>
                </c:pt>
                <c:pt idx="385">
                  <c:v>-362</c:v>
                </c:pt>
                <c:pt idx="386">
                  <c:v>-366</c:v>
                </c:pt>
                <c:pt idx="387">
                  <c:v>-369</c:v>
                </c:pt>
                <c:pt idx="388">
                  <c:v>-373</c:v>
                </c:pt>
                <c:pt idx="389">
                  <c:v>-375</c:v>
                </c:pt>
                <c:pt idx="390">
                  <c:v>-380</c:v>
                </c:pt>
                <c:pt idx="391">
                  <c:v>-385</c:v>
                </c:pt>
                <c:pt idx="392">
                  <c:v>-389</c:v>
                </c:pt>
                <c:pt idx="393">
                  <c:v>-392</c:v>
                </c:pt>
                <c:pt idx="394">
                  <c:v>-395</c:v>
                </c:pt>
                <c:pt idx="395">
                  <c:v>-397</c:v>
                </c:pt>
                <c:pt idx="396">
                  <c:v>-399</c:v>
                </c:pt>
                <c:pt idx="397">
                  <c:v>-402</c:v>
                </c:pt>
                <c:pt idx="398">
                  <c:v>-403</c:v>
                </c:pt>
                <c:pt idx="399">
                  <c:v>-405</c:v>
                </c:pt>
                <c:pt idx="400">
                  <c:v>-406</c:v>
                </c:pt>
                <c:pt idx="401">
                  <c:v>-408.00000000000006</c:v>
                </c:pt>
                <c:pt idx="402">
                  <c:v>-410.00000000000006</c:v>
                </c:pt>
                <c:pt idx="403">
                  <c:v>-413.00000000000006</c:v>
                </c:pt>
                <c:pt idx="404">
                  <c:v>-414.00000000000006</c:v>
                </c:pt>
                <c:pt idx="405">
                  <c:v>-416.00000000000006</c:v>
                </c:pt>
                <c:pt idx="406">
                  <c:v>-418.00000000000006</c:v>
                </c:pt>
                <c:pt idx="407">
                  <c:v>-419.00000000000006</c:v>
                </c:pt>
                <c:pt idx="408">
                  <c:v>-421.00000000000006</c:v>
                </c:pt>
                <c:pt idx="409">
                  <c:v>-422.00000000000006</c:v>
                </c:pt>
                <c:pt idx="410">
                  <c:v>-422.99999999999994</c:v>
                </c:pt>
                <c:pt idx="411">
                  <c:v>-425.99999999999994</c:v>
                </c:pt>
                <c:pt idx="412">
                  <c:v>-426.99999999999994</c:v>
                </c:pt>
                <c:pt idx="413">
                  <c:v>-428.99999999999994</c:v>
                </c:pt>
                <c:pt idx="414">
                  <c:v>-429.99999999999994</c:v>
                </c:pt>
                <c:pt idx="415">
                  <c:v>-431.99999999999994</c:v>
                </c:pt>
                <c:pt idx="416">
                  <c:v>-433.99999999999994</c:v>
                </c:pt>
                <c:pt idx="417">
                  <c:v>-436.99999999999994</c:v>
                </c:pt>
                <c:pt idx="418">
                  <c:v>-437.99999999999994</c:v>
                </c:pt>
                <c:pt idx="419">
                  <c:v>-439.99999999999994</c:v>
                </c:pt>
                <c:pt idx="420">
                  <c:v>-441.99999999999994</c:v>
                </c:pt>
                <c:pt idx="421">
                  <c:v>-442.99999999999994</c:v>
                </c:pt>
                <c:pt idx="422">
                  <c:v>-444.99999999999994</c:v>
                </c:pt>
                <c:pt idx="423">
                  <c:v>-446.99999999999994</c:v>
                </c:pt>
                <c:pt idx="424">
                  <c:v>-448.99999999999994</c:v>
                </c:pt>
                <c:pt idx="425">
                  <c:v>-450.99999999999994</c:v>
                </c:pt>
                <c:pt idx="426">
                  <c:v>-451.99999999999994</c:v>
                </c:pt>
                <c:pt idx="427">
                  <c:v>-453.99999999999994</c:v>
                </c:pt>
                <c:pt idx="428">
                  <c:v>-455.99999999999994</c:v>
                </c:pt>
                <c:pt idx="429">
                  <c:v>-458.99999999999994</c:v>
                </c:pt>
                <c:pt idx="430">
                  <c:v>-459.99999999999994</c:v>
                </c:pt>
                <c:pt idx="431">
                  <c:v>-461.99999999999994</c:v>
                </c:pt>
                <c:pt idx="432">
                  <c:v>-463.99999999999994</c:v>
                </c:pt>
                <c:pt idx="433">
                  <c:v>-464.99999999999994</c:v>
                </c:pt>
                <c:pt idx="434">
                  <c:v>-466.99999999999994</c:v>
                </c:pt>
                <c:pt idx="435">
                  <c:v>-469</c:v>
                </c:pt>
                <c:pt idx="436">
                  <c:v>-471</c:v>
                </c:pt>
                <c:pt idx="437">
                  <c:v>-473</c:v>
                </c:pt>
                <c:pt idx="438">
                  <c:v>-475</c:v>
                </c:pt>
                <c:pt idx="439">
                  <c:v>-476</c:v>
                </c:pt>
                <c:pt idx="440">
                  <c:v>-478</c:v>
                </c:pt>
                <c:pt idx="441">
                  <c:v>-479</c:v>
                </c:pt>
                <c:pt idx="442">
                  <c:v>-480</c:v>
                </c:pt>
                <c:pt idx="443">
                  <c:v>-483</c:v>
                </c:pt>
                <c:pt idx="444">
                  <c:v>-484</c:v>
                </c:pt>
                <c:pt idx="445">
                  <c:v>-486</c:v>
                </c:pt>
                <c:pt idx="446">
                  <c:v>-487</c:v>
                </c:pt>
                <c:pt idx="447">
                  <c:v>-489</c:v>
                </c:pt>
                <c:pt idx="448">
                  <c:v>-491</c:v>
                </c:pt>
                <c:pt idx="449">
                  <c:v>-494</c:v>
                </c:pt>
                <c:pt idx="450">
                  <c:v>-495</c:v>
                </c:pt>
                <c:pt idx="451">
                  <c:v>-497</c:v>
                </c:pt>
                <c:pt idx="452">
                  <c:v>-499</c:v>
                </c:pt>
                <c:pt idx="453">
                  <c:v>-500</c:v>
                </c:pt>
                <c:pt idx="454">
                  <c:v>-502</c:v>
                </c:pt>
                <c:pt idx="455">
                  <c:v>-504</c:v>
                </c:pt>
                <c:pt idx="456">
                  <c:v>-506</c:v>
                </c:pt>
                <c:pt idx="457">
                  <c:v>-508</c:v>
                </c:pt>
                <c:pt idx="458">
                  <c:v>-509</c:v>
                </c:pt>
                <c:pt idx="459">
                  <c:v>-511</c:v>
                </c:pt>
                <c:pt idx="460">
                  <c:v>-512</c:v>
                </c:pt>
                <c:pt idx="461">
                  <c:v>-513</c:v>
                </c:pt>
                <c:pt idx="462">
                  <c:v>-516</c:v>
                </c:pt>
                <c:pt idx="463">
                  <c:v>-517</c:v>
                </c:pt>
                <c:pt idx="464">
                  <c:v>-519</c:v>
                </c:pt>
                <c:pt idx="465">
                  <c:v>-520</c:v>
                </c:pt>
                <c:pt idx="466">
                  <c:v>-522</c:v>
                </c:pt>
                <c:pt idx="467">
                  <c:v>-524</c:v>
                </c:pt>
                <c:pt idx="468">
                  <c:v>-527</c:v>
                </c:pt>
                <c:pt idx="469">
                  <c:v>-528</c:v>
                </c:pt>
                <c:pt idx="470">
                  <c:v>-530</c:v>
                </c:pt>
                <c:pt idx="471">
                  <c:v>-532</c:v>
                </c:pt>
                <c:pt idx="472">
                  <c:v>-533</c:v>
                </c:pt>
                <c:pt idx="473">
                  <c:v>-535</c:v>
                </c:pt>
                <c:pt idx="474">
                  <c:v>-537</c:v>
                </c:pt>
                <c:pt idx="475">
                  <c:v>-539</c:v>
                </c:pt>
                <c:pt idx="476">
                  <c:v>-541</c:v>
                </c:pt>
                <c:pt idx="477">
                  <c:v>-545</c:v>
                </c:pt>
                <c:pt idx="478">
                  <c:v>-545</c:v>
                </c:pt>
                <c:pt idx="479">
                  <c:v>-545</c:v>
                </c:pt>
                <c:pt idx="480">
                  <c:v>-545</c:v>
                </c:pt>
                <c:pt idx="481">
                  <c:v>-545</c:v>
                </c:pt>
                <c:pt idx="482">
                  <c:v>-545</c:v>
                </c:pt>
                <c:pt idx="483">
                  <c:v>-545</c:v>
                </c:pt>
                <c:pt idx="484">
                  <c:v>-545</c:v>
                </c:pt>
                <c:pt idx="485">
                  <c:v>-545</c:v>
                </c:pt>
                <c:pt idx="486">
                  <c:v>-545</c:v>
                </c:pt>
                <c:pt idx="487">
                  <c:v>-545</c:v>
                </c:pt>
                <c:pt idx="488">
                  <c:v>-545</c:v>
                </c:pt>
                <c:pt idx="489">
                  <c:v>-545</c:v>
                </c:pt>
                <c:pt idx="490">
                  <c:v>-545</c:v>
                </c:pt>
                <c:pt idx="491">
                  <c:v>-545</c:v>
                </c:pt>
                <c:pt idx="492">
                  <c:v>-545</c:v>
                </c:pt>
                <c:pt idx="493">
                  <c:v>-545</c:v>
                </c:pt>
                <c:pt idx="494">
                  <c:v>-545</c:v>
                </c:pt>
                <c:pt idx="495">
                  <c:v>-545</c:v>
                </c:pt>
                <c:pt idx="496">
                  <c:v>-545</c:v>
                </c:pt>
                <c:pt idx="497">
                  <c:v>-545</c:v>
                </c:pt>
                <c:pt idx="498">
                  <c:v>-545</c:v>
                </c:pt>
                <c:pt idx="499">
                  <c:v>-562</c:v>
                </c:pt>
                <c:pt idx="500">
                  <c:v>-588</c:v>
                </c:pt>
                <c:pt idx="501">
                  <c:v>-606</c:v>
                </c:pt>
                <c:pt idx="502">
                  <c:v>-628</c:v>
                </c:pt>
                <c:pt idx="503">
                  <c:v>-642.99999999999989</c:v>
                </c:pt>
                <c:pt idx="504">
                  <c:v>-662.99999999999989</c:v>
                </c:pt>
                <c:pt idx="505">
                  <c:v>-672.99999999999989</c:v>
                </c:pt>
                <c:pt idx="506">
                  <c:v>-692.00000000000011</c:v>
                </c:pt>
                <c:pt idx="507">
                  <c:v>-716.00000000000011</c:v>
                </c:pt>
                <c:pt idx="508">
                  <c:v>-735.99999999999989</c:v>
                </c:pt>
                <c:pt idx="509">
                  <c:v>-755.99999999999989</c:v>
                </c:pt>
                <c:pt idx="510">
                  <c:v>-771.99999999999989</c:v>
                </c:pt>
                <c:pt idx="511">
                  <c:v>-787.99999999999989</c:v>
                </c:pt>
                <c:pt idx="512">
                  <c:v>-801.99999999999989</c:v>
                </c:pt>
                <c:pt idx="513">
                  <c:v>-814</c:v>
                </c:pt>
                <c:pt idx="514">
                  <c:v>-824</c:v>
                </c:pt>
                <c:pt idx="515">
                  <c:v>-834</c:v>
                </c:pt>
                <c:pt idx="516">
                  <c:v>-843.00000000000011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5F0-4DB6-B2FD-C4BD27DE1E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2032"/>
        <c:axId val="576372736"/>
      </c:scatterChart>
      <c:scatterChart>
        <c:scatterStyle val="lineMarker"/>
        <c:varyColors val="0"/>
        <c:ser>
          <c:idx val="0"/>
          <c:order val="0"/>
          <c:tx>
            <c:strRef>
              <c:f>'SL.114+840'!$C$12:$C$13</c:f>
              <c:strCache>
                <c:ptCount val="2"/>
                <c:pt idx="0">
                  <c:v>Cao độ đắp(m)</c:v>
                </c:pt>
              </c:strCache>
            </c:strRef>
          </c:tx>
          <c:marker>
            <c:symbol val="diamond"/>
            <c:size val="2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xVal>
            <c:numRef>
              <c:f>'SL.114+840'!$A$14:$A$701</c:f>
              <c:numCache>
                <c:formatCode>dd/mm/yyyy;@</c:formatCode>
                <c:ptCount val="688"/>
                <c:pt idx="0">
                  <c:v>45270</c:v>
                </c:pt>
                <c:pt idx="1">
                  <c:v>45271</c:v>
                </c:pt>
                <c:pt idx="2">
                  <c:v>45272</c:v>
                </c:pt>
                <c:pt idx="3">
                  <c:v>45273</c:v>
                </c:pt>
                <c:pt idx="4">
                  <c:v>45274</c:v>
                </c:pt>
                <c:pt idx="5">
                  <c:v>45275</c:v>
                </c:pt>
                <c:pt idx="6">
                  <c:v>45276</c:v>
                </c:pt>
                <c:pt idx="7">
                  <c:v>45277</c:v>
                </c:pt>
                <c:pt idx="8">
                  <c:v>45278</c:v>
                </c:pt>
                <c:pt idx="9">
                  <c:v>45279</c:v>
                </c:pt>
                <c:pt idx="10">
                  <c:v>45280</c:v>
                </c:pt>
                <c:pt idx="11">
                  <c:v>45281</c:v>
                </c:pt>
                <c:pt idx="12">
                  <c:v>45282</c:v>
                </c:pt>
                <c:pt idx="13">
                  <c:v>45283</c:v>
                </c:pt>
                <c:pt idx="14">
                  <c:v>45284</c:v>
                </c:pt>
                <c:pt idx="15">
                  <c:v>45285</c:v>
                </c:pt>
                <c:pt idx="16">
                  <c:v>45286</c:v>
                </c:pt>
                <c:pt idx="17">
                  <c:v>45287</c:v>
                </c:pt>
                <c:pt idx="18">
                  <c:v>45288</c:v>
                </c:pt>
                <c:pt idx="19">
                  <c:v>45289</c:v>
                </c:pt>
                <c:pt idx="20">
                  <c:v>45290</c:v>
                </c:pt>
                <c:pt idx="21">
                  <c:v>45291</c:v>
                </c:pt>
                <c:pt idx="22">
                  <c:v>45292</c:v>
                </c:pt>
                <c:pt idx="23">
                  <c:v>45293</c:v>
                </c:pt>
                <c:pt idx="24">
                  <c:v>45294</c:v>
                </c:pt>
                <c:pt idx="25">
                  <c:v>45295</c:v>
                </c:pt>
                <c:pt idx="26">
                  <c:v>45296</c:v>
                </c:pt>
                <c:pt idx="27">
                  <c:v>45297</c:v>
                </c:pt>
                <c:pt idx="28">
                  <c:v>45298</c:v>
                </c:pt>
                <c:pt idx="29">
                  <c:v>45299</c:v>
                </c:pt>
                <c:pt idx="30">
                  <c:v>45300</c:v>
                </c:pt>
                <c:pt idx="31">
                  <c:v>45301</c:v>
                </c:pt>
                <c:pt idx="32">
                  <c:v>45302</c:v>
                </c:pt>
                <c:pt idx="33">
                  <c:v>45303</c:v>
                </c:pt>
                <c:pt idx="34">
                  <c:v>45304</c:v>
                </c:pt>
                <c:pt idx="35">
                  <c:v>45305</c:v>
                </c:pt>
                <c:pt idx="36">
                  <c:v>45306</c:v>
                </c:pt>
                <c:pt idx="37">
                  <c:v>45307</c:v>
                </c:pt>
                <c:pt idx="38">
                  <c:v>45308</c:v>
                </c:pt>
                <c:pt idx="39">
                  <c:v>45309</c:v>
                </c:pt>
                <c:pt idx="40">
                  <c:v>45310</c:v>
                </c:pt>
                <c:pt idx="41">
                  <c:v>45311</c:v>
                </c:pt>
                <c:pt idx="42">
                  <c:v>45312</c:v>
                </c:pt>
                <c:pt idx="43">
                  <c:v>45313</c:v>
                </c:pt>
                <c:pt idx="44">
                  <c:v>45314</c:v>
                </c:pt>
                <c:pt idx="45">
                  <c:v>45315</c:v>
                </c:pt>
                <c:pt idx="46">
                  <c:v>45316</c:v>
                </c:pt>
                <c:pt idx="47">
                  <c:v>45317</c:v>
                </c:pt>
                <c:pt idx="48">
                  <c:v>45318</c:v>
                </c:pt>
                <c:pt idx="49">
                  <c:v>45319</c:v>
                </c:pt>
                <c:pt idx="50">
                  <c:v>45320</c:v>
                </c:pt>
                <c:pt idx="51">
                  <c:v>45321</c:v>
                </c:pt>
                <c:pt idx="52">
                  <c:v>45322</c:v>
                </c:pt>
                <c:pt idx="53">
                  <c:v>45323</c:v>
                </c:pt>
                <c:pt idx="54">
                  <c:v>45324</c:v>
                </c:pt>
                <c:pt idx="55">
                  <c:v>45325</c:v>
                </c:pt>
                <c:pt idx="56">
                  <c:v>45326</c:v>
                </c:pt>
                <c:pt idx="57">
                  <c:v>45327</c:v>
                </c:pt>
                <c:pt idx="58">
                  <c:v>45328</c:v>
                </c:pt>
                <c:pt idx="59">
                  <c:v>45329</c:v>
                </c:pt>
                <c:pt idx="60">
                  <c:v>45330</c:v>
                </c:pt>
                <c:pt idx="61">
                  <c:v>45331</c:v>
                </c:pt>
                <c:pt idx="62">
                  <c:v>45332</c:v>
                </c:pt>
                <c:pt idx="63">
                  <c:v>45333</c:v>
                </c:pt>
                <c:pt idx="64">
                  <c:v>45334</c:v>
                </c:pt>
                <c:pt idx="65">
                  <c:v>45335</c:v>
                </c:pt>
                <c:pt idx="66">
                  <c:v>45336</c:v>
                </c:pt>
                <c:pt idx="67">
                  <c:v>45337</c:v>
                </c:pt>
                <c:pt idx="68">
                  <c:v>45338</c:v>
                </c:pt>
                <c:pt idx="69">
                  <c:v>45339</c:v>
                </c:pt>
                <c:pt idx="70">
                  <c:v>45340</c:v>
                </c:pt>
                <c:pt idx="71">
                  <c:v>45341</c:v>
                </c:pt>
                <c:pt idx="72">
                  <c:v>45342</c:v>
                </c:pt>
                <c:pt idx="73">
                  <c:v>45343</c:v>
                </c:pt>
                <c:pt idx="74">
                  <c:v>45344</c:v>
                </c:pt>
                <c:pt idx="75">
                  <c:v>45345</c:v>
                </c:pt>
                <c:pt idx="76">
                  <c:v>45346</c:v>
                </c:pt>
                <c:pt idx="77">
                  <c:v>45347</c:v>
                </c:pt>
                <c:pt idx="78">
                  <c:v>45348</c:v>
                </c:pt>
                <c:pt idx="79">
                  <c:v>45349</c:v>
                </c:pt>
                <c:pt idx="80">
                  <c:v>45350</c:v>
                </c:pt>
                <c:pt idx="81">
                  <c:v>45351</c:v>
                </c:pt>
                <c:pt idx="82">
                  <c:v>45352</c:v>
                </c:pt>
                <c:pt idx="83">
                  <c:v>45353</c:v>
                </c:pt>
                <c:pt idx="84">
                  <c:v>45354</c:v>
                </c:pt>
                <c:pt idx="85">
                  <c:v>45355</c:v>
                </c:pt>
                <c:pt idx="86">
                  <c:v>45356</c:v>
                </c:pt>
                <c:pt idx="87">
                  <c:v>45357</c:v>
                </c:pt>
                <c:pt idx="88">
                  <c:v>45358</c:v>
                </c:pt>
                <c:pt idx="89">
                  <c:v>45359</c:v>
                </c:pt>
                <c:pt idx="90">
                  <c:v>45360</c:v>
                </c:pt>
                <c:pt idx="91">
                  <c:v>45361</c:v>
                </c:pt>
                <c:pt idx="92">
                  <c:v>45362</c:v>
                </c:pt>
                <c:pt idx="93">
                  <c:v>45363</c:v>
                </c:pt>
                <c:pt idx="94">
                  <c:v>45364</c:v>
                </c:pt>
                <c:pt idx="95">
                  <c:v>45365</c:v>
                </c:pt>
                <c:pt idx="96">
                  <c:v>45366</c:v>
                </c:pt>
                <c:pt idx="97">
                  <c:v>45367</c:v>
                </c:pt>
                <c:pt idx="98">
                  <c:v>45368</c:v>
                </c:pt>
                <c:pt idx="99">
                  <c:v>45369</c:v>
                </c:pt>
                <c:pt idx="100">
                  <c:v>45370</c:v>
                </c:pt>
                <c:pt idx="101">
                  <c:v>45371</c:v>
                </c:pt>
                <c:pt idx="102">
                  <c:v>45372</c:v>
                </c:pt>
                <c:pt idx="103">
                  <c:v>45373</c:v>
                </c:pt>
                <c:pt idx="104">
                  <c:v>45374</c:v>
                </c:pt>
                <c:pt idx="105">
                  <c:v>45375</c:v>
                </c:pt>
                <c:pt idx="106">
                  <c:v>45376</c:v>
                </c:pt>
                <c:pt idx="107">
                  <c:v>45377</c:v>
                </c:pt>
                <c:pt idx="108">
                  <c:v>45378</c:v>
                </c:pt>
                <c:pt idx="109">
                  <c:v>45379</c:v>
                </c:pt>
                <c:pt idx="110">
                  <c:v>45380</c:v>
                </c:pt>
                <c:pt idx="111">
                  <c:v>45381</c:v>
                </c:pt>
                <c:pt idx="112">
                  <c:v>45382</c:v>
                </c:pt>
                <c:pt idx="113">
                  <c:v>45383</c:v>
                </c:pt>
                <c:pt idx="114">
                  <c:v>45384</c:v>
                </c:pt>
                <c:pt idx="115">
                  <c:v>45385</c:v>
                </c:pt>
                <c:pt idx="116">
                  <c:v>45386</c:v>
                </c:pt>
                <c:pt idx="117">
                  <c:v>45387</c:v>
                </c:pt>
                <c:pt idx="118">
                  <c:v>45388</c:v>
                </c:pt>
                <c:pt idx="119">
                  <c:v>45389</c:v>
                </c:pt>
                <c:pt idx="120">
                  <c:v>45390</c:v>
                </c:pt>
                <c:pt idx="121">
                  <c:v>45391</c:v>
                </c:pt>
                <c:pt idx="122">
                  <c:v>45392</c:v>
                </c:pt>
                <c:pt idx="123">
                  <c:v>45393</c:v>
                </c:pt>
                <c:pt idx="124">
                  <c:v>45394</c:v>
                </c:pt>
                <c:pt idx="125">
                  <c:v>45395</c:v>
                </c:pt>
                <c:pt idx="126">
                  <c:v>45396</c:v>
                </c:pt>
                <c:pt idx="127">
                  <c:v>45397</c:v>
                </c:pt>
                <c:pt idx="128">
                  <c:v>45398</c:v>
                </c:pt>
                <c:pt idx="129">
                  <c:v>45399</c:v>
                </c:pt>
                <c:pt idx="130">
                  <c:v>45400</c:v>
                </c:pt>
                <c:pt idx="131">
                  <c:v>45401</c:v>
                </c:pt>
                <c:pt idx="132">
                  <c:v>45402</c:v>
                </c:pt>
                <c:pt idx="133">
                  <c:v>45403</c:v>
                </c:pt>
                <c:pt idx="134">
                  <c:v>45404</c:v>
                </c:pt>
                <c:pt idx="135">
                  <c:v>45405</c:v>
                </c:pt>
                <c:pt idx="136">
                  <c:v>45406</c:v>
                </c:pt>
                <c:pt idx="137">
                  <c:v>45407</c:v>
                </c:pt>
                <c:pt idx="138">
                  <c:v>45408</c:v>
                </c:pt>
                <c:pt idx="139">
                  <c:v>45409</c:v>
                </c:pt>
                <c:pt idx="140">
                  <c:v>45410</c:v>
                </c:pt>
                <c:pt idx="141">
                  <c:v>45411</c:v>
                </c:pt>
                <c:pt idx="142">
                  <c:v>45412</c:v>
                </c:pt>
                <c:pt idx="143">
                  <c:v>45413</c:v>
                </c:pt>
                <c:pt idx="144">
                  <c:v>45414</c:v>
                </c:pt>
                <c:pt idx="145">
                  <c:v>45415</c:v>
                </c:pt>
                <c:pt idx="146">
                  <c:v>45416</c:v>
                </c:pt>
                <c:pt idx="147">
                  <c:v>45417</c:v>
                </c:pt>
                <c:pt idx="148">
                  <c:v>45418</c:v>
                </c:pt>
                <c:pt idx="149">
                  <c:v>45419</c:v>
                </c:pt>
                <c:pt idx="150">
                  <c:v>45420</c:v>
                </c:pt>
                <c:pt idx="151">
                  <c:v>45421</c:v>
                </c:pt>
                <c:pt idx="152">
                  <c:v>45422</c:v>
                </c:pt>
                <c:pt idx="153">
                  <c:v>45423</c:v>
                </c:pt>
                <c:pt idx="154">
                  <c:v>45424</c:v>
                </c:pt>
                <c:pt idx="155">
                  <c:v>45425</c:v>
                </c:pt>
                <c:pt idx="156">
                  <c:v>45426</c:v>
                </c:pt>
                <c:pt idx="157">
                  <c:v>45427</c:v>
                </c:pt>
                <c:pt idx="158">
                  <c:v>45428</c:v>
                </c:pt>
                <c:pt idx="159">
                  <c:v>45429</c:v>
                </c:pt>
                <c:pt idx="160">
                  <c:v>45430</c:v>
                </c:pt>
                <c:pt idx="161">
                  <c:v>45431</c:v>
                </c:pt>
                <c:pt idx="162">
                  <c:v>45432</c:v>
                </c:pt>
                <c:pt idx="163">
                  <c:v>45433</c:v>
                </c:pt>
                <c:pt idx="164">
                  <c:v>45434</c:v>
                </c:pt>
                <c:pt idx="165">
                  <c:v>45435</c:v>
                </c:pt>
                <c:pt idx="166">
                  <c:v>45436</c:v>
                </c:pt>
                <c:pt idx="167">
                  <c:v>45437</c:v>
                </c:pt>
                <c:pt idx="168">
                  <c:v>45438</c:v>
                </c:pt>
                <c:pt idx="169">
                  <c:v>45439</c:v>
                </c:pt>
                <c:pt idx="170">
                  <c:v>45440</c:v>
                </c:pt>
                <c:pt idx="171">
                  <c:v>45441</c:v>
                </c:pt>
                <c:pt idx="172">
                  <c:v>45442</c:v>
                </c:pt>
                <c:pt idx="173">
                  <c:v>45443</c:v>
                </c:pt>
                <c:pt idx="174">
                  <c:v>45444</c:v>
                </c:pt>
                <c:pt idx="175">
                  <c:v>45445</c:v>
                </c:pt>
                <c:pt idx="176">
                  <c:v>45446</c:v>
                </c:pt>
                <c:pt idx="177">
                  <c:v>45447</c:v>
                </c:pt>
                <c:pt idx="178">
                  <c:v>45448</c:v>
                </c:pt>
                <c:pt idx="179">
                  <c:v>45449</c:v>
                </c:pt>
                <c:pt idx="180">
                  <c:v>45450</c:v>
                </c:pt>
                <c:pt idx="181">
                  <c:v>45451</c:v>
                </c:pt>
                <c:pt idx="182">
                  <c:v>45452</c:v>
                </c:pt>
                <c:pt idx="183">
                  <c:v>45453</c:v>
                </c:pt>
                <c:pt idx="184">
                  <c:v>45454</c:v>
                </c:pt>
                <c:pt idx="185">
                  <c:v>45455</c:v>
                </c:pt>
                <c:pt idx="186">
                  <c:v>45456</c:v>
                </c:pt>
                <c:pt idx="187">
                  <c:v>45457</c:v>
                </c:pt>
                <c:pt idx="188">
                  <c:v>45458</c:v>
                </c:pt>
                <c:pt idx="189">
                  <c:v>45459</c:v>
                </c:pt>
                <c:pt idx="190">
                  <c:v>45460</c:v>
                </c:pt>
                <c:pt idx="191">
                  <c:v>45461</c:v>
                </c:pt>
                <c:pt idx="192">
                  <c:v>45462</c:v>
                </c:pt>
                <c:pt idx="193">
                  <c:v>45463</c:v>
                </c:pt>
                <c:pt idx="194">
                  <c:v>45464</c:v>
                </c:pt>
                <c:pt idx="195">
                  <c:v>45465</c:v>
                </c:pt>
                <c:pt idx="196">
                  <c:v>45466</c:v>
                </c:pt>
                <c:pt idx="197">
                  <c:v>45467</c:v>
                </c:pt>
                <c:pt idx="198">
                  <c:v>45468</c:v>
                </c:pt>
                <c:pt idx="199">
                  <c:v>45469</c:v>
                </c:pt>
                <c:pt idx="200">
                  <c:v>45470</c:v>
                </c:pt>
                <c:pt idx="201">
                  <c:v>45471</c:v>
                </c:pt>
                <c:pt idx="202">
                  <c:v>45472</c:v>
                </c:pt>
                <c:pt idx="203">
                  <c:v>45473</c:v>
                </c:pt>
                <c:pt idx="204">
                  <c:v>45474</c:v>
                </c:pt>
                <c:pt idx="205">
                  <c:v>45475</c:v>
                </c:pt>
                <c:pt idx="206">
                  <c:v>45476</c:v>
                </c:pt>
                <c:pt idx="207">
                  <c:v>45477</c:v>
                </c:pt>
                <c:pt idx="208">
                  <c:v>45478</c:v>
                </c:pt>
                <c:pt idx="209">
                  <c:v>45479</c:v>
                </c:pt>
                <c:pt idx="210">
                  <c:v>45480</c:v>
                </c:pt>
                <c:pt idx="211">
                  <c:v>45481</c:v>
                </c:pt>
                <c:pt idx="212">
                  <c:v>45482</c:v>
                </c:pt>
                <c:pt idx="213">
                  <c:v>45483</c:v>
                </c:pt>
                <c:pt idx="214">
                  <c:v>45484</c:v>
                </c:pt>
                <c:pt idx="215">
                  <c:v>45485</c:v>
                </c:pt>
                <c:pt idx="216">
                  <c:v>45486</c:v>
                </c:pt>
                <c:pt idx="217">
                  <c:v>45487</c:v>
                </c:pt>
                <c:pt idx="218">
                  <c:v>45488</c:v>
                </c:pt>
                <c:pt idx="219">
                  <c:v>45489</c:v>
                </c:pt>
                <c:pt idx="220">
                  <c:v>45490</c:v>
                </c:pt>
                <c:pt idx="221">
                  <c:v>45491</c:v>
                </c:pt>
                <c:pt idx="222">
                  <c:v>45492</c:v>
                </c:pt>
                <c:pt idx="223">
                  <c:v>45493</c:v>
                </c:pt>
                <c:pt idx="224">
                  <c:v>45494</c:v>
                </c:pt>
                <c:pt idx="225">
                  <c:v>45495</c:v>
                </c:pt>
                <c:pt idx="226">
                  <c:v>45496</c:v>
                </c:pt>
                <c:pt idx="227">
                  <c:v>45497</c:v>
                </c:pt>
                <c:pt idx="228">
                  <c:v>45498</c:v>
                </c:pt>
                <c:pt idx="229">
                  <c:v>45499</c:v>
                </c:pt>
                <c:pt idx="230">
                  <c:v>45500</c:v>
                </c:pt>
                <c:pt idx="231">
                  <c:v>45501</c:v>
                </c:pt>
                <c:pt idx="232">
                  <c:v>45502</c:v>
                </c:pt>
                <c:pt idx="233">
                  <c:v>45503</c:v>
                </c:pt>
                <c:pt idx="234">
                  <c:v>45504</c:v>
                </c:pt>
                <c:pt idx="235">
                  <c:v>45505</c:v>
                </c:pt>
                <c:pt idx="236">
                  <c:v>45506</c:v>
                </c:pt>
                <c:pt idx="237">
                  <c:v>45507</c:v>
                </c:pt>
                <c:pt idx="238">
                  <c:v>45508</c:v>
                </c:pt>
                <c:pt idx="239">
                  <c:v>45509</c:v>
                </c:pt>
                <c:pt idx="240">
                  <c:v>45510</c:v>
                </c:pt>
                <c:pt idx="241">
                  <c:v>45511</c:v>
                </c:pt>
                <c:pt idx="242">
                  <c:v>45512</c:v>
                </c:pt>
                <c:pt idx="243">
                  <c:v>45513</c:v>
                </c:pt>
                <c:pt idx="244">
                  <c:v>45514</c:v>
                </c:pt>
                <c:pt idx="245">
                  <c:v>45515</c:v>
                </c:pt>
                <c:pt idx="246">
                  <c:v>45516</c:v>
                </c:pt>
                <c:pt idx="247">
                  <c:v>45517</c:v>
                </c:pt>
                <c:pt idx="248">
                  <c:v>45518</c:v>
                </c:pt>
                <c:pt idx="249">
                  <c:v>45519</c:v>
                </c:pt>
                <c:pt idx="250">
                  <c:v>45520</c:v>
                </c:pt>
                <c:pt idx="251">
                  <c:v>45521</c:v>
                </c:pt>
                <c:pt idx="252">
                  <c:v>45522</c:v>
                </c:pt>
                <c:pt idx="253">
                  <c:v>45523</c:v>
                </c:pt>
                <c:pt idx="254">
                  <c:v>45524</c:v>
                </c:pt>
                <c:pt idx="255">
                  <c:v>45525</c:v>
                </c:pt>
                <c:pt idx="256">
                  <c:v>45526</c:v>
                </c:pt>
                <c:pt idx="257">
                  <c:v>45527</c:v>
                </c:pt>
                <c:pt idx="258">
                  <c:v>45528</c:v>
                </c:pt>
                <c:pt idx="259">
                  <c:v>45529</c:v>
                </c:pt>
                <c:pt idx="260">
                  <c:v>45530</c:v>
                </c:pt>
                <c:pt idx="261">
                  <c:v>45531</c:v>
                </c:pt>
                <c:pt idx="262">
                  <c:v>45532</c:v>
                </c:pt>
                <c:pt idx="263">
                  <c:v>45533</c:v>
                </c:pt>
                <c:pt idx="264">
                  <c:v>45534</c:v>
                </c:pt>
                <c:pt idx="265">
                  <c:v>45535</c:v>
                </c:pt>
                <c:pt idx="266">
                  <c:v>45536</c:v>
                </c:pt>
                <c:pt idx="267">
                  <c:v>45537</c:v>
                </c:pt>
                <c:pt idx="268">
                  <c:v>45538</c:v>
                </c:pt>
                <c:pt idx="269">
                  <c:v>45539</c:v>
                </c:pt>
                <c:pt idx="270">
                  <c:v>45540</c:v>
                </c:pt>
                <c:pt idx="271">
                  <c:v>45541</c:v>
                </c:pt>
                <c:pt idx="272">
                  <c:v>45542</c:v>
                </c:pt>
                <c:pt idx="273">
                  <c:v>45543</c:v>
                </c:pt>
                <c:pt idx="274">
                  <c:v>45544</c:v>
                </c:pt>
                <c:pt idx="275">
                  <c:v>45545</c:v>
                </c:pt>
                <c:pt idx="276">
                  <c:v>45546</c:v>
                </c:pt>
                <c:pt idx="277">
                  <c:v>45547</c:v>
                </c:pt>
                <c:pt idx="278">
                  <c:v>45548</c:v>
                </c:pt>
                <c:pt idx="279">
                  <c:v>45549</c:v>
                </c:pt>
                <c:pt idx="280">
                  <c:v>45550</c:v>
                </c:pt>
                <c:pt idx="281">
                  <c:v>45551</c:v>
                </c:pt>
                <c:pt idx="282">
                  <c:v>45552</c:v>
                </c:pt>
                <c:pt idx="283">
                  <c:v>45553</c:v>
                </c:pt>
                <c:pt idx="284">
                  <c:v>45554</c:v>
                </c:pt>
                <c:pt idx="285">
                  <c:v>45555</c:v>
                </c:pt>
                <c:pt idx="286">
                  <c:v>45556</c:v>
                </c:pt>
                <c:pt idx="287">
                  <c:v>45557</c:v>
                </c:pt>
                <c:pt idx="288">
                  <c:v>45558</c:v>
                </c:pt>
                <c:pt idx="289">
                  <c:v>45559</c:v>
                </c:pt>
                <c:pt idx="290">
                  <c:v>45560</c:v>
                </c:pt>
                <c:pt idx="291">
                  <c:v>45561</c:v>
                </c:pt>
                <c:pt idx="292">
                  <c:v>45562</c:v>
                </c:pt>
                <c:pt idx="293">
                  <c:v>45563</c:v>
                </c:pt>
                <c:pt idx="294">
                  <c:v>45564</c:v>
                </c:pt>
                <c:pt idx="295">
                  <c:v>45565</c:v>
                </c:pt>
                <c:pt idx="296">
                  <c:v>45566</c:v>
                </c:pt>
                <c:pt idx="297">
                  <c:v>45567</c:v>
                </c:pt>
                <c:pt idx="298">
                  <c:v>45568</c:v>
                </c:pt>
                <c:pt idx="299">
                  <c:v>45569</c:v>
                </c:pt>
                <c:pt idx="300">
                  <c:v>45570</c:v>
                </c:pt>
                <c:pt idx="301">
                  <c:v>45571</c:v>
                </c:pt>
                <c:pt idx="302">
                  <c:v>45572</c:v>
                </c:pt>
                <c:pt idx="303">
                  <c:v>45573</c:v>
                </c:pt>
                <c:pt idx="304">
                  <c:v>45574</c:v>
                </c:pt>
                <c:pt idx="305">
                  <c:v>45575</c:v>
                </c:pt>
                <c:pt idx="306">
                  <c:v>45576</c:v>
                </c:pt>
                <c:pt idx="307">
                  <c:v>45577</c:v>
                </c:pt>
                <c:pt idx="308">
                  <c:v>45578</c:v>
                </c:pt>
                <c:pt idx="309">
                  <c:v>45579</c:v>
                </c:pt>
                <c:pt idx="310">
                  <c:v>45580</c:v>
                </c:pt>
                <c:pt idx="311">
                  <c:v>45581</c:v>
                </c:pt>
                <c:pt idx="312">
                  <c:v>45582</c:v>
                </c:pt>
                <c:pt idx="313">
                  <c:v>45583</c:v>
                </c:pt>
                <c:pt idx="314">
                  <c:v>45584</c:v>
                </c:pt>
                <c:pt idx="315">
                  <c:v>45585</c:v>
                </c:pt>
                <c:pt idx="316">
                  <c:v>45586</c:v>
                </c:pt>
                <c:pt idx="317">
                  <c:v>45587</c:v>
                </c:pt>
                <c:pt idx="318">
                  <c:v>45588</c:v>
                </c:pt>
                <c:pt idx="319">
                  <c:v>45589</c:v>
                </c:pt>
                <c:pt idx="320">
                  <c:v>45590</c:v>
                </c:pt>
                <c:pt idx="321">
                  <c:v>45591</c:v>
                </c:pt>
                <c:pt idx="322">
                  <c:v>45592</c:v>
                </c:pt>
                <c:pt idx="323">
                  <c:v>45593</c:v>
                </c:pt>
                <c:pt idx="324">
                  <c:v>45594</c:v>
                </c:pt>
                <c:pt idx="325">
                  <c:v>45595</c:v>
                </c:pt>
                <c:pt idx="326">
                  <c:v>45596</c:v>
                </c:pt>
                <c:pt idx="327">
                  <c:v>45597</c:v>
                </c:pt>
                <c:pt idx="328">
                  <c:v>45598</c:v>
                </c:pt>
                <c:pt idx="329">
                  <c:v>45599</c:v>
                </c:pt>
                <c:pt idx="330">
                  <c:v>45600</c:v>
                </c:pt>
                <c:pt idx="331">
                  <c:v>45601</c:v>
                </c:pt>
                <c:pt idx="332">
                  <c:v>45602</c:v>
                </c:pt>
                <c:pt idx="333">
                  <c:v>45603</c:v>
                </c:pt>
                <c:pt idx="334">
                  <c:v>45604</c:v>
                </c:pt>
                <c:pt idx="335">
                  <c:v>45605</c:v>
                </c:pt>
                <c:pt idx="336">
                  <c:v>45606</c:v>
                </c:pt>
                <c:pt idx="337">
                  <c:v>45607</c:v>
                </c:pt>
                <c:pt idx="338">
                  <c:v>45608</c:v>
                </c:pt>
                <c:pt idx="339">
                  <c:v>45609</c:v>
                </c:pt>
                <c:pt idx="340">
                  <c:v>45610</c:v>
                </c:pt>
                <c:pt idx="341">
                  <c:v>45611</c:v>
                </c:pt>
                <c:pt idx="342">
                  <c:v>45612</c:v>
                </c:pt>
                <c:pt idx="343">
                  <c:v>45613</c:v>
                </c:pt>
                <c:pt idx="344">
                  <c:v>45614</c:v>
                </c:pt>
                <c:pt idx="345">
                  <c:v>45615</c:v>
                </c:pt>
                <c:pt idx="346">
                  <c:v>45616</c:v>
                </c:pt>
                <c:pt idx="347">
                  <c:v>45617</c:v>
                </c:pt>
                <c:pt idx="348">
                  <c:v>45618</c:v>
                </c:pt>
                <c:pt idx="349">
                  <c:v>45619</c:v>
                </c:pt>
                <c:pt idx="350">
                  <c:v>45620</c:v>
                </c:pt>
                <c:pt idx="351">
                  <c:v>45621</c:v>
                </c:pt>
                <c:pt idx="352">
                  <c:v>45622</c:v>
                </c:pt>
                <c:pt idx="353">
                  <c:v>45623</c:v>
                </c:pt>
                <c:pt idx="354">
                  <c:v>45624</c:v>
                </c:pt>
                <c:pt idx="355">
                  <c:v>45625</c:v>
                </c:pt>
                <c:pt idx="356">
                  <c:v>45626</c:v>
                </c:pt>
                <c:pt idx="357">
                  <c:v>45627</c:v>
                </c:pt>
                <c:pt idx="358">
                  <c:v>45628</c:v>
                </c:pt>
                <c:pt idx="359">
                  <c:v>45629</c:v>
                </c:pt>
                <c:pt idx="360">
                  <c:v>45630</c:v>
                </c:pt>
                <c:pt idx="361">
                  <c:v>45631</c:v>
                </c:pt>
                <c:pt idx="362">
                  <c:v>45632</c:v>
                </c:pt>
                <c:pt idx="363">
                  <c:v>45633</c:v>
                </c:pt>
                <c:pt idx="364">
                  <c:v>45634</c:v>
                </c:pt>
                <c:pt idx="365">
                  <c:v>45635</c:v>
                </c:pt>
                <c:pt idx="366">
                  <c:v>45636</c:v>
                </c:pt>
                <c:pt idx="367">
                  <c:v>45637</c:v>
                </c:pt>
                <c:pt idx="368">
                  <c:v>45638</c:v>
                </c:pt>
                <c:pt idx="369">
                  <c:v>45639</c:v>
                </c:pt>
                <c:pt idx="370">
                  <c:v>45640</c:v>
                </c:pt>
                <c:pt idx="371">
                  <c:v>45641</c:v>
                </c:pt>
                <c:pt idx="372">
                  <c:v>45642</c:v>
                </c:pt>
                <c:pt idx="373">
                  <c:v>45643</c:v>
                </c:pt>
                <c:pt idx="374">
                  <c:v>45644</c:v>
                </c:pt>
                <c:pt idx="375">
                  <c:v>45645</c:v>
                </c:pt>
                <c:pt idx="376">
                  <c:v>45646</c:v>
                </c:pt>
                <c:pt idx="377">
                  <c:v>45647</c:v>
                </c:pt>
                <c:pt idx="378">
                  <c:v>45648</c:v>
                </c:pt>
                <c:pt idx="379">
                  <c:v>45649</c:v>
                </c:pt>
                <c:pt idx="380">
                  <c:v>45650</c:v>
                </c:pt>
                <c:pt idx="381">
                  <c:v>45651</c:v>
                </c:pt>
                <c:pt idx="382">
                  <c:v>45652</c:v>
                </c:pt>
                <c:pt idx="383">
                  <c:v>45653</c:v>
                </c:pt>
                <c:pt idx="384">
                  <c:v>45654</c:v>
                </c:pt>
                <c:pt idx="385">
                  <c:v>45655</c:v>
                </c:pt>
                <c:pt idx="386">
                  <c:v>45656</c:v>
                </c:pt>
                <c:pt idx="387">
                  <c:v>45657</c:v>
                </c:pt>
                <c:pt idx="388">
                  <c:v>45658</c:v>
                </c:pt>
                <c:pt idx="389">
                  <c:v>45659</c:v>
                </c:pt>
                <c:pt idx="390">
                  <c:v>45660</c:v>
                </c:pt>
                <c:pt idx="391">
                  <c:v>45661</c:v>
                </c:pt>
                <c:pt idx="392">
                  <c:v>45662</c:v>
                </c:pt>
                <c:pt idx="393">
                  <c:v>45663</c:v>
                </c:pt>
                <c:pt idx="394">
                  <c:v>45664</c:v>
                </c:pt>
                <c:pt idx="395">
                  <c:v>45665</c:v>
                </c:pt>
                <c:pt idx="396">
                  <c:v>45666</c:v>
                </c:pt>
                <c:pt idx="397">
                  <c:v>45667</c:v>
                </c:pt>
                <c:pt idx="398">
                  <c:v>45668</c:v>
                </c:pt>
                <c:pt idx="399">
                  <c:v>45669</c:v>
                </c:pt>
                <c:pt idx="400">
                  <c:v>45670</c:v>
                </c:pt>
                <c:pt idx="401">
                  <c:v>45671</c:v>
                </c:pt>
                <c:pt idx="402">
                  <c:v>45672</c:v>
                </c:pt>
                <c:pt idx="403">
                  <c:v>45673</c:v>
                </c:pt>
                <c:pt idx="404">
                  <c:v>45674</c:v>
                </c:pt>
                <c:pt idx="405">
                  <c:v>45675</c:v>
                </c:pt>
                <c:pt idx="406">
                  <c:v>45676</c:v>
                </c:pt>
                <c:pt idx="407">
                  <c:v>45677</c:v>
                </c:pt>
                <c:pt idx="408">
                  <c:v>45678</c:v>
                </c:pt>
                <c:pt idx="409">
                  <c:v>45679</c:v>
                </c:pt>
                <c:pt idx="410">
                  <c:v>45680</c:v>
                </c:pt>
                <c:pt idx="411">
                  <c:v>45681</c:v>
                </c:pt>
                <c:pt idx="412">
                  <c:v>45682</c:v>
                </c:pt>
                <c:pt idx="413">
                  <c:v>45683</c:v>
                </c:pt>
                <c:pt idx="414">
                  <c:v>45684</c:v>
                </c:pt>
                <c:pt idx="415">
                  <c:v>45685</c:v>
                </c:pt>
                <c:pt idx="416">
                  <c:v>45686</c:v>
                </c:pt>
                <c:pt idx="417">
                  <c:v>45687</c:v>
                </c:pt>
                <c:pt idx="418">
                  <c:v>45688</c:v>
                </c:pt>
                <c:pt idx="419">
                  <c:v>45689</c:v>
                </c:pt>
                <c:pt idx="420">
                  <c:v>45690</c:v>
                </c:pt>
                <c:pt idx="421">
                  <c:v>45691</c:v>
                </c:pt>
                <c:pt idx="422">
                  <c:v>45692</c:v>
                </c:pt>
                <c:pt idx="423">
                  <c:v>45693</c:v>
                </c:pt>
                <c:pt idx="424">
                  <c:v>45694</c:v>
                </c:pt>
                <c:pt idx="425">
                  <c:v>45695</c:v>
                </c:pt>
                <c:pt idx="426">
                  <c:v>45696</c:v>
                </c:pt>
                <c:pt idx="427">
                  <c:v>45697</c:v>
                </c:pt>
                <c:pt idx="428">
                  <c:v>45698</c:v>
                </c:pt>
                <c:pt idx="429">
                  <c:v>45699</c:v>
                </c:pt>
                <c:pt idx="430">
                  <c:v>45700</c:v>
                </c:pt>
                <c:pt idx="431">
                  <c:v>45701</c:v>
                </c:pt>
                <c:pt idx="432">
                  <c:v>45702</c:v>
                </c:pt>
                <c:pt idx="433">
                  <c:v>45703</c:v>
                </c:pt>
                <c:pt idx="434">
                  <c:v>45704</c:v>
                </c:pt>
                <c:pt idx="435">
                  <c:v>45705</c:v>
                </c:pt>
                <c:pt idx="436">
                  <c:v>45706</c:v>
                </c:pt>
                <c:pt idx="437">
                  <c:v>45707</c:v>
                </c:pt>
                <c:pt idx="438">
                  <c:v>45708</c:v>
                </c:pt>
                <c:pt idx="439">
                  <c:v>45709</c:v>
                </c:pt>
                <c:pt idx="440">
                  <c:v>45710</c:v>
                </c:pt>
                <c:pt idx="441">
                  <c:v>45711</c:v>
                </c:pt>
                <c:pt idx="442">
                  <c:v>45712</c:v>
                </c:pt>
                <c:pt idx="443">
                  <c:v>45713</c:v>
                </c:pt>
                <c:pt idx="444">
                  <c:v>45714</c:v>
                </c:pt>
                <c:pt idx="445">
                  <c:v>45715</c:v>
                </c:pt>
                <c:pt idx="446">
                  <c:v>45716</c:v>
                </c:pt>
                <c:pt idx="447">
                  <c:v>45717</c:v>
                </c:pt>
                <c:pt idx="448">
                  <c:v>45718</c:v>
                </c:pt>
                <c:pt idx="449">
                  <c:v>45719</c:v>
                </c:pt>
                <c:pt idx="450">
                  <c:v>45720</c:v>
                </c:pt>
                <c:pt idx="451">
                  <c:v>45721</c:v>
                </c:pt>
                <c:pt idx="452">
                  <c:v>45722</c:v>
                </c:pt>
                <c:pt idx="453">
                  <c:v>45723</c:v>
                </c:pt>
                <c:pt idx="454">
                  <c:v>45724</c:v>
                </c:pt>
                <c:pt idx="455">
                  <c:v>45725</c:v>
                </c:pt>
                <c:pt idx="456">
                  <c:v>45726</c:v>
                </c:pt>
                <c:pt idx="457">
                  <c:v>45727</c:v>
                </c:pt>
                <c:pt idx="458">
                  <c:v>45728</c:v>
                </c:pt>
                <c:pt idx="459">
                  <c:v>45729</c:v>
                </c:pt>
                <c:pt idx="460">
                  <c:v>45730</c:v>
                </c:pt>
                <c:pt idx="461">
                  <c:v>45731</c:v>
                </c:pt>
                <c:pt idx="462">
                  <c:v>45732</c:v>
                </c:pt>
                <c:pt idx="463">
                  <c:v>45733</c:v>
                </c:pt>
                <c:pt idx="464">
                  <c:v>45734</c:v>
                </c:pt>
                <c:pt idx="465">
                  <c:v>45735</c:v>
                </c:pt>
                <c:pt idx="466">
                  <c:v>45736</c:v>
                </c:pt>
                <c:pt idx="467">
                  <c:v>45737</c:v>
                </c:pt>
                <c:pt idx="468">
                  <c:v>45738</c:v>
                </c:pt>
                <c:pt idx="469">
                  <c:v>45739</c:v>
                </c:pt>
                <c:pt idx="470">
                  <c:v>45740</c:v>
                </c:pt>
                <c:pt idx="471">
                  <c:v>45741</c:v>
                </c:pt>
                <c:pt idx="472">
                  <c:v>45742</c:v>
                </c:pt>
                <c:pt idx="473">
                  <c:v>45743</c:v>
                </c:pt>
                <c:pt idx="474">
                  <c:v>45744</c:v>
                </c:pt>
                <c:pt idx="475">
                  <c:v>45745</c:v>
                </c:pt>
                <c:pt idx="476">
                  <c:v>45746</c:v>
                </c:pt>
                <c:pt idx="477">
                  <c:v>45747</c:v>
                </c:pt>
                <c:pt idx="478">
                  <c:v>45748</c:v>
                </c:pt>
                <c:pt idx="479">
                  <c:v>45749</c:v>
                </c:pt>
                <c:pt idx="480">
                  <c:v>45750</c:v>
                </c:pt>
                <c:pt idx="481">
                  <c:v>45751</c:v>
                </c:pt>
                <c:pt idx="482">
                  <c:v>45752</c:v>
                </c:pt>
                <c:pt idx="483">
                  <c:v>45753</c:v>
                </c:pt>
                <c:pt idx="484">
                  <c:v>45754</c:v>
                </c:pt>
                <c:pt idx="485">
                  <c:v>45755</c:v>
                </c:pt>
                <c:pt idx="486">
                  <c:v>45756</c:v>
                </c:pt>
                <c:pt idx="487">
                  <c:v>45757</c:v>
                </c:pt>
                <c:pt idx="488">
                  <c:v>45758</c:v>
                </c:pt>
                <c:pt idx="489">
                  <c:v>45759</c:v>
                </c:pt>
                <c:pt idx="490">
                  <c:v>45760</c:v>
                </c:pt>
                <c:pt idx="491">
                  <c:v>45761</c:v>
                </c:pt>
                <c:pt idx="492">
                  <c:v>45762</c:v>
                </c:pt>
                <c:pt idx="493">
                  <c:v>45763</c:v>
                </c:pt>
                <c:pt idx="494">
                  <c:v>45764</c:v>
                </c:pt>
                <c:pt idx="495">
                  <c:v>45765</c:v>
                </c:pt>
                <c:pt idx="496">
                  <c:v>45766</c:v>
                </c:pt>
                <c:pt idx="497">
                  <c:v>45767</c:v>
                </c:pt>
                <c:pt idx="498">
                  <c:v>45768</c:v>
                </c:pt>
                <c:pt idx="499">
                  <c:v>45771</c:v>
                </c:pt>
                <c:pt idx="500">
                  <c:v>45775</c:v>
                </c:pt>
                <c:pt idx="501">
                  <c:v>45778</c:v>
                </c:pt>
                <c:pt idx="502">
                  <c:v>45782</c:v>
                </c:pt>
                <c:pt idx="503">
                  <c:v>45785</c:v>
                </c:pt>
                <c:pt idx="504">
                  <c:v>45789</c:v>
                </c:pt>
                <c:pt idx="505">
                  <c:v>45792</c:v>
                </c:pt>
                <c:pt idx="506">
                  <c:v>45796</c:v>
                </c:pt>
                <c:pt idx="507">
                  <c:v>45803</c:v>
                </c:pt>
                <c:pt idx="508">
                  <c:v>45810</c:v>
                </c:pt>
                <c:pt idx="509">
                  <c:v>45817</c:v>
                </c:pt>
                <c:pt idx="510">
                  <c:v>45824</c:v>
                </c:pt>
                <c:pt idx="511">
                  <c:v>45831</c:v>
                </c:pt>
                <c:pt idx="512">
                  <c:v>45838</c:v>
                </c:pt>
                <c:pt idx="513">
                  <c:v>45845</c:v>
                </c:pt>
                <c:pt idx="514">
                  <c:v>45852</c:v>
                </c:pt>
                <c:pt idx="515">
                  <c:v>45859</c:v>
                </c:pt>
                <c:pt idx="516">
                  <c:v>45866</c:v>
                </c:pt>
              </c:numCache>
            </c:numRef>
          </c:xVal>
          <c:yVal>
            <c:numRef>
              <c:f>'SL.114+840'!$C$14:$C$701</c:f>
              <c:numCache>
                <c:formatCode>0.000</c:formatCode>
                <c:ptCount val="688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0.1</c:v>
                </c:pt>
                <c:pt idx="7">
                  <c:v>0.1</c:v>
                </c:pt>
                <c:pt idx="8">
                  <c:v>0.1</c:v>
                </c:pt>
                <c:pt idx="9">
                  <c:v>0.1</c:v>
                </c:pt>
                <c:pt idx="10">
                  <c:v>0.1</c:v>
                </c:pt>
                <c:pt idx="11">
                  <c:v>0.1</c:v>
                </c:pt>
                <c:pt idx="12">
                  <c:v>0.1</c:v>
                </c:pt>
                <c:pt idx="13">
                  <c:v>0.1</c:v>
                </c:pt>
                <c:pt idx="14">
                  <c:v>0.1</c:v>
                </c:pt>
                <c:pt idx="15">
                  <c:v>0.1</c:v>
                </c:pt>
                <c:pt idx="16">
                  <c:v>0.1</c:v>
                </c:pt>
                <c:pt idx="17">
                  <c:v>0.1</c:v>
                </c:pt>
                <c:pt idx="18">
                  <c:v>0.1</c:v>
                </c:pt>
                <c:pt idx="19">
                  <c:v>0.1</c:v>
                </c:pt>
                <c:pt idx="20">
                  <c:v>0.1</c:v>
                </c:pt>
                <c:pt idx="21">
                  <c:v>0.1</c:v>
                </c:pt>
                <c:pt idx="22">
                  <c:v>0.1</c:v>
                </c:pt>
                <c:pt idx="23">
                  <c:v>0.192</c:v>
                </c:pt>
                <c:pt idx="24">
                  <c:v>0.186</c:v>
                </c:pt>
                <c:pt idx="25">
                  <c:v>0.18</c:v>
                </c:pt>
                <c:pt idx="26">
                  <c:v>0.17399999999999999</c:v>
                </c:pt>
                <c:pt idx="27">
                  <c:v>0.16500000000000001</c:v>
                </c:pt>
                <c:pt idx="28">
                  <c:v>0.16200000000000001</c:v>
                </c:pt>
                <c:pt idx="29">
                  <c:v>0.45300000000000001</c:v>
                </c:pt>
                <c:pt idx="30">
                  <c:v>0.45</c:v>
                </c:pt>
                <c:pt idx="31">
                  <c:v>0.442</c:v>
                </c:pt>
                <c:pt idx="32">
                  <c:v>0.436</c:v>
                </c:pt>
                <c:pt idx="33">
                  <c:v>0.42899999999999999</c:v>
                </c:pt>
                <c:pt idx="34">
                  <c:v>0.42299999999999999</c:v>
                </c:pt>
                <c:pt idx="35">
                  <c:v>0.71399999999999997</c:v>
                </c:pt>
                <c:pt idx="36">
                  <c:v>0.71099999999999997</c:v>
                </c:pt>
                <c:pt idx="37">
                  <c:v>0.70699999999999996</c:v>
                </c:pt>
                <c:pt idx="38">
                  <c:v>0.70499999999999996</c:v>
                </c:pt>
                <c:pt idx="39">
                  <c:v>0.7</c:v>
                </c:pt>
                <c:pt idx="40">
                  <c:v>0.69499999999999995</c:v>
                </c:pt>
                <c:pt idx="41">
                  <c:v>0.98699999999999999</c:v>
                </c:pt>
                <c:pt idx="42">
                  <c:v>0.98299999999999998</c:v>
                </c:pt>
                <c:pt idx="43">
                  <c:v>0.97599999999999998</c:v>
                </c:pt>
                <c:pt idx="44">
                  <c:v>0.97099999999999997</c:v>
                </c:pt>
                <c:pt idx="45">
                  <c:v>0.96699999999999997</c:v>
                </c:pt>
                <c:pt idx="46">
                  <c:v>0.96299999999999997</c:v>
                </c:pt>
                <c:pt idx="47">
                  <c:v>0.95499999999999996</c:v>
                </c:pt>
                <c:pt idx="48">
                  <c:v>0.95099999999999996</c:v>
                </c:pt>
                <c:pt idx="49">
                  <c:v>0.94399999999999995</c:v>
                </c:pt>
                <c:pt idx="50">
                  <c:v>0.93899999999999995</c:v>
                </c:pt>
                <c:pt idx="51">
                  <c:v>0.93700000000000006</c:v>
                </c:pt>
                <c:pt idx="52">
                  <c:v>0.93300000000000005</c:v>
                </c:pt>
                <c:pt idx="53">
                  <c:v>0.92600000000000005</c:v>
                </c:pt>
                <c:pt idx="54">
                  <c:v>0.92100000000000004</c:v>
                </c:pt>
                <c:pt idx="55">
                  <c:v>0.91700000000000004</c:v>
                </c:pt>
                <c:pt idx="56">
                  <c:v>0.90900000000000003</c:v>
                </c:pt>
                <c:pt idx="57">
                  <c:v>0.90700000000000003</c:v>
                </c:pt>
                <c:pt idx="58">
                  <c:v>0.90300000000000002</c:v>
                </c:pt>
                <c:pt idx="59">
                  <c:v>0.89600000000000002</c:v>
                </c:pt>
                <c:pt idx="60">
                  <c:v>0.89100000000000001</c:v>
                </c:pt>
                <c:pt idx="61">
                  <c:v>0.88900000000000001</c:v>
                </c:pt>
                <c:pt idx="62">
                  <c:v>0.88700000000000001</c:v>
                </c:pt>
                <c:pt idx="63">
                  <c:v>0.88300000000000001</c:v>
                </c:pt>
                <c:pt idx="64">
                  <c:v>0.876</c:v>
                </c:pt>
                <c:pt idx="65">
                  <c:v>0.871</c:v>
                </c:pt>
                <c:pt idx="66">
                  <c:v>0.86699999999999999</c:v>
                </c:pt>
                <c:pt idx="67">
                  <c:v>0.85899999999999999</c:v>
                </c:pt>
                <c:pt idx="68">
                  <c:v>0.85699999999999998</c:v>
                </c:pt>
                <c:pt idx="69">
                  <c:v>0.85299999999999998</c:v>
                </c:pt>
                <c:pt idx="70">
                  <c:v>0.84599999999999997</c:v>
                </c:pt>
                <c:pt idx="71">
                  <c:v>0.84099999999999997</c:v>
                </c:pt>
                <c:pt idx="72">
                  <c:v>0.83699999999999997</c:v>
                </c:pt>
                <c:pt idx="73">
                  <c:v>0.82899999999999996</c:v>
                </c:pt>
                <c:pt idx="74">
                  <c:v>0.82699999999999996</c:v>
                </c:pt>
                <c:pt idx="75">
                  <c:v>0.82299999999999995</c:v>
                </c:pt>
                <c:pt idx="76">
                  <c:v>0.81599999999999995</c:v>
                </c:pt>
                <c:pt idx="77">
                  <c:v>0.81100000000000005</c:v>
                </c:pt>
                <c:pt idx="78">
                  <c:v>0.80900000000000005</c:v>
                </c:pt>
                <c:pt idx="79">
                  <c:v>0.80900000000000005</c:v>
                </c:pt>
                <c:pt idx="80">
                  <c:v>0.80900000000000005</c:v>
                </c:pt>
                <c:pt idx="81">
                  <c:v>0.80900000000000005</c:v>
                </c:pt>
                <c:pt idx="82">
                  <c:v>0.80900000000000005</c:v>
                </c:pt>
                <c:pt idx="83">
                  <c:v>0.80900000000000005</c:v>
                </c:pt>
                <c:pt idx="84">
                  <c:v>0.80900000000000005</c:v>
                </c:pt>
                <c:pt idx="85">
                  <c:v>0.80900000000000005</c:v>
                </c:pt>
                <c:pt idx="86">
                  <c:v>0.80900000000000005</c:v>
                </c:pt>
                <c:pt idx="87">
                  <c:v>0.80900000000000005</c:v>
                </c:pt>
                <c:pt idx="88">
                  <c:v>0.80900000000000005</c:v>
                </c:pt>
                <c:pt idx="89">
                  <c:v>0.80900000000000005</c:v>
                </c:pt>
                <c:pt idx="90">
                  <c:v>0.80900000000000005</c:v>
                </c:pt>
                <c:pt idx="91">
                  <c:v>0.80900000000000005</c:v>
                </c:pt>
                <c:pt idx="92">
                  <c:v>0.80900000000000005</c:v>
                </c:pt>
                <c:pt idx="93">
                  <c:v>0.80900000000000005</c:v>
                </c:pt>
                <c:pt idx="94">
                  <c:v>0.80900000000000005</c:v>
                </c:pt>
                <c:pt idx="95">
                  <c:v>0.80900000000000005</c:v>
                </c:pt>
                <c:pt idx="96">
                  <c:v>0.80900000000000005</c:v>
                </c:pt>
                <c:pt idx="97">
                  <c:v>0.80900000000000005</c:v>
                </c:pt>
                <c:pt idx="98">
                  <c:v>0.80900000000000005</c:v>
                </c:pt>
                <c:pt idx="99">
                  <c:v>0.80900000000000005</c:v>
                </c:pt>
                <c:pt idx="100">
                  <c:v>0.80900000000000005</c:v>
                </c:pt>
                <c:pt idx="101">
                  <c:v>0.80900000000000005</c:v>
                </c:pt>
                <c:pt idx="102">
                  <c:v>0.80900000000000005</c:v>
                </c:pt>
                <c:pt idx="103">
                  <c:v>0.80900000000000005</c:v>
                </c:pt>
                <c:pt idx="104">
                  <c:v>0.80900000000000005</c:v>
                </c:pt>
                <c:pt idx="105">
                  <c:v>0.80900000000000005</c:v>
                </c:pt>
                <c:pt idx="106">
                  <c:v>0.80900000000000005</c:v>
                </c:pt>
                <c:pt idx="107">
                  <c:v>0.80900000000000005</c:v>
                </c:pt>
                <c:pt idx="108">
                  <c:v>0.80900000000000005</c:v>
                </c:pt>
                <c:pt idx="109">
                  <c:v>0.80900000000000005</c:v>
                </c:pt>
                <c:pt idx="110">
                  <c:v>0.80900000000000005</c:v>
                </c:pt>
                <c:pt idx="111">
                  <c:v>0.80900000000000005</c:v>
                </c:pt>
                <c:pt idx="112">
                  <c:v>0.80900000000000005</c:v>
                </c:pt>
                <c:pt idx="113">
                  <c:v>0.80900000000000005</c:v>
                </c:pt>
                <c:pt idx="114">
                  <c:v>0.80900000000000005</c:v>
                </c:pt>
                <c:pt idx="115">
                  <c:v>0.80900000000000005</c:v>
                </c:pt>
                <c:pt idx="116">
                  <c:v>0.80900000000000005</c:v>
                </c:pt>
                <c:pt idx="117">
                  <c:v>0.80900000000000005</c:v>
                </c:pt>
                <c:pt idx="118">
                  <c:v>0.80900000000000005</c:v>
                </c:pt>
                <c:pt idx="119">
                  <c:v>0.80900000000000005</c:v>
                </c:pt>
                <c:pt idx="120">
                  <c:v>0.80900000000000005</c:v>
                </c:pt>
                <c:pt idx="121">
                  <c:v>0.80900000000000005</c:v>
                </c:pt>
                <c:pt idx="122">
                  <c:v>0.80900000000000005</c:v>
                </c:pt>
                <c:pt idx="123">
                  <c:v>0.80900000000000005</c:v>
                </c:pt>
                <c:pt idx="124">
                  <c:v>0.80900000000000005</c:v>
                </c:pt>
                <c:pt idx="125">
                  <c:v>0.80900000000000005</c:v>
                </c:pt>
                <c:pt idx="126">
                  <c:v>1.1000000000000001</c:v>
                </c:pt>
                <c:pt idx="127">
                  <c:v>1.097</c:v>
                </c:pt>
                <c:pt idx="128">
                  <c:v>1.093</c:v>
                </c:pt>
                <c:pt idx="129">
                  <c:v>1.091</c:v>
                </c:pt>
                <c:pt idx="130">
                  <c:v>1.3819999999999999</c:v>
                </c:pt>
                <c:pt idx="131">
                  <c:v>1.379</c:v>
                </c:pt>
                <c:pt idx="132">
                  <c:v>1.375</c:v>
                </c:pt>
                <c:pt idx="133">
                  <c:v>1.37</c:v>
                </c:pt>
                <c:pt idx="134">
                  <c:v>1.365</c:v>
                </c:pt>
                <c:pt idx="135">
                  <c:v>1.6559999999999999</c:v>
                </c:pt>
                <c:pt idx="136">
                  <c:v>1.651</c:v>
                </c:pt>
                <c:pt idx="137">
                  <c:v>1.647</c:v>
                </c:pt>
                <c:pt idx="138">
                  <c:v>1.643</c:v>
                </c:pt>
                <c:pt idx="139">
                  <c:v>1.6359999999999999</c:v>
                </c:pt>
                <c:pt idx="140">
                  <c:v>1.631</c:v>
                </c:pt>
                <c:pt idx="141">
                  <c:v>1.6259999999999999</c:v>
                </c:pt>
                <c:pt idx="142">
                  <c:v>1.6220000000000001</c:v>
                </c:pt>
                <c:pt idx="143">
                  <c:v>1.619</c:v>
                </c:pt>
                <c:pt idx="144">
                  <c:v>1.617</c:v>
                </c:pt>
                <c:pt idx="145">
                  <c:v>1.61</c:v>
                </c:pt>
                <c:pt idx="146">
                  <c:v>1.605</c:v>
                </c:pt>
                <c:pt idx="147">
                  <c:v>1.6</c:v>
                </c:pt>
                <c:pt idx="148">
                  <c:v>1.593</c:v>
                </c:pt>
                <c:pt idx="149">
                  <c:v>1.5880000000000001</c:v>
                </c:pt>
                <c:pt idx="150">
                  <c:v>1.583</c:v>
                </c:pt>
                <c:pt idx="151">
                  <c:v>1.579</c:v>
                </c:pt>
                <c:pt idx="152">
                  <c:v>1.5760000000000001</c:v>
                </c:pt>
                <c:pt idx="153">
                  <c:v>1.5740000000000001</c:v>
                </c:pt>
                <c:pt idx="154">
                  <c:v>1.5669999999999999</c:v>
                </c:pt>
                <c:pt idx="155">
                  <c:v>1.5620000000000001</c:v>
                </c:pt>
                <c:pt idx="156">
                  <c:v>1.5569999999999999</c:v>
                </c:pt>
                <c:pt idx="157">
                  <c:v>1.552</c:v>
                </c:pt>
                <c:pt idx="158">
                  <c:v>1.5469999999999999</c:v>
                </c:pt>
                <c:pt idx="159">
                  <c:v>1.5429999999999999</c:v>
                </c:pt>
                <c:pt idx="160">
                  <c:v>1.54</c:v>
                </c:pt>
                <c:pt idx="161">
                  <c:v>1.538</c:v>
                </c:pt>
                <c:pt idx="162">
                  <c:v>1.5349999999999999</c:v>
                </c:pt>
                <c:pt idx="163">
                  <c:v>1.534</c:v>
                </c:pt>
                <c:pt idx="164">
                  <c:v>1.532</c:v>
                </c:pt>
                <c:pt idx="165">
                  <c:v>1.5309999999999999</c:v>
                </c:pt>
                <c:pt idx="166">
                  <c:v>1.5289999999999999</c:v>
                </c:pt>
                <c:pt idx="167">
                  <c:v>1.5269999999999999</c:v>
                </c:pt>
                <c:pt idx="168">
                  <c:v>1.5269999999999999</c:v>
                </c:pt>
                <c:pt idx="169">
                  <c:v>1.5269999999999999</c:v>
                </c:pt>
                <c:pt idx="170">
                  <c:v>1.5269999999999999</c:v>
                </c:pt>
                <c:pt idx="171">
                  <c:v>1.5269999999999999</c:v>
                </c:pt>
                <c:pt idx="172">
                  <c:v>1.5269999999999999</c:v>
                </c:pt>
                <c:pt idx="173">
                  <c:v>1.5269999999999999</c:v>
                </c:pt>
                <c:pt idx="174">
                  <c:v>1.5269999999999999</c:v>
                </c:pt>
                <c:pt idx="175">
                  <c:v>1.5269999999999999</c:v>
                </c:pt>
                <c:pt idx="176">
                  <c:v>1.5269999999999999</c:v>
                </c:pt>
                <c:pt idx="177">
                  <c:v>1.5269999999999999</c:v>
                </c:pt>
                <c:pt idx="178">
                  <c:v>1.5269999999999999</c:v>
                </c:pt>
                <c:pt idx="179">
                  <c:v>1.5269999999999999</c:v>
                </c:pt>
                <c:pt idx="180">
                  <c:v>1.5269999999999999</c:v>
                </c:pt>
                <c:pt idx="181">
                  <c:v>1.5269999999999999</c:v>
                </c:pt>
                <c:pt idx="182">
                  <c:v>1.5269999999999999</c:v>
                </c:pt>
                <c:pt idx="183">
                  <c:v>1.5269999999999999</c:v>
                </c:pt>
                <c:pt idx="184">
                  <c:v>1.5269999999999999</c:v>
                </c:pt>
                <c:pt idx="185">
                  <c:v>1.5269999999999999</c:v>
                </c:pt>
                <c:pt idx="186">
                  <c:v>1.5269999999999999</c:v>
                </c:pt>
                <c:pt idx="187">
                  <c:v>1.5269999999999999</c:v>
                </c:pt>
                <c:pt idx="188">
                  <c:v>1.5269999999999999</c:v>
                </c:pt>
                <c:pt idx="189">
                  <c:v>1.5269999999999999</c:v>
                </c:pt>
                <c:pt idx="190">
                  <c:v>1.5269999999999999</c:v>
                </c:pt>
                <c:pt idx="191">
                  <c:v>1.5269999999999999</c:v>
                </c:pt>
                <c:pt idx="192">
                  <c:v>1.5269999999999999</c:v>
                </c:pt>
                <c:pt idx="193">
                  <c:v>1.5269999999999999</c:v>
                </c:pt>
                <c:pt idx="194">
                  <c:v>1.5269999999999999</c:v>
                </c:pt>
                <c:pt idx="195">
                  <c:v>1.5269999999999999</c:v>
                </c:pt>
                <c:pt idx="196">
                  <c:v>1.5269999999999999</c:v>
                </c:pt>
                <c:pt idx="197">
                  <c:v>1.5269999999999999</c:v>
                </c:pt>
                <c:pt idx="198">
                  <c:v>1.5269999999999999</c:v>
                </c:pt>
                <c:pt idx="199">
                  <c:v>1.5269999999999999</c:v>
                </c:pt>
                <c:pt idx="200">
                  <c:v>1.5269999999999999</c:v>
                </c:pt>
                <c:pt idx="201">
                  <c:v>1.5269999999999999</c:v>
                </c:pt>
                <c:pt idx="202">
                  <c:v>1.5269999999999999</c:v>
                </c:pt>
                <c:pt idx="203">
                  <c:v>1.5269999999999999</c:v>
                </c:pt>
                <c:pt idx="204">
                  <c:v>1.5269999999999999</c:v>
                </c:pt>
                <c:pt idx="205">
                  <c:v>1.5269999999999999</c:v>
                </c:pt>
                <c:pt idx="206">
                  <c:v>1.5269999999999999</c:v>
                </c:pt>
                <c:pt idx="207">
                  <c:v>1.5269999999999999</c:v>
                </c:pt>
                <c:pt idx="208">
                  <c:v>1.5269999999999999</c:v>
                </c:pt>
                <c:pt idx="209">
                  <c:v>1.5269999999999999</c:v>
                </c:pt>
                <c:pt idx="210">
                  <c:v>1.5269999999999999</c:v>
                </c:pt>
                <c:pt idx="211">
                  <c:v>1.5269999999999999</c:v>
                </c:pt>
                <c:pt idx="212">
                  <c:v>1.5269999999999999</c:v>
                </c:pt>
                <c:pt idx="213">
                  <c:v>1.5269999999999999</c:v>
                </c:pt>
                <c:pt idx="214">
                  <c:v>1.5269999999999999</c:v>
                </c:pt>
                <c:pt idx="215">
                  <c:v>1.5269999999999999</c:v>
                </c:pt>
                <c:pt idx="216">
                  <c:v>1.5269999999999999</c:v>
                </c:pt>
                <c:pt idx="217">
                  <c:v>1.5269999999999999</c:v>
                </c:pt>
                <c:pt idx="218">
                  <c:v>1.5269999999999999</c:v>
                </c:pt>
                <c:pt idx="219">
                  <c:v>1.5269999999999999</c:v>
                </c:pt>
                <c:pt idx="220">
                  <c:v>1.5269999999999999</c:v>
                </c:pt>
                <c:pt idx="221">
                  <c:v>1.5269999999999999</c:v>
                </c:pt>
                <c:pt idx="222">
                  <c:v>1.5269999999999999</c:v>
                </c:pt>
                <c:pt idx="223">
                  <c:v>1.5269999999999999</c:v>
                </c:pt>
                <c:pt idx="224">
                  <c:v>1.5269999999999999</c:v>
                </c:pt>
                <c:pt idx="225">
                  <c:v>1.5269999999999999</c:v>
                </c:pt>
                <c:pt idx="226">
                  <c:v>1.5269999999999999</c:v>
                </c:pt>
                <c:pt idx="227">
                  <c:v>1.5269999999999999</c:v>
                </c:pt>
                <c:pt idx="228">
                  <c:v>1.5269999999999999</c:v>
                </c:pt>
                <c:pt idx="229">
                  <c:v>1.5269999999999999</c:v>
                </c:pt>
                <c:pt idx="230">
                  <c:v>1.5269999999999999</c:v>
                </c:pt>
                <c:pt idx="231">
                  <c:v>1.5269999999999999</c:v>
                </c:pt>
                <c:pt idx="232">
                  <c:v>1.5269999999999999</c:v>
                </c:pt>
                <c:pt idx="233">
                  <c:v>1.5269999999999999</c:v>
                </c:pt>
                <c:pt idx="234">
                  <c:v>1.5269999999999999</c:v>
                </c:pt>
                <c:pt idx="235">
                  <c:v>1.5269999999999999</c:v>
                </c:pt>
                <c:pt idx="236">
                  <c:v>1.5269999999999999</c:v>
                </c:pt>
                <c:pt idx="237">
                  <c:v>1.5269999999999999</c:v>
                </c:pt>
                <c:pt idx="238">
                  <c:v>1.5269999999999999</c:v>
                </c:pt>
                <c:pt idx="239">
                  <c:v>1.5269999999999999</c:v>
                </c:pt>
                <c:pt idx="240">
                  <c:v>1.5269999999999999</c:v>
                </c:pt>
                <c:pt idx="241">
                  <c:v>1.5269999999999999</c:v>
                </c:pt>
                <c:pt idx="242">
                  <c:v>1.5269999999999999</c:v>
                </c:pt>
                <c:pt idx="243">
                  <c:v>1.5269999999999999</c:v>
                </c:pt>
                <c:pt idx="244">
                  <c:v>1.5269999999999999</c:v>
                </c:pt>
                <c:pt idx="245">
                  <c:v>1.5269999999999999</c:v>
                </c:pt>
                <c:pt idx="246">
                  <c:v>1.5269999999999999</c:v>
                </c:pt>
                <c:pt idx="247">
                  <c:v>1.5269999999999999</c:v>
                </c:pt>
                <c:pt idx="248">
                  <c:v>1.5269999999999999</c:v>
                </c:pt>
                <c:pt idx="249">
                  <c:v>1.5269999999999999</c:v>
                </c:pt>
                <c:pt idx="250">
                  <c:v>1.5269999999999999</c:v>
                </c:pt>
                <c:pt idx="251">
                  <c:v>1.5269999999999999</c:v>
                </c:pt>
                <c:pt idx="252">
                  <c:v>1.5269999999999999</c:v>
                </c:pt>
                <c:pt idx="253">
                  <c:v>1.5269999999999999</c:v>
                </c:pt>
                <c:pt idx="254">
                  <c:v>1.5269999999999999</c:v>
                </c:pt>
                <c:pt idx="255">
                  <c:v>1.5269999999999999</c:v>
                </c:pt>
                <c:pt idx="256">
                  <c:v>1.5269999999999999</c:v>
                </c:pt>
                <c:pt idx="257">
                  <c:v>1.5269999999999999</c:v>
                </c:pt>
                <c:pt idx="258">
                  <c:v>1.5269999999999999</c:v>
                </c:pt>
                <c:pt idx="259">
                  <c:v>1.5269999999999999</c:v>
                </c:pt>
                <c:pt idx="260">
                  <c:v>1.5269999999999999</c:v>
                </c:pt>
                <c:pt idx="261">
                  <c:v>1.5269999999999999</c:v>
                </c:pt>
                <c:pt idx="262">
                  <c:v>1.5269999999999999</c:v>
                </c:pt>
                <c:pt idx="263">
                  <c:v>1.5269999999999999</c:v>
                </c:pt>
                <c:pt idx="264">
                  <c:v>1.5269999999999999</c:v>
                </c:pt>
                <c:pt idx="265">
                  <c:v>1.5269999999999999</c:v>
                </c:pt>
                <c:pt idx="266">
                  <c:v>1.5269999999999999</c:v>
                </c:pt>
                <c:pt idx="267">
                  <c:v>1.5269999999999999</c:v>
                </c:pt>
                <c:pt idx="268">
                  <c:v>1.5269999999999999</c:v>
                </c:pt>
                <c:pt idx="269">
                  <c:v>1.5269999999999999</c:v>
                </c:pt>
                <c:pt idx="270">
                  <c:v>1.5269999999999999</c:v>
                </c:pt>
                <c:pt idx="271">
                  <c:v>1.5269999999999999</c:v>
                </c:pt>
                <c:pt idx="272">
                  <c:v>1.5269999999999999</c:v>
                </c:pt>
                <c:pt idx="273">
                  <c:v>1.5269999999999999</c:v>
                </c:pt>
                <c:pt idx="274">
                  <c:v>1.5269999999999999</c:v>
                </c:pt>
                <c:pt idx="275">
                  <c:v>1.5269999999999999</c:v>
                </c:pt>
                <c:pt idx="276">
                  <c:v>1.5269999999999999</c:v>
                </c:pt>
                <c:pt idx="277">
                  <c:v>1.5269999999999999</c:v>
                </c:pt>
                <c:pt idx="278">
                  <c:v>1.5269999999999999</c:v>
                </c:pt>
                <c:pt idx="279">
                  <c:v>1.5269999999999999</c:v>
                </c:pt>
                <c:pt idx="280">
                  <c:v>1.5269999999999999</c:v>
                </c:pt>
                <c:pt idx="281">
                  <c:v>1.5269999999999999</c:v>
                </c:pt>
                <c:pt idx="282">
                  <c:v>1.5269999999999999</c:v>
                </c:pt>
                <c:pt idx="283">
                  <c:v>1.5269999999999999</c:v>
                </c:pt>
                <c:pt idx="284">
                  <c:v>1.5269999999999999</c:v>
                </c:pt>
                <c:pt idx="285">
                  <c:v>1.5269999999999999</c:v>
                </c:pt>
                <c:pt idx="286">
                  <c:v>1.5269999999999999</c:v>
                </c:pt>
                <c:pt idx="287">
                  <c:v>1.5269999999999999</c:v>
                </c:pt>
                <c:pt idx="288">
                  <c:v>1.5269999999999999</c:v>
                </c:pt>
                <c:pt idx="289">
                  <c:v>1.5269999999999999</c:v>
                </c:pt>
                <c:pt idx="290">
                  <c:v>1.5269999999999999</c:v>
                </c:pt>
                <c:pt idx="291">
                  <c:v>1.5269999999999999</c:v>
                </c:pt>
                <c:pt idx="292">
                  <c:v>1.5269999999999999</c:v>
                </c:pt>
                <c:pt idx="293">
                  <c:v>1.5269999999999999</c:v>
                </c:pt>
                <c:pt idx="294">
                  <c:v>1.5269999999999999</c:v>
                </c:pt>
                <c:pt idx="295">
                  <c:v>1.5269999999999999</c:v>
                </c:pt>
                <c:pt idx="296">
                  <c:v>1.5269999999999999</c:v>
                </c:pt>
                <c:pt idx="297">
                  <c:v>1.5269999999999999</c:v>
                </c:pt>
                <c:pt idx="298">
                  <c:v>1.5269999999999999</c:v>
                </c:pt>
                <c:pt idx="299">
                  <c:v>1.5269999999999999</c:v>
                </c:pt>
                <c:pt idx="300">
                  <c:v>1.5269999999999999</c:v>
                </c:pt>
                <c:pt idx="301">
                  <c:v>1.5269999999999999</c:v>
                </c:pt>
                <c:pt idx="302">
                  <c:v>1.5269999999999999</c:v>
                </c:pt>
                <c:pt idx="303">
                  <c:v>1.5269999999999999</c:v>
                </c:pt>
                <c:pt idx="304">
                  <c:v>1.5269999999999999</c:v>
                </c:pt>
                <c:pt idx="305">
                  <c:v>1.5269999999999999</c:v>
                </c:pt>
                <c:pt idx="306">
                  <c:v>1.5269999999999999</c:v>
                </c:pt>
                <c:pt idx="307">
                  <c:v>1.5269999999999999</c:v>
                </c:pt>
                <c:pt idx="308">
                  <c:v>1.5269999999999999</c:v>
                </c:pt>
                <c:pt idx="309">
                  <c:v>1.5269999999999999</c:v>
                </c:pt>
                <c:pt idx="310">
                  <c:v>1.5269999999999999</c:v>
                </c:pt>
                <c:pt idx="311">
                  <c:v>1.5269999999999999</c:v>
                </c:pt>
                <c:pt idx="312">
                  <c:v>1.5269999999999999</c:v>
                </c:pt>
                <c:pt idx="313">
                  <c:v>1.5269999999999999</c:v>
                </c:pt>
                <c:pt idx="314">
                  <c:v>1.5269999999999999</c:v>
                </c:pt>
                <c:pt idx="315">
                  <c:v>1.5269999999999999</c:v>
                </c:pt>
                <c:pt idx="316">
                  <c:v>1.5269999999999999</c:v>
                </c:pt>
                <c:pt idx="317">
                  <c:v>1.5269999999999999</c:v>
                </c:pt>
                <c:pt idx="318">
                  <c:v>1.5269999999999999</c:v>
                </c:pt>
                <c:pt idx="319">
                  <c:v>1.5269999999999999</c:v>
                </c:pt>
                <c:pt idx="320">
                  <c:v>1.5269999999999999</c:v>
                </c:pt>
                <c:pt idx="321">
                  <c:v>1.5269999999999999</c:v>
                </c:pt>
                <c:pt idx="322">
                  <c:v>1.5269999999999999</c:v>
                </c:pt>
                <c:pt idx="323">
                  <c:v>1.5269999999999999</c:v>
                </c:pt>
                <c:pt idx="324">
                  <c:v>1.5269999999999999</c:v>
                </c:pt>
                <c:pt idx="325">
                  <c:v>1.5269999999999999</c:v>
                </c:pt>
                <c:pt idx="326">
                  <c:v>1.5269999999999999</c:v>
                </c:pt>
                <c:pt idx="327">
                  <c:v>1.5269999999999999</c:v>
                </c:pt>
                <c:pt idx="328">
                  <c:v>1.5269999999999999</c:v>
                </c:pt>
                <c:pt idx="329">
                  <c:v>1.5269999999999999</c:v>
                </c:pt>
                <c:pt idx="330">
                  <c:v>1.5269999999999999</c:v>
                </c:pt>
                <c:pt idx="331">
                  <c:v>1.5269999999999999</c:v>
                </c:pt>
                <c:pt idx="332">
                  <c:v>1.5269999999999999</c:v>
                </c:pt>
                <c:pt idx="333">
                  <c:v>1.5269999999999999</c:v>
                </c:pt>
                <c:pt idx="334">
                  <c:v>1.5269999999999999</c:v>
                </c:pt>
                <c:pt idx="335">
                  <c:v>1.5269999999999999</c:v>
                </c:pt>
                <c:pt idx="336">
                  <c:v>1.5269999999999999</c:v>
                </c:pt>
                <c:pt idx="337">
                  <c:v>1.5269999999999999</c:v>
                </c:pt>
                <c:pt idx="338">
                  <c:v>1.5269999999999999</c:v>
                </c:pt>
                <c:pt idx="339">
                  <c:v>1.5269999999999999</c:v>
                </c:pt>
                <c:pt idx="340">
                  <c:v>1.5269999999999999</c:v>
                </c:pt>
                <c:pt idx="341">
                  <c:v>1.5269999999999999</c:v>
                </c:pt>
                <c:pt idx="342">
                  <c:v>1.5269999999999999</c:v>
                </c:pt>
                <c:pt idx="343">
                  <c:v>1.5269999999999999</c:v>
                </c:pt>
                <c:pt idx="344">
                  <c:v>1.5269999999999999</c:v>
                </c:pt>
                <c:pt idx="345">
                  <c:v>1.5269999999999999</c:v>
                </c:pt>
                <c:pt idx="346">
                  <c:v>1.5269999999999999</c:v>
                </c:pt>
                <c:pt idx="347">
                  <c:v>1.5269999999999999</c:v>
                </c:pt>
                <c:pt idx="348">
                  <c:v>1.5269999999999999</c:v>
                </c:pt>
                <c:pt idx="349">
                  <c:v>1.5269999999999999</c:v>
                </c:pt>
                <c:pt idx="350">
                  <c:v>1.5269999999999999</c:v>
                </c:pt>
                <c:pt idx="351">
                  <c:v>1.5269999999999999</c:v>
                </c:pt>
                <c:pt idx="352">
                  <c:v>1.5269999999999999</c:v>
                </c:pt>
                <c:pt idx="353">
                  <c:v>1.5269999999999999</c:v>
                </c:pt>
                <c:pt idx="354">
                  <c:v>1.5269999999999999</c:v>
                </c:pt>
                <c:pt idx="355">
                  <c:v>1.5269999999999999</c:v>
                </c:pt>
                <c:pt idx="356">
                  <c:v>1.5269999999999999</c:v>
                </c:pt>
                <c:pt idx="357">
                  <c:v>1.5269999999999999</c:v>
                </c:pt>
                <c:pt idx="358">
                  <c:v>1.5269999999999999</c:v>
                </c:pt>
                <c:pt idx="359">
                  <c:v>1.5269999999999999</c:v>
                </c:pt>
                <c:pt idx="360">
                  <c:v>1.5269999999999999</c:v>
                </c:pt>
                <c:pt idx="361">
                  <c:v>1.5269999999999999</c:v>
                </c:pt>
                <c:pt idx="362">
                  <c:v>1.5269999999999999</c:v>
                </c:pt>
                <c:pt idx="363">
                  <c:v>1.5269999999999999</c:v>
                </c:pt>
                <c:pt idx="364">
                  <c:v>1.5269999999999999</c:v>
                </c:pt>
                <c:pt idx="365">
                  <c:v>1.5269999999999999</c:v>
                </c:pt>
                <c:pt idx="366">
                  <c:v>1.5269999999999999</c:v>
                </c:pt>
                <c:pt idx="367">
                  <c:v>1.5269999999999999</c:v>
                </c:pt>
                <c:pt idx="368">
                  <c:v>1.7170000000000001</c:v>
                </c:pt>
                <c:pt idx="369">
                  <c:v>1.7070000000000001</c:v>
                </c:pt>
                <c:pt idx="370">
                  <c:v>1.6970000000000001</c:v>
                </c:pt>
                <c:pt idx="371">
                  <c:v>1.69</c:v>
                </c:pt>
                <c:pt idx="372">
                  <c:v>1.98</c:v>
                </c:pt>
                <c:pt idx="373">
                  <c:v>1.97</c:v>
                </c:pt>
                <c:pt idx="374">
                  <c:v>1.96</c:v>
                </c:pt>
                <c:pt idx="375">
                  <c:v>1.9530000000000001</c:v>
                </c:pt>
                <c:pt idx="376">
                  <c:v>1.946</c:v>
                </c:pt>
                <c:pt idx="377">
                  <c:v>2.2360000000000002</c:v>
                </c:pt>
                <c:pt idx="378">
                  <c:v>2.226</c:v>
                </c:pt>
                <c:pt idx="379">
                  <c:v>2.2160000000000002</c:v>
                </c:pt>
                <c:pt idx="380">
                  <c:v>2.2090000000000001</c:v>
                </c:pt>
                <c:pt idx="381">
                  <c:v>2.202</c:v>
                </c:pt>
                <c:pt idx="382">
                  <c:v>2.492</c:v>
                </c:pt>
                <c:pt idx="383">
                  <c:v>2.4820000000000002</c:v>
                </c:pt>
                <c:pt idx="384">
                  <c:v>2.472</c:v>
                </c:pt>
                <c:pt idx="385">
                  <c:v>2.464</c:v>
                </c:pt>
                <c:pt idx="386">
                  <c:v>2.4550000000000001</c:v>
                </c:pt>
                <c:pt idx="387">
                  <c:v>2.4470000000000001</c:v>
                </c:pt>
                <c:pt idx="388">
                  <c:v>2.4380000000000002</c:v>
                </c:pt>
                <c:pt idx="389">
                  <c:v>2.4289999999999998</c:v>
                </c:pt>
                <c:pt idx="390">
                  <c:v>2.42</c:v>
                </c:pt>
                <c:pt idx="391">
                  <c:v>2.4119999999999999</c:v>
                </c:pt>
                <c:pt idx="392">
                  <c:v>2.4039999999999999</c:v>
                </c:pt>
                <c:pt idx="393">
                  <c:v>2.395</c:v>
                </c:pt>
                <c:pt idx="394">
                  <c:v>2.3860000000000001</c:v>
                </c:pt>
                <c:pt idx="395">
                  <c:v>2.3769999999999998</c:v>
                </c:pt>
                <c:pt idx="396">
                  <c:v>2.3690000000000002</c:v>
                </c:pt>
                <c:pt idx="397">
                  <c:v>2.3610000000000002</c:v>
                </c:pt>
                <c:pt idx="398">
                  <c:v>2.3519999999999999</c:v>
                </c:pt>
                <c:pt idx="399">
                  <c:v>2.3439999999999999</c:v>
                </c:pt>
                <c:pt idx="400">
                  <c:v>2.335</c:v>
                </c:pt>
                <c:pt idx="401">
                  <c:v>2.327</c:v>
                </c:pt>
                <c:pt idx="402">
                  <c:v>2.3199999999999998</c:v>
                </c:pt>
                <c:pt idx="403">
                  <c:v>2.3109999999999999</c:v>
                </c:pt>
                <c:pt idx="404">
                  <c:v>2.3029999999999999</c:v>
                </c:pt>
                <c:pt idx="405">
                  <c:v>2.2949999999999999</c:v>
                </c:pt>
                <c:pt idx="406">
                  <c:v>2.2879999999999998</c:v>
                </c:pt>
                <c:pt idx="407">
                  <c:v>2.2810000000000001</c:v>
                </c:pt>
                <c:pt idx="408">
                  <c:v>2.2749999999999999</c:v>
                </c:pt>
                <c:pt idx="409">
                  <c:v>2.2669999999999999</c:v>
                </c:pt>
                <c:pt idx="410">
                  <c:v>2.2599999999999998</c:v>
                </c:pt>
                <c:pt idx="411">
                  <c:v>2.2509999999999999</c:v>
                </c:pt>
                <c:pt idx="412">
                  <c:v>2.2429999999999999</c:v>
                </c:pt>
                <c:pt idx="413">
                  <c:v>2.2349999999999999</c:v>
                </c:pt>
                <c:pt idx="414">
                  <c:v>2.226</c:v>
                </c:pt>
                <c:pt idx="415">
                  <c:v>2.218</c:v>
                </c:pt>
                <c:pt idx="416">
                  <c:v>2.2090000000000001</c:v>
                </c:pt>
                <c:pt idx="417">
                  <c:v>2.2010000000000001</c:v>
                </c:pt>
                <c:pt idx="418">
                  <c:v>2.1920000000000002</c:v>
                </c:pt>
                <c:pt idx="419">
                  <c:v>2.1840000000000002</c:v>
                </c:pt>
                <c:pt idx="420">
                  <c:v>2.1749999999999998</c:v>
                </c:pt>
                <c:pt idx="421">
                  <c:v>2.1669999999999998</c:v>
                </c:pt>
                <c:pt idx="422">
                  <c:v>2.16</c:v>
                </c:pt>
                <c:pt idx="423">
                  <c:v>2.1509999999999998</c:v>
                </c:pt>
                <c:pt idx="424">
                  <c:v>2.1429999999999998</c:v>
                </c:pt>
                <c:pt idx="425">
                  <c:v>2.1349999999999998</c:v>
                </c:pt>
                <c:pt idx="426">
                  <c:v>2.1280000000000001</c:v>
                </c:pt>
                <c:pt idx="427">
                  <c:v>2.121</c:v>
                </c:pt>
                <c:pt idx="428">
                  <c:v>2.1150000000000002</c:v>
                </c:pt>
                <c:pt idx="429">
                  <c:v>2.1070000000000002</c:v>
                </c:pt>
                <c:pt idx="430">
                  <c:v>2.1</c:v>
                </c:pt>
                <c:pt idx="431">
                  <c:v>2.0910000000000002</c:v>
                </c:pt>
                <c:pt idx="432">
                  <c:v>2.0830000000000002</c:v>
                </c:pt>
                <c:pt idx="433">
                  <c:v>2.0750000000000002</c:v>
                </c:pt>
                <c:pt idx="434">
                  <c:v>2.0659999999999998</c:v>
                </c:pt>
                <c:pt idx="435">
                  <c:v>2.0569999999999999</c:v>
                </c:pt>
                <c:pt idx="436">
                  <c:v>2.0489999999999999</c:v>
                </c:pt>
                <c:pt idx="437">
                  <c:v>2.04</c:v>
                </c:pt>
                <c:pt idx="438">
                  <c:v>2.032</c:v>
                </c:pt>
                <c:pt idx="439">
                  <c:v>2.0249999999999999</c:v>
                </c:pt>
                <c:pt idx="440">
                  <c:v>2.016</c:v>
                </c:pt>
                <c:pt idx="441">
                  <c:v>2.008</c:v>
                </c:pt>
                <c:pt idx="442">
                  <c:v>2</c:v>
                </c:pt>
                <c:pt idx="443">
                  <c:v>1.9930000000000001</c:v>
                </c:pt>
                <c:pt idx="444">
                  <c:v>1.986</c:v>
                </c:pt>
                <c:pt idx="445">
                  <c:v>1.98</c:v>
                </c:pt>
                <c:pt idx="446">
                  <c:v>1.972</c:v>
                </c:pt>
                <c:pt idx="447">
                  <c:v>1.9650000000000001</c:v>
                </c:pt>
                <c:pt idx="448">
                  <c:v>1.956</c:v>
                </c:pt>
                <c:pt idx="449">
                  <c:v>1.948</c:v>
                </c:pt>
                <c:pt idx="450">
                  <c:v>1.94</c:v>
                </c:pt>
                <c:pt idx="451">
                  <c:v>1.9330000000000001</c:v>
                </c:pt>
                <c:pt idx="452">
                  <c:v>1.9259999999999999</c:v>
                </c:pt>
                <c:pt idx="453">
                  <c:v>1.917</c:v>
                </c:pt>
                <c:pt idx="454">
                  <c:v>1.909</c:v>
                </c:pt>
                <c:pt idx="455">
                  <c:v>1.901</c:v>
                </c:pt>
                <c:pt idx="456">
                  <c:v>1.8939999999999999</c:v>
                </c:pt>
                <c:pt idx="457">
                  <c:v>1.887</c:v>
                </c:pt>
                <c:pt idx="458">
                  <c:v>1.881</c:v>
                </c:pt>
                <c:pt idx="459">
                  <c:v>1.873</c:v>
                </c:pt>
                <c:pt idx="460">
                  <c:v>1.8660000000000001</c:v>
                </c:pt>
                <c:pt idx="461">
                  <c:v>1.857</c:v>
                </c:pt>
                <c:pt idx="462">
                  <c:v>1.849</c:v>
                </c:pt>
                <c:pt idx="463">
                  <c:v>1.8420000000000001</c:v>
                </c:pt>
                <c:pt idx="464">
                  <c:v>1.835</c:v>
                </c:pt>
                <c:pt idx="465">
                  <c:v>1.8280000000000001</c:v>
                </c:pt>
                <c:pt idx="466">
                  <c:v>1.823</c:v>
                </c:pt>
                <c:pt idx="467">
                  <c:v>1.8180000000000001</c:v>
                </c:pt>
                <c:pt idx="468">
                  <c:v>1.8109999999999999</c:v>
                </c:pt>
                <c:pt idx="469">
                  <c:v>1.8069999999999999</c:v>
                </c:pt>
                <c:pt idx="470">
                  <c:v>1.8029999999999999</c:v>
                </c:pt>
                <c:pt idx="471">
                  <c:v>1.798</c:v>
                </c:pt>
                <c:pt idx="472">
                  <c:v>1.794</c:v>
                </c:pt>
                <c:pt idx="473">
                  <c:v>1.79</c:v>
                </c:pt>
                <c:pt idx="474">
                  <c:v>1.7869999999999999</c:v>
                </c:pt>
                <c:pt idx="475">
                  <c:v>1.784</c:v>
                </c:pt>
                <c:pt idx="476">
                  <c:v>1.78</c:v>
                </c:pt>
                <c:pt idx="477">
                  <c:v>1.7769999999999999</c:v>
                </c:pt>
                <c:pt idx="478">
                  <c:v>1.77</c:v>
                </c:pt>
                <c:pt idx="479">
                  <c:v>1.7649999999999999</c:v>
                </c:pt>
                <c:pt idx="480">
                  <c:v>1.76</c:v>
                </c:pt>
                <c:pt idx="481">
                  <c:v>1.7529999999999999</c:v>
                </c:pt>
                <c:pt idx="482">
                  <c:v>1.7490000000000001</c:v>
                </c:pt>
                <c:pt idx="483">
                  <c:v>1.7450000000000001</c:v>
                </c:pt>
                <c:pt idx="484">
                  <c:v>1.74</c:v>
                </c:pt>
                <c:pt idx="485">
                  <c:v>1.736</c:v>
                </c:pt>
                <c:pt idx="486">
                  <c:v>1.726</c:v>
                </c:pt>
                <c:pt idx="487">
                  <c:v>1.716</c:v>
                </c:pt>
                <c:pt idx="488">
                  <c:v>1.706</c:v>
                </c:pt>
                <c:pt idx="489">
                  <c:v>1.919</c:v>
                </c:pt>
                <c:pt idx="490">
                  <c:v>1.909</c:v>
                </c:pt>
                <c:pt idx="491">
                  <c:v>1.899</c:v>
                </c:pt>
                <c:pt idx="492">
                  <c:v>2.1909999999999998</c:v>
                </c:pt>
                <c:pt idx="493">
                  <c:v>2.181</c:v>
                </c:pt>
                <c:pt idx="494">
                  <c:v>2.1709999999999998</c:v>
                </c:pt>
                <c:pt idx="495">
                  <c:v>2.4620000000000002</c:v>
                </c:pt>
                <c:pt idx="496">
                  <c:v>2.4540000000000002</c:v>
                </c:pt>
                <c:pt idx="497">
                  <c:v>2.448</c:v>
                </c:pt>
                <c:pt idx="498">
                  <c:v>2.7429999999999999</c:v>
                </c:pt>
                <c:pt idx="499">
                  <c:v>2.7229999999999999</c:v>
                </c:pt>
                <c:pt idx="500">
                  <c:v>2.698</c:v>
                </c:pt>
                <c:pt idx="501">
                  <c:v>2.6829999999999998</c:v>
                </c:pt>
                <c:pt idx="502">
                  <c:v>2.6589999999999998</c:v>
                </c:pt>
                <c:pt idx="503">
                  <c:v>2.6469999999999998</c:v>
                </c:pt>
                <c:pt idx="504">
                  <c:v>2.6219999999999999</c:v>
                </c:pt>
                <c:pt idx="505">
                  <c:v>2.6120000000000001</c:v>
                </c:pt>
                <c:pt idx="506">
                  <c:v>2.59</c:v>
                </c:pt>
                <c:pt idx="507">
                  <c:v>2.57</c:v>
                </c:pt>
                <c:pt idx="508">
                  <c:v>2.552</c:v>
                </c:pt>
                <c:pt idx="509">
                  <c:v>2.536</c:v>
                </c:pt>
                <c:pt idx="510">
                  <c:v>2.52</c:v>
                </c:pt>
                <c:pt idx="511">
                  <c:v>2.5049999999999999</c:v>
                </c:pt>
                <c:pt idx="512">
                  <c:v>2.4900000000000002</c:v>
                </c:pt>
                <c:pt idx="513">
                  <c:v>2.4769999999999999</c:v>
                </c:pt>
                <c:pt idx="514">
                  <c:v>2.4649999999999999</c:v>
                </c:pt>
                <c:pt idx="515">
                  <c:v>2.4550000000000001</c:v>
                </c:pt>
                <c:pt idx="516">
                  <c:v>2.4449999999999998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5F0-4DB6-B2FD-C4BD27DE1ECE}"/>
            </c:ext>
          </c:extLst>
        </c:ser>
        <c:ser>
          <c:idx val="4"/>
          <c:order val="4"/>
          <c:tx>
            <c:strRef>
              <c:f>'SL.114+840'!$E$12:$E$13</c:f>
              <c:strCache>
                <c:ptCount val="2"/>
                <c:pt idx="0">
                  <c:v>chiều dày đắp(m)</c:v>
                </c:pt>
              </c:strCache>
            </c:strRef>
          </c:tx>
          <c:marker>
            <c:symbol val="star"/>
            <c:size val="2"/>
            <c:spPr>
              <a:noFill/>
              <a:ln w="12700">
                <a:solidFill>
                  <a:srgbClr val="800080"/>
                </a:solidFill>
                <a:prstDash val="solid"/>
              </a:ln>
            </c:spPr>
          </c:marker>
          <c:xVal>
            <c:numRef>
              <c:f>'SL.114+840'!$A$14:$A$700</c:f>
              <c:numCache>
                <c:formatCode>dd/mm/yyyy;@</c:formatCode>
                <c:ptCount val="687"/>
                <c:pt idx="0">
                  <c:v>45270</c:v>
                </c:pt>
                <c:pt idx="1">
                  <c:v>45271</c:v>
                </c:pt>
                <c:pt idx="2">
                  <c:v>45272</c:v>
                </c:pt>
                <c:pt idx="3">
                  <c:v>45273</c:v>
                </c:pt>
                <c:pt idx="4">
                  <c:v>45274</c:v>
                </c:pt>
                <c:pt idx="5">
                  <c:v>45275</c:v>
                </c:pt>
                <c:pt idx="6">
                  <c:v>45276</c:v>
                </c:pt>
                <c:pt idx="7">
                  <c:v>45277</c:v>
                </c:pt>
                <c:pt idx="8">
                  <c:v>45278</c:v>
                </c:pt>
                <c:pt idx="9">
                  <c:v>45279</c:v>
                </c:pt>
                <c:pt idx="10">
                  <c:v>45280</c:v>
                </c:pt>
                <c:pt idx="11">
                  <c:v>45281</c:v>
                </c:pt>
                <c:pt idx="12">
                  <c:v>45282</c:v>
                </c:pt>
                <c:pt idx="13">
                  <c:v>45283</c:v>
                </c:pt>
                <c:pt idx="14">
                  <c:v>45284</c:v>
                </c:pt>
                <c:pt idx="15">
                  <c:v>45285</c:v>
                </c:pt>
                <c:pt idx="16">
                  <c:v>45286</c:v>
                </c:pt>
                <c:pt idx="17">
                  <c:v>45287</c:v>
                </c:pt>
                <c:pt idx="18">
                  <c:v>45288</c:v>
                </c:pt>
                <c:pt idx="19">
                  <c:v>45289</c:v>
                </c:pt>
                <c:pt idx="20">
                  <c:v>45290</c:v>
                </c:pt>
                <c:pt idx="21">
                  <c:v>45291</c:v>
                </c:pt>
                <c:pt idx="22">
                  <c:v>45292</c:v>
                </c:pt>
                <c:pt idx="23">
                  <c:v>45293</c:v>
                </c:pt>
                <c:pt idx="24">
                  <c:v>45294</c:v>
                </c:pt>
                <c:pt idx="25">
                  <c:v>45295</c:v>
                </c:pt>
                <c:pt idx="26">
                  <c:v>45296</c:v>
                </c:pt>
                <c:pt idx="27">
                  <c:v>45297</c:v>
                </c:pt>
                <c:pt idx="28">
                  <c:v>45298</c:v>
                </c:pt>
                <c:pt idx="29">
                  <c:v>45299</c:v>
                </c:pt>
                <c:pt idx="30">
                  <c:v>45300</c:v>
                </c:pt>
                <c:pt idx="31">
                  <c:v>45301</c:v>
                </c:pt>
                <c:pt idx="32">
                  <c:v>45302</c:v>
                </c:pt>
                <c:pt idx="33">
                  <c:v>45303</c:v>
                </c:pt>
                <c:pt idx="34">
                  <c:v>45304</c:v>
                </c:pt>
                <c:pt idx="35">
                  <c:v>45305</c:v>
                </c:pt>
                <c:pt idx="36">
                  <c:v>45306</c:v>
                </c:pt>
                <c:pt idx="37">
                  <c:v>45307</c:v>
                </c:pt>
                <c:pt idx="38">
                  <c:v>45308</c:v>
                </c:pt>
                <c:pt idx="39">
                  <c:v>45309</c:v>
                </c:pt>
                <c:pt idx="40">
                  <c:v>45310</c:v>
                </c:pt>
                <c:pt idx="41">
                  <c:v>45311</c:v>
                </c:pt>
                <c:pt idx="42">
                  <c:v>45312</c:v>
                </c:pt>
                <c:pt idx="43">
                  <c:v>45313</c:v>
                </c:pt>
                <c:pt idx="44">
                  <c:v>45314</c:v>
                </c:pt>
                <c:pt idx="45">
                  <c:v>45315</c:v>
                </c:pt>
                <c:pt idx="46">
                  <c:v>45316</c:v>
                </c:pt>
                <c:pt idx="47">
                  <c:v>45317</c:v>
                </c:pt>
                <c:pt idx="48">
                  <c:v>45318</c:v>
                </c:pt>
                <c:pt idx="49">
                  <c:v>45319</c:v>
                </c:pt>
                <c:pt idx="50">
                  <c:v>45320</c:v>
                </c:pt>
                <c:pt idx="51">
                  <c:v>45321</c:v>
                </c:pt>
                <c:pt idx="52">
                  <c:v>45322</c:v>
                </c:pt>
                <c:pt idx="53">
                  <c:v>45323</c:v>
                </c:pt>
                <c:pt idx="54">
                  <c:v>45324</c:v>
                </c:pt>
                <c:pt idx="55">
                  <c:v>45325</c:v>
                </c:pt>
                <c:pt idx="56">
                  <c:v>45326</c:v>
                </c:pt>
                <c:pt idx="57">
                  <c:v>45327</c:v>
                </c:pt>
                <c:pt idx="58">
                  <c:v>45328</c:v>
                </c:pt>
                <c:pt idx="59">
                  <c:v>45329</c:v>
                </c:pt>
                <c:pt idx="60">
                  <c:v>45330</c:v>
                </c:pt>
                <c:pt idx="61">
                  <c:v>45331</c:v>
                </c:pt>
                <c:pt idx="62">
                  <c:v>45332</c:v>
                </c:pt>
                <c:pt idx="63">
                  <c:v>45333</c:v>
                </c:pt>
                <c:pt idx="64">
                  <c:v>45334</c:v>
                </c:pt>
                <c:pt idx="65">
                  <c:v>45335</c:v>
                </c:pt>
                <c:pt idx="66">
                  <c:v>45336</c:v>
                </c:pt>
                <c:pt idx="67">
                  <c:v>45337</c:v>
                </c:pt>
                <c:pt idx="68">
                  <c:v>45338</c:v>
                </c:pt>
                <c:pt idx="69">
                  <c:v>45339</c:v>
                </c:pt>
                <c:pt idx="70">
                  <c:v>45340</c:v>
                </c:pt>
                <c:pt idx="71">
                  <c:v>45341</c:v>
                </c:pt>
                <c:pt idx="72">
                  <c:v>45342</c:v>
                </c:pt>
                <c:pt idx="73">
                  <c:v>45343</c:v>
                </c:pt>
                <c:pt idx="74">
                  <c:v>45344</c:v>
                </c:pt>
                <c:pt idx="75">
                  <c:v>45345</c:v>
                </c:pt>
                <c:pt idx="76">
                  <c:v>45346</c:v>
                </c:pt>
                <c:pt idx="77">
                  <c:v>45347</c:v>
                </c:pt>
                <c:pt idx="78">
                  <c:v>45348</c:v>
                </c:pt>
                <c:pt idx="79">
                  <c:v>45349</c:v>
                </c:pt>
                <c:pt idx="80">
                  <c:v>45350</c:v>
                </c:pt>
                <c:pt idx="81">
                  <c:v>45351</c:v>
                </c:pt>
                <c:pt idx="82">
                  <c:v>45352</c:v>
                </c:pt>
                <c:pt idx="83">
                  <c:v>45353</c:v>
                </c:pt>
                <c:pt idx="84">
                  <c:v>45354</c:v>
                </c:pt>
                <c:pt idx="85">
                  <c:v>45355</c:v>
                </c:pt>
                <c:pt idx="86">
                  <c:v>45356</c:v>
                </c:pt>
                <c:pt idx="87">
                  <c:v>45357</c:v>
                </c:pt>
                <c:pt idx="88">
                  <c:v>45358</c:v>
                </c:pt>
                <c:pt idx="89">
                  <c:v>45359</c:v>
                </c:pt>
                <c:pt idx="90">
                  <c:v>45360</c:v>
                </c:pt>
                <c:pt idx="91">
                  <c:v>45361</c:v>
                </c:pt>
                <c:pt idx="92">
                  <c:v>45362</c:v>
                </c:pt>
                <c:pt idx="93">
                  <c:v>45363</c:v>
                </c:pt>
                <c:pt idx="94">
                  <c:v>45364</c:v>
                </c:pt>
                <c:pt idx="95">
                  <c:v>45365</c:v>
                </c:pt>
                <c:pt idx="96">
                  <c:v>45366</c:v>
                </c:pt>
                <c:pt idx="97">
                  <c:v>45367</c:v>
                </c:pt>
                <c:pt idx="98">
                  <c:v>45368</c:v>
                </c:pt>
                <c:pt idx="99">
                  <c:v>45369</c:v>
                </c:pt>
                <c:pt idx="100">
                  <c:v>45370</c:v>
                </c:pt>
                <c:pt idx="101">
                  <c:v>45371</c:v>
                </c:pt>
                <c:pt idx="102">
                  <c:v>45372</c:v>
                </c:pt>
                <c:pt idx="103">
                  <c:v>45373</c:v>
                </c:pt>
                <c:pt idx="104">
                  <c:v>45374</c:v>
                </c:pt>
                <c:pt idx="105">
                  <c:v>45375</c:v>
                </c:pt>
                <c:pt idx="106">
                  <c:v>45376</c:v>
                </c:pt>
                <c:pt idx="107">
                  <c:v>45377</c:v>
                </c:pt>
                <c:pt idx="108">
                  <c:v>45378</c:v>
                </c:pt>
                <c:pt idx="109">
                  <c:v>45379</c:v>
                </c:pt>
                <c:pt idx="110">
                  <c:v>45380</c:v>
                </c:pt>
                <c:pt idx="111">
                  <c:v>45381</c:v>
                </c:pt>
                <c:pt idx="112">
                  <c:v>45382</c:v>
                </c:pt>
                <c:pt idx="113">
                  <c:v>45383</c:v>
                </c:pt>
                <c:pt idx="114">
                  <c:v>45384</c:v>
                </c:pt>
                <c:pt idx="115">
                  <c:v>45385</c:v>
                </c:pt>
                <c:pt idx="116">
                  <c:v>45386</c:v>
                </c:pt>
                <c:pt idx="117">
                  <c:v>45387</c:v>
                </c:pt>
                <c:pt idx="118">
                  <c:v>45388</c:v>
                </c:pt>
                <c:pt idx="119">
                  <c:v>45389</c:v>
                </c:pt>
                <c:pt idx="120">
                  <c:v>45390</c:v>
                </c:pt>
                <c:pt idx="121">
                  <c:v>45391</c:v>
                </c:pt>
                <c:pt idx="122">
                  <c:v>45392</c:v>
                </c:pt>
                <c:pt idx="123">
                  <c:v>45393</c:v>
                </c:pt>
                <c:pt idx="124">
                  <c:v>45394</c:v>
                </c:pt>
                <c:pt idx="125">
                  <c:v>45395</c:v>
                </c:pt>
                <c:pt idx="126">
                  <c:v>45396</c:v>
                </c:pt>
                <c:pt idx="127">
                  <c:v>45397</c:v>
                </c:pt>
                <c:pt idx="128">
                  <c:v>45398</c:v>
                </c:pt>
                <c:pt idx="129">
                  <c:v>45399</c:v>
                </c:pt>
                <c:pt idx="130">
                  <c:v>45400</c:v>
                </c:pt>
                <c:pt idx="131">
                  <c:v>45401</c:v>
                </c:pt>
                <c:pt idx="132">
                  <c:v>45402</c:v>
                </c:pt>
                <c:pt idx="133">
                  <c:v>45403</c:v>
                </c:pt>
                <c:pt idx="134">
                  <c:v>45404</c:v>
                </c:pt>
                <c:pt idx="135">
                  <c:v>45405</c:v>
                </c:pt>
                <c:pt idx="136">
                  <c:v>45406</c:v>
                </c:pt>
                <c:pt idx="137">
                  <c:v>45407</c:v>
                </c:pt>
                <c:pt idx="138">
                  <c:v>45408</c:v>
                </c:pt>
                <c:pt idx="139">
                  <c:v>45409</c:v>
                </c:pt>
                <c:pt idx="140">
                  <c:v>45410</c:v>
                </c:pt>
                <c:pt idx="141">
                  <c:v>45411</c:v>
                </c:pt>
                <c:pt idx="142">
                  <c:v>45412</c:v>
                </c:pt>
                <c:pt idx="143">
                  <c:v>45413</c:v>
                </c:pt>
                <c:pt idx="144">
                  <c:v>45414</c:v>
                </c:pt>
                <c:pt idx="145">
                  <c:v>45415</c:v>
                </c:pt>
                <c:pt idx="146">
                  <c:v>45416</c:v>
                </c:pt>
                <c:pt idx="147">
                  <c:v>45417</c:v>
                </c:pt>
                <c:pt idx="148">
                  <c:v>45418</c:v>
                </c:pt>
                <c:pt idx="149">
                  <c:v>45419</c:v>
                </c:pt>
                <c:pt idx="150">
                  <c:v>45420</c:v>
                </c:pt>
                <c:pt idx="151">
                  <c:v>45421</c:v>
                </c:pt>
                <c:pt idx="152">
                  <c:v>45422</c:v>
                </c:pt>
                <c:pt idx="153">
                  <c:v>45423</c:v>
                </c:pt>
                <c:pt idx="154">
                  <c:v>45424</c:v>
                </c:pt>
                <c:pt idx="155">
                  <c:v>45425</c:v>
                </c:pt>
                <c:pt idx="156">
                  <c:v>45426</c:v>
                </c:pt>
                <c:pt idx="157">
                  <c:v>45427</c:v>
                </c:pt>
                <c:pt idx="158">
                  <c:v>45428</c:v>
                </c:pt>
                <c:pt idx="159">
                  <c:v>45429</c:v>
                </c:pt>
                <c:pt idx="160">
                  <c:v>45430</c:v>
                </c:pt>
                <c:pt idx="161">
                  <c:v>45431</c:v>
                </c:pt>
                <c:pt idx="162">
                  <c:v>45432</c:v>
                </c:pt>
                <c:pt idx="163">
                  <c:v>45433</c:v>
                </c:pt>
                <c:pt idx="164">
                  <c:v>45434</c:v>
                </c:pt>
                <c:pt idx="165">
                  <c:v>45435</c:v>
                </c:pt>
                <c:pt idx="166">
                  <c:v>45436</c:v>
                </c:pt>
                <c:pt idx="167">
                  <c:v>45437</c:v>
                </c:pt>
                <c:pt idx="168">
                  <c:v>45438</c:v>
                </c:pt>
                <c:pt idx="169">
                  <c:v>45439</c:v>
                </c:pt>
                <c:pt idx="170">
                  <c:v>45440</c:v>
                </c:pt>
                <c:pt idx="171">
                  <c:v>45441</c:v>
                </c:pt>
                <c:pt idx="172">
                  <c:v>45442</c:v>
                </c:pt>
                <c:pt idx="173">
                  <c:v>45443</c:v>
                </c:pt>
                <c:pt idx="174">
                  <c:v>45444</c:v>
                </c:pt>
                <c:pt idx="175">
                  <c:v>45445</c:v>
                </c:pt>
                <c:pt idx="176">
                  <c:v>45446</c:v>
                </c:pt>
                <c:pt idx="177">
                  <c:v>45447</c:v>
                </c:pt>
                <c:pt idx="178">
                  <c:v>45448</c:v>
                </c:pt>
                <c:pt idx="179">
                  <c:v>45449</c:v>
                </c:pt>
                <c:pt idx="180">
                  <c:v>45450</c:v>
                </c:pt>
                <c:pt idx="181">
                  <c:v>45451</c:v>
                </c:pt>
                <c:pt idx="182">
                  <c:v>45452</c:v>
                </c:pt>
                <c:pt idx="183">
                  <c:v>45453</c:v>
                </c:pt>
                <c:pt idx="184">
                  <c:v>45454</c:v>
                </c:pt>
                <c:pt idx="185">
                  <c:v>45455</c:v>
                </c:pt>
                <c:pt idx="186">
                  <c:v>45456</c:v>
                </c:pt>
                <c:pt idx="187">
                  <c:v>45457</c:v>
                </c:pt>
                <c:pt idx="188">
                  <c:v>45458</c:v>
                </c:pt>
                <c:pt idx="189">
                  <c:v>45459</c:v>
                </c:pt>
                <c:pt idx="190">
                  <c:v>45460</c:v>
                </c:pt>
                <c:pt idx="191">
                  <c:v>45461</c:v>
                </c:pt>
                <c:pt idx="192">
                  <c:v>45462</c:v>
                </c:pt>
                <c:pt idx="193">
                  <c:v>45463</c:v>
                </c:pt>
                <c:pt idx="194">
                  <c:v>45464</c:v>
                </c:pt>
                <c:pt idx="195">
                  <c:v>45465</c:v>
                </c:pt>
                <c:pt idx="196">
                  <c:v>45466</c:v>
                </c:pt>
                <c:pt idx="197">
                  <c:v>45467</c:v>
                </c:pt>
                <c:pt idx="198">
                  <c:v>45468</c:v>
                </c:pt>
                <c:pt idx="199">
                  <c:v>45469</c:v>
                </c:pt>
                <c:pt idx="200">
                  <c:v>45470</c:v>
                </c:pt>
                <c:pt idx="201">
                  <c:v>45471</c:v>
                </c:pt>
                <c:pt idx="202">
                  <c:v>45472</c:v>
                </c:pt>
                <c:pt idx="203">
                  <c:v>45473</c:v>
                </c:pt>
                <c:pt idx="204">
                  <c:v>45474</c:v>
                </c:pt>
                <c:pt idx="205">
                  <c:v>45475</c:v>
                </c:pt>
                <c:pt idx="206">
                  <c:v>45476</c:v>
                </c:pt>
                <c:pt idx="207">
                  <c:v>45477</c:v>
                </c:pt>
                <c:pt idx="208">
                  <c:v>45478</c:v>
                </c:pt>
                <c:pt idx="209">
                  <c:v>45479</c:v>
                </c:pt>
                <c:pt idx="210">
                  <c:v>45480</c:v>
                </c:pt>
                <c:pt idx="211">
                  <c:v>45481</c:v>
                </c:pt>
                <c:pt idx="212">
                  <c:v>45482</c:v>
                </c:pt>
                <c:pt idx="213">
                  <c:v>45483</c:v>
                </c:pt>
                <c:pt idx="214">
                  <c:v>45484</c:v>
                </c:pt>
                <c:pt idx="215">
                  <c:v>45485</c:v>
                </c:pt>
                <c:pt idx="216">
                  <c:v>45486</c:v>
                </c:pt>
                <c:pt idx="217">
                  <c:v>45487</c:v>
                </c:pt>
                <c:pt idx="218">
                  <c:v>45488</c:v>
                </c:pt>
                <c:pt idx="219">
                  <c:v>45489</c:v>
                </c:pt>
                <c:pt idx="220">
                  <c:v>45490</c:v>
                </c:pt>
                <c:pt idx="221">
                  <c:v>45491</c:v>
                </c:pt>
                <c:pt idx="222">
                  <c:v>45492</c:v>
                </c:pt>
                <c:pt idx="223">
                  <c:v>45493</c:v>
                </c:pt>
                <c:pt idx="224">
                  <c:v>45494</c:v>
                </c:pt>
                <c:pt idx="225">
                  <c:v>45495</c:v>
                </c:pt>
                <c:pt idx="226">
                  <c:v>45496</c:v>
                </c:pt>
                <c:pt idx="227">
                  <c:v>45497</c:v>
                </c:pt>
                <c:pt idx="228">
                  <c:v>45498</c:v>
                </c:pt>
                <c:pt idx="229">
                  <c:v>45499</c:v>
                </c:pt>
                <c:pt idx="230">
                  <c:v>45500</c:v>
                </c:pt>
                <c:pt idx="231">
                  <c:v>45501</c:v>
                </c:pt>
                <c:pt idx="232">
                  <c:v>45502</c:v>
                </c:pt>
                <c:pt idx="233">
                  <c:v>45503</c:v>
                </c:pt>
                <c:pt idx="234">
                  <c:v>45504</c:v>
                </c:pt>
                <c:pt idx="235">
                  <c:v>45505</c:v>
                </c:pt>
                <c:pt idx="236">
                  <c:v>45506</c:v>
                </c:pt>
                <c:pt idx="237">
                  <c:v>45507</c:v>
                </c:pt>
                <c:pt idx="238">
                  <c:v>45508</c:v>
                </c:pt>
                <c:pt idx="239">
                  <c:v>45509</c:v>
                </c:pt>
                <c:pt idx="240">
                  <c:v>45510</c:v>
                </c:pt>
                <c:pt idx="241">
                  <c:v>45511</c:v>
                </c:pt>
                <c:pt idx="242">
                  <c:v>45512</c:v>
                </c:pt>
                <c:pt idx="243">
                  <c:v>45513</c:v>
                </c:pt>
                <c:pt idx="244">
                  <c:v>45514</c:v>
                </c:pt>
                <c:pt idx="245">
                  <c:v>45515</c:v>
                </c:pt>
                <c:pt idx="246">
                  <c:v>45516</c:v>
                </c:pt>
                <c:pt idx="247">
                  <c:v>45517</c:v>
                </c:pt>
                <c:pt idx="248">
                  <c:v>45518</c:v>
                </c:pt>
                <c:pt idx="249">
                  <c:v>45519</c:v>
                </c:pt>
                <c:pt idx="250">
                  <c:v>45520</c:v>
                </c:pt>
                <c:pt idx="251">
                  <c:v>45521</c:v>
                </c:pt>
                <c:pt idx="252">
                  <c:v>45522</c:v>
                </c:pt>
                <c:pt idx="253">
                  <c:v>45523</c:v>
                </c:pt>
                <c:pt idx="254">
                  <c:v>45524</c:v>
                </c:pt>
                <c:pt idx="255">
                  <c:v>45525</c:v>
                </c:pt>
                <c:pt idx="256">
                  <c:v>45526</c:v>
                </c:pt>
                <c:pt idx="257">
                  <c:v>45527</c:v>
                </c:pt>
                <c:pt idx="258">
                  <c:v>45528</c:v>
                </c:pt>
                <c:pt idx="259">
                  <c:v>45529</c:v>
                </c:pt>
                <c:pt idx="260">
                  <c:v>45530</c:v>
                </c:pt>
                <c:pt idx="261">
                  <c:v>45531</c:v>
                </c:pt>
                <c:pt idx="262">
                  <c:v>45532</c:v>
                </c:pt>
                <c:pt idx="263">
                  <c:v>45533</c:v>
                </c:pt>
                <c:pt idx="264">
                  <c:v>45534</c:v>
                </c:pt>
                <c:pt idx="265">
                  <c:v>45535</c:v>
                </c:pt>
                <c:pt idx="266">
                  <c:v>45536</c:v>
                </c:pt>
                <c:pt idx="267">
                  <c:v>45537</c:v>
                </c:pt>
                <c:pt idx="268">
                  <c:v>45538</c:v>
                </c:pt>
                <c:pt idx="269">
                  <c:v>45539</c:v>
                </c:pt>
                <c:pt idx="270">
                  <c:v>45540</c:v>
                </c:pt>
                <c:pt idx="271">
                  <c:v>45541</c:v>
                </c:pt>
                <c:pt idx="272">
                  <c:v>45542</c:v>
                </c:pt>
                <c:pt idx="273">
                  <c:v>45543</c:v>
                </c:pt>
                <c:pt idx="274">
                  <c:v>45544</c:v>
                </c:pt>
                <c:pt idx="275">
                  <c:v>45545</c:v>
                </c:pt>
                <c:pt idx="276">
                  <c:v>45546</c:v>
                </c:pt>
                <c:pt idx="277">
                  <c:v>45547</c:v>
                </c:pt>
                <c:pt idx="278">
                  <c:v>45548</c:v>
                </c:pt>
                <c:pt idx="279">
                  <c:v>45549</c:v>
                </c:pt>
                <c:pt idx="280">
                  <c:v>45550</c:v>
                </c:pt>
                <c:pt idx="281">
                  <c:v>45551</c:v>
                </c:pt>
                <c:pt idx="282">
                  <c:v>45552</c:v>
                </c:pt>
                <c:pt idx="283">
                  <c:v>45553</c:v>
                </c:pt>
                <c:pt idx="284">
                  <c:v>45554</c:v>
                </c:pt>
                <c:pt idx="285">
                  <c:v>45555</c:v>
                </c:pt>
                <c:pt idx="286">
                  <c:v>45556</c:v>
                </c:pt>
                <c:pt idx="287">
                  <c:v>45557</c:v>
                </c:pt>
                <c:pt idx="288">
                  <c:v>45558</c:v>
                </c:pt>
                <c:pt idx="289">
                  <c:v>45559</c:v>
                </c:pt>
                <c:pt idx="290">
                  <c:v>45560</c:v>
                </c:pt>
                <c:pt idx="291">
                  <c:v>45561</c:v>
                </c:pt>
                <c:pt idx="292">
                  <c:v>45562</c:v>
                </c:pt>
                <c:pt idx="293">
                  <c:v>45563</c:v>
                </c:pt>
                <c:pt idx="294">
                  <c:v>45564</c:v>
                </c:pt>
                <c:pt idx="295">
                  <c:v>45565</c:v>
                </c:pt>
                <c:pt idx="296">
                  <c:v>45566</c:v>
                </c:pt>
                <c:pt idx="297">
                  <c:v>45567</c:v>
                </c:pt>
                <c:pt idx="298">
                  <c:v>45568</c:v>
                </c:pt>
                <c:pt idx="299">
                  <c:v>45569</c:v>
                </c:pt>
                <c:pt idx="300">
                  <c:v>45570</c:v>
                </c:pt>
                <c:pt idx="301">
                  <c:v>45571</c:v>
                </c:pt>
                <c:pt idx="302">
                  <c:v>45572</c:v>
                </c:pt>
                <c:pt idx="303">
                  <c:v>45573</c:v>
                </c:pt>
                <c:pt idx="304">
                  <c:v>45574</c:v>
                </c:pt>
                <c:pt idx="305">
                  <c:v>45575</c:v>
                </c:pt>
                <c:pt idx="306">
                  <c:v>45576</c:v>
                </c:pt>
                <c:pt idx="307">
                  <c:v>45577</c:v>
                </c:pt>
                <c:pt idx="308">
                  <c:v>45578</c:v>
                </c:pt>
                <c:pt idx="309">
                  <c:v>45579</c:v>
                </c:pt>
                <c:pt idx="310">
                  <c:v>45580</c:v>
                </c:pt>
                <c:pt idx="311">
                  <c:v>45581</c:v>
                </c:pt>
                <c:pt idx="312">
                  <c:v>45582</c:v>
                </c:pt>
                <c:pt idx="313">
                  <c:v>45583</c:v>
                </c:pt>
                <c:pt idx="314">
                  <c:v>45584</c:v>
                </c:pt>
                <c:pt idx="315">
                  <c:v>45585</c:v>
                </c:pt>
                <c:pt idx="316">
                  <c:v>45586</c:v>
                </c:pt>
                <c:pt idx="317">
                  <c:v>45587</c:v>
                </c:pt>
                <c:pt idx="318">
                  <c:v>45588</c:v>
                </c:pt>
                <c:pt idx="319">
                  <c:v>45589</c:v>
                </c:pt>
                <c:pt idx="320">
                  <c:v>45590</c:v>
                </c:pt>
                <c:pt idx="321">
                  <c:v>45591</c:v>
                </c:pt>
                <c:pt idx="322">
                  <c:v>45592</c:v>
                </c:pt>
                <c:pt idx="323">
                  <c:v>45593</c:v>
                </c:pt>
                <c:pt idx="324">
                  <c:v>45594</c:v>
                </c:pt>
                <c:pt idx="325">
                  <c:v>45595</c:v>
                </c:pt>
                <c:pt idx="326">
                  <c:v>45596</c:v>
                </c:pt>
                <c:pt idx="327">
                  <c:v>45597</c:v>
                </c:pt>
                <c:pt idx="328">
                  <c:v>45598</c:v>
                </c:pt>
                <c:pt idx="329">
                  <c:v>45599</c:v>
                </c:pt>
                <c:pt idx="330">
                  <c:v>45600</c:v>
                </c:pt>
                <c:pt idx="331">
                  <c:v>45601</c:v>
                </c:pt>
                <c:pt idx="332">
                  <c:v>45602</c:v>
                </c:pt>
                <c:pt idx="333">
                  <c:v>45603</c:v>
                </c:pt>
                <c:pt idx="334">
                  <c:v>45604</c:v>
                </c:pt>
                <c:pt idx="335">
                  <c:v>45605</c:v>
                </c:pt>
                <c:pt idx="336">
                  <c:v>45606</c:v>
                </c:pt>
                <c:pt idx="337">
                  <c:v>45607</c:v>
                </c:pt>
                <c:pt idx="338">
                  <c:v>45608</c:v>
                </c:pt>
                <c:pt idx="339">
                  <c:v>45609</c:v>
                </c:pt>
                <c:pt idx="340">
                  <c:v>45610</c:v>
                </c:pt>
                <c:pt idx="341">
                  <c:v>45611</c:v>
                </c:pt>
                <c:pt idx="342">
                  <c:v>45612</c:v>
                </c:pt>
                <c:pt idx="343">
                  <c:v>45613</c:v>
                </c:pt>
                <c:pt idx="344">
                  <c:v>45614</c:v>
                </c:pt>
                <c:pt idx="345">
                  <c:v>45615</c:v>
                </c:pt>
                <c:pt idx="346">
                  <c:v>45616</c:v>
                </c:pt>
                <c:pt idx="347">
                  <c:v>45617</c:v>
                </c:pt>
                <c:pt idx="348">
                  <c:v>45618</c:v>
                </c:pt>
                <c:pt idx="349">
                  <c:v>45619</c:v>
                </c:pt>
                <c:pt idx="350">
                  <c:v>45620</c:v>
                </c:pt>
                <c:pt idx="351">
                  <c:v>45621</c:v>
                </c:pt>
                <c:pt idx="352">
                  <c:v>45622</c:v>
                </c:pt>
                <c:pt idx="353">
                  <c:v>45623</c:v>
                </c:pt>
                <c:pt idx="354">
                  <c:v>45624</c:v>
                </c:pt>
                <c:pt idx="355">
                  <c:v>45625</c:v>
                </c:pt>
                <c:pt idx="356">
                  <c:v>45626</c:v>
                </c:pt>
                <c:pt idx="357">
                  <c:v>45627</c:v>
                </c:pt>
                <c:pt idx="358">
                  <c:v>45628</c:v>
                </c:pt>
                <c:pt idx="359">
                  <c:v>45629</c:v>
                </c:pt>
                <c:pt idx="360">
                  <c:v>45630</c:v>
                </c:pt>
                <c:pt idx="361">
                  <c:v>45631</c:v>
                </c:pt>
                <c:pt idx="362">
                  <c:v>45632</c:v>
                </c:pt>
                <c:pt idx="363">
                  <c:v>45633</c:v>
                </c:pt>
                <c:pt idx="364">
                  <c:v>45634</c:v>
                </c:pt>
                <c:pt idx="365">
                  <c:v>45635</c:v>
                </c:pt>
                <c:pt idx="366">
                  <c:v>45636</c:v>
                </c:pt>
                <c:pt idx="367">
                  <c:v>45637</c:v>
                </c:pt>
                <c:pt idx="368">
                  <c:v>45638</c:v>
                </c:pt>
                <c:pt idx="369">
                  <c:v>45639</c:v>
                </c:pt>
                <c:pt idx="370">
                  <c:v>45640</c:v>
                </c:pt>
                <c:pt idx="371">
                  <c:v>45641</c:v>
                </c:pt>
                <c:pt idx="372">
                  <c:v>45642</c:v>
                </c:pt>
                <c:pt idx="373">
                  <c:v>45643</c:v>
                </c:pt>
                <c:pt idx="374">
                  <c:v>45644</c:v>
                </c:pt>
                <c:pt idx="375">
                  <c:v>45645</c:v>
                </c:pt>
                <c:pt idx="376">
                  <c:v>45646</c:v>
                </c:pt>
                <c:pt idx="377">
                  <c:v>45647</c:v>
                </c:pt>
                <c:pt idx="378">
                  <c:v>45648</c:v>
                </c:pt>
                <c:pt idx="379">
                  <c:v>45649</c:v>
                </c:pt>
                <c:pt idx="380">
                  <c:v>45650</c:v>
                </c:pt>
                <c:pt idx="381">
                  <c:v>45651</c:v>
                </c:pt>
                <c:pt idx="382">
                  <c:v>45652</c:v>
                </c:pt>
                <c:pt idx="383">
                  <c:v>45653</c:v>
                </c:pt>
                <c:pt idx="384">
                  <c:v>45654</c:v>
                </c:pt>
                <c:pt idx="385">
                  <c:v>45655</c:v>
                </c:pt>
                <c:pt idx="386">
                  <c:v>45656</c:v>
                </c:pt>
                <c:pt idx="387">
                  <c:v>45657</c:v>
                </c:pt>
                <c:pt idx="388">
                  <c:v>45658</c:v>
                </c:pt>
                <c:pt idx="389">
                  <c:v>45659</c:v>
                </c:pt>
                <c:pt idx="390">
                  <c:v>45660</c:v>
                </c:pt>
                <c:pt idx="391">
                  <c:v>45661</c:v>
                </c:pt>
                <c:pt idx="392">
                  <c:v>45662</c:v>
                </c:pt>
                <c:pt idx="393">
                  <c:v>45663</c:v>
                </c:pt>
                <c:pt idx="394">
                  <c:v>45664</c:v>
                </c:pt>
                <c:pt idx="395">
                  <c:v>45665</c:v>
                </c:pt>
                <c:pt idx="396">
                  <c:v>45666</c:v>
                </c:pt>
                <c:pt idx="397">
                  <c:v>45667</c:v>
                </c:pt>
                <c:pt idx="398">
                  <c:v>45668</c:v>
                </c:pt>
                <c:pt idx="399">
                  <c:v>45669</c:v>
                </c:pt>
                <c:pt idx="400">
                  <c:v>45670</c:v>
                </c:pt>
                <c:pt idx="401">
                  <c:v>45671</c:v>
                </c:pt>
                <c:pt idx="402">
                  <c:v>45672</c:v>
                </c:pt>
                <c:pt idx="403">
                  <c:v>45673</c:v>
                </c:pt>
                <c:pt idx="404">
                  <c:v>45674</c:v>
                </c:pt>
                <c:pt idx="405">
                  <c:v>45675</c:v>
                </c:pt>
                <c:pt idx="406">
                  <c:v>45676</c:v>
                </c:pt>
                <c:pt idx="407">
                  <c:v>45677</c:v>
                </c:pt>
                <c:pt idx="408">
                  <c:v>45678</c:v>
                </c:pt>
                <c:pt idx="409">
                  <c:v>45679</c:v>
                </c:pt>
                <c:pt idx="410">
                  <c:v>45680</c:v>
                </c:pt>
                <c:pt idx="411">
                  <c:v>45681</c:v>
                </c:pt>
                <c:pt idx="412">
                  <c:v>45682</c:v>
                </c:pt>
                <c:pt idx="413">
                  <c:v>45683</c:v>
                </c:pt>
                <c:pt idx="414">
                  <c:v>45684</c:v>
                </c:pt>
                <c:pt idx="415">
                  <c:v>45685</c:v>
                </c:pt>
                <c:pt idx="416">
                  <c:v>45686</c:v>
                </c:pt>
                <c:pt idx="417">
                  <c:v>45687</c:v>
                </c:pt>
                <c:pt idx="418">
                  <c:v>45688</c:v>
                </c:pt>
                <c:pt idx="419">
                  <c:v>45689</c:v>
                </c:pt>
                <c:pt idx="420">
                  <c:v>45690</c:v>
                </c:pt>
                <c:pt idx="421">
                  <c:v>45691</c:v>
                </c:pt>
                <c:pt idx="422">
                  <c:v>45692</c:v>
                </c:pt>
                <c:pt idx="423">
                  <c:v>45693</c:v>
                </c:pt>
                <c:pt idx="424">
                  <c:v>45694</c:v>
                </c:pt>
                <c:pt idx="425">
                  <c:v>45695</c:v>
                </c:pt>
                <c:pt idx="426">
                  <c:v>45696</c:v>
                </c:pt>
                <c:pt idx="427">
                  <c:v>45697</c:v>
                </c:pt>
                <c:pt idx="428">
                  <c:v>45698</c:v>
                </c:pt>
                <c:pt idx="429">
                  <c:v>45699</c:v>
                </c:pt>
                <c:pt idx="430">
                  <c:v>45700</c:v>
                </c:pt>
                <c:pt idx="431">
                  <c:v>45701</c:v>
                </c:pt>
                <c:pt idx="432">
                  <c:v>45702</c:v>
                </c:pt>
                <c:pt idx="433">
                  <c:v>45703</c:v>
                </c:pt>
                <c:pt idx="434">
                  <c:v>45704</c:v>
                </c:pt>
                <c:pt idx="435">
                  <c:v>45705</c:v>
                </c:pt>
                <c:pt idx="436">
                  <c:v>45706</c:v>
                </c:pt>
                <c:pt idx="437">
                  <c:v>45707</c:v>
                </c:pt>
                <c:pt idx="438">
                  <c:v>45708</c:v>
                </c:pt>
                <c:pt idx="439">
                  <c:v>45709</c:v>
                </c:pt>
                <c:pt idx="440">
                  <c:v>45710</c:v>
                </c:pt>
                <c:pt idx="441">
                  <c:v>45711</c:v>
                </c:pt>
                <c:pt idx="442">
                  <c:v>45712</c:v>
                </c:pt>
                <c:pt idx="443">
                  <c:v>45713</c:v>
                </c:pt>
                <c:pt idx="444">
                  <c:v>45714</c:v>
                </c:pt>
                <c:pt idx="445">
                  <c:v>45715</c:v>
                </c:pt>
                <c:pt idx="446">
                  <c:v>45716</c:v>
                </c:pt>
                <c:pt idx="447">
                  <c:v>45717</c:v>
                </c:pt>
                <c:pt idx="448">
                  <c:v>45718</c:v>
                </c:pt>
                <c:pt idx="449">
                  <c:v>45719</c:v>
                </c:pt>
                <c:pt idx="450">
                  <c:v>45720</c:v>
                </c:pt>
                <c:pt idx="451">
                  <c:v>45721</c:v>
                </c:pt>
                <c:pt idx="452">
                  <c:v>45722</c:v>
                </c:pt>
                <c:pt idx="453">
                  <c:v>45723</c:v>
                </c:pt>
                <c:pt idx="454">
                  <c:v>45724</c:v>
                </c:pt>
                <c:pt idx="455">
                  <c:v>45725</c:v>
                </c:pt>
                <c:pt idx="456">
                  <c:v>45726</c:v>
                </c:pt>
                <c:pt idx="457">
                  <c:v>45727</c:v>
                </c:pt>
                <c:pt idx="458">
                  <c:v>45728</c:v>
                </c:pt>
                <c:pt idx="459">
                  <c:v>45729</c:v>
                </c:pt>
                <c:pt idx="460">
                  <c:v>45730</c:v>
                </c:pt>
                <c:pt idx="461">
                  <c:v>45731</c:v>
                </c:pt>
                <c:pt idx="462">
                  <c:v>45732</c:v>
                </c:pt>
                <c:pt idx="463">
                  <c:v>45733</c:v>
                </c:pt>
                <c:pt idx="464">
                  <c:v>45734</c:v>
                </c:pt>
                <c:pt idx="465">
                  <c:v>45735</c:v>
                </c:pt>
                <c:pt idx="466">
                  <c:v>45736</c:v>
                </c:pt>
                <c:pt idx="467">
                  <c:v>45737</c:v>
                </c:pt>
                <c:pt idx="468">
                  <c:v>45738</c:v>
                </c:pt>
                <c:pt idx="469">
                  <c:v>45739</c:v>
                </c:pt>
                <c:pt idx="470">
                  <c:v>45740</c:v>
                </c:pt>
                <c:pt idx="471">
                  <c:v>45741</c:v>
                </c:pt>
                <c:pt idx="472">
                  <c:v>45742</c:v>
                </c:pt>
                <c:pt idx="473">
                  <c:v>45743</c:v>
                </c:pt>
                <c:pt idx="474">
                  <c:v>45744</c:v>
                </c:pt>
                <c:pt idx="475">
                  <c:v>45745</c:v>
                </c:pt>
                <c:pt idx="476">
                  <c:v>45746</c:v>
                </c:pt>
                <c:pt idx="477">
                  <c:v>45747</c:v>
                </c:pt>
                <c:pt idx="478">
                  <c:v>45748</c:v>
                </c:pt>
                <c:pt idx="479">
                  <c:v>45749</c:v>
                </c:pt>
                <c:pt idx="480">
                  <c:v>45750</c:v>
                </c:pt>
                <c:pt idx="481">
                  <c:v>45751</c:v>
                </c:pt>
                <c:pt idx="482">
                  <c:v>45752</c:v>
                </c:pt>
                <c:pt idx="483">
                  <c:v>45753</c:v>
                </c:pt>
                <c:pt idx="484">
                  <c:v>45754</c:v>
                </c:pt>
                <c:pt idx="485">
                  <c:v>45755</c:v>
                </c:pt>
                <c:pt idx="486">
                  <c:v>45756</c:v>
                </c:pt>
                <c:pt idx="487">
                  <c:v>45757</c:v>
                </c:pt>
                <c:pt idx="488">
                  <c:v>45758</c:v>
                </c:pt>
                <c:pt idx="489">
                  <c:v>45759</c:v>
                </c:pt>
                <c:pt idx="490">
                  <c:v>45760</c:v>
                </c:pt>
                <c:pt idx="491">
                  <c:v>45761</c:v>
                </c:pt>
                <c:pt idx="492">
                  <c:v>45762</c:v>
                </c:pt>
                <c:pt idx="493">
                  <c:v>45763</c:v>
                </c:pt>
                <c:pt idx="494">
                  <c:v>45764</c:v>
                </c:pt>
                <c:pt idx="495">
                  <c:v>45765</c:v>
                </c:pt>
                <c:pt idx="496">
                  <c:v>45766</c:v>
                </c:pt>
                <c:pt idx="497">
                  <c:v>45767</c:v>
                </c:pt>
                <c:pt idx="498">
                  <c:v>45768</c:v>
                </c:pt>
                <c:pt idx="499">
                  <c:v>45771</c:v>
                </c:pt>
                <c:pt idx="500">
                  <c:v>45775</c:v>
                </c:pt>
                <c:pt idx="501">
                  <c:v>45778</c:v>
                </c:pt>
                <c:pt idx="502">
                  <c:v>45782</c:v>
                </c:pt>
                <c:pt idx="503">
                  <c:v>45785</c:v>
                </c:pt>
                <c:pt idx="504">
                  <c:v>45789</c:v>
                </c:pt>
                <c:pt idx="505">
                  <c:v>45792</c:v>
                </c:pt>
                <c:pt idx="506">
                  <c:v>45796</c:v>
                </c:pt>
                <c:pt idx="507">
                  <c:v>45803</c:v>
                </c:pt>
                <c:pt idx="508">
                  <c:v>45810</c:v>
                </c:pt>
                <c:pt idx="509">
                  <c:v>45817</c:v>
                </c:pt>
                <c:pt idx="510">
                  <c:v>45824</c:v>
                </c:pt>
                <c:pt idx="511">
                  <c:v>45831</c:v>
                </c:pt>
                <c:pt idx="512">
                  <c:v>45838</c:v>
                </c:pt>
                <c:pt idx="513">
                  <c:v>45845</c:v>
                </c:pt>
                <c:pt idx="514">
                  <c:v>45852</c:v>
                </c:pt>
                <c:pt idx="515">
                  <c:v>45859</c:v>
                </c:pt>
                <c:pt idx="516">
                  <c:v>45866</c:v>
                </c:pt>
              </c:numCache>
            </c:numRef>
          </c:xVal>
          <c:yVal>
            <c:numRef>
              <c:f>'SL.114+840'!$D$14:$D$700</c:f>
              <c:numCache>
                <c:formatCode>0.000</c:formatCode>
                <c:ptCount val="6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0.28199999999999997</c:v>
                </c:pt>
                <c:pt idx="18">
                  <c:v>0.28199999999999997</c:v>
                </c:pt>
                <c:pt idx="19">
                  <c:v>0.28199999999999997</c:v>
                </c:pt>
                <c:pt idx="20">
                  <c:v>0.28199999999999997</c:v>
                </c:pt>
                <c:pt idx="21">
                  <c:v>0.28199999999999997</c:v>
                </c:pt>
                <c:pt idx="22">
                  <c:v>0.28199999999999997</c:v>
                </c:pt>
                <c:pt idx="23">
                  <c:v>0.57499999999999996</c:v>
                </c:pt>
                <c:pt idx="24">
                  <c:v>0.57499999999999996</c:v>
                </c:pt>
                <c:pt idx="25">
                  <c:v>0.57499999999999996</c:v>
                </c:pt>
                <c:pt idx="26">
                  <c:v>0.57499999999999996</c:v>
                </c:pt>
                <c:pt idx="27">
                  <c:v>0.57499999999999996</c:v>
                </c:pt>
                <c:pt idx="28">
                  <c:v>0.57499999999999996</c:v>
                </c:pt>
                <c:pt idx="29">
                  <c:v>0.86599999999999988</c:v>
                </c:pt>
                <c:pt idx="30">
                  <c:v>0.86599999999999988</c:v>
                </c:pt>
                <c:pt idx="31">
                  <c:v>0.86599999999999988</c:v>
                </c:pt>
                <c:pt idx="32">
                  <c:v>0.86599999999999988</c:v>
                </c:pt>
                <c:pt idx="33">
                  <c:v>0.86599999999999988</c:v>
                </c:pt>
                <c:pt idx="34">
                  <c:v>0.86599999999999988</c:v>
                </c:pt>
                <c:pt idx="35">
                  <c:v>1.1569999999999998</c:v>
                </c:pt>
                <c:pt idx="36">
                  <c:v>1.1569999999999998</c:v>
                </c:pt>
                <c:pt idx="37">
                  <c:v>1.1569999999999998</c:v>
                </c:pt>
                <c:pt idx="38">
                  <c:v>1.1569999999999998</c:v>
                </c:pt>
                <c:pt idx="39">
                  <c:v>1.1569999999999998</c:v>
                </c:pt>
                <c:pt idx="40">
                  <c:v>1.1569999999999998</c:v>
                </c:pt>
                <c:pt idx="41">
                  <c:v>1.4489999999999998</c:v>
                </c:pt>
                <c:pt idx="42">
                  <c:v>1.4489999999999998</c:v>
                </c:pt>
                <c:pt idx="43">
                  <c:v>1.4489999999999998</c:v>
                </c:pt>
                <c:pt idx="44">
                  <c:v>1.4489999999999998</c:v>
                </c:pt>
                <c:pt idx="45">
                  <c:v>1.4489999999999998</c:v>
                </c:pt>
                <c:pt idx="46">
                  <c:v>1.4489999999999998</c:v>
                </c:pt>
                <c:pt idx="47">
                  <c:v>1.4489999999999998</c:v>
                </c:pt>
                <c:pt idx="48">
                  <c:v>1.4489999999999998</c:v>
                </c:pt>
                <c:pt idx="49">
                  <c:v>1.4489999999999998</c:v>
                </c:pt>
                <c:pt idx="50">
                  <c:v>1.4489999999999998</c:v>
                </c:pt>
                <c:pt idx="51">
                  <c:v>1.4489999999999998</c:v>
                </c:pt>
                <c:pt idx="52">
                  <c:v>1.4489999999999998</c:v>
                </c:pt>
                <c:pt idx="53">
                  <c:v>1.4489999999999998</c:v>
                </c:pt>
                <c:pt idx="54">
                  <c:v>1.4489999999999998</c:v>
                </c:pt>
                <c:pt idx="55">
                  <c:v>1.4489999999999998</c:v>
                </c:pt>
                <c:pt idx="56">
                  <c:v>1.4489999999999998</c:v>
                </c:pt>
                <c:pt idx="57">
                  <c:v>1.4489999999999998</c:v>
                </c:pt>
                <c:pt idx="58">
                  <c:v>1.4489999999999998</c:v>
                </c:pt>
                <c:pt idx="59">
                  <c:v>1.4489999999999998</c:v>
                </c:pt>
                <c:pt idx="60">
                  <c:v>1.4489999999999998</c:v>
                </c:pt>
                <c:pt idx="61">
                  <c:v>1.4489999999999998</c:v>
                </c:pt>
                <c:pt idx="62">
                  <c:v>1.4489999999999998</c:v>
                </c:pt>
                <c:pt idx="63">
                  <c:v>1.4489999999999998</c:v>
                </c:pt>
                <c:pt idx="64">
                  <c:v>1.4489999999999998</c:v>
                </c:pt>
                <c:pt idx="65">
                  <c:v>1.4489999999999998</c:v>
                </c:pt>
                <c:pt idx="66">
                  <c:v>1.4489999999999998</c:v>
                </c:pt>
                <c:pt idx="67">
                  <c:v>1.4489999999999998</c:v>
                </c:pt>
                <c:pt idx="68">
                  <c:v>1.4489999999999998</c:v>
                </c:pt>
                <c:pt idx="69">
                  <c:v>1.4489999999999998</c:v>
                </c:pt>
                <c:pt idx="70">
                  <c:v>1.4489999999999998</c:v>
                </c:pt>
                <c:pt idx="71">
                  <c:v>1.4489999999999998</c:v>
                </c:pt>
                <c:pt idx="72">
                  <c:v>1.4489999999999998</c:v>
                </c:pt>
                <c:pt idx="73">
                  <c:v>1.4489999999999998</c:v>
                </c:pt>
                <c:pt idx="74">
                  <c:v>1.4489999999999998</c:v>
                </c:pt>
                <c:pt idx="75">
                  <c:v>1.4489999999999998</c:v>
                </c:pt>
                <c:pt idx="76">
                  <c:v>1.4489999999999998</c:v>
                </c:pt>
                <c:pt idx="77">
                  <c:v>1.4489999999999998</c:v>
                </c:pt>
                <c:pt idx="78">
                  <c:v>1.4489999999999998</c:v>
                </c:pt>
                <c:pt idx="79">
                  <c:v>1.4489999999999998</c:v>
                </c:pt>
                <c:pt idx="80">
                  <c:v>1.4489999999999998</c:v>
                </c:pt>
                <c:pt idx="81">
                  <c:v>1.4489999999999998</c:v>
                </c:pt>
                <c:pt idx="82">
                  <c:v>1.4489999999999998</c:v>
                </c:pt>
                <c:pt idx="83">
                  <c:v>1.4489999999999998</c:v>
                </c:pt>
                <c:pt idx="84">
                  <c:v>1.4489999999999998</c:v>
                </c:pt>
                <c:pt idx="85">
                  <c:v>1.4489999999999998</c:v>
                </c:pt>
                <c:pt idx="86">
                  <c:v>1.4489999999999998</c:v>
                </c:pt>
                <c:pt idx="87">
                  <c:v>1.4489999999999998</c:v>
                </c:pt>
                <c:pt idx="88">
                  <c:v>1.4489999999999998</c:v>
                </c:pt>
                <c:pt idx="89">
                  <c:v>1.4489999999999998</c:v>
                </c:pt>
                <c:pt idx="90">
                  <c:v>1.4489999999999998</c:v>
                </c:pt>
                <c:pt idx="91">
                  <c:v>1.4489999999999998</c:v>
                </c:pt>
                <c:pt idx="92">
                  <c:v>1.4489999999999998</c:v>
                </c:pt>
                <c:pt idx="93">
                  <c:v>1.4489999999999998</c:v>
                </c:pt>
                <c:pt idx="94">
                  <c:v>1.4489999999999998</c:v>
                </c:pt>
                <c:pt idx="95">
                  <c:v>1.4489999999999998</c:v>
                </c:pt>
                <c:pt idx="96">
                  <c:v>1.4489999999999998</c:v>
                </c:pt>
                <c:pt idx="97">
                  <c:v>1.4489999999999998</c:v>
                </c:pt>
                <c:pt idx="98">
                  <c:v>1.4489999999999998</c:v>
                </c:pt>
                <c:pt idx="99">
                  <c:v>1.4489999999999998</c:v>
                </c:pt>
                <c:pt idx="100">
                  <c:v>1.4489999999999998</c:v>
                </c:pt>
                <c:pt idx="101">
                  <c:v>1.4489999999999998</c:v>
                </c:pt>
                <c:pt idx="102">
                  <c:v>1.4489999999999998</c:v>
                </c:pt>
                <c:pt idx="103">
                  <c:v>1.4489999999999998</c:v>
                </c:pt>
                <c:pt idx="104">
                  <c:v>1.4489999999999998</c:v>
                </c:pt>
                <c:pt idx="105">
                  <c:v>1.4489999999999998</c:v>
                </c:pt>
                <c:pt idx="106">
                  <c:v>1.4489999999999998</c:v>
                </c:pt>
                <c:pt idx="107">
                  <c:v>1.4489999999999998</c:v>
                </c:pt>
                <c:pt idx="108">
                  <c:v>1.4489999999999998</c:v>
                </c:pt>
                <c:pt idx="109">
                  <c:v>1.4489999999999998</c:v>
                </c:pt>
                <c:pt idx="110">
                  <c:v>1.4489999999999998</c:v>
                </c:pt>
                <c:pt idx="111">
                  <c:v>1.4489999999999998</c:v>
                </c:pt>
                <c:pt idx="112">
                  <c:v>1.4489999999999998</c:v>
                </c:pt>
                <c:pt idx="113">
                  <c:v>1.4489999999999998</c:v>
                </c:pt>
                <c:pt idx="114">
                  <c:v>1.4489999999999998</c:v>
                </c:pt>
                <c:pt idx="115">
                  <c:v>1.4489999999999998</c:v>
                </c:pt>
                <c:pt idx="116">
                  <c:v>1.4489999999999998</c:v>
                </c:pt>
                <c:pt idx="117">
                  <c:v>1.4489999999999998</c:v>
                </c:pt>
                <c:pt idx="118">
                  <c:v>1.4489999999999998</c:v>
                </c:pt>
                <c:pt idx="119">
                  <c:v>1.4489999999999998</c:v>
                </c:pt>
                <c:pt idx="120">
                  <c:v>1.4489999999999998</c:v>
                </c:pt>
                <c:pt idx="121">
                  <c:v>1.4489999999999998</c:v>
                </c:pt>
                <c:pt idx="122">
                  <c:v>1.4489999999999998</c:v>
                </c:pt>
                <c:pt idx="123">
                  <c:v>1.4489999999999998</c:v>
                </c:pt>
                <c:pt idx="124">
                  <c:v>1.4489999999999998</c:v>
                </c:pt>
                <c:pt idx="125">
                  <c:v>1.4489999999999998</c:v>
                </c:pt>
                <c:pt idx="126">
                  <c:v>1.7409999999999999</c:v>
                </c:pt>
                <c:pt idx="127">
                  <c:v>1.7409999999999999</c:v>
                </c:pt>
                <c:pt idx="128">
                  <c:v>1.7409999999999999</c:v>
                </c:pt>
                <c:pt idx="129">
                  <c:v>1.7409999999999999</c:v>
                </c:pt>
                <c:pt idx="130">
                  <c:v>2.032</c:v>
                </c:pt>
                <c:pt idx="131">
                  <c:v>2.032</c:v>
                </c:pt>
                <c:pt idx="132">
                  <c:v>2.032</c:v>
                </c:pt>
                <c:pt idx="133">
                  <c:v>2.032</c:v>
                </c:pt>
                <c:pt idx="134">
                  <c:v>2.032</c:v>
                </c:pt>
                <c:pt idx="135">
                  <c:v>2.3239999999999998</c:v>
                </c:pt>
                <c:pt idx="136">
                  <c:v>2.3239999999999998</c:v>
                </c:pt>
                <c:pt idx="137">
                  <c:v>2.3239999999999998</c:v>
                </c:pt>
                <c:pt idx="138">
                  <c:v>2.3239999999999998</c:v>
                </c:pt>
                <c:pt idx="139">
                  <c:v>2.3239999999999998</c:v>
                </c:pt>
                <c:pt idx="140">
                  <c:v>2.3239999999999998</c:v>
                </c:pt>
                <c:pt idx="141">
                  <c:v>2.3239999999999998</c:v>
                </c:pt>
                <c:pt idx="142">
                  <c:v>2.3239999999999998</c:v>
                </c:pt>
                <c:pt idx="143">
                  <c:v>2.3239999999999998</c:v>
                </c:pt>
                <c:pt idx="144">
                  <c:v>2.3239999999999998</c:v>
                </c:pt>
                <c:pt idx="145">
                  <c:v>2.3239999999999998</c:v>
                </c:pt>
                <c:pt idx="146">
                  <c:v>2.3239999999999998</c:v>
                </c:pt>
                <c:pt idx="147">
                  <c:v>2.3239999999999998</c:v>
                </c:pt>
                <c:pt idx="148">
                  <c:v>2.3239999999999998</c:v>
                </c:pt>
                <c:pt idx="149">
                  <c:v>2.3239999999999998</c:v>
                </c:pt>
                <c:pt idx="150">
                  <c:v>2.3239999999999998</c:v>
                </c:pt>
                <c:pt idx="151">
                  <c:v>2.3239999999999998</c:v>
                </c:pt>
                <c:pt idx="152">
                  <c:v>2.3239999999999998</c:v>
                </c:pt>
                <c:pt idx="153">
                  <c:v>2.3239999999999998</c:v>
                </c:pt>
                <c:pt idx="154">
                  <c:v>2.3239999999999998</c:v>
                </c:pt>
                <c:pt idx="155">
                  <c:v>2.3239999999999998</c:v>
                </c:pt>
                <c:pt idx="156">
                  <c:v>2.3239999999999998</c:v>
                </c:pt>
                <c:pt idx="157">
                  <c:v>2.3239999999999998</c:v>
                </c:pt>
                <c:pt idx="158">
                  <c:v>2.3239999999999998</c:v>
                </c:pt>
                <c:pt idx="159">
                  <c:v>2.3239999999999998</c:v>
                </c:pt>
                <c:pt idx="160">
                  <c:v>2.3239999999999998</c:v>
                </c:pt>
                <c:pt idx="161">
                  <c:v>2.3239999999999998</c:v>
                </c:pt>
                <c:pt idx="162">
                  <c:v>2.3239999999999998</c:v>
                </c:pt>
                <c:pt idx="163">
                  <c:v>2.3239999999999998</c:v>
                </c:pt>
                <c:pt idx="164">
                  <c:v>2.3239999999999998</c:v>
                </c:pt>
                <c:pt idx="165">
                  <c:v>2.3239999999999998</c:v>
                </c:pt>
                <c:pt idx="166">
                  <c:v>2.3239999999999998</c:v>
                </c:pt>
                <c:pt idx="167">
                  <c:v>2.3239999999999998</c:v>
                </c:pt>
                <c:pt idx="168">
                  <c:v>2.3239999999999998</c:v>
                </c:pt>
                <c:pt idx="169">
                  <c:v>2.3239999999999998</c:v>
                </c:pt>
                <c:pt idx="170">
                  <c:v>2.3239999999999998</c:v>
                </c:pt>
                <c:pt idx="171">
                  <c:v>2.3239999999999998</c:v>
                </c:pt>
                <c:pt idx="172">
                  <c:v>2.3239999999999998</c:v>
                </c:pt>
                <c:pt idx="173">
                  <c:v>2.3239999999999998</c:v>
                </c:pt>
                <c:pt idx="174">
                  <c:v>2.3239999999999998</c:v>
                </c:pt>
                <c:pt idx="175">
                  <c:v>2.3239999999999998</c:v>
                </c:pt>
                <c:pt idx="176">
                  <c:v>2.3239999999999998</c:v>
                </c:pt>
                <c:pt idx="177">
                  <c:v>2.3239999999999998</c:v>
                </c:pt>
                <c:pt idx="178">
                  <c:v>2.3239999999999998</c:v>
                </c:pt>
                <c:pt idx="179">
                  <c:v>2.3239999999999998</c:v>
                </c:pt>
                <c:pt idx="180">
                  <c:v>2.3239999999999998</c:v>
                </c:pt>
                <c:pt idx="181">
                  <c:v>2.3239999999999998</c:v>
                </c:pt>
                <c:pt idx="182">
                  <c:v>2.3239999999999998</c:v>
                </c:pt>
                <c:pt idx="183">
                  <c:v>2.3239999999999998</c:v>
                </c:pt>
                <c:pt idx="184">
                  <c:v>2.3239999999999998</c:v>
                </c:pt>
                <c:pt idx="185">
                  <c:v>2.3239999999999998</c:v>
                </c:pt>
                <c:pt idx="186">
                  <c:v>2.3239999999999998</c:v>
                </c:pt>
                <c:pt idx="187">
                  <c:v>2.3239999999999998</c:v>
                </c:pt>
                <c:pt idx="188">
                  <c:v>2.3239999999999998</c:v>
                </c:pt>
                <c:pt idx="189">
                  <c:v>2.3239999999999998</c:v>
                </c:pt>
                <c:pt idx="190">
                  <c:v>2.3239999999999998</c:v>
                </c:pt>
                <c:pt idx="191">
                  <c:v>2.3239999999999998</c:v>
                </c:pt>
                <c:pt idx="192">
                  <c:v>2.3239999999999998</c:v>
                </c:pt>
                <c:pt idx="193">
                  <c:v>2.3239999999999998</c:v>
                </c:pt>
                <c:pt idx="194">
                  <c:v>2.3239999999999998</c:v>
                </c:pt>
                <c:pt idx="195">
                  <c:v>2.3239999999999998</c:v>
                </c:pt>
                <c:pt idx="196">
                  <c:v>2.3239999999999998</c:v>
                </c:pt>
                <c:pt idx="197">
                  <c:v>2.3239999999999998</c:v>
                </c:pt>
                <c:pt idx="198">
                  <c:v>2.3239999999999998</c:v>
                </c:pt>
                <c:pt idx="199">
                  <c:v>2.3239999999999998</c:v>
                </c:pt>
                <c:pt idx="200">
                  <c:v>2.3239999999999998</c:v>
                </c:pt>
                <c:pt idx="201">
                  <c:v>2.3239999999999998</c:v>
                </c:pt>
                <c:pt idx="202">
                  <c:v>2.3239999999999998</c:v>
                </c:pt>
                <c:pt idx="203">
                  <c:v>2.3239999999999998</c:v>
                </c:pt>
                <c:pt idx="204">
                  <c:v>2.3239999999999998</c:v>
                </c:pt>
                <c:pt idx="205">
                  <c:v>2.3239999999999998</c:v>
                </c:pt>
                <c:pt idx="206">
                  <c:v>2.3239999999999998</c:v>
                </c:pt>
                <c:pt idx="207">
                  <c:v>2.3239999999999998</c:v>
                </c:pt>
                <c:pt idx="208">
                  <c:v>2.3239999999999998</c:v>
                </c:pt>
                <c:pt idx="209">
                  <c:v>2.3239999999999998</c:v>
                </c:pt>
                <c:pt idx="210">
                  <c:v>2.3239999999999998</c:v>
                </c:pt>
                <c:pt idx="211">
                  <c:v>2.3239999999999998</c:v>
                </c:pt>
                <c:pt idx="212">
                  <c:v>2.3239999999999998</c:v>
                </c:pt>
                <c:pt idx="213">
                  <c:v>2.3239999999999998</c:v>
                </c:pt>
                <c:pt idx="214">
                  <c:v>2.3239999999999998</c:v>
                </c:pt>
                <c:pt idx="215">
                  <c:v>2.3239999999999998</c:v>
                </c:pt>
                <c:pt idx="216">
                  <c:v>2.3239999999999998</c:v>
                </c:pt>
                <c:pt idx="217">
                  <c:v>2.3239999999999998</c:v>
                </c:pt>
                <c:pt idx="218">
                  <c:v>2.3239999999999998</c:v>
                </c:pt>
                <c:pt idx="219">
                  <c:v>2.3239999999999998</c:v>
                </c:pt>
                <c:pt idx="220">
                  <c:v>2.3239999999999998</c:v>
                </c:pt>
                <c:pt idx="221">
                  <c:v>2.3239999999999998</c:v>
                </c:pt>
                <c:pt idx="222">
                  <c:v>2.3239999999999998</c:v>
                </c:pt>
                <c:pt idx="223">
                  <c:v>2.3239999999999998</c:v>
                </c:pt>
                <c:pt idx="224">
                  <c:v>2.3239999999999998</c:v>
                </c:pt>
                <c:pt idx="225">
                  <c:v>2.3239999999999998</c:v>
                </c:pt>
                <c:pt idx="226">
                  <c:v>2.3239999999999998</c:v>
                </c:pt>
                <c:pt idx="227">
                  <c:v>2.3239999999999998</c:v>
                </c:pt>
                <c:pt idx="228">
                  <c:v>2.3239999999999998</c:v>
                </c:pt>
                <c:pt idx="229">
                  <c:v>2.3239999999999998</c:v>
                </c:pt>
                <c:pt idx="230">
                  <c:v>2.3239999999999998</c:v>
                </c:pt>
                <c:pt idx="231">
                  <c:v>2.3239999999999998</c:v>
                </c:pt>
                <c:pt idx="232">
                  <c:v>2.3239999999999998</c:v>
                </c:pt>
                <c:pt idx="233">
                  <c:v>2.3239999999999998</c:v>
                </c:pt>
                <c:pt idx="234">
                  <c:v>2.3239999999999998</c:v>
                </c:pt>
                <c:pt idx="235">
                  <c:v>2.3239999999999998</c:v>
                </c:pt>
                <c:pt idx="236">
                  <c:v>2.3239999999999998</c:v>
                </c:pt>
                <c:pt idx="237">
                  <c:v>2.3239999999999998</c:v>
                </c:pt>
                <c:pt idx="238">
                  <c:v>2.3239999999999998</c:v>
                </c:pt>
                <c:pt idx="239">
                  <c:v>2.3239999999999998</c:v>
                </c:pt>
                <c:pt idx="240">
                  <c:v>2.3239999999999998</c:v>
                </c:pt>
                <c:pt idx="241">
                  <c:v>2.3239999999999998</c:v>
                </c:pt>
                <c:pt idx="242">
                  <c:v>2.3239999999999998</c:v>
                </c:pt>
                <c:pt idx="243">
                  <c:v>2.3239999999999998</c:v>
                </c:pt>
                <c:pt idx="244">
                  <c:v>2.3239999999999998</c:v>
                </c:pt>
                <c:pt idx="245">
                  <c:v>2.3239999999999998</c:v>
                </c:pt>
                <c:pt idx="246">
                  <c:v>2.3239999999999998</c:v>
                </c:pt>
                <c:pt idx="247">
                  <c:v>2.3239999999999998</c:v>
                </c:pt>
                <c:pt idx="248">
                  <c:v>2.3239999999999998</c:v>
                </c:pt>
                <c:pt idx="249">
                  <c:v>2.3239999999999998</c:v>
                </c:pt>
                <c:pt idx="250">
                  <c:v>2.3239999999999998</c:v>
                </c:pt>
                <c:pt idx="251">
                  <c:v>2.3239999999999998</c:v>
                </c:pt>
                <c:pt idx="252">
                  <c:v>2.3239999999999998</c:v>
                </c:pt>
                <c:pt idx="253">
                  <c:v>2.3239999999999998</c:v>
                </c:pt>
                <c:pt idx="254">
                  <c:v>2.3239999999999998</c:v>
                </c:pt>
                <c:pt idx="255">
                  <c:v>2.3239999999999998</c:v>
                </c:pt>
                <c:pt idx="256">
                  <c:v>2.3239999999999998</c:v>
                </c:pt>
                <c:pt idx="257">
                  <c:v>2.3239999999999998</c:v>
                </c:pt>
                <c:pt idx="258">
                  <c:v>2.3239999999999998</c:v>
                </c:pt>
                <c:pt idx="259">
                  <c:v>2.3239999999999998</c:v>
                </c:pt>
                <c:pt idx="260">
                  <c:v>2.3239999999999998</c:v>
                </c:pt>
                <c:pt idx="261">
                  <c:v>2.3239999999999998</c:v>
                </c:pt>
                <c:pt idx="262">
                  <c:v>2.3239999999999998</c:v>
                </c:pt>
                <c:pt idx="263">
                  <c:v>2.3239999999999998</c:v>
                </c:pt>
                <c:pt idx="264">
                  <c:v>2.3239999999999998</c:v>
                </c:pt>
                <c:pt idx="265">
                  <c:v>2.3239999999999998</c:v>
                </c:pt>
                <c:pt idx="266">
                  <c:v>2.3239999999999998</c:v>
                </c:pt>
                <c:pt idx="267">
                  <c:v>2.3239999999999998</c:v>
                </c:pt>
                <c:pt idx="268">
                  <c:v>2.3239999999999998</c:v>
                </c:pt>
                <c:pt idx="269">
                  <c:v>2.3239999999999998</c:v>
                </c:pt>
                <c:pt idx="270">
                  <c:v>2.3239999999999998</c:v>
                </c:pt>
                <c:pt idx="271">
                  <c:v>2.3239999999999998</c:v>
                </c:pt>
                <c:pt idx="272">
                  <c:v>2.3239999999999998</c:v>
                </c:pt>
                <c:pt idx="273">
                  <c:v>2.3239999999999998</c:v>
                </c:pt>
                <c:pt idx="274">
                  <c:v>2.3239999999999998</c:v>
                </c:pt>
                <c:pt idx="275">
                  <c:v>2.3239999999999998</c:v>
                </c:pt>
                <c:pt idx="276">
                  <c:v>2.3239999999999998</c:v>
                </c:pt>
                <c:pt idx="277">
                  <c:v>2.3239999999999998</c:v>
                </c:pt>
                <c:pt idx="278">
                  <c:v>2.3239999999999998</c:v>
                </c:pt>
                <c:pt idx="279">
                  <c:v>2.3239999999999998</c:v>
                </c:pt>
                <c:pt idx="280">
                  <c:v>2.3239999999999998</c:v>
                </c:pt>
                <c:pt idx="281">
                  <c:v>2.3239999999999998</c:v>
                </c:pt>
                <c:pt idx="282">
                  <c:v>2.3239999999999998</c:v>
                </c:pt>
                <c:pt idx="283">
                  <c:v>2.3239999999999998</c:v>
                </c:pt>
                <c:pt idx="284">
                  <c:v>2.3239999999999998</c:v>
                </c:pt>
                <c:pt idx="285">
                  <c:v>2.3239999999999998</c:v>
                </c:pt>
                <c:pt idx="286">
                  <c:v>2.3239999999999998</c:v>
                </c:pt>
                <c:pt idx="287">
                  <c:v>2.3239999999999998</c:v>
                </c:pt>
                <c:pt idx="288">
                  <c:v>2.3239999999999998</c:v>
                </c:pt>
                <c:pt idx="289">
                  <c:v>2.3239999999999998</c:v>
                </c:pt>
                <c:pt idx="290">
                  <c:v>2.3239999999999998</c:v>
                </c:pt>
                <c:pt idx="291">
                  <c:v>2.3239999999999998</c:v>
                </c:pt>
                <c:pt idx="292">
                  <c:v>2.3239999999999998</c:v>
                </c:pt>
                <c:pt idx="293">
                  <c:v>2.3239999999999998</c:v>
                </c:pt>
                <c:pt idx="294">
                  <c:v>2.3239999999999998</c:v>
                </c:pt>
                <c:pt idx="295">
                  <c:v>2.3239999999999998</c:v>
                </c:pt>
                <c:pt idx="296">
                  <c:v>2.3239999999999998</c:v>
                </c:pt>
                <c:pt idx="297">
                  <c:v>2.3239999999999998</c:v>
                </c:pt>
                <c:pt idx="298">
                  <c:v>2.3239999999999998</c:v>
                </c:pt>
                <c:pt idx="299">
                  <c:v>2.3239999999999998</c:v>
                </c:pt>
                <c:pt idx="300">
                  <c:v>2.3239999999999998</c:v>
                </c:pt>
                <c:pt idx="301">
                  <c:v>2.3239999999999998</c:v>
                </c:pt>
                <c:pt idx="302">
                  <c:v>2.3239999999999998</c:v>
                </c:pt>
                <c:pt idx="303">
                  <c:v>2.3239999999999998</c:v>
                </c:pt>
                <c:pt idx="304">
                  <c:v>2.3239999999999998</c:v>
                </c:pt>
                <c:pt idx="305">
                  <c:v>2.3239999999999998</c:v>
                </c:pt>
                <c:pt idx="306">
                  <c:v>2.3239999999999998</c:v>
                </c:pt>
                <c:pt idx="307">
                  <c:v>2.3239999999999998</c:v>
                </c:pt>
                <c:pt idx="308">
                  <c:v>2.3239999999999998</c:v>
                </c:pt>
                <c:pt idx="309">
                  <c:v>2.3239999999999998</c:v>
                </c:pt>
                <c:pt idx="310">
                  <c:v>2.3239999999999998</c:v>
                </c:pt>
                <c:pt idx="311">
                  <c:v>2.3239999999999998</c:v>
                </c:pt>
                <c:pt idx="312">
                  <c:v>2.3239999999999998</c:v>
                </c:pt>
                <c:pt idx="313">
                  <c:v>2.3239999999999998</c:v>
                </c:pt>
                <c:pt idx="314">
                  <c:v>2.3239999999999998</c:v>
                </c:pt>
                <c:pt idx="315">
                  <c:v>2.3239999999999998</c:v>
                </c:pt>
                <c:pt idx="316">
                  <c:v>2.3239999999999998</c:v>
                </c:pt>
                <c:pt idx="317">
                  <c:v>2.3239999999999998</c:v>
                </c:pt>
                <c:pt idx="318">
                  <c:v>2.3239999999999998</c:v>
                </c:pt>
                <c:pt idx="319">
                  <c:v>2.3239999999999998</c:v>
                </c:pt>
                <c:pt idx="320">
                  <c:v>2.3239999999999998</c:v>
                </c:pt>
                <c:pt idx="321">
                  <c:v>2.3239999999999998</c:v>
                </c:pt>
                <c:pt idx="322">
                  <c:v>2.3239999999999998</c:v>
                </c:pt>
                <c:pt idx="323">
                  <c:v>2.3239999999999998</c:v>
                </c:pt>
                <c:pt idx="324">
                  <c:v>2.3239999999999998</c:v>
                </c:pt>
                <c:pt idx="325">
                  <c:v>2.3239999999999998</c:v>
                </c:pt>
                <c:pt idx="326">
                  <c:v>2.3239999999999998</c:v>
                </c:pt>
                <c:pt idx="327">
                  <c:v>2.3239999999999998</c:v>
                </c:pt>
                <c:pt idx="328">
                  <c:v>2.3239999999999998</c:v>
                </c:pt>
                <c:pt idx="329">
                  <c:v>2.3239999999999998</c:v>
                </c:pt>
                <c:pt idx="330">
                  <c:v>2.3239999999999998</c:v>
                </c:pt>
                <c:pt idx="331">
                  <c:v>2.3239999999999998</c:v>
                </c:pt>
                <c:pt idx="332">
                  <c:v>2.3239999999999998</c:v>
                </c:pt>
                <c:pt idx="333">
                  <c:v>2.3239999999999998</c:v>
                </c:pt>
                <c:pt idx="334">
                  <c:v>2.3239999999999998</c:v>
                </c:pt>
                <c:pt idx="335">
                  <c:v>2.3239999999999998</c:v>
                </c:pt>
                <c:pt idx="336">
                  <c:v>2.3239999999999998</c:v>
                </c:pt>
                <c:pt idx="337">
                  <c:v>2.3239999999999998</c:v>
                </c:pt>
                <c:pt idx="338">
                  <c:v>2.3239999999999998</c:v>
                </c:pt>
                <c:pt idx="339">
                  <c:v>2.3239999999999998</c:v>
                </c:pt>
                <c:pt idx="340">
                  <c:v>2.3239999999999998</c:v>
                </c:pt>
                <c:pt idx="341">
                  <c:v>2.3239999999999998</c:v>
                </c:pt>
                <c:pt idx="342">
                  <c:v>2.3239999999999998</c:v>
                </c:pt>
                <c:pt idx="343">
                  <c:v>2.3239999999999998</c:v>
                </c:pt>
                <c:pt idx="344">
                  <c:v>2.3239999999999998</c:v>
                </c:pt>
                <c:pt idx="345">
                  <c:v>2.3239999999999998</c:v>
                </c:pt>
                <c:pt idx="346">
                  <c:v>2.3239999999999998</c:v>
                </c:pt>
                <c:pt idx="347">
                  <c:v>2.3239999999999998</c:v>
                </c:pt>
                <c:pt idx="348">
                  <c:v>2.3239999999999998</c:v>
                </c:pt>
                <c:pt idx="349">
                  <c:v>2.3239999999999998</c:v>
                </c:pt>
                <c:pt idx="350">
                  <c:v>2.3239999999999998</c:v>
                </c:pt>
                <c:pt idx="351">
                  <c:v>2.3239999999999998</c:v>
                </c:pt>
                <c:pt idx="352">
                  <c:v>2.3239999999999998</c:v>
                </c:pt>
                <c:pt idx="353">
                  <c:v>2.3239999999999998</c:v>
                </c:pt>
                <c:pt idx="354">
                  <c:v>2.3239999999999998</c:v>
                </c:pt>
                <c:pt idx="355">
                  <c:v>2.3239999999999998</c:v>
                </c:pt>
                <c:pt idx="356">
                  <c:v>2.3239999999999998</c:v>
                </c:pt>
                <c:pt idx="357">
                  <c:v>2.3239999999999998</c:v>
                </c:pt>
                <c:pt idx="358">
                  <c:v>2.3239999999999998</c:v>
                </c:pt>
                <c:pt idx="359">
                  <c:v>2.3239999999999998</c:v>
                </c:pt>
                <c:pt idx="360">
                  <c:v>2.3239999999999998</c:v>
                </c:pt>
                <c:pt idx="361">
                  <c:v>2.3239999999999998</c:v>
                </c:pt>
                <c:pt idx="362">
                  <c:v>2.3239999999999998</c:v>
                </c:pt>
                <c:pt idx="363">
                  <c:v>2.3239999999999998</c:v>
                </c:pt>
                <c:pt idx="364">
                  <c:v>2.3239999999999998</c:v>
                </c:pt>
                <c:pt idx="365">
                  <c:v>2.3239999999999998</c:v>
                </c:pt>
                <c:pt idx="366">
                  <c:v>2.3239999999999998</c:v>
                </c:pt>
                <c:pt idx="367">
                  <c:v>2.3239999999999998</c:v>
                </c:pt>
                <c:pt idx="368">
                  <c:v>2.5139999999999998</c:v>
                </c:pt>
                <c:pt idx="369">
                  <c:v>2.5139999999999998</c:v>
                </c:pt>
                <c:pt idx="370">
                  <c:v>2.5139999999999998</c:v>
                </c:pt>
                <c:pt idx="371">
                  <c:v>2.5139999999999998</c:v>
                </c:pt>
                <c:pt idx="372">
                  <c:v>2.8039999999999998</c:v>
                </c:pt>
                <c:pt idx="373">
                  <c:v>2.8039999999999998</c:v>
                </c:pt>
                <c:pt idx="374">
                  <c:v>2.8039999999999998</c:v>
                </c:pt>
                <c:pt idx="375">
                  <c:v>2.8039999999999998</c:v>
                </c:pt>
                <c:pt idx="376">
                  <c:v>2.8039999999999998</c:v>
                </c:pt>
                <c:pt idx="377">
                  <c:v>3.097</c:v>
                </c:pt>
                <c:pt idx="378">
                  <c:v>3.097</c:v>
                </c:pt>
                <c:pt idx="379">
                  <c:v>3.097</c:v>
                </c:pt>
                <c:pt idx="380">
                  <c:v>3.097</c:v>
                </c:pt>
                <c:pt idx="381">
                  <c:v>3.097</c:v>
                </c:pt>
                <c:pt idx="382">
                  <c:v>3.3879999999999999</c:v>
                </c:pt>
                <c:pt idx="383">
                  <c:v>3.3879999999999999</c:v>
                </c:pt>
                <c:pt idx="384">
                  <c:v>3.3879999999999999</c:v>
                </c:pt>
                <c:pt idx="385">
                  <c:v>3.3879999999999999</c:v>
                </c:pt>
                <c:pt idx="386">
                  <c:v>3.3879999999999999</c:v>
                </c:pt>
                <c:pt idx="387">
                  <c:v>3.3879999999999999</c:v>
                </c:pt>
                <c:pt idx="388">
                  <c:v>3.3879999999999999</c:v>
                </c:pt>
                <c:pt idx="389">
                  <c:v>3.3879999999999999</c:v>
                </c:pt>
                <c:pt idx="390">
                  <c:v>3.3879999999999999</c:v>
                </c:pt>
                <c:pt idx="391">
                  <c:v>3.3879999999999999</c:v>
                </c:pt>
                <c:pt idx="392">
                  <c:v>3.3879999999999999</c:v>
                </c:pt>
                <c:pt idx="393">
                  <c:v>3.3879999999999999</c:v>
                </c:pt>
                <c:pt idx="394">
                  <c:v>3.3879999999999999</c:v>
                </c:pt>
                <c:pt idx="395">
                  <c:v>3.3879999999999999</c:v>
                </c:pt>
                <c:pt idx="396">
                  <c:v>3.3879999999999999</c:v>
                </c:pt>
                <c:pt idx="397">
                  <c:v>3.3879999999999999</c:v>
                </c:pt>
                <c:pt idx="398">
                  <c:v>3.3879999999999999</c:v>
                </c:pt>
                <c:pt idx="399">
                  <c:v>3.3879999999999999</c:v>
                </c:pt>
                <c:pt idx="400">
                  <c:v>3.3879999999999999</c:v>
                </c:pt>
                <c:pt idx="401">
                  <c:v>3.3879999999999999</c:v>
                </c:pt>
                <c:pt idx="402">
                  <c:v>3.3879999999999999</c:v>
                </c:pt>
                <c:pt idx="403">
                  <c:v>3.3879999999999999</c:v>
                </c:pt>
                <c:pt idx="404">
                  <c:v>3.3879999999999999</c:v>
                </c:pt>
                <c:pt idx="405">
                  <c:v>3.3879999999999999</c:v>
                </c:pt>
                <c:pt idx="406">
                  <c:v>3.3879999999999999</c:v>
                </c:pt>
                <c:pt idx="407">
                  <c:v>3.3879999999999999</c:v>
                </c:pt>
                <c:pt idx="408">
                  <c:v>3.3879999999999999</c:v>
                </c:pt>
                <c:pt idx="409">
                  <c:v>3.3879999999999999</c:v>
                </c:pt>
                <c:pt idx="410">
                  <c:v>3.3879999999999999</c:v>
                </c:pt>
                <c:pt idx="411">
                  <c:v>3.3879999999999999</c:v>
                </c:pt>
                <c:pt idx="412">
                  <c:v>3.3879999999999999</c:v>
                </c:pt>
                <c:pt idx="413">
                  <c:v>3.3879999999999999</c:v>
                </c:pt>
                <c:pt idx="414">
                  <c:v>3.3879999999999999</c:v>
                </c:pt>
                <c:pt idx="415">
                  <c:v>3.3879999999999999</c:v>
                </c:pt>
                <c:pt idx="416">
                  <c:v>3.3879999999999999</c:v>
                </c:pt>
                <c:pt idx="417">
                  <c:v>3.3879999999999999</c:v>
                </c:pt>
                <c:pt idx="418">
                  <c:v>3.3879999999999999</c:v>
                </c:pt>
                <c:pt idx="419">
                  <c:v>3.3879999999999999</c:v>
                </c:pt>
                <c:pt idx="420">
                  <c:v>3.3879999999999999</c:v>
                </c:pt>
                <c:pt idx="421">
                  <c:v>3.3879999999999999</c:v>
                </c:pt>
                <c:pt idx="422">
                  <c:v>3.3879999999999999</c:v>
                </c:pt>
                <c:pt idx="423">
                  <c:v>3.3879999999999999</c:v>
                </c:pt>
                <c:pt idx="424">
                  <c:v>3.3879999999999999</c:v>
                </c:pt>
                <c:pt idx="425">
                  <c:v>3.3879999999999999</c:v>
                </c:pt>
                <c:pt idx="426">
                  <c:v>3.3879999999999999</c:v>
                </c:pt>
                <c:pt idx="427">
                  <c:v>3.3879999999999999</c:v>
                </c:pt>
                <c:pt idx="428">
                  <c:v>3.3879999999999999</c:v>
                </c:pt>
                <c:pt idx="429">
                  <c:v>3.3879999999999999</c:v>
                </c:pt>
                <c:pt idx="430">
                  <c:v>3.3879999999999999</c:v>
                </c:pt>
                <c:pt idx="431">
                  <c:v>3.3879999999999999</c:v>
                </c:pt>
                <c:pt idx="432">
                  <c:v>3.3879999999999999</c:v>
                </c:pt>
                <c:pt idx="433">
                  <c:v>3.3879999999999999</c:v>
                </c:pt>
                <c:pt idx="434">
                  <c:v>3.3879999999999999</c:v>
                </c:pt>
                <c:pt idx="435">
                  <c:v>3.3879999999999999</c:v>
                </c:pt>
                <c:pt idx="436">
                  <c:v>3.3879999999999999</c:v>
                </c:pt>
                <c:pt idx="437">
                  <c:v>3.3879999999999999</c:v>
                </c:pt>
                <c:pt idx="438">
                  <c:v>3.3879999999999999</c:v>
                </c:pt>
                <c:pt idx="439">
                  <c:v>3.3879999999999999</c:v>
                </c:pt>
                <c:pt idx="440">
                  <c:v>3.3879999999999999</c:v>
                </c:pt>
                <c:pt idx="441">
                  <c:v>3.3879999999999999</c:v>
                </c:pt>
                <c:pt idx="442">
                  <c:v>3.3879999999999999</c:v>
                </c:pt>
                <c:pt idx="443">
                  <c:v>3.3879999999999999</c:v>
                </c:pt>
                <c:pt idx="444">
                  <c:v>3.3879999999999999</c:v>
                </c:pt>
                <c:pt idx="445">
                  <c:v>3.3879999999999999</c:v>
                </c:pt>
                <c:pt idx="446">
                  <c:v>3.3879999999999999</c:v>
                </c:pt>
                <c:pt idx="447">
                  <c:v>3.3879999999999999</c:v>
                </c:pt>
                <c:pt idx="448">
                  <c:v>3.3879999999999999</c:v>
                </c:pt>
                <c:pt idx="449">
                  <c:v>3.3879999999999999</c:v>
                </c:pt>
                <c:pt idx="450">
                  <c:v>3.3879999999999999</c:v>
                </c:pt>
                <c:pt idx="451">
                  <c:v>3.3879999999999999</c:v>
                </c:pt>
                <c:pt idx="452">
                  <c:v>3.3879999999999999</c:v>
                </c:pt>
                <c:pt idx="453">
                  <c:v>3.3879999999999999</c:v>
                </c:pt>
                <c:pt idx="454">
                  <c:v>3.3879999999999999</c:v>
                </c:pt>
                <c:pt idx="455">
                  <c:v>3.3879999999999999</c:v>
                </c:pt>
                <c:pt idx="456">
                  <c:v>3.3879999999999999</c:v>
                </c:pt>
                <c:pt idx="457">
                  <c:v>3.3879999999999999</c:v>
                </c:pt>
                <c:pt idx="458">
                  <c:v>3.3879999999999999</c:v>
                </c:pt>
                <c:pt idx="459">
                  <c:v>3.3879999999999999</c:v>
                </c:pt>
                <c:pt idx="460">
                  <c:v>3.3879999999999999</c:v>
                </c:pt>
                <c:pt idx="461">
                  <c:v>3.3879999999999999</c:v>
                </c:pt>
                <c:pt idx="462">
                  <c:v>3.3879999999999999</c:v>
                </c:pt>
                <c:pt idx="463">
                  <c:v>3.3879999999999999</c:v>
                </c:pt>
                <c:pt idx="464">
                  <c:v>3.3879999999999999</c:v>
                </c:pt>
                <c:pt idx="465">
                  <c:v>3.3879999999999999</c:v>
                </c:pt>
                <c:pt idx="466">
                  <c:v>3.3879999999999999</c:v>
                </c:pt>
                <c:pt idx="467">
                  <c:v>3.3879999999999999</c:v>
                </c:pt>
                <c:pt idx="468">
                  <c:v>3.3879999999999999</c:v>
                </c:pt>
                <c:pt idx="469">
                  <c:v>3.3879999999999999</c:v>
                </c:pt>
                <c:pt idx="470">
                  <c:v>3.3879999999999999</c:v>
                </c:pt>
                <c:pt idx="471">
                  <c:v>3.3879999999999999</c:v>
                </c:pt>
                <c:pt idx="472">
                  <c:v>3.3879999999999999</c:v>
                </c:pt>
                <c:pt idx="473">
                  <c:v>3.3879999999999999</c:v>
                </c:pt>
                <c:pt idx="474">
                  <c:v>3.3879999999999999</c:v>
                </c:pt>
                <c:pt idx="475">
                  <c:v>3.3879999999999999</c:v>
                </c:pt>
                <c:pt idx="476">
                  <c:v>3.3879999999999999</c:v>
                </c:pt>
                <c:pt idx="477">
                  <c:v>3.3879999999999999</c:v>
                </c:pt>
                <c:pt idx="478">
                  <c:v>3.3879999999999999</c:v>
                </c:pt>
                <c:pt idx="479">
                  <c:v>3.3879999999999999</c:v>
                </c:pt>
                <c:pt idx="480">
                  <c:v>3.3879999999999999</c:v>
                </c:pt>
                <c:pt idx="481">
                  <c:v>3.3879999999999999</c:v>
                </c:pt>
                <c:pt idx="482">
                  <c:v>3.3879999999999999</c:v>
                </c:pt>
                <c:pt idx="483">
                  <c:v>3.3879999999999999</c:v>
                </c:pt>
                <c:pt idx="484">
                  <c:v>3.3879999999999999</c:v>
                </c:pt>
                <c:pt idx="485">
                  <c:v>3.3879999999999999</c:v>
                </c:pt>
                <c:pt idx="486">
                  <c:v>3.3879999999999999</c:v>
                </c:pt>
                <c:pt idx="487">
                  <c:v>3.3879999999999999</c:v>
                </c:pt>
                <c:pt idx="488">
                  <c:v>3.3879999999999999</c:v>
                </c:pt>
                <c:pt idx="489">
                  <c:v>3.6080000000000001</c:v>
                </c:pt>
                <c:pt idx="490">
                  <c:v>3.6080000000000001</c:v>
                </c:pt>
                <c:pt idx="491">
                  <c:v>3.6080000000000001</c:v>
                </c:pt>
                <c:pt idx="492">
                  <c:v>3.9079999999999999</c:v>
                </c:pt>
                <c:pt idx="493">
                  <c:v>3.9079999999999999</c:v>
                </c:pt>
                <c:pt idx="494">
                  <c:v>3.9079999999999999</c:v>
                </c:pt>
                <c:pt idx="495">
                  <c:v>4.2080000000000002</c:v>
                </c:pt>
                <c:pt idx="496">
                  <c:v>4.2080000000000002</c:v>
                </c:pt>
                <c:pt idx="497">
                  <c:v>4.2080000000000002</c:v>
                </c:pt>
                <c:pt idx="498">
                  <c:v>4.508</c:v>
                </c:pt>
                <c:pt idx="499">
                  <c:v>4.508</c:v>
                </c:pt>
                <c:pt idx="500">
                  <c:v>4.508</c:v>
                </c:pt>
                <c:pt idx="501">
                  <c:v>4.508</c:v>
                </c:pt>
                <c:pt idx="502">
                  <c:v>4.508</c:v>
                </c:pt>
                <c:pt idx="503">
                  <c:v>4.508</c:v>
                </c:pt>
                <c:pt idx="504">
                  <c:v>4.508</c:v>
                </c:pt>
                <c:pt idx="505">
                  <c:v>4.508</c:v>
                </c:pt>
                <c:pt idx="506">
                  <c:v>4.508</c:v>
                </c:pt>
                <c:pt idx="507">
                  <c:v>4.508</c:v>
                </c:pt>
                <c:pt idx="508">
                  <c:v>4.508</c:v>
                </c:pt>
                <c:pt idx="509">
                  <c:v>4.508</c:v>
                </c:pt>
                <c:pt idx="510">
                  <c:v>4.508</c:v>
                </c:pt>
                <c:pt idx="511">
                  <c:v>4.508</c:v>
                </c:pt>
                <c:pt idx="512">
                  <c:v>4.508</c:v>
                </c:pt>
                <c:pt idx="513">
                  <c:v>4.508</c:v>
                </c:pt>
                <c:pt idx="514">
                  <c:v>4.508</c:v>
                </c:pt>
                <c:pt idx="515">
                  <c:v>4.508</c:v>
                </c:pt>
                <c:pt idx="516">
                  <c:v>4.508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5F0-4DB6-B2FD-C4BD27DE1E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3312"/>
        <c:axId val="576373888"/>
      </c:scatterChart>
      <c:valAx>
        <c:axId val="576372032"/>
        <c:scaling>
          <c:orientation val="minMax"/>
          <c:max val="45757"/>
          <c:min val="45270"/>
        </c:scaling>
        <c:delete val="0"/>
        <c:axPos val="b"/>
        <c:numFmt formatCode="dd/mm/yyyy;@" sourceLinked="0"/>
        <c:majorTickMark val="out"/>
        <c:minorTickMark val="none"/>
        <c:tickLblPos val="low"/>
        <c:spPr>
          <a:ln w="127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736"/>
        <c:crossesAt val="-1600"/>
        <c:crossBetween val="midCat"/>
      </c:valAx>
      <c:valAx>
        <c:axId val="576372736"/>
        <c:scaling>
          <c:orientation val="minMax"/>
          <c:max val="1500"/>
          <c:min val="-1500"/>
        </c:scaling>
        <c:delete val="0"/>
        <c:axPos val="l"/>
        <c:majorGridlines>
          <c:spPr>
            <a:ln w="3175">
              <a:solidFill>
                <a:schemeClr val="tx1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3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Độ lún（mm）</a:t>
                </a:r>
              </a:p>
            </c:rich>
          </c:tx>
          <c:layout>
            <c:manualLayout>
              <c:xMode val="edge"/>
              <c:yMode val="edge"/>
              <c:x val="8.0475974115318382E-3"/>
              <c:y val="0.3442659274137318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032"/>
        <c:crosses val="autoZero"/>
        <c:crossBetween val="midCat"/>
        <c:majorUnit val="200"/>
      </c:valAx>
      <c:valAx>
        <c:axId val="576373312"/>
        <c:scaling>
          <c:orientation val="minMax"/>
        </c:scaling>
        <c:delete val="1"/>
        <c:axPos val="b"/>
        <c:numFmt formatCode="dd/mm/yyyy;@" sourceLinked="1"/>
        <c:majorTickMark val="out"/>
        <c:minorTickMark val="none"/>
        <c:tickLblPos val="nextTo"/>
        <c:crossAx val="576373888"/>
        <c:crossesAt val="0"/>
        <c:crossBetween val="midCat"/>
      </c:valAx>
      <c:valAx>
        <c:axId val="576373888"/>
        <c:scaling>
          <c:orientation val="minMax"/>
          <c:max val="5"/>
          <c:min val="-5"/>
        </c:scaling>
        <c:delete val="0"/>
        <c:axPos val="r"/>
        <c:title>
          <c:tx>
            <c:rich>
              <a:bodyPr/>
              <a:lstStyle/>
              <a:p>
                <a:pPr>
                  <a:defRPr sz="18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r>
                  <a:rPr lang="vi-VN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Chiều dày/cao độ đắp (m</a:t>
                </a:r>
                <a:r>
                  <a:rPr lang="vi-VN" sz="1000" b="0" i="0" u="none" strike="noStrike" baseline="0">
                    <a:solidFill>
                      <a:srgbClr val="000000"/>
                    </a:solidFill>
                    <a:ea typeface="宋体"/>
                  </a:rPr>
                  <a:t>）</a:t>
                </a:r>
              </a:p>
            </c:rich>
          </c:tx>
          <c:layout>
            <c:manualLayout>
              <c:xMode val="edge"/>
              <c:yMode val="edge"/>
              <c:x val="0.96166207126160286"/>
              <c:y val="0.24613445596528155"/>
            </c:manualLayout>
          </c:layout>
          <c:overlay val="0"/>
          <c:spPr>
            <a:noFill/>
            <a:ln w="25400">
              <a:noFill/>
            </a:ln>
          </c:spPr>
        </c:title>
        <c:numFmt formatCode="##.0#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3312"/>
        <c:crosses val="max"/>
        <c:crossBetween val="midCat"/>
        <c:majorUnit val="1"/>
        <c:minorUnit val="1"/>
      </c:valAx>
      <c:spPr>
        <a:ln w="6350" cmpd="sng">
          <a:solidFill>
            <a:srgbClr val="000000"/>
          </a:solidFill>
        </a:ln>
      </c:spPr>
    </c:plotArea>
    <c:legend>
      <c:legendPos val="r"/>
      <c:layout>
        <c:manualLayout>
          <c:xMode val="edge"/>
          <c:yMode val="edge"/>
          <c:x val="7.1719189163720568E-2"/>
          <c:y val="0.89070888506886436"/>
          <c:w val="0.83781184011382392"/>
          <c:h val="0.10335434939004758"/>
        </c:manualLayout>
      </c:layout>
      <c:overlay val="0"/>
      <c:spPr>
        <a:solidFill>
          <a:srgbClr val="FFFFFF"/>
        </a:solidFill>
        <a:ln w="6350" cap="flat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8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en-US"/>
    </a:p>
  </c:txPr>
  <c:printSettings>
    <c:headerFooter alignWithMargins="0"/>
    <c:pageMargins b="1" l="0.75000000000000044" r="0.75000000000000044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14387</xdr:colOff>
      <xdr:row>482</xdr:row>
      <xdr:rowOff>149750</xdr:rowOff>
    </xdr:from>
    <xdr:to>
      <xdr:col>31</xdr:col>
      <xdr:colOff>308981</xdr:colOff>
      <xdr:row>507</xdr:row>
      <xdr:rowOff>21122</xdr:rowOff>
    </xdr:to>
    <xdr:graphicFrame macro="">
      <xdr:nvGraphicFramePr>
        <xdr:cNvPr id="2" name="Chart 6">
          <a:extLst>
            <a:ext uri="{FF2B5EF4-FFF2-40B4-BE49-F238E27FC236}">
              <a16:creationId xmlns:a16="http://schemas.microsoft.com/office/drawing/2014/main" id="{D7487ED7-C215-41FC-B461-8304B0A4F5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.phu\c\@K-Phu\BAOGIA\Mien_Nam\2002\Utilized_Camau\CIVIL%20BOQs\6823%20PS%20170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huong\e\Cac%20cong%20trinh%20nam%202006\Huong%20Lam%20-%20Ban%20Giang\Thap%20KTDT%2039B\Cang%20sai%20gon\Thanh%20toan\QTCT%20Sua%20chua%20bai%20RTG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022-N2\Construction\WORKS\6787\civil\final\option\6787CWFASE2CASE2_0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B&#193;O%20C&#193;O%20H&#7852;U%20GIANG%20C&#192;%20MAU/B&#225;o%20c&#225;o%20Thi%20S&#417;n/B&#193;O%20C&#193;O%20THI%20S&#416;N-XL02%20T01/B&#225;o%20c&#225;o%20thi%20s&#417;n%20T4/L&#250;n%20T4/Quan%20Trac%20Lun/QTL-%20THI%20S&#416;N%20km95+020-95+76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Sheet2"/>
      <sheetName val="Quantity"/>
      <sheetName val="6823 PS 1700"/>
      <sheetName val="PU_ITALY "/>
      <sheetName val="Module1"/>
      <sheetName val="Module2"/>
      <sheetName val="KP_LIST"/>
      <sheetName val="XL4Poppy"/>
      <sheetName val="kecot"/>
      <sheetName val="Gioi thieu"/>
      <sheetName val="VL"/>
      <sheetName val="Du Toan"/>
      <sheetName val="V-M(Bdinh)"/>
      <sheetName val="6823_PS_1700"/>
      <sheetName val="PU_ITALY_"/>
      <sheetName val="6823_PS_17001"/>
      <sheetName val="PU_ITALY_1"/>
      <sheetName val="갑지"/>
      <sheetName val="6823_PS_17002"/>
      <sheetName val="PU_ITALY_2"/>
      <sheetName val="XD4Poppy"/>
      <sheetName val="LKVL-CK-HT-GD1"/>
      <sheetName val="TONGKE-HT"/>
      <sheetName val="he so"/>
      <sheetName val="chitimc"/>
      <sheetName val="dongia (2)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Du_lieu"/>
      <sheetName val="TH VL, NC, DDHT Thanhphuoc"/>
      <sheetName val="#REF"/>
      <sheetName val="DONGIA"/>
      <sheetName val="thao-go"/>
      <sheetName val="DON GIA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Chi tiết Goc -AB"/>
      <sheetName val="SILICATE"/>
      <sheetName val="TT35"/>
      <sheetName val="heso"/>
      <sheetName val="PT ksat"/>
      <sheetName val="LUONG KS"/>
      <sheetName val="May"/>
      <sheetName val="PTDG"/>
      <sheetName val="THDT"/>
      <sheetName val="VAT LIEU"/>
      <sheetName val="DTCT"/>
      <sheetName val="DATA"/>
      <sheetName val="luong"/>
      <sheetName val="MTO REV.2(ARMOR)"/>
      <sheetName val="ranh hong"/>
      <sheetName val="cot_xa"/>
      <sheetName val="NC"/>
      <sheetName val="Bia"/>
      <sheetName val="TTVanChuyen"/>
      <sheetName val="Equipment"/>
      <sheetName val="DT_THAU"/>
      <sheetName val="DGVL"/>
      <sheetName val="gVL"/>
      <sheetName val="??-BLDG"/>
      <sheetName val="Sheet3"/>
      <sheetName val="Electrical Breakdown"/>
      <sheetName val="KH tai chinh khoa san"/>
      <sheetName val="BG"/>
      <sheetName val="B-B"/>
      <sheetName val="Chenh lech vat tu"/>
      <sheetName val="Chiet tinh dz35"/>
      <sheetName val="A1.8 NhIII (1050k)"/>
      <sheetName val="Nhan cong nhom I"/>
      <sheetName val="Luong TT05"/>
      <sheetName val="10_VC đ. ngắn"/>
      <sheetName val="6823_PS_17003"/>
      <sheetName val="PU_ITALY_3"/>
      <sheetName val="he_so"/>
      <sheetName val="Du_Toan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Chi_tiết_Goc_-AB"/>
      <sheetName val="Gioi_thieu"/>
      <sheetName val="MTO_REV_2(ARMOR)"/>
      <sheetName val="NhanCong"/>
      <sheetName val="Ts"/>
      <sheetName val="Sheet1"/>
      <sheetName val="__-BLDG"/>
      <sheetName val="ND"/>
      <sheetName val="조명시설"/>
      <sheetName val="Cp&gt;10-Ln&lt;10"/>
      <sheetName val="Ln&lt;20"/>
      <sheetName val="EIRR&gt;1&lt;1"/>
      <sheetName val="EIRR&gt; 2"/>
      <sheetName val="EIRR&lt;2"/>
      <sheetName val="QD957"/>
      <sheetName val="Config"/>
      <sheetName val="CP Du phong"/>
      <sheetName val="THCP Lap dat"/>
      <sheetName val="THCP Tuyen"/>
      <sheetName val="THDT goi thau TB"/>
      <sheetName val="Tong hop kinh phi"/>
      <sheetName val="Tien do TV"/>
      <sheetName val="TH"/>
      <sheetName val="PNT-QUOT-#3"/>
      <sheetName val="COAT&amp;WRAP-QIOT-#3"/>
      <sheetName val="THKL"/>
      <sheetName val="00000000"/>
      <sheetName val="10000000"/>
      <sheetName val="68-69"/>
      <sheetName val="Chi tiet ranh"/>
      <sheetName val="Duong Ngang"/>
      <sheetName val="San gia co"/>
      <sheetName val="Bien Bao"/>
      <sheetName val="Coc tieu - Coc H"/>
      <sheetName val="CT -THVLNC"/>
      <sheetName val="Luong A3"/>
      <sheetName val="Luong TT01"/>
      <sheetName val="DG_TN TB LE (2)"/>
      <sheetName val="Chi ti?t Goc -AB"/>
      <sheetName val="Chi ti_t Goc -AB"/>
      <sheetName val="Chiet tinh"/>
      <sheetName val="san dao"/>
      <sheetName val="Ty le"/>
      <sheetName val="MAIN GATE HOUSE"/>
      <sheetName val="THCP xay dung"/>
      <sheetName val="Don gia XD"/>
      <sheetName val="Du toan XD"/>
      <sheetName val="NC+MTC"/>
      <sheetName val="GiaVT"/>
      <sheetName val="Bang cap"/>
      <sheetName val="NOTE"/>
      <sheetName val="TN"/>
      <sheetName val="Canopy,SS5"/>
      <sheetName val="Vat tu"/>
      <sheetName val="Canopy,SS5 (2)"/>
      <sheetName val="Rate"/>
      <sheetName val="RAB AR&amp;STR"/>
      <sheetName val="escon"/>
      <sheetName val="D&amp;W def."/>
      <sheetName val="실행"/>
      <sheetName val="D+W"/>
      <sheetName val="SEX"/>
      <sheetName val="MTP"/>
      <sheetName val="MTP1"/>
      <sheetName val="SL"/>
      <sheetName val="노임단가"/>
      <sheetName val="DG-TNHC-85"/>
      <sheetName val="STRUCTURE.Q'TY"/>
      <sheetName val="REMAIN Q'TY - SUB"/>
      <sheetName val="P"/>
      <sheetName val="T K"/>
      <sheetName val="Nhan cong"/>
      <sheetName val="Thiet bi"/>
      <sheetName val="DM.ChiPhi"/>
      <sheetName val="May TC"/>
      <sheetName val="Phan tich"/>
      <sheetName val="Bang KL"/>
      <sheetName val="TH Kinh phi"/>
      <sheetName val="125x125"/>
      <sheetName val="vlieu"/>
      <sheetName val="DGCT"/>
      <sheetName val="NC "/>
      <sheetName val="Giathanh1m3BT"/>
      <sheetName val="DSHD DH"/>
      <sheetName val="Control"/>
      <sheetName val="THVATTU"/>
      <sheetName val="So lieu"/>
      <sheetName val="LTT_ TT01_2015_BXD"/>
      <sheetName val="Đơn giá NC_TT01_2015"/>
      <sheetName val="Đơn giá ca máy theo TT06_2010"/>
      <sheetName val="ĐM6061_2008(XLĐZ)"/>
      <sheetName val="ĐM6060_2008(Lap dat TBA)"/>
      <sheetName val="Dongia7606_8001_4167"/>
      <sheetName val="ĐM228 _2015(suachua)"/>
      <sheetName val="ĐM39_2005(T.N đien ĐZ&amp;TBA)"/>
      <sheetName val="ĐM01_2000(thinghiem ĐZTTĐL)"/>
      <sheetName val="Đon gia thi nghiem ĐZ&amp;TBA"/>
      <sheetName val="Đon gia 228 sua chua"/>
      <sheetName val="các máy chưa có trong TT 06"/>
      <sheetName val="Cuoc van chuyen"/>
      <sheetName val="THEPMA"/>
      <sheetName val="GIA VT 03-2019"/>
      <sheetName val="C.BI DAO"/>
      <sheetName val="RFI-1"/>
      <sheetName val="Luong BN"/>
      <sheetName val="Luong TB"/>
      <sheetName val="Ca may TB"/>
      <sheetName val="Máy BN"/>
      <sheetName val="giavl"/>
      <sheetName val="KH-Q1,Q2,01"/>
      <sheetName val="macBT"/>
      <sheetName val="QD79"/>
      <sheetName val="Du lieu CKN"/>
      <sheetName val="PTDG "/>
      <sheetName val="AASHTO92"/>
      <sheetName val="Lương"/>
      <sheetName val="Ca máy"/>
      <sheetName val="TH khối lượng phải làm"/>
      <sheetName val="Tho lai may"/>
      <sheetName val="Don gia LD"/>
      <sheetName val="THDG"/>
      <sheetName val="A1.CN"/>
      <sheetName val="GiaVTu"/>
      <sheetName val="Tủ điện"/>
      <sheetName val="CT mong"/>
      <sheetName val="TH-20"/>
      <sheetName val="THop"/>
      <sheetName val="THop-20"/>
      <sheetName val="ĐHóa"/>
      <sheetName val="ĐHy"/>
      <sheetName val="ĐTư"/>
      <sheetName val="PBinh"/>
      <sheetName val="Phu Lg"/>
      <sheetName val="PYen"/>
      <sheetName val="SCong"/>
      <sheetName val="TP TNguyen"/>
      <sheetName val="TP Thái Nguyên"/>
      <sheetName val="Vnhai"/>
      <sheetName val="Đội 110"/>
      <sheetName val="TNHC"/>
      <sheetName val="CT Thang Mo"/>
      <sheetName val="CT  PL"/>
      <sheetName val="Input"/>
      <sheetName val="FitOutConfCentre"/>
      <sheetName val="B3A - TOWER A"/>
      <sheetName val="F4-F7"/>
      <sheetName val="Main"/>
      <sheetName val="tifico"/>
      <sheetName val="UNIT PRICE"/>
      <sheetName val="Ratios"/>
      <sheetName val="마감사양"/>
      <sheetName val="6MONTHS"/>
      <sheetName val="NVL"/>
      <sheetName val="Office Tower"/>
      <sheetName val="GIAVLIEU"/>
      <sheetName val="Master"/>
      <sheetName val="SUM-AIR-Submit"/>
      <sheetName val="Earthwork"/>
      <sheetName val="BK04"/>
      <sheetName val="Vat_tu"/>
      <sheetName val="Canopy,SS5_(2)"/>
      <sheetName val="RAB_AR&amp;STR"/>
      <sheetName val="THCP_Lap_dat"/>
      <sheetName val="THCP_xay_dung"/>
      <sheetName val="Giá Bê tông 2 bên"/>
      <sheetName val="Takeoff"/>
      <sheetName val="SAP"/>
      <sheetName val="DG duoi"/>
      <sheetName val="6PILE  (돌출)"/>
      <sheetName val="Analisa"/>
      <sheetName val="Gld"/>
      <sheetName val="Gxd"/>
      <sheetName val="TT"/>
      <sheetName val="주식"/>
      <sheetName val="LEGEND"/>
      <sheetName val="Đơn Giá "/>
      <sheetName val="1.R18 BF"/>
      <sheetName val="A"/>
      <sheetName val="G"/>
      <sheetName val="F-B"/>
      <sheetName val="H-J"/>
      <sheetName val="6.External works-R18"/>
      <sheetName val="PRI-LS"/>
      <sheetName val="NKC6"/>
      <sheetName val="Key"/>
      <sheetName val="KQKD-01"/>
      <sheetName val="KQKD-03"/>
      <sheetName val="Phan tich tong hop"/>
      <sheetName val="Sàn T1"/>
      <sheetName val="Lỗ thông gió"/>
      <sheetName val="CT DZ"/>
      <sheetName val="1_Data"/>
      <sheetName val="Tong hop cpc"/>
      <sheetName val="PT_ksat"/>
      <sheetName val="LUONG_KS"/>
      <sheetName val="BookJHFGJGXBGCCNCVCCVVCVCC2"/>
      <sheetName val="_REF"/>
      <sheetName val="dg-VTu"/>
      <sheetName val="MeKong - Penetration"/>
      <sheetName val="Dist. Perform - Ctns.sales in "/>
      <sheetName val="Dist. Perform - Value.sales in"/>
      <sheetName val="Dist. Perform - Value.sales Out"/>
      <sheetName val="Head Count"/>
      <sheetName val="Sales Result For Month"/>
      <sheetName val="DN"/>
      <sheetName val="VP"/>
      <sheetName val="KD"/>
      <sheetName val="DD"/>
      <sheetName val="CT"/>
      <sheetName val="PX"/>
      <sheetName val="GR"/>
      <sheetName val="DS CHU Phuc"/>
      <sheetName val="DS THI AT"/>
      <sheetName val="Bien Ban"/>
      <sheetName val="BC Ton Kho New"/>
      <sheetName val="BC Cua GSBH New"/>
      <sheetName val="PTTL"/>
      <sheetName val="Gia_GC_Satthep"/>
      <sheetName val="Ref"/>
      <sheetName val="ESTI."/>
      <sheetName val="DI-ESTI"/>
      <sheetName val="DS CHU Ph_x0001_"/>
      <sheetName val=""/>
      <sheetName val="材労機単価"/>
      <sheetName val="LME"/>
      <sheetName val="DTKLg"/>
      <sheetName val="PTVTu"/>
      <sheetName val="THKP-Full"/>
      <sheetName val="KLg"/>
      <sheetName val="khongin"/>
      <sheetName val="Dgia vat tu"/>
      <sheetName val="Don gia_III"/>
      <sheetName val="Chuso"/>
      <sheetName val="Bhyt t1"/>
      <sheetName val="MeKong_-_Penetration"/>
      <sheetName val="Dist__Perform_-_Ctns_sales_in_"/>
      <sheetName val="Dist__Perform_-_Value_sales_in"/>
      <sheetName val="Dist__Perform_-_Value_sales_Out"/>
      <sheetName val="Head_Count"/>
      <sheetName val="Sales_Result_For_Month"/>
      <sheetName val="DS_CHU_Phuc"/>
      <sheetName val="DS_THI_AT"/>
      <sheetName val="Bien_Ban"/>
      <sheetName val="DS CHU Ph_x0001_?"/>
      <sheetName val="vªÄ"/>
      <sheetName val="ZC³"/>
      <sheetName val="Øü"/>
      <sheetName val="PL_VÆQ"/>
      <sheetName val="PL_DUO_2Q"/>
      <sheetName val="Leave Statistic Report"/>
      <sheetName val="Database"/>
      <sheetName val="—˜‰vˆ•ªˆÄ"/>
      <sheetName val="ŒˆŽZC³"/>
      <sheetName val="ŽØ“ü"/>
      <sheetName val="PL_VŽ–‹ÆQŒˆ"/>
      <sheetName val="PL_DUO_2QŒˆ"/>
      <sheetName val="Leave_Statistic_Report"/>
      <sheetName val="bieu_solieu"/>
      <sheetName val="DS CHU Ph_x0001__"/>
      <sheetName val="Tke"/>
      <sheetName val="DS CHU Ph_x005f_x0001__x005f_x0000_"/>
      <sheetName val="DS CHU Ph_x005f_x0001_?"/>
      <sheetName val="DS CHU Ph_x005f_x0001_"/>
      <sheetName val="DS CHU Ph_x005f_x0001__"/>
      <sheetName val="Vat tu XD"/>
      <sheetName val="DS CHU Ph_x005f_x005f_x005f_x0001__x005f_x005f_x0"/>
      <sheetName val="DS CHU Ph_x005f_x005f_x005f_x0001__"/>
      <sheetName val="DS CHU Ph_x005f_x005f_x005f_x0001_"/>
      <sheetName val="Cash2"/>
      <sheetName val="Z"/>
      <sheetName val="Bang chiet tinh TBA"/>
      <sheetName val="Div26 - Elect"/>
      <sheetName val="Hệ số"/>
      <sheetName val="Động cơ"/>
      <sheetName val="BQ"/>
      <sheetName val="Currency Rate"/>
      <sheetName val="EXTERNAL"/>
      <sheetName val="proj"/>
      <sheetName val="BTT (CAT COC)"/>
      <sheetName val="KESSAN"/>
      <sheetName val="Cash Flow"/>
      <sheetName val="Yield"/>
      <sheetName val="Sheet4"/>
      <sheetName val="실행철강하도"/>
      <sheetName val="DM"/>
      <sheetName val="Vat_tu1"/>
      <sheetName val="Canopy,SS5_(2)1"/>
      <sheetName val="RAB_AR&amp;STR1"/>
      <sheetName val="THCP_Lap_dat1"/>
      <sheetName val="THCP_xay_dung1"/>
      <sheetName val="D&amp;W_def_"/>
      <sheetName val="STRUCTURE_Q'TY"/>
      <sheetName val="REMAIN_Q'TY_-_SUB"/>
      <sheetName val="KH_tai_chinh_khoa_san"/>
      <sheetName val="Nhan_cong"/>
      <sheetName val="Thiet_bi"/>
      <sheetName val="DM_ChiPhi"/>
      <sheetName val="May_TC"/>
      <sheetName val="Phan_tich"/>
      <sheetName val="Bang_KL"/>
      <sheetName val="TH_Kinh_phi"/>
      <sheetName val="T_K"/>
      <sheetName val="B3A_-_TOWER_A"/>
      <sheetName val="MAIN_GATE_HOUSE"/>
      <sheetName val="6PILE__(돌출)"/>
      <sheetName val="Giá_Bê_tông_2_bên"/>
      <sheetName val="Phan_tich_tong_hop"/>
      <sheetName val="Chiet_tinh_dz35"/>
      <sheetName val="Office_Tower"/>
      <sheetName val="DG_duoi"/>
      <sheetName val="Chenh_lech_vat_tu"/>
      <sheetName val="UNIT_PRICE"/>
      <sheetName val="見積書"/>
      <sheetName val="ThongTinBanDau"/>
      <sheetName val="Gia. vat tu"/>
      <sheetName val="Tra_bang"/>
      <sheetName val="BID"/>
      <sheetName val="TOSHIBA-Structure"/>
      <sheetName val="Tong hop"/>
      <sheetName val="Gia"/>
      <sheetName val="Tennancy"/>
      <sheetName val="TinhGiaNC"/>
      <sheetName val="VCBo"/>
      <sheetName val="DMCP"/>
      <sheetName val="TH Vat tu"/>
      <sheetName val="BocXep"/>
      <sheetName val="TinhGiaMTC"/>
      <sheetName val="TH MTC"/>
      <sheetName val="TH N.Cong"/>
      <sheetName val="VCThuy"/>
      <sheetName val="SITE-E"/>
      <sheetName val="유림골조"/>
      <sheetName val="총괄"/>
      <sheetName val="갑,을"/>
      <sheetName val="표지"/>
      <sheetName val="개요"/>
      <sheetName val="사통"/>
      <sheetName val="단가검토"/>
      <sheetName val="설치중량 "/>
      <sheetName val="철거중량"/>
      <sheetName val="수문일위 "/>
      <sheetName val="자재단가"/>
      <sheetName val="Summary"/>
      <sheetName val="DG3285"/>
      <sheetName val="PTVT (MAU)"/>
      <sheetName val="FAB별"/>
      <sheetName val="4-Lane bridge"/>
      <sheetName val="Tongke"/>
      <sheetName val="아파트 "/>
      <sheetName val="원가계산서"/>
      <sheetName val="취합분(터널)"/>
      <sheetName val="취합분(도로)"/>
      <sheetName val="k치단가"/>
      <sheetName val="일위집계"/>
      <sheetName val="노무집계(할증제외)"/>
      <sheetName val="노무집계(할증15%)"/>
      <sheetName val="노무집계(할증40%)"/>
      <sheetName val="노무단가(할증제외)"/>
      <sheetName val="노무단가(할증15%)"/>
      <sheetName val="노무단가(할증40%)"/>
      <sheetName val="일위대가"/>
      <sheetName val="일위산출(1)"/>
      <sheetName val="일위산출(2)"/>
      <sheetName val="일위산출(3)"/>
      <sheetName val="침하계"/>
      <sheetName val="공통부대비"/>
      <sheetName val="집계표"/>
      <sheetName val="토공"/>
      <sheetName val="Eng"/>
      <sheetName val="M 67"/>
      <sheetName val="264"/>
      <sheetName val="Column"/>
      <sheetName val="Schedule S-Curve Revision#3"/>
      <sheetName val="HD-XUAT"/>
      <sheetName val="내역"/>
      <sheetName val="KET CAU CT5"/>
      <sheetName val="ERECIN"/>
      <sheetName val="기안"/>
      <sheetName val="Doors(C)"/>
      <sheetName val="Notes"/>
      <sheetName val="사리부설"/>
      <sheetName val="참조"/>
      <sheetName val="단가"/>
      <sheetName val="도로구조공사비"/>
      <sheetName val="도로토공공사비"/>
      <sheetName val="여수토공사비"/>
      <sheetName val="설치중량_"/>
      <sheetName val="수문일위_"/>
      <sheetName val="PTVT_(MAU)"/>
      <sheetName val="BTT_(CAT_COC)"/>
      <sheetName val="아파트_"/>
      <sheetName val="4-Lane_bridge"/>
      <sheetName val="unitmass"/>
      <sheetName val="BXLDL"/>
      <sheetName val="Tien_do_TV"/>
      <sheetName val="CP_Du_phong"/>
      <sheetName val="Tong_hop_kinh_phi"/>
      <sheetName val="THDT_goi_thau_TB"/>
      <sheetName val="TLg CN&amp;Laixe"/>
      <sheetName val="TLg CN&amp;Laixe (2)"/>
      <sheetName val="TLg Laitau"/>
      <sheetName val="TLg Laitau (2)"/>
      <sheetName val="TH1"/>
      <sheetName val="데이타"/>
      <sheetName val="식재인부"/>
      <sheetName val="Don gia (khong in)"/>
      <sheetName val="入力作成表"/>
      <sheetName val="149-2"/>
      <sheetName val="khung ten TD"/>
      <sheetName val="List"/>
      <sheetName val="Elec LG"/>
      <sheetName val="1.Quotation(見積決裁書） "/>
      <sheetName val="2.Operation(実施計画書）"/>
      <sheetName val="3.Summary of Cost "/>
      <sheetName val="4.Ｓｐｅｃｉａｌ Material"/>
      <sheetName val="6.Ｃｏｍｍｏｎ Material"/>
      <sheetName val="M&amp;E"/>
      <sheetName val="9.Indirect_budget"/>
      <sheetName val="TOP "/>
      <sheetName val="Detail E"/>
      <sheetName val="XXXX"/>
      <sheetName val="1.Requisition(E)"/>
      <sheetName val="Chiettinh dz0,4"/>
      <sheetName val="THEP TAM"/>
      <sheetName val="THEP HÌNH"/>
      <sheetName val="THEP HINH"/>
      <sheetName val="XA GO"/>
      <sheetName val="BANG TRA"/>
      <sheetName val="Đơn_Giá_"/>
      <sheetName val="1_R18_BF"/>
      <sheetName val="6_External_works-R18"/>
      <sheetName val="Div26_-_Elect"/>
      <sheetName val="Tho_lai_may"/>
      <sheetName val="Don_gia_LD"/>
      <sheetName val="Du_toan_XD"/>
      <sheetName val="Don_gia_XD"/>
      <sheetName val="Cash_Flow"/>
      <sheetName val="Gia__vat_tu"/>
      <sheetName val="Sàn_T1"/>
      <sheetName val="Lỗ_thông_gió"/>
      <sheetName val="GVT"/>
      <sheetName val="Bill 2.1_BOQ ĐIỆN"/>
      <sheetName val="BOQ_CAU CAN"/>
      <sheetName val="DGPS"/>
      <sheetName val="CPC"/>
      <sheetName val="Tính toàn đào đất"/>
      <sheetName val="Khối lượng cốt thép"/>
      <sheetName val="Chi tiết chi phí chung"/>
      <sheetName val="CP. SD Điện"/>
      <sheetName val="BM"/>
      <sheetName val="TOEC"/>
      <sheetName val="目次"/>
      <sheetName val="電気設備表"/>
      <sheetName val="kinh."/>
      <sheetName val="Profile"/>
      <sheetName val="03 Detailed"/>
      <sheetName val="01 Bid Price summary"/>
      <sheetName val="Breadown"/>
      <sheetName val="Scorp of work (2)"/>
      <sheetName val="TH2"/>
      <sheetName val="SUM (2)"/>
      <sheetName val="CPC (2)"/>
      <sheetName val="A1.ELC ok "/>
      <sheetName val=" A2.ELV ok"/>
      <sheetName val="A3.VAC ok "/>
      <sheetName val="A4.PLB ok"/>
      <sheetName val="A5.FPS ok"/>
      <sheetName val=" B1.ELC  ok"/>
      <sheetName val="B2.ELV ok"/>
      <sheetName val="B3.VAC ok"/>
      <sheetName val="B4.PLB "/>
      <sheetName val="B5.FPS ok"/>
      <sheetName val="C. SOFTWARE"/>
      <sheetName val="D. OTHER"/>
      <sheetName val="A1. ELC PANEL"/>
      <sheetName val="Haophi"/>
      <sheetName val="TTDA"/>
      <sheetName val="General"/>
      <sheetName val="Material"/>
      <sheetName val="Sum material"/>
      <sheetName val="Detail"/>
      <sheetName val="INFO"/>
      <sheetName val="list VL"/>
      <sheetName val="Trình mẫu VL"/>
      <sheetName val="Nhap VL"/>
      <sheetName val="LIST VLĐV"/>
      <sheetName val="BB.VLDV"/>
      <sheetName val="BB.VLDV (multi)"/>
      <sheetName val="nghiệm thu hoàn thành"/>
      <sheetName val="Báo cáo hiện trường"/>
      <sheetName val="Kế hoạch nghiệm thu"/>
      <sheetName val="Quy trình"/>
      <sheetName val="List vữa"/>
      <sheetName val="Report"/>
      <sheetName val="List NT"/>
      <sheetName val="BBNT"/>
      <sheetName val="BBNT thô"/>
      <sheetName val="GAEYO"/>
      <sheetName val="PCCC"/>
      <sheetName val="NVN Hotel"/>
      <sheetName val="수정시산표"/>
      <sheetName val="Ceiling Height- Schedule"/>
      <sheetName val="04-BETONG"/>
      <sheetName val="COC-LAP DAT"/>
      <sheetName val="05-COPPHA"/>
      <sheetName val="02-Lap dat"/>
      <sheetName val="Ngân sách"/>
      <sheetName val="09-Hoan thien nen"/>
      <sheetName val="names"/>
      <sheetName val="LaborPY"/>
      <sheetName val="LaborKH"/>
      <sheetName val="Equip "/>
      <sheetName val="DLdauvao"/>
      <sheetName val="CaMay"/>
      <sheetName val="MTC"/>
      <sheetName val="금융"/>
      <sheetName val="Phân tích"/>
      <sheetName val="차액보증"/>
      <sheetName val="경비2내역"/>
      <sheetName val="CANDOI"/>
      <sheetName val="Nhap VT oto"/>
      <sheetName val="0. Bìa"/>
      <sheetName val="1. THONG TIN TT"/>
      <sheetName val="DNTT"/>
      <sheetName val="Tiên Lượng"/>
      <sheetName val="THGT TT PL01&amp;02"/>
      <sheetName val="1. THGT-TT"/>
      <sheetName val="1.1 THGT MEP"/>
      <sheetName val="1.2 THGT PCCC"/>
      <sheetName val="1.3 THGT PL"/>
      <sheetName val="2. BBNT KLHT"/>
      <sheetName val="4.2 THKL PL02"/>
      <sheetName val="5.2 DGCT PL02"/>
      <sheetName val="3. DGCT MEP + PCCC "/>
      <sheetName val="3.1 DGCT PL"/>
      <sheetName val="DBỐC ACMV"/>
      <sheetName val="DB CABLE"/>
      <sheetName val="DB ONG CC &amp; CS"/>
      <sheetName val="DB CABLE FA + SP"/>
      <sheetName val="DB ONG SP ELC"/>
      <sheetName val="DB CTN"/>
      <sheetName val="ma-pt"/>
      <sheetName val="BAG-2"/>
      <sheetName val="6823_PS_17004"/>
      <sheetName val="PU_ITALY_4"/>
      <sheetName val="Vat_tu2"/>
      <sheetName val="Canopy,SS5_(2)2"/>
      <sheetName val="RAB_AR&amp;STR2"/>
      <sheetName val="THCP_Lap_dat2"/>
      <sheetName val="THCP_xay_dung2"/>
      <sheetName val="D&amp;W_def_1"/>
      <sheetName val="Gioi_thieu1"/>
      <sheetName val="Du_Toan1"/>
      <sheetName val="he_so1"/>
      <sheetName val="Chiet_tinh_dz351"/>
      <sheetName val="KH_tai_chinh_khoa_san1"/>
      <sheetName val="Nhan_cong1"/>
      <sheetName val="Thiet_bi1"/>
      <sheetName val="DM_ChiPhi1"/>
      <sheetName val="May_TC1"/>
      <sheetName val="Phan_tich1"/>
      <sheetName val="Bang_KL1"/>
      <sheetName val="TH_Kinh_phi1"/>
      <sheetName val="STRUCTURE_Q'TY1"/>
      <sheetName val="REMAIN_Q'TY_-_SUB1"/>
      <sheetName val="T_K1"/>
      <sheetName val="B3A_-_TOWER_A1"/>
      <sheetName val="MAIN_GATE_HOUSE1"/>
      <sheetName val="Giá_Bê_tông_2_bên1"/>
      <sheetName val="Chenh_lech_vat_tu1"/>
      <sheetName val="dongia_(2)1"/>
      <sheetName val="THPDMoi_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Chi_tiết_Goc_-AB1"/>
      <sheetName val="DG_duoi1"/>
      <sheetName val="6PILE__(돌출)1"/>
      <sheetName val="Office_Tower1"/>
      <sheetName val="UNIT_PRICE1"/>
      <sheetName val="Tien_do_TV1"/>
      <sheetName val="CP_Du_phong1"/>
      <sheetName val="Tong_hop_kinh_phi1"/>
      <sheetName val="THDT_goi_thau_TB1"/>
      <sheetName val="Đơn_Giá_1"/>
      <sheetName val="1_R18_BF1"/>
      <sheetName val="6_External_works-R181"/>
      <sheetName val="Phan_tich_tong_hop1"/>
      <sheetName val="Sàn_T11"/>
      <sheetName val="Lỗ_thông_gió1"/>
      <sheetName val="MTO_REV_2(ARMOR)1"/>
      <sheetName val="BTT_(CAT_COC)1"/>
      <sheetName val="Electrical_Breakdown"/>
      <sheetName val="Cash_Flow1"/>
      <sheetName val="TH_Vat_tu"/>
      <sheetName val="TH_MTC"/>
      <sheetName val="TH_N_Cong"/>
      <sheetName val="Don_gia_(khong_in)"/>
      <sheetName val="Div26_-_Elect1"/>
      <sheetName val="Tho_lai_may1"/>
      <sheetName val="Don_gia_LD1"/>
      <sheetName val="Du_toan_XD1"/>
      <sheetName val="Don_gia_XD1"/>
      <sheetName val="Gia__vat_tu1"/>
      <sheetName val="TLg_CN&amp;Laixe"/>
      <sheetName val="TLg_CN&amp;Laixe_(2)"/>
      <sheetName val="TLg_Laitau"/>
      <sheetName val="TLg_Laitau_(2)"/>
      <sheetName val="Tong_hop"/>
      <sheetName val="설치중량_1"/>
      <sheetName val="수문일위_1"/>
      <sheetName val="PTVT_(MAU)1"/>
      <sheetName val="4-Lane_bridge1"/>
      <sheetName val="아파트_1"/>
      <sheetName val="M_67"/>
      <sheetName val="Schedule_S-Curve_Revision#3"/>
      <sheetName val="KET_CAU_CT5"/>
      <sheetName val="Chi_ti?t_Goc_-AB"/>
      <sheetName val="khung_ten_TD"/>
      <sheetName val="Chiettinh_dz0,4"/>
      <sheetName val="Pasir Panjang 100J"/>
      <sheetName val="MB-D2"/>
      <sheetName val="MB-D3"/>
      <sheetName val="MB-D8"/>
      <sheetName val="MB-D9"/>
      <sheetName val="MB-D4"/>
      <sheetName val="MB-D12"/>
      <sheetName val="MB-D7"/>
      <sheetName val="MB-D6"/>
      <sheetName val="TSCK"/>
      <sheetName val="DMCV"/>
      <sheetName val="TỔNG HỢP KHỐI LƯỢNG"/>
      <sheetName val="NƯƠC CẤP TRỤC + TAY NHÁNH"/>
      <sheetName val="CTEMCOST"/>
      <sheetName val="SORT"/>
      <sheetName val="BANRA"/>
      <sheetName val="KL san lap"/>
      <sheetName val="Temp&amp;Site"/>
      <sheetName val="Budget Code"/>
      <sheetName val="Code"/>
      <sheetName val="係数"/>
      <sheetName val="BẢNG ÁP GIÁ (in)"/>
      <sheetName val="NT (KL) IN"/>
      <sheetName val="DOM D2"/>
      <sheetName val="nhà ăn"/>
      <sheetName val="Công nhật"/>
      <sheetName val="btkt cột"/>
      <sheetName val="THÉP"/>
      <sheetName val="E"/>
      <sheetName val="Breadown-Nop"/>
      <sheetName val="MHMay-13"/>
      <sheetName val="装置"/>
      <sheetName val="hrs &amp; prg"/>
      <sheetName val="TH thiet bi"/>
      <sheetName val="TH may TC"/>
      <sheetName val="Bang phan tich"/>
      <sheetName val="DM Chi phi"/>
      <sheetName val="VAT_LIEU"/>
      <sheetName val="ranh_hong"/>
      <sheetName val="Elec_LG"/>
      <sheetName val="THEP_TAM"/>
      <sheetName val="THEP_HÌNH"/>
      <sheetName val="THEP_HINH"/>
      <sheetName val="XA_GO"/>
      <sheetName val="BANG_TRA"/>
      <sheetName val="Phân_tích"/>
      <sheetName val="Bill_2_1_BOQ_ĐIỆN"/>
      <sheetName val="Chi_ti_t_Goc_-AB"/>
      <sheetName val="BOQ_CAU_CAN"/>
      <sheetName val="Tính_toàn_đào_đất"/>
      <sheetName val="Khối_lượng_cốt_thép"/>
      <sheetName val="Chi_tiết_chi_phí_chung"/>
      <sheetName val="CP__SD_Điện"/>
      <sheetName val="NVN_Hotel"/>
      <sheetName val="Ceiling_Height-_Schedule"/>
      <sheetName val="COC-LAP_DAT"/>
      <sheetName val="02-Lap_dat"/>
      <sheetName val="Ngân_sách"/>
      <sheetName val="09-Hoan_thien_nen"/>
      <sheetName val="list_VL"/>
      <sheetName val="Trình_mẫu_VL"/>
      <sheetName val="Nhap_VL"/>
      <sheetName val="LIST_VLĐV"/>
      <sheetName val="BB_VLDV"/>
      <sheetName val="BB_VLDV_(multi)"/>
      <sheetName val="nghiệm_thu_hoàn_thành"/>
      <sheetName val="Báo_cáo_hiện_trường"/>
      <sheetName val="Kế_hoạch_nghiệm_thu"/>
      <sheetName val="Quy_trình"/>
      <sheetName val="List_vữa"/>
      <sheetName val="List_NT"/>
      <sheetName val="BBNT_thô"/>
      <sheetName val="luong "/>
      <sheetName val="Bill rekap"/>
      <sheetName val="VTLD"/>
      <sheetName val="Cost Report Sum"/>
      <sheetName val="QLDA"/>
      <sheetName val="CFA (ME)"/>
      <sheetName val="GOC-KO IN"/>
      <sheetName val="CTDZTA(5)"/>
      <sheetName val="THONG SO"/>
      <sheetName val="Đơn giá chi tiết TN 39"/>
      <sheetName val="KLHT"/>
      <sheetName val="Thong tin"/>
      <sheetName val="Danh muc NT cong viec"/>
      <sheetName val="Danh muc NT Giai doan"/>
      <sheetName val="Danh muc NT Vat lieu"/>
      <sheetName val="ND Nhat ky"/>
      <sheetName val="NT cong viec"/>
      <sheetName val="Solieutinh"/>
      <sheetName val="Sheet1 (2)"/>
      <sheetName val="0"/>
      <sheetName val="Dầm 1"/>
      <sheetName val="Cọc nhồi"/>
      <sheetName val="Moäul'1"/>
      <sheetName val="1. BCC T03.2018"/>
      <sheetName val="2.  BCC T04.2018"/>
      <sheetName val="Assumptions"/>
      <sheetName val="XD nhanh 3"/>
      <sheetName val="5.2.1 Đo bóc KL OLK-10"/>
      <sheetName val="4.2.1 Đo bóc KL OLK-06"/>
      <sheetName val="4.1.1 CHI TIET OLK-06"/>
      <sheetName val="負荷集計（断熱不燃）"/>
      <sheetName val="Total"/>
      <sheetName val="TK SX"/>
      <sheetName val="Quotation"/>
      <sheetName val="TINH GIA - SAN XUAT Vertico"/>
      <sheetName val="6823_PS_17005"/>
      <sheetName val="PU_ITALY_5"/>
      <sheetName val="Vat_tu3"/>
      <sheetName val="Canopy,SS5_(2)3"/>
      <sheetName val="RAB_AR&amp;STR3"/>
      <sheetName val="THCP_Lap_dat3"/>
      <sheetName val="THCP_xay_dung3"/>
      <sheetName val="D&amp;W_def_2"/>
      <sheetName val="Gioi_thieu2"/>
      <sheetName val="Du_Toan2"/>
      <sheetName val="he_so2"/>
      <sheetName val="Chiet_tinh_dz352"/>
      <sheetName val="KH_tai_chinh_khoa_san2"/>
      <sheetName val="Nhan_cong2"/>
      <sheetName val="Thiet_bi2"/>
      <sheetName val="DM_ChiPhi2"/>
      <sheetName val="May_TC2"/>
      <sheetName val="Phan_tich2"/>
      <sheetName val="Bang_KL2"/>
      <sheetName val="TH_Kinh_phi2"/>
      <sheetName val="STRUCTURE_Q'TY2"/>
      <sheetName val="REMAIN_Q'TY_-_SUB2"/>
      <sheetName val="T_K2"/>
      <sheetName val="B3A_-_TOWER_A2"/>
      <sheetName val="MAIN_GATE_HOUSE2"/>
      <sheetName val="Giá_Bê_tông_2_bên2"/>
      <sheetName val="Chenh_lech_vat_tu2"/>
      <sheetName val="dongia_(2)2"/>
      <sheetName val="THPDMoi_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Chi_tiết_Goc_-AB2"/>
      <sheetName val="DG_duoi2"/>
      <sheetName val="6PILE__(돌출)2"/>
      <sheetName val="Office_Tower2"/>
      <sheetName val="UNIT_PRICE2"/>
      <sheetName val="Tien_do_TV2"/>
      <sheetName val="CP_Du_phong2"/>
      <sheetName val="Tong_hop_kinh_phi2"/>
      <sheetName val="THDT_goi_thau_TB2"/>
      <sheetName val="Đơn_Giá_2"/>
      <sheetName val="1_R18_BF2"/>
      <sheetName val="6_External_works-R182"/>
      <sheetName val="BTT_(CAT_COC)2"/>
      <sheetName val="MTO_REV_2(ARMOR)2"/>
      <sheetName val="Cash_Flow2"/>
      <sheetName val="Phan_tich_tong_hop2"/>
      <sheetName val="Sàn_T12"/>
      <sheetName val="Lỗ_thông_gió2"/>
      <sheetName val="Tho_lai_may2"/>
      <sheetName val="Don_gia_LD2"/>
      <sheetName val="Du_toan_XD2"/>
      <sheetName val="Don_gia_XD2"/>
      <sheetName val="Electrical_Breakdown1"/>
      <sheetName val="Div26_-_Elect2"/>
      <sheetName val="TH_Vat_tu1"/>
      <sheetName val="TH_MTC1"/>
      <sheetName val="TH_N_Cong1"/>
      <sheetName val="Gia__vat_tu2"/>
      <sheetName val="Tong_hop1"/>
      <sheetName val="설치중량_2"/>
      <sheetName val="수문일위_2"/>
      <sheetName val="PTVT_(MAU)2"/>
      <sheetName val="4-Lane_bridge2"/>
      <sheetName val="아파트_2"/>
      <sheetName val="M_671"/>
      <sheetName val="Schedule_S-Curve_Revision#31"/>
      <sheetName val="KET_CAU_CT51"/>
      <sheetName val="TLg_CN&amp;Laixe1"/>
      <sheetName val="TLg_CN&amp;Laixe_(2)1"/>
      <sheetName val="TLg_Laitau1"/>
      <sheetName val="TLg_Laitau_(2)1"/>
      <sheetName val="Don_gia_(khong_in)1"/>
      <sheetName val="Chi_ti?t_Goc_-AB1"/>
      <sheetName val="khung_ten_TD1"/>
      <sheetName val="Chiettinh_dz0,41"/>
      <sheetName val="Equip_"/>
      <sheetName val="A1_CN"/>
      <sheetName val="Hệ_số"/>
      <sheetName val="Động_cơ"/>
      <sheetName val="Currency_Rate"/>
      <sheetName val="kinh_"/>
      <sheetName val="EIRR&gt;_2"/>
      <sheetName val="Pasir_Panjang_100J"/>
      <sheetName val="Nhap_VT_oto"/>
      <sheetName val="0__Bìa"/>
      <sheetName val="1__THONG_TIN_TT"/>
      <sheetName val="Tiên_Lượng"/>
      <sheetName val="THGT_TT_PL01&amp;02"/>
      <sheetName val="1__THGT-TT"/>
      <sheetName val="1_1_THGT_MEP"/>
      <sheetName val="1_2_THGT_PCCC"/>
      <sheetName val="1_3_THGT_PL"/>
      <sheetName val="2__BBNT_KLHT"/>
      <sheetName val="4_2_THKL_PL02"/>
      <sheetName val="5_2_DGCT_PL02"/>
      <sheetName val="3__DGCT_MEP_+_PCCC_"/>
      <sheetName val="3_1_DGCT_PL"/>
      <sheetName val="DBỐC_ACMV"/>
      <sheetName val="DB_CABLE"/>
      <sheetName val="DB_ONG_CC_&amp;_CS"/>
      <sheetName val="DB_CABLE_FA_+_SP"/>
      <sheetName val="DB_ONG_SP_ELC"/>
      <sheetName val="DB_CTN"/>
      <sheetName val="03_Detailed"/>
      <sheetName val="01_Bid_Price_summary"/>
      <sheetName val="1_Quotation(見積決裁書）_"/>
      <sheetName val="2_Operation(実施計画書）"/>
      <sheetName val="3_Summary_of_Cost_"/>
      <sheetName val="4_Ｓｐｅｃｉａｌ_Material"/>
      <sheetName val="6_Ｃｏｍｍｏｎ_Material"/>
      <sheetName val="9_Indirect_budget"/>
      <sheetName val="TOP_"/>
      <sheetName val="Detail_E"/>
      <sheetName val="1_Requisition(E)"/>
      <sheetName val="BC_Ton_Kho_New"/>
      <sheetName val="BC_Cua_GSBH_New"/>
      <sheetName val="ESTI_"/>
      <sheetName val="DS_CHU_Ph"/>
      <sheetName val="CT_Thang_Mo"/>
      <sheetName val="CT__PL"/>
      <sheetName val="DLN"/>
      <sheetName val="Muc Luc"/>
      <sheetName val="Tra cuu 79"/>
      <sheetName val="BuilderWorkForME"/>
      <sheetName val="Lương hưng Yên vùng 2"/>
      <sheetName val="Lương Hà Nam"/>
      <sheetName val="Ca máy Hà Nam"/>
      <sheetName val="ca máy Hưng Yên"/>
      <sheetName val="Lương HN"/>
      <sheetName val="Lương VP"/>
      <sheetName val="Ca máy HN"/>
      <sheetName val="Ca máy VP"/>
      <sheetName val="B1.CN"/>
      <sheetName val="Máy"/>
      <sheetName val="ELEC"/>
      <sheetName val="Maker List"/>
      <sheetName val="REQUEST BUILDER"/>
      <sheetName val="TTDZ22"/>
      <sheetName val="Thuc thanh"/>
      <sheetName val="??"/>
      <sheetName val="DS CHU Ph_x005f_x0001__x0"/>
      <sheetName val="DS CHU Ph_x005f_x005f_x00"/>
      <sheetName val="Du toan truc tiep - Bill 2"/>
      <sheetName val="PL02-NHOM"/>
      <sheetName val="PL02-NHUA"/>
      <sheetName val="DTXD-DD (2)"/>
      <sheetName val="PTVT"/>
      <sheetName val="HRG BHN"/>
      <sheetName val="TABLE-A"/>
      <sheetName val="영동(D)"/>
      <sheetName val="MTO REV_0"/>
      <sheetName val="DAU VAO"/>
      <sheetName val="5.Khoan"/>
      <sheetName val="1. TH"/>
      <sheetName val="3.1.1"/>
      <sheetName val="3.1.4"/>
      <sheetName val="2.5.1"/>
      <sheetName val="4.1.1"/>
      <sheetName val="4.3.2"/>
      <sheetName val="2.3.3"/>
      <sheetName val="5.3.1"/>
      <sheetName val="2.4.3"/>
      <sheetName val="Bao cao"/>
      <sheetName val="Banbuc"/>
      <sheetName val="Dinh nghia"/>
      <sheetName val="DZ 35"/>
      <sheetName val="Cto"/>
      <sheetName val="MTL$-INTER"/>
      <sheetName val="Thongtin"/>
      <sheetName val="Phanlop"/>
      <sheetName val="Chi_ti_t_Goc_-AB1"/>
      <sheetName val="GVL-tuyến"/>
      <sheetName val="Labor"/>
      <sheetName val="Breakdown"/>
      <sheetName val="Equip"/>
      <sheetName val="Process (R)"/>
      <sheetName val="Process (T)"/>
      <sheetName val="Mortar"/>
      <sheetName val="THCP - PA1"/>
      <sheetName val="THDT goi thau XD"/>
      <sheetName val="THCP thiet bi"/>
      <sheetName val="Don gia tong hop"/>
      <sheetName val="DMTL"/>
      <sheetName val="Du thau LD"/>
      <sheetName val="Du thau XD"/>
      <sheetName val="Du toan LD"/>
      <sheetName val="Gia ca may LD"/>
      <sheetName val="Gia ca may XD"/>
      <sheetName val="CP mua sam TB"/>
      <sheetName val="Nhan cong LD"/>
      <sheetName val="Nhan cong XD"/>
      <sheetName val="Gia vua LD"/>
      <sheetName val="Gia vua XD"/>
      <sheetName val="Thong ke thep"/>
      <sheetName val="TH vat tu LD"/>
      <sheetName val="TH vat tu XD"/>
      <sheetName val="Gia vat lieu HTLD"/>
      <sheetName val="Gia vat lieu HTXD"/>
      <sheetName val="Dự thầu (NS1)"/>
      <sheetName val="D&amp;W"/>
      <sheetName val="Cong nợ"/>
      <sheetName val="GA 15"/>
      <sheetName val="CHICLAND"/>
      <sheetName val="HILTON"/>
      <sheetName val="HÒA XUÂN II"/>
      <sheetName val="KEMBEACH-SUN"/>
      <sheetName val="LƯƠNG YÊN"/>
      <sheetName val="OCEAN GATE"/>
      <sheetName val="KEMBEACH-AA"/>
      <sheetName val="PREMIER-SUN"/>
      <sheetName val="THÀNH ĐÔ"/>
      <sheetName val="TT05"/>
      <sheetName val="3"/>
      <sheetName val="2"/>
      <sheetName val="6.1"/>
      <sheetName val="BASE"/>
      <sheetName val="Luong+may"/>
      <sheetName val="PT_ksat1"/>
      <sheetName val="LUONG_KS1"/>
      <sheetName val="VAT_LIEU1"/>
      <sheetName val="ranh_hong1"/>
      <sheetName val="THEP_TAM1"/>
      <sheetName val="THEP_HÌNH1"/>
      <sheetName val="THEP_HINH1"/>
      <sheetName val="XA_GO1"/>
      <sheetName val="BANG_TRA1"/>
      <sheetName val="Elec_LG1"/>
      <sheetName val="Bill_2_1_BOQ_ĐIỆN1"/>
      <sheetName val="BOQ_CAU_CAN1"/>
      <sheetName val="Tính_toàn_đào_đất1"/>
      <sheetName val="Khối_lượng_cốt_thép1"/>
      <sheetName val="Chi_tiết_chi_phí_chung1"/>
      <sheetName val="CP__SD_Điện1"/>
      <sheetName val="Ceiling_Height-_Schedule1"/>
      <sheetName val="COC-LAP_DAT1"/>
      <sheetName val="02-Lap_dat1"/>
      <sheetName val="Ngân_sách1"/>
      <sheetName val="09-Hoan_thien_nen1"/>
      <sheetName val="NVN_Hotel1"/>
      <sheetName val="list_VL1"/>
      <sheetName val="Trình_mẫu_VL1"/>
      <sheetName val="Nhap_VL1"/>
      <sheetName val="LIST_VLĐV1"/>
      <sheetName val="BB_VLDV1"/>
      <sheetName val="BB_VLDV_(multi)1"/>
      <sheetName val="nghiệm_thu_hoàn_thành1"/>
      <sheetName val="Báo_cáo_hiện_trường1"/>
      <sheetName val="Kế_hoạch_nghiệm_thu1"/>
      <sheetName val="Quy_trình1"/>
      <sheetName val="List_vữa1"/>
      <sheetName val="List_NT1"/>
      <sheetName val="BBNT_thô1"/>
      <sheetName val="Phân_tích1"/>
      <sheetName val="MeKong_-_Penetration1"/>
      <sheetName val="Dist__Perform_-_Ctns_sales_in_1"/>
      <sheetName val="Dist__Perform_-_Value_sales_in1"/>
      <sheetName val="Dist__Perform_-_Value_sales_Ou1"/>
      <sheetName val="Head_Count1"/>
      <sheetName val="Sales_Result_For_Month1"/>
      <sheetName val="DS_CHU_Phuc1"/>
      <sheetName val="DS_THI_AT1"/>
      <sheetName val="Bien_Ban1"/>
      <sheetName val="Dgia_vat_tu"/>
      <sheetName val="Don_gia_III"/>
      <sheetName val="Bhyt_t1"/>
      <sheetName val="DS_CHU_Ph?"/>
      <sheetName val="Leave_Statistic_Report1"/>
      <sheetName val="DS_CHU_Ph_"/>
      <sheetName val="DS_CHU_Ph_x005f_x0001__x005f_x0000_"/>
      <sheetName val="DS_CHU_Ph_x005f_x0001_?"/>
      <sheetName val="DS_CHU_Ph_x005f_x0001_"/>
      <sheetName val="DS_CHU_Ph_x005f_x0001__"/>
      <sheetName val="Vat_tu_XD"/>
      <sheetName val="DS_CHU_Ph_x005f_x005f_x005f_x0001__x005f_x005f_x0"/>
      <sheetName val="DS_CHU_Ph_x005f_x005f_x005f_x0001__"/>
      <sheetName val="DS_CHU_Ph_x005f_x005f_x005f_x0001_"/>
      <sheetName val="A1_8_NhIII_(1050k)"/>
      <sheetName val="Nhan_cong_nhom_I"/>
      <sheetName val="Luong_TT05"/>
      <sheetName val="10_VC_đ__ngắn"/>
      <sheetName val="KL_san_lap"/>
      <sheetName val="THONG_SO"/>
      <sheetName val="Đơn_giá_chi_tiết_TN_39"/>
      <sheetName val="TỔNG_HỢP_KHỐI_LƯỢNG"/>
      <sheetName val="NƯƠC_CẤP_TRỤC_+_TAY_NHÁNH"/>
      <sheetName val="TH_thiet_bi"/>
      <sheetName val="TH_may_TC"/>
      <sheetName val="Bang_phan_tich"/>
      <sheetName val="DM_Chi_phi"/>
      <sheetName val="luong_"/>
      <sheetName val="BẢNG_ÁP_GIÁ_(in)"/>
      <sheetName val="NT_(KL)_IN"/>
      <sheetName val="DOM_D2"/>
      <sheetName val="nhà_ăn"/>
      <sheetName val="Công_nhật"/>
      <sheetName val="btkt_cột"/>
      <sheetName val="Bill_rekap"/>
      <sheetName val="hrs_&amp;_prg"/>
      <sheetName val="CFA_(ME)"/>
      <sheetName val="Cost_Report_Sum"/>
      <sheetName val="GOC-KO_IN"/>
      <sheetName val="Thong_tin"/>
      <sheetName val="Danh_muc_NT_cong_viec"/>
      <sheetName val="Danh_muc_NT_Giai_doan"/>
      <sheetName val="Danh_muc_NT_Vat_lieu"/>
      <sheetName val="ND_Nhat_ky"/>
      <sheetName val="NT_cong_viec"/>
      <sheetName val="Sheet1_(2)"/>
      <sheetName val="Dầm_1"/>
      <sheetName val="Cọc_nhồi"/>
      <sheetName val="1__BCC_T03_2018"/>
      <sheetName val="2___BCC_T04_2018"/>
      <sheetName val="XD_nhanh_3"/>
      <sheetName val="Scorp_of_work_(2)"/>
      <sheetName val="SUM_(2)"/>
      <sheetName val="CPC_(2)"/>
      <sheetName val="A1_ELC_ok_"/>
      <sheetName val="_A2_ELV_ok"/>
      <sheetName val="A3_VAC_ok_"/>
      <sheetName val="A4_PLB_ok"/>
      <sheetName val="A5_FPS_ok"/>
      <sheetName val="_B1_ELC__ok"/>
      <sheetName val="B2_ELV_ok"/>
      <sheetName val="B3_VAC_ok"/>
      <sheetName val="B4_PLB_"/>
      <sheetName val="B5_FPS_ok"/>
      <sheetName val="C__SOFTWARE"/>
      <sheetName val="D__OTHER"/>
      <sheetName val="A1__ELC_PANEL"/>
      <sheetName val="Sum_material"/>
      <sheetName val="5_2_1_Đo_bóc_KL_OLK-10"/>
      <sheetName val="4_2_1_Đo_bóc_KL_OLK-06"/>
      <sheetName val="4_1_1_CHI_TIET_OLK-06"/>
      <sheetName val="Budget_Code"/>
      <sheetName val="Luong_A3"/>
      <sheetName val="Luong_TT01"/>
      <sheetName val="DG_TN_TB_LE_(2)"/>
      <sheetName val="DS CHU Ph_x0001__x0"/>
      <sheetName val="STR"/>
      <sheetName val="Breakdown (B)"/>
      <sheetName val="Thép phần thô"/>
      <sheetName val="개산공사비"/>
      <sheetName val="Tong du toan"/>
      <sheetName val="DGchitiet "/>
      <sheetName val="CP HMC"/>
      <sheetName val="TH_CPTB"/>
      <sheetName val="CP Khac cuoc VC"/>
      <sheetName val="BOQ DOME G"/>
      <sheetName val="Phòng 4 SV"/>
      <sheetName val="Phòng 2 SV"/>
      <sheetName val="Phòng bảo vệ"/>
      <sheetName val="Hành lang, cầu thang, phòng đện"/>
      <sheetName val="Thang máng và cáp điện tủ tầng"/>
      <sheetName val="Thiết bị"/>
      <sheetName val="Chống sét và tiếp địa"/>
      <sheetName val="Đặt chờ báo cháy"/>
      <sheetName val="Đặt chờ mạng"/>
      <sheetName val="BOQ DOME H"/>
      <sheetName val="GIÁ HĐ 30 CĂN"/>
      <sheetName val="THVT"/>
      <sheetName val="Keothep"/>
      <sheetName val="Cover"/>
      <sheetName val="HVAC"/>
      <sheetName val="P&amp;S"/>
      <sheetName val="Changelog"/>
      <sheetName val="banggia1"/>
      <sheetName val="Luong GT"/>
      <sheetName val="Bend"/>
      <sheetName val="THTHTBA"/>
      <sheetName val="DG7606"/>
      <sheetName val="Bảng nhân công"/>
      <sheetName val="DS CHU Ph_x005f_x0001__x005f_x005f_x0"/>
      <sheetName val="KL phat sinh"/>
      <sheetName val="SP10"/>
      <sheetName val="INFOR-ST"/>
      <sheetName val="Mẫu số 21a"/>
      <sheetName val="간접비 계정목록"/>
      <sheetName val="Doanh thu (Liveline PA1)"/>
      <sheetName val="Chiet tinh dz22"/>
      <sheetName val="N_TKP"/>
      <sheetName val="Gia NC theo QD 2207-QD-UBND"/>
      <sheetName val="Nhan cong nhom II"/>
      <sheetName val="begin"/>
      <sheetName val="6.GIA"/>
      <sheetName val="Tongke Thu hoi"/>
      <sheetName val="Don gia 1 ngay cong môi trường"/>
      <sheetName val="MTO REV.0"/>
      <sheetName val="TDTKP (2)"/>
      <sheetName val="TONGKE3p"/>
      <sheetName val="CHITIET VL-NC-DDTT3PHA "/>
      <sheetName val="CHITIET VL-NC-TT1p"/>
      <sheetName val="Du lieu"/>
      <sheetName val="설계내역서"/>
      <sheetName val="4.3 Scope of work "/>
      <sheetName val="__"/>
      <sheetName val="_ QUOTATION.xlsx"/>
      <sheetName val="Mã"/>
      <sheetName val="Luong_Cnhan"/>
      <sheetName val="Tong hop vat tu"/>
      <sheetName val="Phan tich ca may"/>
      <sheetName val="Chenh lech ca may"/>
      <sheetName val="Chiet tinh don gia"/>
      <sheetName val="Cua Phang Tran"/>
      <sheetName val="SPL4"/>
      <sheetName val="unit"/>
      <sheetName val="BCVC ."/>
      <sheetName val="May Goc (QD2436)"/>
      <sheetName val="VL-NC-M"/>
      <sheetName val="Danh mục HS"/>
      <sheetName val="Lương 1900nhóm I"/>
      <sheetName val="1900 nhóm II"/>
      <sheetName val="Lương 2000nhómII"/>
      <sheetName val="Máy Ngân Sơn"/>
      <sheetName val="Giá VL"/>
      <sheetName val="KH 2010 PA2"/>
      <sheetName val="van khuon"/>
      <sheetName val="CTG"/>
      <sheetName val="DGG"/>
      <sheetName val="Huong dan"/>
      <sheetName val="KIEM TOAN (PC32)"/>
      <sheetName val="Chiet giam"/>
      <sheetName val="DAO DAP CONG"/>
      <sheetName val="KL-CHITIET"/>
      <sheetName val="Bang chu"/>
      <sheetName val="LK-0.4"/>
      <sheetName val="CAPPHOI"/>
      <sheetName val="FT"/>
      <sheetName val="Chiet_tinh"/>
      <sheetName val="san_dao"/>
      <sheetName val="Ty_le"/>
      <sheetName val="CT_-THVLNC"/>
      <sheetName val="A1_8_NhIII_(1050k)1"/>
      <sheetName val="Nhan_cong_nhom_I1"/>
      <sheetName val="Luong_TT051"/>
      <sheetName val="10_VC_đ__ngắn1"/>
      <sheetName val="Chiet_tinh1"/>
      <sheetName val="san_dao1"/>
      <sheetName val="Ty_le1"/>
      <sheetName val="CT_-THVLNC1"/>
      <sheetName val="GVL-PL"/>
      <sheetName val="A6,MAY"/>
      <sheetName val="THKP"/>
      <sheetName val="CPTH"/>
      <sheetName val="Reference"/>
      <sheetName val="Setting"/>
      <sheetName val="LUACHONTHIETBI"/>
      <sheetName val="Khoiluongmong"/>
      <sheetName val="Gia vat tu"/>
      <sheetName val="CANDOI_CT"/>
      <sheetName val="MATK"/>
      <sheetName val="tra-vat-lieu"/>
      <sheetName val="QMCT"/>
      <sheetName val="Don gia chi tiet"/>
      <sheetName val="NC3"/>
      <sheetName val="BL.A1.8-1.350"/>
      <sheetName val="1,TMĐT "/>
      <sheetName val="NC.15"/>
      <sheetName val="Ca may"/>
      <sheetName val="PTCT"/>
      <sheetName val="Cước VC + ĐM CP Tư vấn"/>
      <sheetName val="1B Cai tao PA2"/>
      <sheetName val="Chung"/>
      <sheetName val="cPanel"/>
      <sheetName val="GC"/>
      <sheetName val="HG_Info"/>
      <sheetName val="Nghỉ lễ"/>
      <sheetName val="Mác"/>
      <sheetName val="QC"/>
      <sheetName val="CO"/>
      <sheetName val="Tai trong"/>
      <sheetName val="Diện tích sàn TT2-GB"/>
      <sheetName val="TH KL thô "/>
      <sheetName val="KL XÂY TT2-GB"/>
      <sheetName val="VL-NC-M."/>
      <sheetName val="THCP"/>
      <sheetName val="ptvl"/>
      <sheetName val="ptm"/>
      <sheetName val="Div10"/>
      <sheetName val="Div11"/>
      <sheetName val="Div12"/>
      <sheetName val="Div13"/>
      <sheetName val="Div2"/>
      <sheetName val="Div4"/>
      <sheetName val="Div5"/>
      <sheetName val="Div6"/>
      <sheetName val="Div7"/>
      <sheetName val="Div8"/>
      <sheetName val="Div9"/>
      <sheetName val="K98"/>
      <sheetName val="Div 13"/>
      <sheetName val="11-MEPF"/>
      <sheetName val="DANH MỤC HỒ SƠ"/>
      <sheetName val="GT PHÁT SINH NGOÀI HĐ"/>
      <sheetName val="KL PHÁT SINH "/>
      <sheetName val="PS NGOÀI HĐ"/>
      <sheetName val="GT PHÁT SINH VƯỢT HĐ"/>
      <sheetName val="PS TĂNG GIẢM TRONG HĐ"/>
      <sheetName val="DGCT PHÁT SINH"/>
      <sheetName val="DGCT TRẦN NLV"/>
      <sheetName val="DGKL chi tiết NLV"/>
      <sheetName val="DGKL chi tiết NHN,NK"/>
      <sheetName val="TG KL"/>
      <sheetName val="DGCT SƠN BẢ TƯỜNG NLV"/>
      <sheetName val="DGKL TRẦN NHN"/>
      <sheetName val="GV1-D13 (Casement door)"/>
      <sheetName val="built-up rate"/>
      <sheetName val="List of works"/>
      <sheetName val="GEN REQ"/>
      <sheetName val="SD and START UP"/>
      <sheetName val="VT NC M"/>
      <sheetName val="KHỐI LƯỢNG TB - newFormat"/>
      <sheetName val="BOQ"/>
      <sheetName val="PKKK"/>
      <sheetName val="Kính"/>
      <sheetName val="Bảng Phân Tích Chi Phí"/>
      <sheetName val="VTP"/>
      <sheetName val="6823_PS_17006"/>
      <sheetName val="PU_ITALY_6"/>
      <sheetName val="Vat_tu4"/>
      <sheetName val="Canopy,SS5_(2)4"/>
      <sheetName val="RAB_AR&amp;STR4"/>
      <sheetName val="THCP_Lap_dat4"/>
      <sheetName val="THCP_xay_dung4"/>
      <sheetName val="D&amp;W_def_3"/>
      <sheetName val="KH_tai_chinh_khoa_san3"/>
      <sheetName val="Gioi_thieu3"/>
      <sheetName val="Du_Toan3"/>
      <sheetName val="he_so3"/>
      <sheetName val="TONG_HOP_VL-NC3"/>
      <sheetName val="TONGKE3p_3"/>
      <sheetName val="TH_VL,_NC,_DDHT_Thanhphuoc3"/>
      <sheetName val="DON_GIA3"/>
      <sheetName val="CHITIET_VL-NC3"/>
      <sheetName val="MAIN_GATE_HOUSE3"/>
      <sheetName val="DG_duoi3"/>
      <sheetName val="B3A_-_TOWER_A3"/>
      <sheetName val="STRUCTURE_Q'TY3"/>
      <sheetName val="REMAIN_Q'TY_-_SUB3"/>
      <sheetName val="Nhan_cong3"/>
      <sheetName val="Thiet_bi3"/>
      <sheetName val="DM_ChiPhi3"/>
      <sheetName val="May_TC3"/>
      <sheetName val="Phan_tich3"/>
      <sheetName val="Bang_KL3"/>
      <sheetName val="TH_Kinh_phi3"/>
      <sheetName val="T_K3"/>
      <sheetName val="6PILE__(돌출)3"/>
      <sheetName val="Office_Tower3"/>
      <sheetName val="Chenh_lech_vat_tu3"/>
      <sheetName val="Chiet_tinh_dz353"/>
      <sheetName val="dongia_(2)3"/>
      <sheetName val="THPDMoi__(2)3"/>
      <sheetName val="t-h_HA_THE3"/>
      <sheetName val="CHITIET_VL-NC-TT_-1p3"/>
      <sheetName val="TONG_HOP_VL-NC_TT3"/>
      <sheetName val="TH_XL3"/>
      <sheetName val="CHITIET_VL-NC-TT-3p3"/>
      <sheetName val="KPVC-BD_3"/>
      <sheetName val="Chi_tiết_Goc_-AB3"/>
      <sheetName val="UNIT_PRICE3"/>
      <sheetName val="Giá_Bê_tông_2_bên3"/>
      <sheetName val="Tien_do_TV3"/>
      <sheetName val="CP_Du_phong3"/>
      <sheetName val="Tong_hop_kinh_phi3"/>
      <sheetName val="THDT_goi_thau_TB3"/>
      <sheetName val="Đơn_Giá_3"/>
      <sheetName val="1_R18_BF3"/>
      <sheetName val="6_External_works-R183"/>
      <sheetName val="MTO_REV_2(ARMOR)3"/>
      <sheetName val="Phan_tich_tong_hop3"/>
      <sheetName val="BTT_(CAT_COC)3"/>
      <sheetName val="Tho_lai_may3"/>
      <sheetName val="Don_gia_LD3"/>
      <sheetName val="Du_toan_XD3"/>
      <sheetName val="Don_gia_XD3"/>
      <sheetName val="Sàn_T13"/>
      <sheetName val="Lỗ_thông_gió3"/>
      <sheetName val="Cash_Flow3"/>
      <sheetName val="Electrical_Breakdown2"/>
      <sheetName val="Div26_-_Elect3"/>
      <sheetName val="Gia__vat_tu3"/>
      <sheetName val="TH_Vat_tu2"/>
      <sheetName val="TH_MTC2"/>
      <sheetName val="TH_N_Cong2"/>
      <sheetName val="Tong_hop2"/>
      <sheetName val="설치중량_3"/>
      <sheetName val="수문일위_3"/>
      <sheetName val="PTVT_(MAU)3"/>
      <sheetName val="4-Lane_bridge3"/>
      <sheetName val="아파트_3"/>
      <sheetName val="M_672"/>
      <sheetName val="Schedule_S-Curve_Revision#32"/>
      <sheetName val="KET_CAU_CT52"/>
      <sheetName val="TLg_CN&amp;Laixe2"/>
      <sheetName val="TLg_CN&amp;Laixe_(2)2"/>
      <sheetName val="TLg_Laitau2"/>
      <sheetName val="TLg_Laitau_(2)2"/>
      <sheetName val="Don_gia_(khong_in)2"/>
      <sheetName val="Chi_ti?t_Goc_-AB2"/>
      <sheetName val="khung_ten_TD2"/>
      <sheetName val="PT_ksat2"/>
      <sheetName val="LUONG_KS2"/>
      <sheetName val="VAT_LIEU2"/>
      <sheetName val="ranh_hong2"/>
      <sheetName val="Elec_LG2"/>
      <sheetName val="Chiettinh_dz0,42"/>
      <sheetName val="THEP_TAM2"/>
      <sheetName val="THEP_HÌNH2"/>
      <sheetName val="THEP_HINH2"/>
      <sheetName val="XA_GO2"/>
      <sheetName val="BANG_TRA2"/>
      <sheetName val="Bill_2_1_BOQ_ĐIỆN2"/>
      <sheetName val="Chi_ti_t_Goc_-AB2"/>
      <sheetName val="BOQ_CAU_CAN2"/>
      <sheetName val="Tính_toàn_đào_đất2"/>
      <sheetName val="Khối_lượng_cốt_thép2"/>
      <sheetName val="Chi_tiết_chi_phí_chung2"/>
      <sheetName val="CP__SD_Điện2"/>
      <sheetName val="NVN_Hotel2"/>
      <sheetName val="Ceiling_Height-_Schedule2"/>
      <sheetName val="COC-LAP_DAT2"/>
      <sheetName val="02-Lap_dat2"/>
      <sheetName val="Ngân_sách2"/>
      <sheetName val="09-Hoan_thien_nen2"/>
      <sheetName val="03_Detailed1"/>
      <sheetName val="01_Bid_Price_summary1"/>
      <sheetName val="Phân_tích2"/>
      <sheetName val="list_VL2"/>
      <sheetName val="Trình_mẫu_VL2"/>
      <sheetName val="Nhap_VL2"/>
      <sheetName val="LIST_VLĐV2"/>
      <sheetName val="BB_VLDV2"/>
      <sheetName val="BB_VLDV_(multi)2"/>
      <sheetName val="nghiệm_thu_hoàn_thành2"/>
      <sheetName val="Báo_cáo_hiện_trường2"/>
      <sheetName val="Kế_hoạch_nghiệm_thu2"/>
      <sheetName val="Quy_trình2"/>
      <sheetName val="List_vữa2"/>
      <sheetName val="List_NT2"/>
      <sheetName val="BBNT_thô2"/>
      <sheetName val="Equip_1"/>
      <sheetName val="A1_CN1"/>
      <sheetName val="Nhap_VT_oto1"/>
      <sheetName val="0__Bìa1"/>
      <sheetName val="1__THONG_TIN_TT1"/>
      <sheetName val="Tiên_Lượng1"/>
      <sheetName val="THGT_TT_PL01&amp;021"/>
      <sheetName val="1__THGT-TT1"/>
      <sheetName val="1_1_THGT_MEP1"/>
      <sheetName val="1_2_THGT_PCCC1"/>
      <sheetName val="1_3_THGT_PL1"/>
      <sheetName val="2__BBNT_KLHT1"/>
      <sheetName val="4_2_THKL_PL021"/>
      <sheetName val="5_2_DGCT_PL021"/>
      <sheetName val="3__DGCT_MEP_+_PCCC_1"/>
      <sheetName val="3_1_DGCT_PL1"/>
      <sheetName val="DBỐC_ACMV1"/>
      <sheetName val="DB_CABLE1"/>
      <sheetName val="DB_ONG_CC_&amp;_CS1"/>
      <sheetName val="DB_CABLE_FA_+_SP1"/>
      <sheetName val="DB_ONG_SP_ELC1"/>
      <sheetName val="DB_CTN1"/>
      <sheetName val="Hệ_số1"/>
      <sheetName val="Động_cơ1"/>
      <sheetName val="Currency_Rate1"/>
      <sheetName val="EIRR&gt;_21"/>
      <sheetName val="kinh_1"/>
      <sheetName val="1_Quotation(見積決裁書）_1"/>
      <sheetName val="2_Operation(実施計画書）1"/>
      <sheetName val="3_Summary_of_Cost_1"/>
      <sheetName val="4_Ｓｐｅｃｉａｌ_Material1"/>
      <sheetName val="6_Ｃｏｍｍｏｎ_Material1"/>
      <sheetName val="9_Indirect_budget1"/>
      <sheetName val="TOP_1"/>
      <sheetName val="Detail_E1"/>
      <sheetName val="1_Requisition(E)1"/>
      <sheetName val="Pasir_Panjang_100J1"/>
      <sheetName val="MeKong_-_Penetration2"/>
      <sheetName val="Dist__Perform_-_Ctns_sales_in_2"/>
      <sheetName val="Dist__Perform_-_Value_sales_in2"/>
      <sheetName val="Dist__Perform_-_Value_sales_Ou2"/>
      <sheetName val="Head_Count2"/>
      <sheetName val="Sales_Result_For_Month2"/>
      <sheetName val="DS_CHU_Phuc2"/>
      <sheetName val="DS_THI_AT2"/>
      <sheetName val="Bien_Ban2"/>
      <sheetName val="BC_Ton_Kho_New1"/>
      <sheetName val="BC_Cua_GSBH_New1"/>
      <sheetName val="ESTI_1"/>
      <sheetName val="CT_Thang_Mo1"/>
      <sheetName val="CT__PL1"/>
      <sheetName val="Dgia_vat_tu1"/>
      <sheetName val="Don_gia_III1"/>
      <sheetName val="Bhyt_t11"/>
      <sheetName val="Leave_Statistic_Report2"/>
      <sheetName val="DS_CHU_Ph_x005f_x0001__x005f_x0000_1"/>
      <sheetName val="DS_CHU_Ph_x005f_x0001_?1"/>
      <sheetName val="DS_CHU_Ph_x005f_x0001_1"/>
      <sheetName val="DS_CHU_Ph_x005f_x0001__1"/>
      <sheetName val="Vat_tu_XD1"/>
      <sheetName val="DS_CHU_Ph_x005f_x005f_x005f_x0001__x005f_x005f_x1"/>
      <sheetName val="DS_CHU_Ph_x005f_x005f_x005f_x0001__1"/>
      <sheetName val="DS_CHU_Ph_x005f_x005f_x005f_x0001_1"/>
      <sheetName val="KL_san_lap1"/>
      <sheetName val="luong_1"/>
      <sheetName val="BẢNG_ÁP_GIÁ_(in)1"/>
      <sheetName val="NT_(KL)_IN1"/>
      <sheetName val="DOM_D21"/>
      <sheetName val="nhà_ăn1"/>
      <sheetName val="Công_nhật1"/>
      <sheetName val="btkt_cột1"/>
      <sheetName val="Bill_rekap1"/>
      <sheetName val="hrs_&amp;_prg1"/>
      <sheetName val="TH_thiet_bi1"/>
      <sheetName val="TH_may_TC1"/>
      <sheetName val="Bang_phan_tich1"/>
      <sheetName val="DM_Chi_phi1"/>
      <sheetName val="TỔNG_HỢP_KHỐI_LƯỢNG1"/>
      <sheetName val="NƯƠC_CẤP_TRỤC_+_TAY_NHÁNH1"/>
      <sheetName val="CFA_(ME)1"/>
      <sheetName val="Cost_Report_Sum1"/>
      <sheetName val="GOC-KO_IN1"/>
      <sheetName val="Dầm_11"/>
      <sheetName val="Cọc_nhồi1"/>
      <sheetName val="THONG_SO1"/>
      <sheetName val="Đơn_giá_chi_tiết_TN_391"/>
      <sheetName val="Thong_tin1"/>
      <sheetName val="Danh_muc_NT_cong_viec1"/>
      <sheetName val="Danh_muc_NT_Giai_doan1"/>
      <sheetName val="Danh_muc_NT_Vat_lieu1"/>
      <sheetName val="ND_Nhat_ky1"/>
      <sheetName val="NT_cong_viec1"/>
      <sheetName val="Sheet1_(2)1"/>
      <sheetName val="1__BCC_T03_20181"/>
      <sheetName val="2___BCC_T04_20181"/>
      <sheetName val="TK_SX"/>
      <sheetName val="XD_nhanh_31"/>
      <sheetName val="Scorp_of_work_(2)1"/>
      <sheetName val="SUM_(2)1"/>
      <sheetName val="CPC_(2)1"/>
      <sheetName val="A1_ELC_ok_1"/>
      <sheetName val="_A2_ELV_ok1"/>
      <sheetName val="A3_VAC_ok_1"/>
      <sheetName val="A4_PLB_ok1"/>
      <sheetName val="A5_FPS_ok1"/>
      <sheetName val="_B1_ELC__ok1"/>
      <sheetName val="B2_ELV_ok1"/>
      <sheetName val="B3_VAC_ok1"/>
      <sheetName val="B4_PLB_1"/>
      <sheetName val="B5_FPS_ok1"/>
      <sheetName val="C__SOFTWARE1"/>
      <sheetName val="D__OTHER1"/>
      <sheetName val="A1__ELC_PANEL1"/>
      <sheetName val="Sum_material1"/>
      <sheetName val="5_2_1_Đo_bóc_KL_OLK-101"/>
      <sheetName val="4_2_1_Đo_bóc_KL_OLK-061"/>
      <sheetName val="4_1_1_CHI_TIET_OLK-061"/>
      <sheetName val="Du_toan_truc_tiep_-_Bill_2"/>
      <sheetName val="DS_CHU_Ph_x005f_x0001__x0"/>
      <sheetName val="DS_CHU_Ph_x005f_x005f_x00"/>
      <sheetName val="Budget_Code1"/>
      <sheetName val="Luong_A31"/>
      <sheetName val="Luong_TT011"/>
      <sheetName val="DG_TN_TB_LE_(2)1"/>
      <sheetName val="TINH_GIA_-_SAN_XUAT_Vertico"/>
      <sheetName val="Cong_nợ"/>
      <sheetName val="Maker_List"/>
      <sheetName val="REQUEST_BUILDER"/>
      <sheetName val="Bang_cap"/>
      <sheetName val="DSHD_DH"/>
      <sheetName val="DTXD-DD_(2)"/>
      <sheetName val="GA_15"/>
      <sheetName val="HÒA_XUÂN_II"/>
      <sheetName val="LƯƠNG_YÊN"/>
      <sheetName val="OCEAN_GATE"/>
      <sheetName val="THÀNH_ĐÔ"/>
      <sheetName val="DS_CHU_Ph_x0"/>
      <sheetName val="Breakdown_(B)"/>
      <sheetName val="Thép_phần_thô"/>
      <sheetName val="Bang chi tiet-Direct work"/>
      <sheetName val="Inputs_Sens"/>
      <sheetName val="IS_Sum_CM"/>
      <sheetName val="COFFA"/>
      <sheetName val="RecheckBOQ"/>
      <sheetName val="공문"/>
      <sheetName val="INDEX"/>
      <sheetName val="4641"/>
      <sheetName val="BOX(1.5X1.5)"/>
      <sheetName val="Cost annalysis"/>
      <sheetName val="03. THGT"/>
      <sheetName val="door"/>
      <sheetName val="CFA Sumary"/>
      <sheetName val="Certificate"/>
      <sheetName val="Attached_List"/>
      <sheetName val="List_AdvancePayment"/>
      <sheetName val="List_Retention (Contract)"/>
      <sheetName val="List_AP (Contract)"/>
      <sheetName val="Progress nstallaton (2)"/>
      <sheetName val="List_VO"/>
      <sheetName val="List_CO"/>
      <sheetName val="Thoat nuoc"/>
      <sheetName val="MEP Building"/>
      <sheetName val="XL-Duct"/>
      <sheetName val="Bang TT"/>
      <sheetName val="8-31-98"/>
      <sheetName val="worksheet inchican"/>
      <sheetName val="combined 9-30"/>
      <sheetName val="DS CHU Ph_x00"/>
      <sheetName val="DS_CHU_Ph_x0001__x0000_"/>
      <sheetName val="DS_CHU_Ph_x0001_?"/>
      <sheetName val="DS_CHU_Ph_x0001__"/>
      <sheetName val="DS_CHU_Ph_x0001__x0000_1"/>
      <sheetName val="DS_CHU_Ph_x0001_?1"/>
      <sheetName val="DS_CHU_Ph_x0001__1"/>
      <sheetName val="DS_CHU_Ph_x005f_x0001__x1"/>
      <sheetName val="DS_CHU_Ph_x0001__x0"/>
      <sheetName val="DS_CHU_Ph_x00"/>
      <sheetName val="foxz"/>
      <sheetName val="NTNB"/>
      <sheetName val="Cao TN"/>
      <sheetName val="ĐỔ BT 5"/>
      <sheetName val="222"/>
      <sheetName val="LĐCĐ"/>
      <sheetName val="LĐTĐ"/>
      <sheetName val="CPDD II"/>
      <sheetName val="NT CAO DO"/>
      <sheetName val="Thống kê"/>
      <sheetName val="00.TMB-Cap thoat nuoc"/>
      <sheetName val="SUMDETAIL"/>
      <sheetName val="Factory"/>
      <sheetName val="Matchung"/>
      <sheetName val="BU LONG"/>
      <sheetName val="ĐNVT"/>
      <sheetName val="ĐNBL"/>
      <sheetName val="CTLK"/>
      <sheetName val="Xuat152"/>
      <sheetName val="sheet12"/>
      <sheetName val="Lists"/>
      <sheetName val=" SMU Table (2)"/>
      <sheetName val="F.A. Data Validation Inputs"/>
      <sheetName val="basic data"/>
      <sheetName val="Lookup Tables"/>
      <sheetName val="Mappings"/>
      <sheetName val="Drop Down Listings"/>
      <sheetName val="Rates"/>
      <sheetName val="Variables"/>
      <sheetName val="DL2"/>
      <sheetName val="Settings"/>
      <sheetName val="CONCRETE"/>
      <sheetName val="TH khoi luong"/>
      <sheetName val="Chi tiet khoi luong"/>
      <sheetName val="TK thep"/>
      <sheetName val="CT THOÁT WC VP"/>
      <sheetName val="CT CẤP WC VP"/>
      <sheetName val="CT THOÁT MƯA VP TRỤC LỚN"/>
      <sheetName val="CT THOÁT MƯA VP TRỤC NHỎ"/>
      <sheetName val="1.ATGT-VL"/>
      <sheetName val="1Phan doan TC"/>
      <sheetName val="Du lieu bang phang"/>
      <sheetName val="Bang ngay thang"/>
      <sheetName val="KL1"/>
      <sheetName val="KL2"/>
      <sheetName val="KL3"/>
      <sheetName val="KL4"/>
      <sheetName val="KL5"/>
      <sheetName val="KL6"/>
      <sheetName val="Tong KL lop"/>
      <sheetName val="KL7"/>
      <sheetName val="KL8"/>
      <sheetName val="KL9"/>
      <sheetName val="THCP TT09"/>
      <sheetName val="TMĐT"/>
      <sheetName val="Giá tháng"/>
      <sheetName val="VL "/>
      <sheetName val="para"/>
      <sheetName val="TK-HA "/>
      <sheetName val="6823_PS_17008"/>
      <sheetName val="PU_ITALY_8"/>
      <sheetName val="he_so5"/>
      <sheetName val="dongia_(2)5"/>
      <sheetName val="THPDMoi__(2)5"/>
      <sheetName val="TONG_HOP_VL-NC5"/>
      <sheetName val="TONGKE3p_5"/>
      <sheetName val="TH_VL,_NC,_DDHT_Thanhphuoc5"/>
      <sheetName val="DON_GIA5"/>
      <sheetName val="t-h_HA_THE5"/>
      <sheetName val="CHITIET_VL-NC-TT_-1p5"/>
      <sheetName val="TONG_HOP_VL-NC_TT5"/>
      <sheetName val="TH_XL5"/>
      <sheetName val="CHITIET_VL-NC5"/>
      <sheetName val="CHITIET_VL-NC-TT-3p5"/>
      <sheetName val="KPVC-BD_5"/>
      <sheetName val="Chi_tiết_Goc_-AB5"/>
      <sheetName val="Du_Toan5"/>
      <sheetName val="Chi_ti?t_Goc_-AB4"/>
      <sheetName val="KH_tai_chinh_khoa_san5"/>
      <sheetName val="Chenh_lech_vat_tu5"/>
      <sheetName val="Chiet_tinh_dz355"/>
      <sheetName val="Gioi_thieu5"/>
      <sheetName val="Vat_tu6"/>
      <sheetName val="Canopy,SS5_(2)6"/>
      <sheetName val="RAB_AR&amp;STR6"/>
      <sheetName val="THCP_Lap_dat6"/>
      <sheetName val="THCP_xay_dung6"/>
      <sheetName val="D&amp;W_def_5"/>
      <sheetName val="STRUCTURE_Q'TY5"/>
      <sheetName val="REMAIN_Q'TY_-_SUB5"/>
      <sheetName val="T_K5"/>
      <sheetName val="Nhan_cong5"/>
      <sheetName val="Thiet_bi5"/>
      <sheetName val="DM_ChiPhi5"/>
      <sheetName val="May_TC5"/>
      <sheetName val="Phan_tich5"/>
      <sheetName val="Bang_KL5"/>
      <sheetName val="TH_Kinh_phi5"/>
      <sheetName val="Electrical_Breakdown4"/>
      <sheetName val="MTO_REV_2(ARMOR)5"/>
      <sheetName val="B3A_-_TOWER_A5"/>
      <sheetName val="MAIN_GATE_HOUSE5"/>
      <sheetName val="UNIT_PRICE5"/>
      <sheetName val="Office_Tower5"/>
      <sheetName val="Tien_do_TV5"/>
      <sheetName val="CP_Du_phong5"/>
      <sheetName val="Tong_hop_kinh_phi5"/>
      <sheetName val="THDT_goi_thau_TB5"/>
      <sheetName val="PT_ksat4"/>
      <sheetName val="LUONG_KS4"/>
      <sheetName val="A1_8_NhIII_(1050k)3"/>
      <sheetName val="Nhan_cong_nhom_I3"/>
      <sheetName val="Luong_TT053"/>
      <sheetName val="10_VC_đ__ngắn3"/>
      <sheetName val="VAT_LIEU4"/>
      <sheetName val="ranh_hong4"/>
      <sheetName val="Giá_Bê_tông_2_bên5"/>
      <sheetName val="6PILE__(돌출)5"/>
      <sheetName val="DG_duoi5"/>
      <sheetName val="Phan_tich_tong_hop5"/>
      <sheetName val="Đơn_Giá_5"/>
      <sheetName val="1_R18_BF5"/>
      <sheetName val="6_External_works-R185"/>
      <sheetName val="Sàn_T15"/>
      <sheetName val="Lỗ_thông_gió5"/>
      <sheetName val="BTT_(CAT_COC)5"/>
      <sheetName val="Cash_Flow5"/>
      <sheetName val="Div26_-_Elect5"/>
      <sheetName val="Tho_lai_may5"/>
      <sheetName val="Don_gia_LD5"/>
      <sheetName val="Du_toan_XD5"/>
      <sheetName val="Don_gia_XD5"/>
      <sheetName val="Gia__vat_tu5"/>
      <sheetName val="TH_Vat_tu4"/>
      <sheetName val="TH_MTC4"/>
      <sheetName val="TH_N_Cong4"/>
      <sheetName val="Tong_hop4"/>
      <sheetName val="설치중량_5"/>
      <sheetName val="수문일위_5"/>
      <sheetName val="PTVT_(MAU)5"/>
      <sheetName val="4-Lane_bridge5"/>
      <sheetName val="아파트_5"/>
      <sheetName val="M_674"/>
      <sheetName val="Schedule_S-Curve_Revision#34"/>
      <sheetName val="KET_CAU_CT54"/>
      <sheetName val="TLg_CN&amp;Laixe4"/>
      <sheetName val="TLg_CN&amp;Laixe_(2)4"/>
      <sheetName val="TLg_Laitau4"/>
      <sheetName val="TLg_Laitau_(2)4"/>
      <sheetName val="khung_ten_TD4"/>
      <sheetName val="Don_gia_(khong_in)4"/>
      <sheetName val="Chiettinh_dz0,44"/>
      <sheetName val="BOQ_CAU_CAN4"/>
      <sheetName val="Tính_toàn_đào_đất4"/>
      <sheetName val="Khối_lượng_cốt_thép4"/>
      <sheetName val="Chi_tiết_chi_phí_chung4"/>
      <sheetName val="CP__SD_Điện4"/>
      <sheetName val="1_Quotation(見積決裁書）_3"/>
      <sheetName val="2_Operation(実施計画書）3"/>
      <sheetName val="3_Summary_of_Cost_3"/>
      <sheetName val="4_Ｓｐｅｃｉａｌ_Material3"/>
      <sheetName val="6_Ｃｏｍｍｏｎ_Material3"/>
      <sheetName val="9_Indirect_budget3"/>
      <sheetName val="TOP_3"/>
      <sheetName val="Detail_E3"/>
      <sheetName val="Hệ_số3"/>
      <sheetName val="Động_cơ3"/>
      <sheetName val="Currency_Rate3"/>
      <sheetName val="Elec_LG4"/>
      <sheetName val="1_Requisition(E)3"/>
      <sheetName val="03_Detailed3"/>
      <sheetName val="01_Bid_Price_summary3"/>
      <sheetName val="THEP_TAM4"/>
      <sheetName val="THEP_HÌNH4"/>
      <sheetName val="THEP_HINH4"/>
      <sheetName val="XA_GO4"/>
      <sheetName val="BANG_TRA4"/>
      <sheetName val="Bill_2_1_BOQ_ĐIỆN4"/>
      <sheetName val="Chi_ti_t_Goc_-AB4"/>
      <sheetName val="kinh_3"/>
      <sheetName val="Scorp_of_work_(2)3"/>
      <sheetName val="SUM_(2)3"/>
      <sheetName val="CPC_(2)3"/>
      <sheetName val="A1_ELC_ok_3"/>
      <sheetName val="_A2_ELV_ok3"/>
      <sheetName val="A3_VAC_ok_3"/>
      <sheetName val="A4_PLB_ok3"/>
      <sheetName val="A5_FPS_ok3"/>
      <sheetName val="_B1_ELC__ok3"/>
      <sheetName val="B2_ELV_ok3"/>
      <sheetName val="B3_VAC_ok3"/>
      <sheetName val="B4_PLB_3"/>
      <sheetName val="B5_FPS_ok3"/>
      <sheetName val="C__SOFTWARE3"/>
      <sheetName val="D__OTHER3"/>
      <sheetName val="A1__ELC_PANEL3"/>
      <sheetName val="Sum_material3"/>
      <sheetName val="MeKong_-_Penetration4"/>
      <sheetName val="Dist__Perform_-_Ctns_sales_in_4"/>
      <sheetName val="Dist__Perform_-_Value_sales_in4"/>
      <sheetName val="Dist__Perform_-_Value_sales_Ou4"/>
      <sheetName val="Head_Count4"/>
      <sheetName val="Sales_Result_For_Month4"/>
      <sheetName val="DS_CHU_Phuc4"/>
      <sheetName val="DS_THI_AT4"/>
      <sheetName val="Bien_Ban4"/>
      <sheetName val="BC_Ton_Kho_New3"/>
      <sheetName val="BC_Cua_GSBH_New3"/>
      <sheetName val="ESTI_3"/>
      <sheetName val="DS_CHU_Ph2"/>
      <sheetName val="CT_Thang_Mo3"/>
      <sheetName val="CT__PL3"/>
      <sheetName val="Dgia_vat_tu3"/>
      <sheetName val="Don_gia_III3"/>
      <sheetName val="Bhyt_t13"/>
      <sheetName val="DS_CHU_Ph?2"/>
      <sheetName val="Leave_Statistic_Report4"/>
      <sheetName val="EIRR&gt;_23"/>
      <sheetName val="DS_CHU_Ph_2"/>
      <sheetName val="DS_CHU_Ph_x005f_x0001__x005f_x0000_3"/>
      <sheetName val="DS_CHU_Ph_x005f_x0001_?3"/>
      <sheetName val="DS_CHU_Ph_x005f_x0001_3"/>
      <sheetName val="DS_CHU_Ph_x005f_x0001__3"/>
      <sheetName val="Vat_tu_XD3"/>
      <sheetName val="DS_CHU_Ph_x005f_x005f_x005f_x0001__x005f_x005f_x3"/>
      <sheetName val="DS_CHU_Ph_x005f_x005f_x005f_x0001__3"/>
      <sheetName val="DS_CHU_Ph_x005f_x005f_x005f_x0001_3"/>
      <sheetName val="Ceiling_Height-_Schedule4"/>
      <sheetName val="COC-LAP_DAT4"/>
      <sheetName val="02-Lap_dat4"/>
      <sheetName val="Ngân_sách4"/>
      <sheetName val="09-Hoan_thien_nen4"/>
      <sheetName val="NVN_Hotel4"/>
      <sheetName val="list_VL4"/>
      <sheetName val="Trình_mẫu_VL4"/>
      <sheetName val="Nhap_VL4"/>
      <sheetName val="LIST_VLĐV4"/>
      <sheetName val="BB_VLDV4"/>
      <sheetName val="BB_VLDV_(multi)4"/>
      <sheetName val="nghiệm_thu_hoàn_thành4"/>
      <sheetName val="Báo_cáo_hiện_trường4"/>
      <sheetName val="Kế_hoạch_nghiệm_thu4"/>
      <sheetName val="Quy_trình4"/>
      <sheetName val="List_vữa4"/>
      <sheetName val="List_NT4"/>
      <sheetName val="BBNT_thô4"/>
      <sheetName val="Equip_3"/>
      <sheetName val="A1_CN3"/>
      <sheetName val="Phân_tích4"/>
      <sheetName val="Nhap_VT_oto3"/>
      <sheetName val="0__Bìa3"/>
      <sheetName val="1__THONG_TIN_TT3"/>
      <sheetName val="Tiên_Lượng3"/>
      <sheetName val="THGT_TT_PL01&amp;023"/>
      <sheetName val="1__THGT-TT3"/>
      <sheetName val="1_1_THGT_MEP3"/>
      <sheetName val="1_2_THGT_PCCC3"/>
      <sheetName val="1_3_THGT_PL3"/>
      <sheetName val="2__BBNT_KLHT3"/>
      <sheetName val="4_2_THKL_PL023"/>
      <sheetName val="5_2_DGCT_PL023"/>
      <sheetName val="3__DGCT_MEP_+_PCCC_3"/>
      <sheetName val="3_1_DGCT_PL3"/>
      <sheetName val="DBỐC_ACMV3"/>
      <sheetName val="DB_CABLE3"/>
      <sheetName val="DB_ONG_CC_&amp;_CS3"/>
      <sheetName val="DB_CABLE_FA_+_SP3"/>
      <sheetName val="DB_ONG_SP_ELC3"/>
      <sheetName val="DB_CTN3"/>
      <sheetName val="Pasir_Panjang_100J3"/>
      <sheetName val="hrs_&amp;_prg3"/>
      <sheetName val="TỔNG_HỢP_KHỐI_LƯỢNG3"/>
      <sheetName val="NƯƠC_CẤP_TRỤC_+_TAY_NHÁNH3"/>
      <sheetName val="KL_san_lap3"/>
      <sheetName val="BẢNG_ÁP_GIÁ_(in)3"/>
      <sheetName val="NT_(KL)_IN3"/>
      <sheetName val="DOM_D23"/>
      <sheetName val="nhà_ăn3"/>
      <sheetName val="Công_nhật3"/>
      <sheetName val="btkt_cột3"/>
      <sheetName val="Budget_Code3"/>
      <sheetName val="Luong_A33"/>
      <sheetName val="Luong_TT013"/>
      <sheetName val="DG_TN_TB_LE_(2)3"/>
      <sheetName val="Maker_List2"/>
      <sheetName val="REQUEST_BUILDER2"/>
      <sheetName val="Chi_tiet_ranh"/>
      <sheetName val="Duong_Ngang"/>
      <sheetName val="San_gia_co"/>
      <sheetName val="Bien_Bao"/>
      <sheetName val="Coc_tieu_-_Coc_H"/>
      <sheetName val="NC_"/>
      <sheetName val="CT_-THVLNC2"/>
      <sheetName val="Chiet_tinh2"/>
      <sheetName val="san_dao2"/>
      <sheetName val="Ty_le2"/>
      <sheetName val="Bang_cap2"/>
      <sheetName val="C_BI_DAO"/>
      <sheetName val="Luong_BN"/>
      <sheetName val="Luong_TB"/>
      <sheetName val="Ca_may_TB"/>
      <sheetName val="Máy_BN"/>
      <sheetName val="CT_DZ"/>
      <sheetName val="DSHD_DH2"/>
      <sheetName val="So_lieu"/>
      <sheetName val="LTT__TT01_2015_BXD"/>
      <sheetName val="Đơn_giá_NC_TT01_2015"/>
      <sheetName val="Đơn_giá_ca_máy_theo_TT06_2010"/>
      <sheetName val="ĐM6060_2008(Lap_dat_TBA)"/>
      <sheetName val="ĐM228__2015(suachua)"/>
      <sheetName val="ĐM39_2005(T_N_đien_ĐZ&amp;TBA)"/>
      <sheetName val="ĐM01_2000(thinghiem_ĐZTTĐL)"/>
      <sheetName val="Đon_gia_thi_nghiem_ĐZ&amp;TBA"/>
      <sheetName val="Đon_gia_228_sua_chua"/>
      <sheetName val="các_máy_chưa_có_trong_TT_06"/>
      <sheetName val="Cuoc_van_chuyen"/>
      <sheetName val="GIA_VT_03-2019"/>
      <sheetName val="GOC-KO_IN3"/>
      <sheetName val="luong_3"/>
      <sheetName val="THONG_SO3"/>
      <sheetName val="Đơn_giá_chi_tiết_TN_393"/>
      <sheetName val="TH_thiet_bi3"/>
      <sheetName val="TH_may_TC3"/>
      <sheetName val="Bang_phan_tich3"/>
      <sheetName val="DM_Chi_phi3"/>
      <sheetName val="Bill_rekap3"/>
      <sheetName val="CFA_(ME)3"/>
      <sheetName val="Cost_Report_Sum3"/>
      <sheetName val="Thong_tin3"/>
      <sheetName val="Danh_muc_NT_cong_viec3"/>
      <sheetName val="Danh_muc_NT_Giai_doan3"/>
      <sheetName val="Danh_muc_NT_Vat_lieu3"/>
      <sheetName val="ND_Nhat_ky3"/>
      <sheetName val="NT_cong_viec3"/>
      <sheetName val="Dầm_13"/>
      <sheetName val="Cọc_nhồi3"/>
      <sheetName val="XD_nhanh_33"/>
      <sheetName val="Sheet1_(2)3"/>
      <sheetName val="DS_CHU_Ph_x005f_x0001__x02"/>
      <sheetName val="DS_CHU_Ph_x005f_x005f_x002"/>
      <sheetName val="1__BCC_T03_20183"/>
      <sheetName val="2___BCC_T04_20183"/>
      <sheetName val="TK_SX2"/>
      <sheetName val="5_2_1_Đo_bóc_KL_OLK-103"/>
      <sheetName val="4_2_1_Đo_bóc_KL_OLK-063"/>
      <sheetName val="4_1_1_CHI_TIET_OLK-063"/>
      <sheetName val="Du_toan_truc_tiep_-_Bill_22"/>
      <sheetName val="TINH_GIA_-_SAN_XUAT_Vertico2"/>
      <sheetName val="Cong_nợ2"/>
      <sheetName val="DTXD-DD_(2)2"/>
      <sheetName val="DS_CHU_Ph_x01"/>
      <sheetName val="Breakdown_(B)2"/>
      <sheetName val="GA_152"/>
      <sheetName val="HÒA_XUÂN_II2"/>
      <sheetName val="LƯƠNG_YÊN2"/>
      <sheetName val="OCEAN_GATE2"/>
      <sheetName val="THÀNH_ĐÔ2"/>
      <sheetName val="Thép_phần_thô2"/>
      <sheetName val="Tong_du_toan1"/>
      <sheetName val="DGchitiet_1"/>
      <sheetName val="CP_HMC1"/>
      <sheetName val="CP_Khac_cuoc_VC1"/>
      <sheetName val="HRG_BHN1"/>
      <sheetName val="BOQ_DOME_G1"/>
      <sheetName val="Phòng_4_SV1"/>
      <sheetName val="Phòng_2_SV1"/>
      <sheetName val="Phòng_bảo_vệ1"/>
      <sheetName val="Hành_lang,_cầu_thang,_phòng_đệ1"/>
      <sheetName val="Thang_máng_và_cáp_điện_tủ_tầng1"/>
      <sheetName val="Thiết_bị1"/>
      <sheetName val="Chống_sét_và_tiếp_địa1"/>
      <sheetName val="Đặt_chờ_báo_cháy1"/>
      <sheetName val="Đặt_chờ_mạng1"/>
      <sheetName val="BOQ_DOME_H1"/>
      <sheetName val="GIÁ_HĐ_30_CĂN1"/>
      <sheetName val="Bang_chiet_tinh_TBA1"/>
      <sheetName val="Luong_GT1"/>
      <sheetName val="Bảng_nhân_công1"/>
      <sheetName val="Div_131"/>
      <sheetName val="DS_CHU_Ph_x005f_x0001__x005f_x005f_x01"/>
      <sheetName val="KL_phat_sinh1"/>
      <sheetName val="DANH_MỤC_HỒ_SƠ1"/>
      <sheetName val="GT_PHÁT_SINH_NGOÀI_HĐ1"/>
      <sheetName val="KL_PHÁT_SINH_1"/>
      <sheetName val="PS_NGOÀI_HĐ1"/>
      <sheetName val="GT_PHÁT_SINH_VƯỢT_HĐ1"/>
      <sheetName val="PS_TĂNG_GIẢM_TRONG_HĐ1"/>
      <sheetName val="DGCT_PHÁT_SINH1"/>
      <sheetName val="DGCT_TRẦN_NLV1"/>
      <sheetName val="DGKL_chi_tiết_NLV1"/>
      <sheetName val="DGKL_chi_tiết_NHN,NK1"/>
      <sheetName val="TG_KL1"/>
      <sheetName val="DGCT_SƠN_BẢ_TƯỜNG_NLV1"/>
      <sheetName val="DGKL_TRẦN_NHN1"/>
      <sheetName val="GV1-D13_(Casement_door)1"/>
      <sheetName val="built-up_rate1"/>
      <sheetName val="List_of_works1"/>
      <sheetName val="GEN_REQ1"/>
      <sheetName val="SD_and_START_UP1"/>
      <sheetName val="VT_NC_M1"/>
      <sheetName val="KHỐI_LƯỢNG_TB_-_newFormat1"/>
      <sheetName val="Bảng_Phân_Tích_Chi_Phí1"/>
      <sheetName val="Bang_chi_tiet-Direct_work1"/>
      <sheetName val="MTO_REV_01"/>
      <sheetName val="BOX(1_5X1_5)"/>
      <sheetName val="Cost_annalysis"/>
      <sheetName val="03__THGT"/>
      <sheetName val="CFA_Sumary"/>
      <sheetName val="List_Retention_(Contract)1"/>
      <sheetName val="List_AP_(Contract)1"/>
      <sheetName val="Progress_nstallaton_(2)1"/>
      <sheetName val="Thoat_nuoc"/>
      <sheetName val="MEP_Building"/>
      <sheetName val="Bang_TT"/>
      <sheetName val="worksheet_inchican"/>
      <sheetName val="combined_9-30"/>
      <sheetName val="DS_CHU_Ph_x001"/>
      <sheetName val="DS_CHU_Ph1"/>
      <sheetName val="DS_CHU_Ph?1"/>
      <sheetName val="DS_CHU_Ph_1"/>
      <sheetName val="Cao_TN"/>
      <sheetName val="ĐỔ_BT_5"/>
      <sheetName val="CPDD_II"/>
      <sheetName val="NT_CAO_DO"/>
      <sheetName val="Thống_kê"/>
      <sheetName val="Tongke_Thu_hoi"/>
      <sheetName val="Tong_hop_cpc"/>
      <sheetName val="Tủ_điện"/>
      <sheetName val="CT_mong"/>
      <sheetName val="Phu_Lg"/>
      <sheetName val="TP_TNguyen"/>
      <sheetName val="TP_Thái_Nguyên"/>
      <sheetName val="Đội_110"/>
      <sheetName val="Floor"/>
      <sheetName val="프랜트면허"/>
      <sheetName val="토목주소"/>
      <sheetName val="Quarterly_4"/>
      <sheetName val="SCADA_PRICE(WTP)"/>
      <sheetName val="KUNGDEVI"/>
      <sheetName val="gia_vt"/>
      <sheetName val="1_BILL_MOI_THAU_CAN_THUONG"/>
      <sheetName val="Block_A-FlrBm(Conc&amp;Fwk)"/>
      <sheetName val="Char"/>
      <sheetName val="SCOPE_OF_WORK"/>
      <sheetName val="KTCK"/>
      <sheetName val="_견적서"/>
      <sheetName val="1__Dashboard"/>
      <sheetName val="Utilities"/>
      <sheetName val="Civil_B1"/>
      <sheetName val="Civil_B4"/>
      <sheetName val="CONSOIDATE_4"/>
      <sheetName val="CONSOIDATE_2"/>
      <sheetName val="1CT-CAUTHANG-TT-T13(TRIU)&lt;16&gt;16"/>
      <sheetName val="3,CT-CAUTHANG-T23-24&gt;50"/>
      <sheetName val="THKP957"/>
      <sheetName val="Đầu_vào"/>
      <sheetName val="도로경계단위"/>
      <sheetName val="6823_PS_17007"/>
      <sheetName val="PU_ITALY_7"/>
      <sheetName val="Vat_tu5"/>
      <sheetName val="Canopy,SS5_(2)5"/>
      <sheetName val="RAB_AR&amp;STR5"/>
      <sheetName val="THCP_Lap_dat5"/>
      <sheetName val="THCP_xay_dung5"/>
      <sheetName val="D&amp;W_def_4"/>
      <sheetName val="Gioi_thieu4"/>
      <sheetName val="Du_Toan4"/>
      <sheetName val="he_so4"/>
      <sheetName val="KH_tai_chinh_khoa_san4"/>
      <sheetName val="STRUCTURE_Q'TY4"/>
      <sheetName val="REMAIN_Q'TY_-_SUB4"/>
      <sheetName val="Nhan_cong4"/>
      <sheetName val="Thiet_bi4"/>
      <sheetName val="DM_ChiPhi4"/>
      <sheetName val="May_TC4"/>
      <sheetName val="Phan_tich4"/>
      <sheetName val="Bang_KL4"/>
      <sheetName val="TH_Kinh_phi4"/>
      <sheetName val="T_K4"/>
      <sheetName val="B3A_-_TOWER_A4"/>
      <sheetName val="Giá_Bê_tông_2_bên4"/>
      <sheetName val="Phan_tich_tong_hop4"/>
      <sheetName val="MAIN_GATE_HOUSE4"/>
      <sheetName val="Chiet_tinh_dz354"/>
      <sheetName val="DON_GIA4"/>
      <sheetName val="CHITIET_VL-NC4"/>
      <sheetName val="dongia_(2)4"/>
      <sheetName val="THPDMoi__(2)4"/>
      <sheetName val="t-h_HA_THE4"/>
      <sheetName val="CHITIET_VL-NC-TT_-1p4"/>
      <sheetName val="TONG_HOP_VL-NC_TT4"/>
      <sheetName val="TH_XL4"/>
      <sheetName val="CHITIET_VL-NC-TT-3p4"/>
      <sheetName val="KPVC-BD_4"/>
      <sheetName val="TONG_HOP_VL-NC4"/>
      <sheetName val="TONGKE3p_4"/>
      <sheetName val="TH_VL,_NC,_DDHT_Thanhphuoc4"/>
      <sheetName val="DG_duoi4"/>
      <sheetName val="6PILE__(돌출)4"/>
      <sheetName val="Office_Tower4"/>
      <sheetName val="Chenh_lech_vat_tu4"/>
      <sheetName val="Chi_tiết_Goc_-AB4"/>
      <sheetName val="UNIT_PRICE4"/>
      <sheetName val="Tien_do_TV4"/>
      <sheetName val="CP_Du_phong4"/>
      <sheetName val="Tong_hop_kinh_phi4"/>
      <sheetName val="THDT_goi_thau_TB4"/>
      <sheetName val="BTT_(CAT_COC)4"/>
      <sheetName val="Đơn_Giá_4"/>
      <sheetName val="1_R18_BF4"/>
      <sheetName val="6_External_works-R184"/>
      <sheetName val="MTO_REV_2(ARMOR)4"/>
      <sheetName val="Sàn_T14"/>
      <sheetName val="Lỗ_thông_gió4"/>
      <sheetName val="Cash_Flow4"/>
      <sheetName val="TH_Vat_tu3"/>
      <sheetName val="TH_MTC3"/>
      <sheetName val="TH_N_Cong3"/>
      <sheetName val="Electrical_Breakdown3"/>
      <sheetName val="Tho_lai_may4"/>
      <sheetName val="Don_gia_LD4"/>
      <sheetName val="Du_toan_XD4"/>
      <sheetName val="Don_gia_XD4"/>
      <sheetName val="Div26_-_Elect4"/>
      <sheetName val="Gia__vat_tu4"/>
      <sheetName val="Tong_hop3"/>
      <sheetName val="설치중량_4"/>
      <sheetName val="수문일위_4"/>
      <sheetName val="PTVT_(MAU)4"/>
      <sheetName val="4-Lane_bridge4"/>
      <sheetName val="아파트_4"/>
      <sheetName val="M_673"/>
      <sheetName val="Schedule_S-Curve_Revision#33"/>
      <sheetName val="KET_CAU_CT53"/>
      <sheetName val="Chiettinh_dz0,43"/>
      <sheetName val="Don_gia_(khong_in)3"/>
      <sheetName val="Chi_ti?t_Goc_-AB3"/>
      <sheetName val="khung_ten_TD3"/>
      <sheetName val="TLg_CN&amp;Laixe3"/>
      <sheetName val="TLg_CN&amp;Laixe_(2)3"/>
      <sheetName val="TLg_Laitau3"/>
      <sheetName val="TLg_Laitau_(2)3"/>
      <sheetName val="PT_ksat3"/>
      <sheetName val="LUONG_KS3"/>
      <sheetName val="VAT_LIEU3"/>
      <sheetName val="ranh_hong3"/>
      <sheetName val="THEP_TAM3"/>
      <sheetName val="THEP_HÌNH3"/>
      <sheetName val="THEP_HINH3"/>
      <sheetName val="XA_GO3"/>
      <sheetName val="BANG_TRA3"/>
      <sheetName val="Elec_LG3"/>
      <sheetName val="Bill_2_1_BOQ_ĐIỆN3"/>
      <sheetName val="BOQ_CAU_CAN3"/>
      <sheetName val="Tính_toàn_đào_đất3"/>
      <sheetName val="Khối_lượng_cốt_thép3"/>
      <sheetName val="Chi_tiết_chi_phí_chung3"/>
      <sheetName val="CP__SD_Điện3"/>
      <sheetName val="Chi_ti_t_Goc_-AB3"/>
      <sheetName val="Equip_2"/>
      <sheetName val="A1_CN2"/>
      <sheetName val="Hệ_số2"/>
      <sheetName val="Động_cơ2"/>
      <sheetName val="Currency_Rate2"/>
      <sheetName val="Ceiling_Height-_Schedule3"/>
      <sheetName val="COC-LAP_DAT3"/>
      <sheetName val="02-Lap_dat3"/>
      <sheetName val="Ngân_sách3"/>
      <sheetName val="09-Hoan_thien_nen3"/>
      <sheetName val="NVN_Hotel3"/>
      <sheetName val="list_VL3"/>
      <sheetName val="Trình_mẫu_VL3"/>
      <sheetName val="Nhap_VL3"/>
      <sheetName val="LIST_VLĐV3"/>
      <sheetName val="BB_VLDV3"/>
      <sheetName val="BB_VLDV_(multi)3"/>
      <sheetName val="nghiệm_thu_hoàn_thành3"/>
      <sheetName val="Báo_cáo_hiện_trường3"/>
      <sheetName val="Kế_hoạch_nghiệm_thu3"/>
      <sheetName val="Quy_trình3"/>
      <sheetName val="List_vữa3"/>
      <sheetName val="List_NT3"/>
      <sheetName val="BBNT_thô3"/>
      <sheetName val="Phân_tích3"/>
      <sheetName val="EIRR&gt;_22"/>
      <sheetName val="kinh_2"/>
      <sheetName val="1_Quotation(見積決裁書）_2"/>
      <sheetName val="2_Operation(実施計画書）2"/>
      <sheetName val="3_Summary_of_Cost_2"/>
      <sheetName val="4_Ｓｐｅｃｉａｌ_Material2"/>
      <sheetName val="6_Ｃｏｍｍｏｎ_Material2"/>
      <sheetName val="9_Indirect_budget2"/>
      <sheetName val="TOP_2"/>
      <sheetName val="Detail_E2"/>
      <sheetName val="1_Requisition(E)2"/>
      <sheetName val="Pasir_Panjang_100J2"/>
      <sheetName val="03_Detailed2"/>
      <sheetName val="01_Bid_Price_summary2"/>
      <sheetName val="MeKong_-_Penetration3"/>
      <sheetName val="Dist__Perform_-_Ctns_sales_in_3"/>
      <sheetName val="Dist__Perform_-_Value_sales_in3"/>
      <sheetName val="Dist__Perform_-_Value_sales_Ou3"/>
      <sheetName val="Head_Count3"/>
      <sheetName val="Sales_Result_For_Month3"/>
      <sheetName val="DS_CHU_Phuc3"/>
      <sheetName val="DS_THI_AT3"/>
      <sheetName val="Bien_Ban3"/>
      <sheetName val="BC_Ton_Kho_New2"/>
      <sheetName val="BC_Cua_GSBH_New2"/>
      <sheetName val="ESTI_2"/>
      <sheetName val="CT_Thang_Mo2"/>
      <sheetName val="CT__PL2"/>
      <sheetName val="Dgia_vat_tu2"/>
      <sheetName val="Don_gia_III2"/>
      <sheetName val="Bhyt_t12"/>
      <sheetName val="Leave_Statistic_Report3"/>
      <sheetName val="DS_CHU_Ph_x005f_x0001__x005f_x0000_2"/>
      <sheetName val="DS_CHU_Ph_x005f_x0001_?2"/>
      <sheetName val="DS_CHU_Ph_x005f_x0001_2"/>
      <sheetName val="DS_CHU_Ph_x005f_x0001__2"/>
      <sheetName val="Vat_tu_XD2"/>
      <sheetName val="DS_CHU_Ph_x005f_x005f_x005f_x0001__x005f_x005f_x2"/>
      <sheetName val="DS_CHU_Ph_x005f_x005f_x005f_x0001__2"/>
      <sheetName val="DS_CHU_Ph_x005f_x005f_x005f_x0001_2"/>
      <sheetName val="A1_8_NhIII_(1050k)2"/>
      <sheetName val="Nhan_cong_nhom_I2"/>
      <sheetName val="Luong_TT052"/>
      <sheetName val="10_VC_đ__ngắn2"/>
      <sheetName val="Nhap_VT_oto2"/>
      <sheetName val="0__Bìa2"/>
      <sheetName val="1__THONG_TIN_TT2"/>
      <sheetName val="Tiên_Lượng2"/>
      <sheetName val="THGT_TT_PL01&amp;022"/>
      <sheetName val="1__THGT-TT2"/>
      <sheetName val="1_1_THGT_MEP2"/>
      <sheetName val="1_2_THGT_PCCC2"/>
      <sheetName val="1_3_THGT_PL2"/>
      <sheetName val="2__BBNT_KLHT2"/>
      <sheetName val="4_2_THKL_PL022"/>
      <sheetName val="5_2_DGCT_PL022"/>
      <sheetName val="3__DGCT_MEP_+_PCCC_2"/>
      <sheetName val="3_1_DGCT_PL2"/>
      <sheetName val="DBỐC_ACMV2"/>
      <sheetName val="DB_CABLE2"/>
      <sheetName val="DB_ONG_CC_&amp;_CS2"/>
      <sheetName val="DB_CABLE_FA_+_SP2"/>
      <sheetName val="DB_ONG_SP_ELC2"/>
      <sheetName val="DB_CTN2"/>
      <sheetName val="Thong_tin2"/>
      <sheetName val="Danh_muc_NT_cong_viec2"/>
      <sheetName val="Danh_muc_NT_Giai_doan2"/>
      <sheetName val="Danh_muc_NT_Vat_lieu2"/>
      <sheetName val="ND_Nhat_ky2"/>
      <sheetName val="NT_cong_viec2"/>
      <sheetName val="KL_san_lap2"/>
      <sheetName val="luong_2"/>
      <sheetName val="BẢNG_ÁP_GIÁ_(in)2"/>
      <sheetName val="NT_(KL)_IN2"/>
      <sheetName val="DOM_D22"/>
      <sheetName val="nhà_ăn2"/>
      <sheetName val="Công_nhật2"/>
      <sheetName val="btkt_cột2"/>
      <sheetName val="Bill_rekap2"/>
      <sheetName val="hrs_&amp;_prg2"/>
      <sheetName val="TH_thiet_bi2"/>
      <sheetName val="TH_may_TC2"/>
      <sheetName val="Bang_phan_tich2"/>
      <sheetName val="DM_Chi_phi2"/>
      <sheetName val="CFA_(ME)2"/>
      <sheetName val="TỔNG_HỢP_KHỐI_LƯỢNG2"/>
      <sheetName val="NƯƠC_CẤP_TRỤC_+_TAY_NHÁNH2"/>
      <sheetName val="THONG_SO2"/>
      <sheetName val="Đơn_giá_chi_tiết_TN_392"/>
      <sheetName val="Cost_Report_Sum2"/>
      <sheetName val="GOC-KO_IN2"/>
      <sheetName val="Dầm_12"/>
      <sheetName val="Cọc_nhồi2"/>
      <sheetName val="Sheet1_(2)2"/>
      <sheetName val="XD_nhanh_32"/>
      <sheetName val="1__BCC_T03_20182"/>
      <sheetName val="2___BCC_T04_20182"/>
      <sheetName val="TK_SX1"/>
      <sheetName val="Scorp_of_work_(2)2"/>
      <sheetName val="SUM_(2)2"/>
      <sheetName val="CPC_(2)2"/>
      <sheetName val="A1_ELC_ok_2"/>
      <sheetName val="_A2_ELV_ok2"/>
      <sheetName val="A3_VAC_ok_2"/>
      <sheetName val="A4_PLB_ok2"/>
      <sheetName val="A5_FPS_ok2"/>
      <sheetName val="_B1_ELC__ok2"/>
      <sheetName val="B2_ELV_ok2"/>
      <sheetName val="B3_VAC_ok2"/>
      <sheetName val="B4_PLB_2"/>
      <sheetName val="B5_FPS_ok2"/>
      <sheetName val="C__SOFTWARE2"/>
      <sheetName val="D__OTHER2"/>
      <sheetName val="A1__ELC_PANEL2"/>
      <sheetName val="Sum_material2"/>
      <sheetName val="5_2_1_Đo_bóc_KL_OLK-102"/>
      <sheetName val="4_2_1_Đo_bóc_KL_OLK-062"/>
      <sheetName val="4_1_1_CHI_TIET_OLK-062"/>
      <sheetName val="Du_toan_truc_tiep_-_Bill_21"/>
      <sheetName val="DS_CHU_Ph_x005f_x0001__x01"/>
      <sheetName val="DS_CHU_Ph_x005f_x005f_x001"/>
      <sheetName val="Budget_Code2"/>
      <sheetName val="Luong_A32"/>
      <sheetName val="Luong_TT012"/>
      <sheetName val="DG_TN_TB_LE_(2)2"/>
      <sheetName val="TINH_GIA_-_SAN_XUAT_Vertico1"/>
      <sheetName val="Maker_List1"/>
      <sheetName val="REQUEST_BUILDER1"/>
      <sheetName val="Bang_cap1"/>
      <sheetName val="DSHD_DH1"/>
      <sheetName val="DTXD-DD_(2)1"/>
      <sheetName val="Cong_nợ1"/>
      <sheetName val="GA_151"/>
      <sheetName val="HÒA_XUÂN_II1"/>
      <sheetName val="LƯƠNG_YÊN1"/>
      <sheetName val="OCEAN_GATE1"/>
      <sheetName val="THÀNH_ĐÔ1"/>
      <sheetName val="Breakdown_(B)1"/>
      <sheetName val="Thép_phần_thô1"/>
      <sheetName val="HRG_BHN"/>
      <sheetName val="BOQ_DOME_G"/>
      <sheetName val="Phòng_4_SV"/>
      <sheetName val="Phòng_2_SV"/>
      <sheetName val="Phòng_bảo_vệ"/>
      <sheetName val="Hành_lang,_cầu_thang,_phòng_đện"/>
      <sheetName val="Thang_máng_và_cáp_điện_tủ_tầng"/>
      <sheetName val="Thiết_bị"/>
      <sheetName val="Chống_sét_và_tiếp_địa"/>
      <sheetName val="Đặt_chờ_báo_cháy"/>
      <sheetName val="Đặt_chờ_mạng"/>
      <sheetName val="BOQ_DOME_H"/>
      <sheetName val="GIÁ_HĐ_30_CĂN"/>
      <sheetName val="Tong_du_toan"/>
      <sheetName val="DGchitiet_"/>
      <sheetName val="CP_HMC"/>
      <sheetName val="CP_Khac_cuoc_VC"/>
      <sheetName val="Bang_chiet_tinh_TBA"/>
      <sheetName val="DS_CHU_Ph_x005f_x0001__x005f_x005f_x0"/>
      <sheetName val="KL_phat_sinh"/>
      <sheetName val="Bảng_nhân_công"/>
      <sheetName val="KHỐI_LƯỢNG_TB_-_newFormat"/>
      <sheetName val="DANH_MỤC_HỒ_SƠ"/>
      <sheetName val="GT_PHÁT_SINH_NGOÀI_HĐ"/>
      <sheetName val="KL_PHÁT_SINH_"/>
      <sheetName val="PS_NGOÀI_HĐ"/>
      <sheetName val="GT_PHÁT_SINH_VƯỢT_HĐ"/>
      <sheetName val="PS_TĂNG_GIẢM_TRONG_HĐ"/>
      <sheetName val="DGCT_PHÁT_SINH"/>
      <sheetName val="DGCT_TRẦN_NLV"/>
      <sheetName val="DGKL_chi_tiết_NLV"/>
      <sheetName val="DGKL_chi_tiết_NHN,NK"/>
      <sheetName val="TG_KL"/>
      <sheetName val="DGCT_SƠN_BẢ_TƯỜNG_NLV"/>
      <sheetName val="DGKL_TRẦN_NHN"/>
      <sheetName val="GV1-D13_(Casement_door)"/>
      <sheetName val="built-up_rate"/>
      <sheetName val="List_of_works"/>
      <sheetName val="GEN_REQ"/>
      <sheetName val="SD_and_START_UP"/>
      <sheetName val="VT_NC_M"/>
      <sheetName val="Luong_GT"/>
      <sheetName val="Bảng_Phân_Tích_Chi_Phí"/>
      <sheetName val="Bang_chi_tiet-Direct_work"/>
      <sheetName val="Div_13"/>
      <sheetName val="List_Retention_(Contract)"/>
      <sheetName val="List_AP_(Contract)"/>
      <sheetName val="Progress_nstallaton_(2)"/>
      <sheetName val="MTO_REV_0"/>
      <sheetName val="kinh_phí_XD"/>
      <sheetName val="2_O_PHAN_TICH"/>
      <sheetName val="D_WBS"/>
      <sheetName val="D_GIA"/>
      <sheetName val="D_INFOR"/>
      <sheetName val="D_TP_CONTRACT"/>
      <sheetName val="I_TP"/>
      <sheetName val="3_O_NGAN_SACH"/>
      <sheetName val="DAU_VAO"/>
      <sheetName val="5_Khoan"/>
      <sheetName val="1__TH"/>
      <sheetName val="Tai_trong"/>
      <sheetName val="Quarterly 4"/>
      <sheetName val="SCADA PRICE(WTP)"/>
      <sheetName val="gia vt"/>
      <sheetName val="1.BILL MOI THAU CAN THUONG"/>
      <sheetName val="Block A-FlrBm(Conc&amp;Fwk)"/>
      <sheetName val="SCOPE OF WORK"/>
      <sheetName val=" 견적서"/>
      <sheetName val="1. Dashboard"/>
      <sheetName val="CONSOIDATE 4"/>
      <sheetName val="CONSOIDATE 2"/>
      <sheetName val="Đầu vào"/>
      <sheetName val="kinh phí XD"/>
      <sheetName val="2_O_PHAN TICH"/>
      <sheetName val="3_O_NGAN SACH"/>
      <sheetName val="TVLIEU"/>
      <sheetName val="DATA DA"/>
      <sheetName val="DATA tổ"/>
      <sheetName val="truc tiep"/>
      <sheetName val="bill 5"/>
      <sheetName val="THCP Khao sat"/>
      <sheetName val="3,THCPXD-Tuyen"/>
      <sheetName val="Thông tin "/>
      <sheetName val="BS 8666-2005 + 272-05"/>
      <sheetName val="CB400-V"/>
      <sheetName val="CB240-T"/>
      <sheetName val="TCVN 1651-2008"/>
      <sheetName val="PYC lay mau K90"/>
      <sheetName val="PTDG duong"/>
      <sheetName val="KL10"/>
      <sheetName val="KL11"/>
      <sheetName val="KL12"/>
      <sheetName val="Inputdata"/>
      <sheetName val="list PQ"/>
      <sheetName val="Phan day"/>
      <sheetName val="M1"/>
      <sheetName val="입찰안"/>
      <sheetName val="평3"/>
      <sheetName val="KLDT DIEN"/>
      <sheetName val="Dinh muc CP KTCB khac"/>
      <sheetName val="Cst Pkg-Eden"/>
      <sheetName val="NNgung"/>
      <sheetName val="Sheet7"/>
      <sheetName val="집수정"/>
      <sheetName val="Daf 1"/>
      <sheetName val="Exe Sum"/>
      <sheetName val="SUM LO-BUIDING"/>
      <sheetName val="valeurs de base"/>
      <sheetName val="HDBR-T11"/>
      <sheetName val="Tiến độ công việc"/>
      <sheetName val="NSLCB"/>
      <sheetName val="ST Movment"/>
      <sheetName val="PIPES"/>
      <sheetName val="TEMP"/>
      <sheetName val="PTdam"/>
      <sheetName val="bang tien luong"/>
      <sheetName val="Hợp đồng gói 26"/>
      <sheetName val="By Product"/>
      <sheetName val="BQ-E20-02(Rp)"/>
      <sheetName val="기성내역"/>
      <sheetName val="Provisional Sum"/>
      <sheetName val="DMNT NON"/>
      <sheetName val="골조시행"/>
      <sheetName val="Measure 1306"/>
      <sheetName val="TienLuong"/>
      <sheetName val="6_1"/>
      <sheetName val="DG-1353-203"/>
      <sheetName val="Phan tich don gia de xuat - cau"/>
      <sheetName val="dtrong"/>
      <sheetName val="DOAM"/>
      <sheetName val="DS CHU Ph_x0001__x0000_"/>
      <sheetName val="DS_CHU_Ph_x0001_"/>
      <sheetName val="DS_CHU_Ph_x0001_1"/>
      <sheetName val="L1150"/>
      <sheetName val="5.Gia"/>
      <sheetName val="ValueList_Helper"/>
      <sheetName val="TH_TNHC_SCADA"/>
      <sheetName val="Luong xe, cau"/>
      <sheetName val="phu luc Thong tu 06"/>
      <sheetName val="BBNT KLHT"/>
      <sheetName val="PTDG_"/>
      <sheetName val="Ca_máy"/>
      <sheetName val="TH_khối_lượng_phải_làm"/>
      <sheetName val="THCP_Tuyen"/>
      <sheetName val="Du_lieu_CKN"/>
      <sheetName val="Bao_cao"/>
      <sheetName val="Muc_Luc"/>
      <sheetName val="Tra_cuu_79"/>
      <sheetName val="Lương_hưng_Yên_vùng_2"/>
      <sheetName val="Lương_Hà_Nam"/>
      <sheetName val="Ca_máy_Hà_Nam"/>
      <sheetName val="ca_máy_Hưng_Yên"/>
      <sheetName val="Lương_HN"/>
      <sheetName val="Lương_VP"/>
      <sheetName val="Ca_máy_HN"/>
      <sheetName val="Ca_máy_VP"/>
      <sheetName val="B1_CN"/>
      <sheetName val="Thuc_thanh"/>
      <sheetName val="3_1_1"/>
      <sheetName val="3_1_4"/>
      <sheetName val="2_5_1"/>
      <sheetName val="4_1_1"/>
      <sheetName val="4_3_2"/>
      <sheetName val="2_3_3"/>
      <sheetName val="5_3_1"/>
      <sheetName val="2_4_3"/>
      <sheetName val="Dinh_nghia"/>
      <sheetName val="DZ_35"/>
      <sheetName val="Process_(R)"/>
      <sheetName val="Process_(T)"/>
      <sheetName val="THCP_-_PA1"/>
      <sheetName val="THDT_goi_thau_XD"/>
      <sheetName val="THCP_thiet_bi"/>
      <sheetName val="Don_gia_tong_hop"/>
      <sheetName val="Du_thau_LD"/>
      <sheetName val="Du_thau_XD"/>
      <sheetName val="Du_toan_LD"/>
      <sheetName val="Gia_ca_may_LD"/>
      <sheetName val="Gia_ca_may_XD"/>
      <sheetName val="CP_mua_sam_TB"/>
      <sheetName val="Nhan_cong_LD"/>
      <sheetName val="Nhan_cong_XD"/>
      <sheetName val="Gia_vua_LD"/>
      <sheetName val="Gia_vua_XD"/>
      <sheetName val="Thong_ke_thep"/>
      <sheetName val="TH_vat_tu_LD"/>
      <sheetName val="TH_vat_tu_XD"/>
      <sheetName val="Gia_vat_lieu_HTLD"/>
      <sheetName val="Gia_vat_lieu_HTXD"/>
      <sheetName val="Dự_thầu_(NS1)"/>
      <sheetName val="Mẫu_số_21a"/>
      <sheetName val="간접비_계정목록"/>
      <sheetName val="Don_gia_1_ngay_cong_môi_trường"/>
      <sheetName val="Tong_hop_vat_tu"/>
      <sheetName val="Phan_tich_ca_may"/>
      <sheetName val="Chenh_lech_ca_may"/>
      <sheetName val="KH_2010_PA2"/>
      <sheetName val="van_khuon"/>
      <sheetName val="Doanh_thu_(Liveline_PA1)"/>
      <sheetName val="Chiet_tinh_dz22"/>
      <sheetName val="bluong"/>
      <sheetName val="Pack-3"/>
      <sheetName val="QUOTATION (2)"/>
      <sheetName val="Gia_NC_theo_QD_2207-QD-UBND"/>
      <sheetName val="Nhan_cong_nhom_II"/>
      <sheetName val="TDTKP_(2)"/>
      <sheetName val="CHITIET_VL-NC-DDTT3PHA_"/>
      <sheetName val="CHITIET_VL-NC-TT1p"/>
      <sheetName val="Du_lieu1"/>
      <sheetName val="4_3_Scope_of_work_"/>
      <sheetName val="__QUOTATION_xlsx"/>
      <sheetName val="Lương_1900nhóm_I"/>
      <sheetName val="1900_nhóm_II"/>
      <sheetName val="Lương_2000nhómII"/>
      <sheetName val="Máy_Ngân_Sơn"/>
      <sheetName val="Giá_VL"/>
      <sheetName val="Don_gia_chi_tiet"/>
      <sheetName val="LK-0_4"/>
      <sheetName val="6_GIA"/>
      <sheetName val="Chiet_tinh_don_gia"/>
      <sheetName val="Cua_Phang_Tran"/>
      <sheetName val="BCVC__"/>
      <sheetName val="May_Goc_(QD2436)"/>
      <sheetName val="Danh_mục_HS"/>
      <sheetName val="Huong_dan"/>
      <sheetName val="DAO_DAP_CONG"/>
      <sheetName val="KIEM_TOAN_(PC32)"/>
      <sheetName val="Chiet_giam"/>
      <sheetName val="Bang_chu"/>
      <sheetName val="Gia_vat_tu"/>
      <sheetName val="BL_A1_8-1_350"/>
      <sheetName val="NC_15"/>
      <sheetName val="Ca_may"/>
      <sheetName val="Cước_VC_+_ĐM_CP_Tư_vấn"/>
      <sheetName val="Phan_tich_don_gia_de_xuat_-_cau"/>
      <sheetName val="tt dz35"/>
      <sheetName val="Dinh Muc VT"/>
      <sheetName val="Thong so dau vao"/>
      <sheetName val="GIA CA MAY"/>
      <sheetName val="Thép Cột Cũ"/>
      <sheetName val="CheckList"/>
      <sheetName val="22"/>
      <sheetName val="23"/>
      <sheetName val="24"/>
      <sheetName val="25"/>
      <sheetName val="DM2"/>
      <sheetName val="VN2"/>
      <sheetName val="6823_PS_17009"/>
      <sheetName val="PU_ITALY_9"/>
      <sheetName val="Gioi_thieu6"/>
      <sheetName val="Du_Toan6"/>
      <sheetName val="he_so6"/>
      <sheetName val="dongia_(2)6"/>
      <sheetName val="THPDMoi__(2)6"/>
      <sheetName val="TONG_HOP_VL-NC6"/>
      <sheetName val="TONGKE3p_6"/>
      <sheetName val="TH_VL,_NC,_DDHT_Thanhphuoc6"/>
      <sheetName val="DON_GIA6"/>
      <sheetName val="t-h_HA_THE6"/>
      <sheetName val="CHITIET_VL-NC-TT_-1p6"/>
      <sheetName val="TONG_HOP_VL-NC_TT6"/>
      <sheetName val="TH_XL6"/>
      <sheetName val="CHITIET_VL-NC6"/>
      <sheetName val="CHITIET_VL-NC-TT-3p6"/>
      <sheetName val="KPVC-BD_6"/>
      <sheetName val="Chi_tiết_Goc_-AB6"/>
      <sheetName val="PT_ksat5"/>
      <sheetName val="LUONG_KS5"/>
      <sheetName val="VAT_LIEU5"/>
      <sheetName val="ranh_hong5"/>
      <sheetName val="MTO_REV_2(ARMOR)6"/>
      <sheetName val="A1_8_NhIII_(1050k)4"/>
      <sheetName val="Nhan_cong_nhom_I4"/>
      <sheetName val="Luong_TT054"/>
      <sheetName val="10_VC_đ__ngắn4"/>
      <sheetName val="THCP_Lap_dat7"/>
      <sheetName val="THCP_xay_dung7"/>
      <sheetName val="Don_gia_XD6"/>
      <sheetName val="Du_toan_XD6"/>
      <sheetName val="Chi_tiet_ranh1"/>
      <sheetName val="Duong_Ngang1"/>
      <sheetName val="San_gia_co1"/>
      <sheetName val="Bien_Bao1"/>
      <sheetName val="Coc_tieu_-_Coc_H1"/>
      <sheetName val="CT_-THVLNC3"/>
      <sheetName val="Luong_A34"/>
      <sheetName val="Luong_TT014"/>
      <sheetName val="DG_TN_TB_LE_(2)4"/>
      <sheetName val="KH_tai_chinh_khoa_san6"/>
      <sheetName val="Chenh_lech_vat_tu6"/>
      <sheetName val="Chiet_tinh_dz356"/>
      <sheetName val="Chi_ti?t_Goc_-AB5"/>
      <sheetName val="Chi_ti_t_Goc_-AB5"/>
      <sheetName val="Chiet_tinh3"/>
      <sheetName val="san_dao3"/>
      <sheetName val="Ty_le3"/>
      <sheetName val="MAIN_GATE_HOUSE6"/>
      <sheetName val="Bang_cap3"/>
      <sheetName val="Electrical_Breakdown5"/>
      <sheetName val="Vat_tu7"/>
      <sheetName val="Canopy,SS5_(2)7"/>
      <sheetName val="RAB_AR&amp;STR7"/>
      <sheetName val="D&amp;W_def_6"/>
      <sheetName val="STRUCTURE_Q'TY6"/>
      <sheetName val="REMAIN_Q'TY_-_SUB6"/>
      <sheetName val="T_K6"/>
      <sheetName val="Nhan_cong6"/>
      <sheetName val="Thiet_bi6"/>
      <sheetName val="DM_ChiPhi6"/>
      <sheetName val="May_TC6"/>
      <sheetName val="Phan_tich6"/>
      <sheetName val="Bang_KL6"/>
      <sheetName val="TH_Kinh_phi6"/>
      <sheetName val="NC_1"/>
      <sheetName val="EIRR&gt;_24"/>
      <sheetName val="Luong_BN1"/>
      <sheetName val="Luong_TB1"/>
      <sheetName val="Ca_may_TB1"/>
      <sheetName val="Máy_BN1"/>
      <sheetName val="C_BI_DAO1"/>
      <sheetName val="DSHD_DH3"/>
      <sheetName val="So_lieu1"/>
      <sheetName val="LTT__TT01_2015_BXD1"/>
      <sheetName val="Đơn_giá_NC_TT01_20151"/>
      <sheetName val="Đơn_giá_ca_máy_theo_TT06_20101"/>
      <sheetName val="ĐM6060_2008(Lap_dat_TBA)1"/>
      <sheetName val="ĐM228__2015(suachua)1"/>
      <sheetName val="ĐM39_2005(T_N_đien_ĐZ&amp;TBA)1"/>
      <sheetName val="ĐM01_2000(thinghiem_ĐZTTĐL)1"/>
      <sheetName val="Đon_gia_thi_nghiem_ĐZ&amp;TBA1"/>
      <sheetName val="Đon_gia_228_sua_chua1"/>
      <sheetName val="các_máy_chưa_có_trong_TT_061"/>
      <sheetName val="Cuoc_van_chuyen1"/>
      <sheetName val="GIA_VT_03-20191"/>
      <sheetName val="Tien_do_TV6"/>
      <sheetName val="CP_Du_phong6"/>
      <sheetName val="Tong_hop_kinh_phi6"/>
      <sheetName val="THDT_goi_thau_TB6"/>
      <sheetName val="PTDG_1"/>
      <sheetName val="Ca_máy1"/>
      <sheetName val="TH_khối_lượng_phải_làm1"/>
      <sheetName val="Muc_Luc1"/>
      <sheetName val="THCP_Tuyen1"/>
      <sheetName val="Du_lieu_CKN1"/>
      <sheetName val="A1_CN4"/>
      <sheetName val="Tủ_điện1"/>
      <sheetName val="CT_mong1"/>
      <sheetName val="Phu_Lg1"/>
      <sheetName val="TP_TNguyen1"/>
      <sheetName val="TP_Thái_Nguyên1"/>
      <sheetName val="Đội_1101"/>
      <sheetName val="CT_Thang_Mo4"/>
      <sheetName val="CT__PL4"/>
      <sheetName val="B3A_-_TOWER_A6"/>
      <sheetName val="UNIT_PRICE6"/>
      <sheetName val="Office_Tower6"/>
      <sheetName val="Giá_Bê_tông_2_bên6"/>
      <sheetName val="DG_duoi6"/>
      <sheetName val="6PILE__(돌출)6"/>
      <sheetName val="Đơn_Giá_6"/>
      <sheetName val="1_R18_BF6"/>
      <sheetName val="6_External_works-R186"/>
      <sheetName val="Phan_tich_tong_hop6"/>
      <sheetName val="Sàn_T16"/>
      <sheetName val="Lỗ_thông_gió6"/>
      <sheetName val="CT_DZ1"/>
      <sheetName val="Tong_hop_cpc1"/>
      <sheetName val="MeKong_-_Penetration5"/>
      <sheetName val="Dist__Perform_-_Ctns_sales_in_5"/>
      <sheetName val="Dist__Perform_-_Value_sales_in5"/>
      <sheetName val="Dist__Perform_-_Value_sales_Ou5"/>
      <sheetName val="Head_Count5"/>
      <sheetName val="Sales_Result_For_Month5"/>
      <sheetName val="DS_CHU_Phuc5"/>
      <sheetName val="DS_THI_AT5"/>
      <sheetName val="Bien_Ban5"/>
      <sheetName val="BC_Ton_Kho_New4"/>
      <sheetName val="BC_Cua_GSBH_New4"/>
      <sheetName val="ESTI_4"/>
      <sheetName val="Dgia_vat_tu4"/>
      <sheetName val="Don_gia_III4"/>
      <sheetName val="Bhyt_t14"/>
      <sheetName val="Leave_Statistic_Report5"/>
      <sheetName val="DS_CHU_Ph_x005f_x0001__x005f_x0000_4"/>
      <sheetName val="DS_CHU_Ph_x005f_x0001_?4"/>
      <sheetName val="DS_CHU_Ph_x005f_x0001_4"/>
      <sheetName val="DS_CHU_Ph_x005f_x0001__4"/>
      <sheetName val="Vat_tu_XD4"/>
      <sheetName val="DS_CHU_Ph_x005f_x005f_x005f_x0001__x005f_x005f_x4"/>
      <sheetName val="DS_CHU_Ph_x005f_x005f_x005f_x0001__4"/>
      <sheetName val="DS_CHU_Ph_x005f_x005f_x005f_x0001_4"/>
      <sheetName val="Bang_chiet_tinh_TBA2"/>
      <sheetName val="Div26_-_Elect6"/>
      <sheetName val="Hệ_số4"/>
      <sheetName val="Động_cơ4"/>
      <sheetName val="Currency_Rate4"/>
      <sheetName val="BTT_(CAT_COC)6"/>
      <sheetName val="Cash_Flow6"/>
      <sheetName val="Tho_lai_may6"/>
      <sheetName val="Don_gia_LD6"/>
      <sheetName val="Gia__vat_tu6"/>
      <sheetName val="Tong_hop5"/>
      <sheetName val="TH_Vat_tu5"/>
      <sheetName val="TH_MTC5"/>
      <sheetName val="TH_N_Cong5"/>
      <sheetName val="설치중량_6"/>
      <sheetName val="수문일위_6"/>
      <sheetName val="PTVT_(MAU)6"/>
      <sheetName val="4-Lane_bridge6"/>
      <sheetName val="아파트_6"/>
      <sheetName val="M_675"/>
      <sheetName val="Schedule_S-Curve_Revision#35"/>
      <sheetName val="KET_CAU_CT55"/>
      <sheetName val="TLg_CN&amp;Laixe5"/>
      <sheetName val="TLg_CN&amp;Laixe_(2)5"/>
      <sheetName val="TLg_Laitau5"/>
      <sheetName val="TLg_Laitau_(2)5"/>
      <sheetName val="Don_gia_(khong_in)5"/>
      <sheetName val="khung_ten_TD5"/>
      <sheetName val="Elec_LG5"/>
      <sheetName val="1_Quotation(見積決裁書）_4"/>
      <sheetName val="2_Operation(実施計画書）4"/>
      <sheetName val="3_Summary_of_Cost_4"/>
      <sheetName val="4_Ｓｐｅｃｉａｌ_Material4"/>
      <sheetName val="6_Ｃｏｍｍｏｎ_Material4"/>
      <sheetName val="9_Indirect_budget4"/>
      <sheetName val="TOP_4"/>
      <sheetName val="Detail_E4"/>
      <sheetName val="1_Requisition(E)4"/>
      <sheetName val="Chiettinh_dz0,45"/>
      <sheetName val="THEP_TAM5"/>
      <sheetName val="THEP_HÌNH5"/>
      <sheetName val="THEP_HINH5"/>
      <sheetName val="XA_GO5"/>
      <sheetName val="BANG_TRA5"/>
      <sheetName val="Bill_2_1_BOQ_ĐIỆN5"/>
      <sheetName val="BOQ_CAU_CAN5"/>
      <sheetName val="Tính_toàn_đào_đất5"/>
      <sheetName val="Khối_lượng_cốt_thép5"/>
      <sheetName val="Chi_tiết_chi_phí_chung5"/>
      <sheetName val="CP__SD_Điện5"/>
      <sheetName val="kinh_4"/>
      <sheetName val="03_Detailed4"/>
      <sheetName val="01_Bid_Price_summary4"/>
      <sheetName val="Scorp_of_work_(2)4"/>
      <sheetName val="SUM_(2)4"/>
      <sheetName val="CPC_(2)4"/>
      <sheetName val="A1_ELC_ok_4"/>
      <sheetName val="_A2_ELV_ok4"/>
      <sheetName val="A3_VAC_ok_4"/>
      <sheetName val="A4_PLB_ok4"/>
      <sheetName val="A5_FPS_ok4"/>
      <sheetName val="_B1_ELC__ok4"/>
      <sheetName val="B2_ELV_ok4"/>
      <sheetName val="B3_VAC_ok4"/>
      <sheetName val="B4_PLB_4"/>
      <sheetName val="B5_FPS_ok4"/>
      <sheetName val="C__SOFTWARE4"/>
      <sheetName val="D__OTHER4"/>
      <sheetName val="A1__ELC_PANEL4"/>
      <sheetName val="Sum_material4"/>
      <sheetName val="list_VL5"/>
      <sheetName val="Trình_mẫu_VL5"/>
      <sheetName val="Nhap_VL5"/>
      <sheetName val="LIST_VLĐV5"/>
      <sheetName val="BB_VLDV5"/>
      <sheetName val="BB_VLDV_(multi)5"/>
      <sheetName val="nghiệm_thu_hoàn_thành5"/>
      <sheetName val="Báo_cáo_hiện_trường5"/>
      <sheetName val="Kế_hoạch_nghiệm_thu5"/>
      <sheetName val="Quy_trình5"/>
      <sheetName val="List_vữa5"/>
      <sheetName val="List_NT5"/>
      <sheetName val="BBNT_thô5"/>
      <sheetName val="NVN_Hotel5"/>
      <sheetName val="Ceiling_Height-_Schedule5"/>
      <sheetName val="COC-LAP_DAT5"/>
      <sheetName val="02-Lap_dat5"/>
      <sheetName val="Ngân_sách5"/>
      <sheetName val="09-Hoan_thien_nen5"/>
      <sheetName val="Equip_4"/>
      <sheetName val="Phân_tích5"/>
      <sheetName val="Nhap_VT_oto4"/>
      <sheetName val="0__Bìa4"/>
      <sheetName val="1__THONG_TIN_TT4"/>
      <sheetName val="Tiên_Lượng4"/>
      <sheetName val="THGT_TT_PL01&amp;024"/>
      <sheetName val="1__THGT-TT4"/>
      <sheetName val="1_1_THGT_MEP4"/>
      <sheetName val="1_2_THGT_PCCC4"/>
      <sheetName val="1_3_THGT_PL4"/>
      <sheetName val="2__BBNT_KLHT4"/>
      <sheetName val="4_2_THKL_PL024"/>
      <sheetName val="5_2_DGCT_PL024"/>
      <sheetName val="3__DGCT_MEP_+_PCCC_4"/>
      <sheetName val="3_1_DGCT_PL4"/>
      <sheetName val="DBỐC_ACMV4"/>
      <sheetName val="DB_CABLE4"/>
      <sheetName val="DB_ONG_CC_&amp;_CS4"/>
      <sheetName val="DB_CABLE_FA_+_SP4"/>
      <sheetName val="DB_ONG_SP_ELC4"/>
      <sheetName val="DB_CTN4"/>
      <sheetName val="Pasir_Panjang_100J4"/>
      <sheetName val="TỔNG_HỢP_KHỐI_LƯỢNG4"/>
      <sheetName val="NƯƠC_CẤP_TRỤC_+_TAY_NHÁNH4"/>
      <sheetName val="KL_san_lap4"/>
      <sheetName val="Budget_Code4"/>
      <sheetName val="BẢNG_ÁP_GIÁ_(in)4"/>
      <sheetName val="NT_(KL)_IN4"/>
      <sheetName val="DOM_D24"/>
      <sheetName val="nhà_ăn4"/>
      <sheetName val="Công_nhật4"/>
      <sheetName val="btkt_cột4"/>
      <sheetName val="hrs_&amp;_prg4"/>
      <sheetName val="TH_thiet_bi4"/>
      <sheetName val="TH_may_TC4"/>
      <sheetName val="Bang_phan_tich4"/>
      <sheetName val="DM_Chi_phi4"/>
      <sheetName val="luong_4"/>
      <sheetName val="Bill_rekap4"/>
      <sheetName val="Cost_Report_Sum4"/>
      <sheetName val="CFA_(ME)4"/>
      <sheetName val="GOC-KO_IN4"/>
      <sheetName val="THONG_SO4"/>
      <sheetName val="Đơn_giá_chi_tiết_TN_394"/>
      <sheetName val="Thong_tin4"/>
      <sheetName val="Danh_muc_NT_cong_viec4"/>
      <sheetName val="Danh_muc_NT_Giai_doan4"/>
      <sheetName val="Danh_muc_NT_Vat_lieu4"/>
      <sheetName val="ND_Nhat_ky4"/>
      <sheetName val="NT_cong_viec4"/>
      <sheetName val="Sheet1_(2)4"/>
      <sheetName val="Dầm_14"/>
      <sheetName val="Cọc_nhồi4"/>
      <sheetName val="1__BCC_T03_20184"/>
      <sheetName val="2___BCC_T04_20184"/>
      <sheetName val="XD_nhanh_34"/>
      <sheetName val="5_2_1_Đo_bóc_KL_OLK-104"/>
      <sheetName val="4_2_1_Đo_bóc_KL_OLK-064"/>
      <sheetName val="4_1_1_CHI_TIET_OLK-064"/>
      <sheetName val="TK_SX3"/>
      <sheetName val="TINH_GIA_-_SAN_XUAT_Vertico3"/>
      <sheetName val="Lương_hưng_Yên_vùng_21"/>
      <sheetName val="Lương_Hà_Nam1"/>
      <sheetName val="Ca_máy_Hà_Nam1"/>
      <sheetName val="ca_máy_Hưng_Yên1"/>
      <sheetName val="Lương_HN1"/>
      <sheetName val="Lương_VP1"/>
      <sheetName val="Ca_máy_HN1"/>
      <sheetName val="Ca_máy_VP1"/>
      <sheetName val="Tra_cuu_791"/>
      <sheetName val="B1_CN1"/>
      <sheetName val="Maker_List3"/>
      <sheetName val="REQUEST_BUILDER3"/>
      <sheetName val="Thuc_thanh1"/>
      <sheetName val="DS_CHU_Ph_x005f_x0001__x03"/>
      <sheetName val="DS_CHU_Ph_x005f_x005f_x003"/>
      <sheetName val="Du_toan_truc_tiep_-_Bill_23"/>
      <sheetName val="DTXD-DD_(2)3"/>
      <sheetName val="HRG_BHN2"/>
      <sheetName val="MTO_REV_02"/>
      <sheetName val="Bao_cao1"/>
      <sheetName val="Dinh_nghia1"/>
      <sheetName val="DZ_351"/>
      <sheetName val="Process_(R)1"/>
      <sheetName val="Process_(T)1"/>
      <sheetName val="THCP_-_PA11"/>
      <sheetName val="THDT_goi_thau_XD1"/>
      <sheetName val="DAU_VAO1"/>
      <sheetName val="5_Khoan1"/>
      <sheetName val="1__TH1"/>
      <sheetName val="3_1_11"/>
      <sheetName val="3_1_41"/>
      <sheetName val="2_5_11"/>
      <sheetName val="4_1_11"/>
      <sheetName val="4_3_21"/>
      <sheetName val="2_3_31"/>
      <sheetName val="5_3_11"/>
      <sheetName val="2_4_31"/>
      <sheetName val="Cong_nợ3"/>
      <sheetName val="GA_153"/>
      <sheetName val="HÒA_XUÂN_II3"/>
      <sheetName val="LƯƠNG_YÊN3"/>
      <sheetName val="OCEAN_GATE3"/>
      <sheetName val="THÀNH_ĐÔ3"/>
      <sheetName val="6_11"/>
      <sheetName val="Breakdown_(B)3"/>
      <sheetName val="Thép_phần_thô3"/>
      <sheetName val="Tong_du_toan2"/>
      <sheetName val="DGchitiet_2"/>
      <sheetName val="CP_HMC2"/>
      <sheetName val="CP_Khac_cuoc_VC2"/>
      <sheetName val="BOQ_DOME_G2"/>
      <sheetName val="Phòng_4_SV2"/>
      <sheetName val="Phòng_2_SV2"/>
      <sheetName val="Phòng_bảo_vệ2"/>
      <sheetName val="Hành_lang,_cầu_thang,_phòng_đệ2"/>
      <sheetName val="Thang_máng_và_cáp_điện_tủ_tầng2"/>
      <sheetName val="Thiết_bị2"/>
      <sheetName val="Chống_sét_và_tiếp_địa2"/>
      <sheetName val="Đặt_chờ_báo_cháy2"/>
      <sheetName val="Đặt_chờ_mạng2"/>
      <sheetName val="BOQ_DOME_H2"/>
      <sheetName val="GIÁ_HĐ_30_CĂN2"/>
      <sheetName val="Luong_GT2"/>
      <sheetName val="Bảng_nhân_công2"/>
      <sheetName val="DS_CHU_Ph_x005f_x0001__x005f_x005f_x02"/>
      <sheetName val="KL_phat_sinh2"/>
      <sheetName val="Mẫu_số_21a1"/>
      <sheetName val="THCP_thiet_bi1"/>
      <sheetName val="Don_gia_tong_hop1"/>
      <sheetName val="Du_thau_LD1"/>
      <sheetName val="Du_thau_XD1"/>
      <sheetName val="Du_toan_LD1"/>
      <sheetName val="Gia_ca_may_LD1"/>
      <sheetName val="Gia_ca_may_XD1"/>
      <sheetName val="CP_mua_sam_TB1"/>
      <sheetName val="Nhan_cong_LD1"/>
      <sheetName val="Nhan_cong_XD1"/>
      <sheetName val="Gia_vua_LD1"/>
      <sheetName val="Gia_vua_XD1"/>
      <sheetName val="Thong_ke_thep1"/>
      <sheetName val="TH_vat_tu_LD1"/>
      <sheetName val="TH_vat_tu_XD1"/>
      <sheetName val="Gia_vat_lieu_HTLD1"/>
      <sheetName val="Gia_vat_lieu_HTXD1"/>
      <sheetName val="Dự_thầu_(NS1)1"/>
      <sheetName val="Doanh_thu_(Liveline_PA1)1"/>
      <sheetName val="Chiet_tinh_dz221"/>
      <sheetName val="Gia_NC_theo_QD_2207-QD-UBND1"/>
      <sheetName val="Nhan_cong_nhom_II1"/>
      <sheetName val="Don_gia_1_ngay_cong_môi_trường1"/>
      <sheetName val="Tong_hop_vat_tu1"/>
      <sheetName val="Phan_tich_ca_may1"/>
      <sheetName val="Chenh_lech_ca_may1"/>
      <sheetName val="KH_2010_PA21"/>
      <sheetName val="van_khuon1"/>
      <sheetName val="간접비_계정목록1"/>
      <sheetName val="MTO_REV_03"/>
      <sheetName val="TDTKP_(2)1"/>
      <sheetName val="CHITIET_VL-NC-DDTT3PHA_1"/>
      <sheetName val="CHITIET_VL-NC-TT1p1"/>
      <sheetName val="Du_lieu2"/>
      <sheetName val="4_3_Scope_of_work_1"/>
      <sheetName val="__QUOTATION_xlsx1"/>
      <sheetName val="Tongke_Thu_hoi1"/>
      <sheetName val="Huong_dan1"/>
      <sheetName val="KIEM_TOAN_(PC32)1"/>
      <sheetName val="Chiet_giam1"/>
      <sheetName val="DAO_DAP_CONG1"/>
      <sheetName val="Bang_chu1"/>
      <sheetName val="Lương_1900nhóm_I1"/>
      <sheetName val="1900_nhóm_II1"/>
      <sheetName val="Lương_2000nhómII1"/>
      <sheetName val="Máy_Ngân_Sơn1"/>
      <sheetName val="Giá_VL1"/>
      <sheetName val="Danh_mục_HS1"/>
      <sheetName val="LK-0_41"/>
      <sheetName val="Gia_vat_tu1"/>
      <sheetName val="6_GIA1"/>
      <sheetName val="BCVC__1"/>
      <sheetName val="May_Goc_(QD2436)1"/>
      <sheetName val="Chiet_tinh_don_gia1"/>
      <sheetName val="Cua_Phang_Tran1"/>
      <sheetName val="Don_gia_chi_tiet1"/>
      <sheetName val="BL_A1_8-1_3501"/>
      <sheetName val="THCP_TT09"/>
      <sheetName val="Giá_tháng"/>
      <sheetName val="NC_151"/>
      <sheetName val="Ca_may1"/>
      <sheetName val="Cước_VC_+_ĐM_CP_Tư_vấn1"/>
      <sheetName val="1,TMĐT_"/>
      <sheetName val="Nghỉ_lễ"/>
      <sheetName val="Tai_trong1"/>
      <sheetName val="Diện_tích_sàn_TT2-GB"/>
      <sheetName val="TH_KL_thô_"/>
      <sheetName val="KL_XÂY_TT2-GB"/>
      <sheetName val="Phan_tich_don_gia_de_xuat_-_ca1"/>
      <sheetName val="truc_tiep"/>
      <sheetName val="bill_5"/>
      <sheetName val="_SMU_Table_(2)"/>
      <sheetName val="F_A__Data_Validation_Inputs"/>
      <sheetName val="basic_data"/>
      <sheetName val="Lookup_Tables"/>
      <sheetName val="Drop_Down_Listings"/>
      <sheetName val="Div_132"/>
      <sheetName val="DANH_MỤC_HỒ_SƠ2"/>
      <sheetName val="GT_PHÁT_SINH_NGOÀI_HĐ2"/>
      <sheetName val="KL_PHÁT_SINH_2"/>
      <sheetName val="PS_NGOÀI_HĐ2"/>
      <sheetName val="GT_PHÁT_SINH_VƯỢT_HĐ2"/>
      <sheetName val="PS_TĂNG_GIẢM_TRONG_HĐ2"/>
      <sheetName val="DGCT_PHÁT_SINH2"/>
      <sheetName val="DGCT_TRẦN_NLV2"/>
      <sheetName val="DGKL_chi_tiết_NLV2"/>
      <sheetName val="DGKL_chi_tiết_NHN,NK2"/>
      <sheetName val="TG_KL2"/>
      <sheetName val="DGCT_SƠN_BẢ_TƯỜNG_NLV2"/>
      <sheetName val="DGKL_TRẦN_NHN2"/>
      <sheetName val="GV1-D13_(Casement_door)2"/>
      <sheetName val="built-up_rate2"/>
      <sheetName val="List_of_works2"/>
      <sheetName val="GEN_REQ2"/>
      <sheetName val="SD_and_START_UP2"/>
      <sheetName val="VT_NC_M2"/>
      <sheetName val="KHỐI_LƯỢNG_TB_-_newFormat2"/>
      <sheetName val="Bảng_Phân_Tích_Chi_Phí2"/>
      <sheetName val="Bang_chi_tiet-Direct_work2"/>
      <sheetName val="BOX(1_5X1_5)1"/>
      <sheetName val="Cost_annalysis1"/>
      <sheetName val="03__THGT1"/>
      <sheetName val="CFA_Sumary1"/>
      <sheetName val="List_Retention_(Contract)2"/>
      <sheetName val="List_AP_(Contract)2"/>
      <sheetName val="Progress_nstallaton_(2)2"/>
      <sheetName val="Thoat_nuoc1"/>
      <sheetName val="MEP_Building1"/>
      <sheetName val="Bang_TT1"/>
      <sheetName val="worksheet_inchican1"/>
      <sheetName val="combined_9-301"/>
      <sheetName val="DS_CHU_Ph_x002"/>
      <sheetName val="Cao_TN1"/>
      <sheetName val="ĐỔ_BT_51"/>
      <sheetName val="CPDD_II1"/>
      <sheetName val="NT_CAO_DO1"/>
      <sheetName val="Thống_kê1"/>
      <sheetName val="Quarterly_41"/>
      <sheetName val="SCADA_PRICE(WTP)1"/>
      <sheetName val="gia_vt1"/>
      <sheetName val="1_BILL_MOI_THAU_CAN_THUONG1"/>
      <sheetName val="Block_A-FlrBm(Conc&amp;Fwk)1"/>
      <sheetName val="SCOPE_OF_WORK1"/>
      <sheetName val="_견적서1"/>
      <sheetName val="1__Dashboard1"/>
      <sheetName val="CONSOIDATE_41"/>
      <sheetName val="CONSOIDATE_21"/>
      <sheetName val="Đầu_vào1"/>
      <sheetName val="kinh_phí_XD1"/>
      <sheetName val="2_O_PHAN_TICH1"/>
      <sheetName val="3_O_NGAN_SACH1"/>
      <sheetName val="TK-HA_"/>
      <sheetName val="00_TMB-Cap_thoat_nuoc"/>
      <sheetName val="BU_LONG"/>
      <sheetName val="TH_khoi_luong"/>
      <sheetName val="Chi_tiet_khoi_luong"/>
      <sheetName val="TK_thep"/>
      <sheetName val="CT_THOÁT_WC_VP"/>
      <sheetName val="CT_CẤP_WC_VP"/>
      <sheetName val="CT_THOÁT_MƯA_VP_TRỤC_LỚN"/>
      <sheetName val="CT_THOÁT_MƯA_VP_TRỤC_NHỎ"/>
      <sheetName val="1_ATGT-VL"/>
      <sheetName val="VL-NC-M_"/>
      <sheetName val="Phan_day"/>
      <sheetName val="1B_Cai_tao_PA2"/>
      <sheetName val="Thông_tin_"/>
      <sheetName val="1"/>
      <sheetName val="6. Scope of work "/>
      <sheetName val="4.6 Phân tích nhân sự "/>
      <sheetName val="4.5 Mức độ tham gia dự án"/>
      <sheetName val="Lương 2000nhóm I"/>
      <sheetName val="Máy "/>
      <sheetName val="Analysis"/>
      <sheetName val="C-C"/>
      <sheetName val="D-D"/>
      <sheetName val="Ge"/>
      <sheetName val="ComA-A"/>
      <sheetName val="A-A"/>
      <sheetName val="Solieu"/>
      <sheetName val="BAOGIATHANG"/>
      <sheetName val="DAODAT"/>
      <sheetName val="vanchuyen TC"/>
      <sheetName val="A6"/>
      <sheetName val="THCT"/>
      <sheetName val="THDZ0,4"/>
      <sheetName val="TH DZ35"/>
      <sheetName val="THTram"/>
      <sheetName val="NEW-PANEL"/>
      <sheetName val="NHẬT KÝ"/>
      <sheetName val="config (2)"/>
      <sheetName val="DGIAgoi1"/>
      <sheetName val="Xuly Data"/>
      <sheetName val="PEDESB"/>
      <sheetName val="CHITIET-DZ04"/>
      <sheetName val="BANGTRA"/>
      <sheetName val="vlxmnc"/>
      <sheetName val="th¸mo"/>
      <sheetName val="13.BANG CT"/>
      <sheetName val="14.MMUS GIUA NHIP"/>
      <sheetName val="4.HSPBngang"/>
      <sheetName val="6.Tinh tai"/>
      <sheetName val="2 NSl"/>
      <sheetName val="17.US CHU tho a_b"/>
      <sheetName val="15.MMUS GOI"/>
      <sheetName val="Bai 5.1"/>
      <sheetName val="Chi phi xay lap khac "/>
      <sheetName val="Don-gia"/>
      <sheetName val="DS_CHU_Ph_x0001__x1"/>
      <sheetName val="DS_CHU_Ph_x0001__x0000_3"/>
      <sheetName val="DS_CHU_Ph_x0001_?3"/>
      <sheetName val="DS_CHU_Ph_x0001__3"/>
      <sheetName val="DS_CHU_Ph_x005f_x0001__x3"/>
      <sheetName val="DS_CHU_Ph_x0001__x02"/>
      <sheetName val="DS_CHU_Ph_x0001__x01"/>
      <sheetName val="DS_CHU_Ph_x0001__x0000_2"/>
      <sheetName val="DS_CHU_Ph_x0001_?2"/>
      <sheetName val="DS_CHU_Ph_x0001__2"/>
      <sheetName val="DS_CHU_Ph_x005f_x0001__x2"/>
      <sheetName val="xe"/>
      <sheetName val="Book 1 Summary"/>
      <sheetName val="Pgal2004"/>
      <sheetName val="KL TRU"/>
      <sheetName val="DUONG"/>
      <sheetName val="DL"/>
      <sheetName val="Cự ly VC_k in"/>
      <sheetName val="BOQ tong"/>
      <sheetName val="list nt Khem Vuon"/>
      <sheetName val="VH"/>
      <sheetName val="BĐ."/>
      <sheetName val="工程量清单表"/>
      <sheetName val="sis.xlm"/>
      <sheetName val="材料基价"/>
      <sheetName val="机械台时"/>
      <sheetName val="P. control"/>
      <sheetName val="取费系数表"/>
      <sheetName val="チューブ仕様"/>
      <sheetName val="WELCOME"/>
      <sheetName val="1999 BUDGET"/>
      <sheetName val="Bia lot"/>
      <sheetName val="May06"/>
      <sheetName val="San BTXM"/>
      <sheetName val="THKL GD1"/>
      <sheetName val="HoThuBonCay"/>
      <sheetName val="San Nen"/>
      <sheetName val="Via He, bo via"/>
      <sheetName val="TK CONG"/>
      <sheetName val="TL CONG Tron"/>
      <sheetName val="TL CONG hop duc san"/>
      <sheetName val="Ống cống ĐTC"/>
      <sheetName val="Ban dan"/>
      <sheetName val="Đầu cống"/>
      <sheetName val="Gờ chắn"/>
      <sheetName val="TC"/>
      <sheetName val="San"/>
      <sheetName val="Dieuphoi"/>
      <sheetName val="Pile径1m･27"/>
      <sheetName val="Kluong"/>
      <sheetName val="DGKL BT-VK"/>
      <sheetName val="H.Satuan"/>
      <sheetName val="ADSL MPS"/>
      <sheetName val="시산표"/>
      <sheetName val="XT-01,02,19,20(L1)"/>
      <sheetName val="PHÂN TÍCH ver 2"/>
      <sheetName val="KINH PHI TONG HOP"/>
      <sheetName val="000000000"/>
      <sheetName val="TEN HANG MUC "/>
      <sheetName val="Eq. Mobilization"/>
      <sheetName val="Sum ELE  CAP S1-4  "/>
      <sheetName val="01. SAT TRUNG + UV"/>
      <sheetName val="du lieu du toan"/>
      <sheetName val="基本"/>
      <sheetName val="出図表"/>
      <sheetName val="Tính giá NC"/>
      <sheetName val="SL cước"/>
      <sheetName val="Duong272-287"/>
      <sheetName val="HE-73"/>
      <sheetName val="BechLab"/>
      <sheetName val="TTL"/>
      <sheetName val="Joinery works"/>
      <sheetName val="LUONG SCL"/>
      <sheetName val="Bang luong NHOM I"/>
      <sheetName val="DM1776"/>
      <sheetName val="DM4970"/>
      <sheetName val="Bangluong NHOM II "/>
      <sheetName val=" VL"/>
      <sheetName val="gia vat lieu"/>
      <sheetName val="gia ca may BXD"/>
      <sheetName val="NLĐV"/>
      <sheetName val="09-GIA nhien lieu-ko in"/>
      <sheetName val="Cpbetong"/>
      <sheetName val="날개벽수량표"/>
      <sheetName val="Div 3"/>
      <sheetName val="Preliminary"/>
      <sheetName val="INDEX HẠ TẦNG"/>
      <sheetName val="DGG HẠ TẦNG"/>
      <sheetName val="EFR30696"/>
      <sheetName val="EQT-ESTN"/>
      <sheetName val="3.Dự toán chi phí XD"/>
      <sheetName val="4.Phân tích đơn giá"/>
      <sheetName val="Buy vs. Lease Car"/>
      <sheetName val="2019 (2)"/>
      <sheetName val="2019 (3)"/>
      <sheetName val="2019 (4)"/>
      <sheetName val="2019 (5)"/>
      <sheetName val="Du lai DH"/>
      <sheetName val="2019 (01)"/>
      <sheetName val="Du lai NH"/>
      <sheetName val="Chi tiet"/>
      <sheetName val="2019(9)"/>
      <sheetName val="2019 (10)"/>
      <sheetName val="2019 (11)"/>
      <sheetName val="2019 (12)"/>
      <sheetName val="2019 (7)"/>
      <sheetName val="2019(8)"/>
      <sheetName val="2019 (6)"/>
      <sheetName val="CDchitiet"/>
      <sheetName val="l.master"/>
      <sheetName val="GENERAL REQUIREMENTS"/>
      <sheetName val="CFA"/>
      <sheetName val="BIM06"/>
      <sheetName val="BM04"/>
      <sheetName val="BIM03"/>
      <sheetName val="Annex B"/>
      <sheetName val="Rebar"/>
      <sheetName val="Bao cao tham tra"/>
      <sheetName val="THCP tu van"/>
      <sheetName val="DT man-month"/>
      <sheetName val="Cp chuyen gia"/>
      <sheetName val="CPK TV"/>
      <sheetName val="THCP khac"/>
      <sheetName val="1.LV"/>
      <sheetName val="Bia2"/>
      <sheetName val="CP dao tao"/>
      <sheetName val="HS"/>
      <sheetName val="Cash Flow bulanan"/>
      <sheetName val="DSNV"/>
      <sheetName val="ĐƠN GIÁ"/>
      <sheetName val="bang_tien_luong"/>
      <sheetName val="DMNT_NON"/>
      <sheetName val="KLDT_DIEN"/>
      <sheetName val="Dinh_muc_CP_KTCB_khac"/>
      <sheetName val="Cst_Pkg-Eden"/>
      <sheetName val="Daf_1"/>
      <sheetName val="Provisional_Sum"/>
      <sheetName val="Exe_Sum"/>
      <sheetName val="SUM_LO-BUIDING"/>
      <sheetName val="valeurs_de_base"/>
      <sheetName val="Tiến_độ_công_việc"/>
      <sheetName val="ST_Movment"/>
      <sheetName val="TEN CONG TRINH"/>
      <sheetName val="PRICE"/>
      <sheetName val="schedule nos"/>
      <sheetName val="DAF-2"/>
      <sheetName val="Material HT"/>
      <sheetName val="Chênh lệch máy thi công"/>
      <sheetName val="Chênh lệch nhân công"/>
      <sheetName val="Chênh lệch vật liệu"/>
      <sheetName val="Barem"/>
      <sheetName val="Sheet456"/>
      <sheetName val="DATABANK"/>
      <sheetName val="KVM"/>
      <sheetName val="SAP YTD TB"/>
      <sheetName val="Circle Master"/>
      <sheetName val="Actual-Circlewise"/>
      <sheetName val="Graph Data"/>
      <sheetName val="TMP"/>
      <sheetName val="Circle Details"/>
      <sheetName val="IGAAP Group"/>
      <sheetName val="Details"/>
      <sheetName val="SAP_YTD_TB"/>
      <sheetName val="Circle_Master"/>
      <sheetName val="Graph_Data"/>
      <sheetName val="Circle_Details"/>
      <sheetName val="Control_TB check"/>
      <sheetName val="workings"/>
      <sheetName val="dep pre"/>
      <sheetName val="关联交易-存款"/>
      <sheetName val="Understand the client"/>
      <sheetName val="Bokslutsprocessen"/>
      <sheetName val="Indata"/>
      <sheetName val="CRA"/>
      <sheetName val="luong06"/>
      <sheetName val="Taxes"/>
      <sheetName val="Competitors"/>
      <sheetName val="daywork- Tham khao"/>
      <sheetName val="Firm list"/>
      <sheetName val="Kl pitum"/>
      <sheetName val="Tien do"/>
      <sheetName val="Bảo hiểm thiết bị xây dựng"/>
      <sheetName val="NC&amp;M"/>
      <sheetName val="BGVL"/>
      <sheetName val="1. Cover"/>
      <sheetName val="Explanation IPR No.5"/>
      <sheetName val="5. Status of Ap, Re"/>
      <sheetName val="Tcd"/>
      <sheetName val="KT"/>
      <sheetName val="ctdg"/>
      <sheetName val="TT_35"/>
      <sheetName val="KL HT Tong The"/>
      <sheetName val="TBA Man Xa 6"/>
      <sheetName val="TBA Ngo Xa 5"/>
      <sheetName val="TBA O Cach 5"/>
      <sheetName val="TBA O Cach 6"/>
      <sheetName val="TBA Tran Xa 6"/>
      <sheetName val="TBA Yen Lang 5"/>
      <sheetName val="YCNT(ok)"/>
      <sheetName val="6-Gia TH-Khong in"/>
      <sheetName val="LAIMAY"/>
      <sheetName val="Don gia KS"/>
      <sheetName val="Du toan KS"/>
      <sheetName val="Nhan cong KS"/>
      <sheetName val="DonGiaLD"/>
      <sheetName val="Moc uon"/>
      <sheetName val="THcoc"/>
      <sheetName val="3.DGKL"/>
      <sheetName val="2.XNKL"/>
      <sheetName val="분양가표"/>
      <sheetName val="THCP xay dung ATGT"/>
      <sheetName val="Don gia XD in3"/>
      <sheetName val="Du toan XD ATGT"/>
      <sheetName val="Don gia Duong"/>
      <sheetName val="ca may "/>
      <sheetName val="Lương nhân công XD TT01-2015"/>
      <sheetName val="TH gia du thau"/>
      <sheetName val="Load1"/>
      <sheetName val="Bang nhan cong"/>
      <sheetName val="NT noi bo cong viec"/>
      <sheetName val="So lieu dieu chinh HD"/>
      <sheetName val="Danh muc cong viec"/>
      <sheetName val="Gia tri vat tu"/>
      <sheetName val="Danh muc ho so"/>
      <sheetName val="Lay mau VL"/>
      <sheetName val="Nhien lieu"/>
      <sheetName val="NT giai doan"/>
      <sheetName val="NT noi bo giai doan"/>
      <sheetName val="NT noi bo vat lieu"/>
      <sheetName val="NT vat lieu"/>
      <sheetName val="Gia vua"/>
      <sheetName val="Hao phi vat tu"/>
      <sheetName val="Phan tich vat tu"/>
      <sheetName val="Tien do thi cong"/>
      <sheetName val="Tong hop gia thau"/>
      <sheetName val="Vat lieu hien truong"/>
      <sheetName val="YCNT Giai doan"/>
      <sheetName val="YCNT cong viec"/>
      <sheetName val="YCNT vat lieu"/>
      <sheetName val="GTXL1"/>
      <sheetName val="DT"/>
      <sheetName val="VTTN"/>
      <sheetName val="DS_CHU_Ph_x0001_3"/>
      <sheetName val="DS_CHU_Ph_x0001_2"/>
      <sheetName val="Category"/>
      <sheetName val="NEN MAU"/>
      <sheetName val="TACH VL-NC-M"/>
      <sheetName val="1.LIST"/>
      <sheetName val="Công trình"/>
      <sheetName val="HaoPhiVatTu"/>
      <sheetName val="Cước VC"/>
      <sheetName val="Cước bộ"/>
      <sheetName val="QD957new"/>
      <sheetName val="DGBCVT"/>
      <sheetName val="DGSC"/>
      <sheetName val="Sheet10"/>
      <sheetName val="VTTB-DD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 refreshError="1"/>
      <sheetData sheetId="79" refreshError="1"/>
      <sheetData sheetId="80" refreshError="1"/>
      <sheetData sheetId="81" refreshError="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/>
      <sheetData sheetId="227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/>
      <sheetData sheetId="234" refreshError="1"/>
      <sheetData sheetId="235" refreshError="1"/>
      <sheetData sheetId="236" refreshError="1"/>
      <sheetData sheetId="237"/>
      <sheetData sheetId="238"/>
      <sheetData sheetId="239"/>
      <sheetData sheetId="240"/>
      <sheetData sheetId="24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/>
      <sheetData sheetId="304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/>
      <sheetData sheetId="312"/>
      <sheetData sheetId="313"/>
      <sheetData sheetId="314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/>
      <sheetData sheetId="360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/>
      <sheetData sheetId="380" refreshError="1"/>
      <sheetData sheetId="381" refreshError="1"/>
      <sheetData sheetId="382" refreshError="1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/>
      <sheetData sheetId="405"/>
      <sheetData sheetId="406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/>
      <sheetData sheetId="469"/>
      <sheetData sheetId="470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/>
      <sheetData sheetId="520"/>
      <sheetData sheetId="521"/>
      <sheetData sheetId="522" refreshError="1"/>
      <sheetData sheetId="523" refreshError="1"/>
      <sheetData sheetId="524"/>
      <sheetData sheetId="525"/>
      <sheetData sheetId="526"/>
      <sheetData sheetId="527"/>
      <sheetData sheetId="528"/>
      <sheetData sheetId="529"/>
      <sheetData sheetId="530"/>
      <sheetData sheetId="531" refreshError="1"/>
      <sheetData sheetId="532" refreshError="1"/>
      <sheetData sheetId="533" refreshError="1"/>
      <sheetData sheetId="534" refreshError="1"/>
      <sheetData sheetId="535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 refreshError="1"/>
      <sheetData sheetId="576" refreshError="1"/>
      <sheetData sheetId="577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/>
      <sheetData sheetId="626" refreshError="1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/>
      <sheetData sheetId="753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/>
      <sheetData sheetId="1046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/>
      <sheetData sheetId="1323" refreshError="1"/>
      <sheetData sheetId="1324"/>
      <sheetData sheetId="1325" refreshError="1"/>
      <sheetData sheetId="1326" refreshError="1"/>
      <sheetData sheetId="1327" refreshError="1"/>
      <sheetData sheetId="1328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/>
      <sheetData sheetId="1352"/>
      <sheetData sheetId="1353"/>
      <sheetData sheetId="1354"/>
      <sheetData sheetId="1355"/>
      <sheetData sheetId="1356"/>
      <sheetData sheetId="1357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/>
      <sheetData sheetId="1674"/>
      <sheetData sheetId="1675"/>
      <sheetData sheetId="1676"/>
      <sheetData sheetId="1677"/>
      <sheetData sheetId="1678"/>
      <sheetData sheetId="1679"/>
      <sheetData sheetId="1680" refreshError="1"/>
      <sheetData sheetId="1681" refreshError="1"/>
      <sheetData sheetId="1682" refreshError="1"/>
      <sheetData sheetId="1683" refreshError="1"/>
      <sheetData sheetId="1684"/>
      <sheetData sheetId="1685"/>
      <sheetData sheetId="1686"/>
      <sheetData sheetId="1687"/>
      <sheetData sheetId="1688"/>
      <sheetData sheetId="1689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/>
      <sheetData sheetId="1728" refreshError="1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/>
      <sheetData sheetId="2534"/>
      <sheetData sheetId="2535"/>
      <sheetData sheetId="2536"/>
      <sheetData sheetId="2537"/>
      <sheetData sheetId="2538" refreshError="1"/>
      <sheetData sheetId="2539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/>
      <sheetData sheetId="3204"/>
      <sheetData sheetId="3205"/>
      <sheetData sheetId="3206"/>
      <sheetData sheetId="3207"/>
      <sheetData sheetId="3208" refreshError="1"/>
      <sheetData sheetId="3209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 refreshError="1"/>
      <sheetData sheetId="3316" refreshError="1"/>
      <sheetData sheetId="3317" refreshError="1"/>
      <sheetData sheetId="3318" refreshError="1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/>
      <sheetData sheetId="3337"/>
      <sheetData sheetId="3338"/>
      <sheetData sheetId="3339" refreshError="1"/>
      <sheetData sheetId="3340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"/>
      <sheetName val="TKKPHI"/>
      <sheetName val="DUTOAN"/>
      <sheetName val="DMVT"/>
      <sheetName val="THVATTU"/>
      <sheetName val="Tong hop thanh toan"/>
      <sheetName val="Bang thanh toan."/>
      <sheetName val="Bang phan tích"/>
      <sheetName val="Tong hop VT"/>
      <sheetName val="Ptich hoa don"/>
      <sheetName val="may,"/>
      <sheetName val="Hoa don,"/>
      <sheetName val="PTGTVLK"/>
      <sheetName val="GT Vl khac"/>
      <sheetName val="Van khuon va sat"/>
      <sheetName val="catdasatthep"/>
      <sheetName val="BTN"/>
      <sheetName val="May"/>
      <sheetName val="Hoa don"/>
      <sheetName val="Tong hop VT (2)"/>
      <sheetName val="Phan tich CT"/>
      <sheetName val="can doi"/>
      <sheetName val="da"/>
      <sheetName val="cat"/>
      <sheetName val="DG DUTOAN"/>
      <sheetName val="UBVG"/>
      <sheetName val="PrintDialog"/>
      <sheetName val="AboutDialog"/>
      <sheetName val="XL4Poppy"/>
      <sheetName val="Du_lieu"/>
      <sheetName val="gvl"/>
      <sheetName val="NhanCong"/>
      <sheetName val="Tien do TV"/>
      <sheetName val="Ts"/>
      <sheetName val="QD957"/>
      <sheetName val="Config"/>
      <sheetName val="CP Du phong"/>
      <sheetName val="THCP Lap dat"/>
      <sheetName val="THCP xay dung"/>
      <sheetName val="Don gia LD"/>
      <sheetName val="Don gia XD"/>
      <sheetName val="Du toan XD"/>
      <sheetName val="THDT goi thau TB"/>
      <sheetName val="Tong hop kinh phi"/>
      <sheetName val="PL2.Ma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4+220"/>
      <sheetName val="BC.114+220"/>
      <sheetName val="SL.114+220"/>
      <sheetName val="114+320"/>
      <sheetName val="BC.114+320"/>
      <sheetName val="SL.114+320"/>
      <sheetName val="114+420"/>
      <sheetName val="BC.114+420"/>
      <sheetName val="SL.114+420"/>
      <sheetName val="114+620"/>
      <sheetName val="BC.114+620"/>
      <sheetName val="SL.114+620"/>
      <sheetName val="114+720"/>
      <sheetName val="BC.114+720"/>
      <sheetName val="SL.114+720"/>
      <sheetName val="114+840"/>
      <sheetName val="BC.114+840"/>
      <sheetName val="SL.114+840"/>
      <sheetName val="114+940"/>
      <sheetName val="BC.114+940"/>
      <sheetName val="SL.114+940"/>
      <sheetName val="115+040"/>
      <sheetName val="BC.115+040"/>
      <sheetName val="SL.115+040"/>
      <sheetName val="115+140"/>
      <sheetName val="BC.115+140"/>
      <sheetName val="SL.115+140"/>
      <sheetName val="115+260"/>
      <sheetName val="BC.115+260"/>
      <sheetName val="SL.115+260"/>
      <sheetName val="115+325"/>
      <sheetName val="BC.115+325"/>
      <sheetName val="SL.115+325"/>
      <sheetName val="115+740"/>
      <sheetName val="BC.115+740"/>
      <sheetName val="SL.115+740"/>
      <sheetName val="115+860"/>
      <sheetName val="BC.115+860"/>
      <sheetName val="SL.115+860"/>
      <sheetName val="115+960"/>
      <sheetName val="BC.115+960"/>
      <sheetName val="SL.115+960"/>
      <sheetName val="116+060"/>
      <sheetName val="BC.116+060"/>
      <sheetName val="SL.116+060"/>
      <sheetName val="116+240"/>
      <sheetName val="BC.116+240"/>
      <sheetName val="SL.116+240"/>
      <sheetName val="116+340"/>
      <sheetName val="BC.116+340"/>
      <sheetName val="SL.116+340"/>
      <sheetName val="Sheet1"/>
      <sheetName val="Sum"/>
      <sheetName val="Quantity"/>
      <sheetName val="KP_List"/>
      <sheetName val="PU_ITALY "/>
      <sheetName val="Prices"/>
      <sheetName val="Module1"/>
      <sheetName val="Module2"/>
      <sheetName val="XL4Poppy"/>
      <sheetName val="THDZ0,4"/>
      <sheetName val="TH DZ35"/>
      <sheetName val="THTram"/>
      <sheetName val="6787CWFASE2CASE2_00"/>
      <sheetName val="DON GIA CAN THO"/>
      <sheetName val="Tro giup"/>
      <sheetName val="물량표S"/>
      <sheetName val="SILICATE"/>
      <sheetName val="ptnc"/>
      <sheetName val="ptvl"/>
      <sheetName val="ptm"/>
      <sheetName val="조명시설"/>
      <sheetName val="DG"/>
      <sheetName val="RAB AR&amp;STR"/>
      <sheetName val="Earthwork"/>
      <sheetName val="Input"/>
      <sheetName val="DANHPHAP"/>
      <sheetName val="chi tiet TBA"/>
      <sheetName val="chi tiet C"/>
      <sheetName val="공통가설"/>
      <sheetName val="Don gia"/>
      <sheetName val="Don gia chi tiet"/>
      <sheetName val="TinhGiaMTC"/>
      <sheetName val="TinhGiaNC"/>
      <sheetName val="gvl"/>
      <sheetName val="PU_ITALY_"/>
      <sheetName val="TH_DZ35"/>
      <sheetName val="Tro_giup"/>
      <sheetName val="DON_GIA_CAN_THO"/>
      <sheetName val="PU_ITALY_1"/>
      <sheetName val="TH_DZ351"/>
      <sheetName val="Tro_giup1"/>
      <sheetName val="DON_GIA_CAN_THO1"/>
      <sheetName val="Control"/>
      <sheetName val="THVATTU"/>
      <sheetName val="DC"/>
      <sheetName val="NL"/>
      <sheetName val="DON GIA TRAM (3)"/>
      <sheetName val="dongia"/>
      <sheetName val="#REF"/>
      <sheetName val="내역서"/>
      <sheetName val="DATA"/>
      <sheetName val="VL,NC,MTC"/>
      <sheetName val="XT_Buoc 3"/>
      <sheetName val="PU_ITALY_2"/>
      <sheetName val="TH_DZ352"/>
      <sheetName val="Tro_giup2"/>
      <sheetName val="DON_GIA_CAN_THO2"/>
      <sheetName val="Don_gia_chi_tiet"/>
      <sheetName val="RAB_AR&amp;STR"/>
      <sheetName val="chi_tiet_TBA"/>
      <sheetName val="chi_tiet_C"/>
      <sheetName val="Customize Your Purchase Order"/>
      <sheetName val="BG"/>
      <sheetName val="FitOutConfCentre"/>
      <sheetName val="KLHT"/>
      <sheetName val="CHITIET VL-NC-TT -1p"/>
      <sheetName val="CHITIET VL-NC-TT-3p"/>
      <sheetName val="TONG HOP VL-NC TT"/>
      <sheetName val="TDTKP1"/>
      <sheetName val="KPVC-BD "/>
      <sheetName val="DGTH"/>
      <sheetName val="HĐ ngoài"/>
      <sheetName val="dongia (2)"/>
      <sheetName val="S-curve "/>
      <sheetName val="Mall"/>
      <sheetName val="CTG"/>
      <sheetName val="TONGKE-HT"/>
      <sheetName val="Commercial value"/>
      <sheetName val="Customize_Your_Purchase_Order"/>
      <sheetName val="Shdet1"/>
      <sheetName val="402"/>
      <sheetName val="7606 DZ"/>
      <sheetName val="실행철강하도"/>
      <sheetName val="BETON"/>
      <sheetName val="24-ACMV"/>
      <sheetName val="dnc4"/>
      <sheetName val="침하계"/>
      <sheetName val="P"/>
      <sheetName val="Adix A"/>
      <sheetName val="DONVIBAN"/>
      <sheetName val="NGUON"/>
      <sheetName val="project management"/>
      <sheetName val="갑지"/>
      <sheetName val="So doi chieu LC"/>
      <sheetName val="phuluc1"/>
      <sheetName val="MAIN GATE HOUSE"/>
      <sheetName val="THVT"/>
      <sheetName val="chitimc"/>
      <sheetName val="giathanh1"/>
      <sheetName val="Du_lieu"/>
      <sheetName val="VL"/>
      <sheetName val="CBKC-110"/>
      <sheetName val="NC"/>
      <sheetName val="Titles"/>
      <sheetName val="Rates 2009"/>
      <sheetName val="A1.CN"/>
      <sheetName val="PTDG"/>
      <sheetName val="Ky Lam Bridge"/>
      <sheetName val="Provisional Sums Item"/>
      <sheetName val="Gas Pressure Welding"/>
      <sheetName val="General Item&amp;General Requiremen"/>
      <sheetName val="General Items"/>
      <sheetName val="Regenral Requirements"/>
      <sheetName val="TONG HOP VL-NC"/>
      <sheetName val="lam-moi"/>
      <sheetName val="chiet tinh"/>
      <sheetName val="dg67-1"/>
      <sheetName val="Don_gia"/>
      <sheetName val="DON_GIA_TRAM_(3)"/>
      <sheetName val="7606_DZ"/>
      <sheetName val="TONG_HOP_VL-NC_TT"/>
      <sheetName val="CHITIET_VL-NC-TT_-1p"/>
      <sheetName val="KPVC-BD_"/>
      <sheetName val="Ng.hàng xà+bulong"/>
      <sheetName val="K95"/>
      <sheetName val="K98"/>
      <sheetName val="PROFILE"/>
      <sheetName val="Đầu vào"/>
      <sheetName val="KPTH-T12"/>
      <sheetName val="Thamgia-T10"/>
      <sheetName val="Ts"/>
      <sheetName val="XD"/>
      <sheetName val="Cuongricc"/>
      <sheetName val="CAT_5"/>
      <sheetName val="BQMP"/>
      <sheetName val="산근"/>
      <sheetName val="inter"/>
      <sheetName val="대비"/>
      <sheetName val="REINF."/>
      <sheetName val="SKETCH"/>
      <sheetName val="LOADS"/>
      <sheetName val="O20"/>
      <sheetName val="Du toan"/>
      <sheetName val="Keothep"/>
      <sheetName val="Re-bar"/>
      <sheetName val="SL"/>
      <sheetName val="집계표"/>
      <sheetName val="DLDTLN"/>
      <sheetName val="Dulieu"/>
      <sheetName val="차액보증"/>
      <sheetName val="SITE-E"/>
      <sheetName val="Bang KL"/>
      <sheetName val="TH_CNO"/>
      <sheetName val="NK_CHUNG"/>
      <sheetName val="ALLOWANCE"/>
      <sheetName val="MH RATE"/>
      <sheetName val="07Base Cost"/>
      <sheetName val="rate material"/>
      <sheetName val="Sheet3"/>
      <sheetName val="Config"/>
      <sheetName val="DMCP"/>
      <sheetName val="HS_TDT"/>
      <sheetName val="DG-VL"/>
      <sheetName val="PTDGCT"/>
      <sheetName val="금융비용"/>
      <sheetName val="입찰안"/>
      <sheetName val="TBA"/>
      <sheetName val="DM 6061"/>
      <sheetName val="Gia"/>
      <sheetName val="dm366"/>
      <sheetName val="DG thep ma kem"/>
      <sheetName val="May"/>
      <sheetName val="RAB_AR&amp;STR1"/>
      <sheetName val="chi_tiet_TBA1"/>
      <sheetName val="chi_tiet_C1"/>
      <sheetName val="Customize_Your_Purchase_Order1"/>
      <sheetName val="CHITIET_VL-NC-TT-3p"/>
      <sheetName val="S-curve_"/>
      <sheetName val="So_doi_chieu_LC"/>
      <sheetName val="Adix_A"/>
      <sheetName val="HĐ_ngoài"/>
      <sheetName val="XT_Buoc_3"/>
      <sheetName val="dongia_(2)"/>
      <sheetName val="BGD"/>
      <sheetName val="KCS"/>
      <sheetName val="KD"/>
      <sheetName val="KT"/>
      <sheetName val="KTNL"/>
      <sheetName val="KH"/>
      <sheetName val="PX-SX"/>
      <sheetName val="TC"/>
      <sheetName val="Lcau - Lxuc"/>
      <sheetName val="CT vat lieu"/>
      <sheetName val="vcdngan"/>
      <sheetName val="LaborPY"/>
      <sheetName val="LaborKH"/>
      <sheetName val="Equip "/>
      <sheetName val="Material"/>
      <sheetName val="Chi tiet XD TBA"/>
      <sheetName val="EXTERNAL"/>
      <sheetName val="damgiua"/>
      <sheetName val="dgct"/>
      <sheetName val="WT-LIST"/>
      <sheetName val="366"/>
      <sheetName val="Trạm biến áp"/>
      <sheetName val="Đơn Giá "/>
      <sheetName val="Giá"/>
      <sheetName val="DM1776"/>
      <sheetName val="DM228"/>
      <sheetName val="DM4970"/>
      <sheetName val="Camay_DP"/>
      <sheetName val="DM6061"/>
      <sheetName val="Luong2"/>
      <sheetName val="CT-35"/>
      <sheetName val="CT-0.4KV"/>
      <sheetName val="ironmongery"/>
      <sheetName val="Chenh lech vat tu"/>
      <sheetName val="Diện tích"/>
      <sheetName val="1_Khái toán"/>
      <sheetName val="TONG HOP T5 1998"/>
      <sheetName val="KL Chi tiết Xây tô"/>
      <sheetName val="DM"/>
      <sheetName val="DG DZ"/>
      <sheetName val="DG TBA"/>
      <sheetName val="DGXD"/>
      <sheetName val="4.PTDG"/>
      <sheetName val="bt19"/>
      <sheetName val="Btr25"/>
      <sheetName val="Data Input"/>
      <sheetName val="CANDOI"/>
      <sheetName val="MATK"/>
      <sheetName val="NHATKY"/>
      <sheetName val="DTOAN"/>
      <sheetName val="Xay lapduongR3"/>
      <sheetName val="BKBANRA"/>
      <sheetName val="BKMUAVAO"/>
      <sheetName val="Chi tiet KL"/>
      <sheetName val="Tổng hợp KL"/>
      <sheetName val="Barrem"/>
      <sheetName val="BM"/>
      <sheetName val="2.Chiet tinh"/>
      <sheetName val="Chi tiet"/>
      <sheetName val="Cp&gt;10-Ln&lt;10"/>
      <sheetName val="Ln&lt;20"/>
      <sheetName val="EIRR&gt;1&lt;1"/>
      <sheetName val="EIRR&gt; 2"/>
      <sheetName val="EIRR&lt;2"/>
      <sheetName val="Sheet2"/>
      <sheetName val="DonGiaLD"/>
      <sheetName val="????"/>
      <sheetName val="A1, May"/>
      <sheetName val="Máy"/>
      <sheetName val="Vat lieu"/>
      <sheetName val="DTXL"/>
      <sheetName val="Equipment"/>
      <sheetName val="DT_THAU"/>
      <sheetName val="말뚝지지력산정"/>
      <sheetName val="04 - XUONG DET B"/>
      <sheetName val="CTGX"/>
      <sheetName val="CTG-1"/>
      <sheetName val="BANCO (2)"/>
      <sheetName val="MT DPin (2)"/>
      <sheetName val="6787CWFASE2CASE2_00.xls"/>
      <sheetName val="T&amp;D"/>
      <sheetName val="list"/>
      <sheetName val="7606-TBA"/>
      <sheetName val="7606-ĐZ"/>
      <sheetName val="DM 67"/>
      <sheetName val="負荷集計（断熱不燃）"/>
      <sheetName val="Duc_bk"/>
      <sheetName val="CE(E)"/>
      <sheetName val="CE(M)"/>
      <sheetName val="Project Data"/>
      <sheetName val="Phan khai KLuong"/>
      <sheetName val="Duphong"/>
      <sheetName val="Bill 1_Quy dinh chung"/>
      <sheetName val="1.R18 BF"/>
      <sheetName val="A"/>
      <sheetName val="G"/>
      <sheetName val="F-B"/>
      <sheetName val="H-J"/>
      <sheetName val="6.External works-R18"/>
      <sheetName val="chiettinh"/>
      <sheetName val="INFO"/>
      <sheetName val="Summary"/>
      <sheetName val="갑지1"/>
      <sheetName val="01"/>
      <sheetName val="02"/>
      <sheetName val=" 03"/>
      <sheetName val="04"/>
      <sheetName val="05"/>
      <sheetName val="06"/>
      <sheetName val="07"/>
      <sheetName val="08"/>
      <sheetName val="09"/>
      <sheetName val="chieu day san"/>
      <sheetName val="Podium Concrete Works"/>
      <sheetName val="KLCT- TOWER"/>
      <sheetName val="KLCT- PODIUM"/>
      <sheetName val="Gia thanh chuoi su"/>
      <sheetName val="Tiep dia"/>
      <sheetName val="Don gia vung III-Can Tho"/>
      <sheetName val="Standardwerte"/>
      <sheetName val="base"/>
      <sheetName val="DGG"/>
      <sheetName val="INDEX"/>
      <sheetName val="Area Cal"/>
      <sheetName val="Elect (3)"/>
      <sheetName val="B"/>
      <sheetName val="BQMPALOC"/>
      <sheetName val="NDOCBT"/>
      <sheetName val="basis"/>
      <sheetName val="E"/>
      <sheetName val="K"/>
      <sheetName val="수입"/>
      <sheetName val="eq_data"/>
      <sheetName val="plan&amp;section of foundation"/>
      <sheetName val="design criteria"/>
      <sheetName val="Bond 수수료 계산 포맷"/>
      <sheetName val="ITB COST"/>
      <sheetName val="PAGE 1"/>
      <sheetName val="GAEYO"/>
      <sheetName val="Đầu tư"/>
      <sheetName val="DL"/>
      <sheetName val="실행"/>
      <sheetName val="BIDDING-SUM"/>
      <sheetName val="Bill 02 - Xay gach-Pou "/>
      <sheetName val="Bill 03-Chống thấm-Pou"/>
      <sheetName val="Bill 04-Kim loại-Pou"/>
      <sheetName val="Bill 05 - Hoan thien-Pou "/>
      <sheetName val="Bill 02 - Xay gach-Tower"/>
      <sheetName val="Bill 03-Chống thấm-Tower"/>
      <sheetName val="Bill 04-Kim loại-Tower"/>
      <sheetName val="Bill 05 - Hoan thien-Tower"/>
      <sheetName val="KL- KHAC"/>
      <sheetName val="BILL 3 - KẾT CẤU HẦM"/>
      <sheetName val="PTĐG"/>
      <sheetName val="RATE"/>
      <sheetName val="DTC&amp;TP&amp;NCC"/>
      <sheetName val="PTĐG LTBT"/>
      <sheetName val="CTG-PRECHEx1.4"/>
      <sheetName val="CTG-AB (2)"/>
      <sheetName val="CTG-AB (3)"/>
      <sheetName val="CTG-PLP-1.08"/>
      <sheetName val="CTG-QUYCHE"/>
      <sheetName val="CTG-AB"/>
      <sheetName val="Pre Đội nhóm"/>
      <sheetName val="Vat tu XD"/>
      <sheetName val="database"/>
      <sheetName val="inpukeoI"/>
      <sheetName val="Tower - Concrete Works"/>
      <sheetName val="Bill-04 ket cau thap- UNI"/>
      <sheetName val="DTICH"/>
      <sheetName val="Loại Vật tư"/>
      <sheetName val="tonghop"/>
      <sheetName val="DATA2"/>
      <sheetName val="PEDESB"/>
      <sheetName val="TH Vat tu"/>
      <sheetName val="Cửa"/>
      <sheetName val="dg tphcm"/>
      <sheetName val="DUCVIETPQ"/>
      <sheetName val="INFOR-ST"/>
      <sheetName val="T.KÊ K.CẤU"/>
      <sheetName val="Bill 01 - CTN"/>
      <sheetName val="Bill 2.2 Villa 2 beds"/>
      <sheetName val="D&amp;W"/>
      <sheetName val="Bang trong luong rieng thep"/>
      <sheetName val="LEGEND"/>
      <sheetName val="6PILE  (돌출)"/>
      <sheetName val="6MONTHS"/>
      <sheetName val="???S"/>
      <sheetName val="???"/>
      <sheetName val="??"/>
      <sheetName val="HÐ ngoài"/>
      <sheetName val="??????"/>
      <sheetName val="HÐ_ngoài"/>
      <sheetName val="gia cong tac"/>
      <sheetName val="____"/>
      <sheetName val="Measure 1306"/>
      <sheetName val="0"/>
      <sheetName val="NVL"/>
      <sheetName val="PU_ITALY_3"/>
      <sheetName val="Tro_giup3"/>
      <sheetName val="TH_DZ353"/>
      <sheetName val="CHITIET_VL-NC-TT_-1p1"/>
      <sheetName val="TONG_HOP_VL-NC_TT1"/>
      <sheetName val="KPVC-BD_1"/>
      <sheetName val="Don_gia1"/>
      <sheetName val="DON_GIA_TRAM_(3)1"/>
      <sheetName val="DON_GIA_CAN_THO3"/>
      <sheetName val="Don_gia_chi_tiet1"/>
      <sheetName val="7606_DZ1"/>
      <sheetName val="project_management"/>
      <sheetName val="MAIN_GATE_HOUSE"/>
      <sheetName val="REINF_"/>
      <sheetName val="Rates_2009"/>
      <sheetName val="Du_toan"/>
      <sheetName val="Commercial_value"/>
      <sheetName val="Ky_Lam_Bridge"/>
      <sheetName val="Provisional_Sums_Item"/>
      <sheetName val="Gas_Pressure_Welding"/>
      <sheetName val="General_Item&amp;General_Requiremen"/>
      <sheetName val="General_Items"/>
      <sheetName val="Regenral_Requirements"/>
      <sheetName val="chiet_tinh"/>
      <sheetName val="Ng_hàng_xà+bulong"/>
      <sheetName val="TONG_HOP_VL-NC"/>
      <sheetName val="Bang_KL"/>
      <sheetName val="MH_RATE"/>
      <sheetName val="Lcau_-_Lxuc"/>
      <sheetName val="Note"/>
      <sheetName val="DLdauvao"/>
      <sheetName val="CẤP THOÁT NƯỚC"/>
      <sheetName val="PRI-LS"/>
      <sheetName val="NKC6"/>
      <sheetName val="Cước VC + ĐM CP Tư vấn"/>
      <sheetName val="Hệ số"/>
      <sheetName val="DG-TNHC-85"/>
      <sheetName val="Dia"/>
      <sheetName val="SP10"/>
      <sheetName val="THDT goi thau TB"/>
      <sheetName val="Tien do TV"/>
      <sheetName val="QD957"/>
      <sheetName val="Harga ME "/>
      <sheetName val="토공"/>
      <sheetName val="Alat"/>
      <sheetName val="Analisa Gabungan"/>
      <sheetName val="Sub"/>
      <sheetName val="I-KAMAR"/>
      <sheetName val="TH MTC"/>
      <sheetName val="TH N.Cong"/>
      <sheetName val="Open"/>
      <sheetName val="Function"/>
      <sheetName val="Noisuy-LLL"/>
      <sheetName val="GV1-D13 (Casement door)"/>
      <sheetName val="MTL$-INTER"/>
      <sheetName val="DK"/>
      <sheetName val="Gia vat tu"/>
      <sheetName val="Ca máy"/>
      <sheetName val="Dự toán"/>
      <sheetName val="Đơn Giá TH"/>
      <sheetName val="Nhân công"/>
      <sheetName val="Phân tích"/>
      <sheetName val="C.P Thiết bị"/>
      <sheetName val="T.H Kinh phí"/>
      <sheetName val="Vật tư"/>
      <sheetName val="Trang bìa"/>
      <sheetName val="DTXD"/>
      <sheetName val="Door and window"/>
      <sheetName val="DETAIL "/>
      <sheetName val="JP_List"/>
      <sheetName val="SUBS"/>
      <sheetName val="Feeds"/>
      <sheetName val="final list 2005"/>
      <sheetName val="final_list_2005"/>
      <sheetName val="WORKINGS"/>
      <sheetName val="LV data"/>
      <sheetName val="ESTI."/>
      <sheetName val="CPDDII"/>
      <sheetName val="phan tic chi tiet"/>
      <sheetName val="dg7606"/>
      <sheetName val="DGsuyrong"/>
      <sheetName val="PhanTichVua"/>
      <sheetName val="PhanTichVT"/>
      <sheetName val="KhoiluongDT"/>
      <sheetName val="Sheet4"/>
      <sheetName val="Supplier"/>
      <sheetName val=" Bill.5-Earthing.2 - Add Works"/>
      <sheetName val="bridge # 1"/>
      <sheetName val="Isolasi Luar Dalam"/>
      <sheetName val="Isolasi Luar"/>
      <sheetName val="TK-COL"/>
      <sheetName val="02_Dulieu_Cua"/>
      <sheetName val="HMCV"/>
      <sheetName val="CauKien"/>
      <sheetName val="KL san lap"/>
      <sheetName val="DG7606DZ"/>
      <sheetName val="Chenh lech ca may"/>
      <sheetName val="TLg CN&amp;Laixe"/>
      <sheetName val="TLg CN&amp;Laixe (2)"/>
      <sheetName val="TLg Laitau"/>
      <sheetName val="TLg Laitau (2)"/>
      <sheetName val="Setting"/>
      <sheetName val="Settings"/>
      <sheetName val="PS-Labour_M"/>
      <sheetName val="CT_vat_lieu"/>
      <sheetName val="DM_6061"/>
      <sheetName val="DG_thep_ma_kem"/>
      <sheetName val="DG_DZ"/>
      <sheetName val="DG_TBA"/>
      <sheetName val="Data_Input"/>
      <sheetName val="DG1426"/>
      <sheetName val="KH-Q1,Q2,01"/>
      <sheetName val="KHOI LUONG"/>
      <sheetName val="Bang 3_Chi tiet phan Dz"/>
      <sheetName val="___S"/>
      <sheetName val="___"/>
      <sheetName val="__"/>
      <sheetName val="______"/>
      <sheetName val="DATA BASE"/>
      <sheetName val="Equipment list (PAC)"/>
      <sheetName val="Mat_Source"/>
      <sheetName val="計算条件"/>
      <sheetName val="VND"/>
      <sheetName val="Buy vs. Lease Car"/>
      <sheetName val="入力作成表"/>
      <sheetName val="TINH KHOI LUONG"/>
      <sheetName val="CPA"/>
      <sheetName val="GTTBA"/>
      <sheetName val="BẢNG KHỐI LƯỢNG TỔNG HỢP"/>
      <sheetName val="Hardware"/>
      <sheetName val="HWW"/>
      <sheetName val="TH_CPTB"/>
      <sheetName val="CP Khac cuoc VC"/>
      <sheetName val="新规"/>
      <sheetName val="Code"/>
      <sheetName val="Budget Code"/>
      <sheetName val="Master"/>
      <sheetName val="CTKL KTX HT"/>
      <sheetName val="daf-3(OK)"/>
      <sheetName val="daf-7(OK)"/>
      <sheetName val="subcon sched"/>
      <sheetName val="PRE (E)"/>
      <sheetName val="SourceData"/>
      <sheetName val="SEX"/>
      <sheetName val="HVAC.BLOCK B4"/>
      <sheetName val="NHÀ NHẬP LIỆU"/>
      <sheetName val="MÓNG SILO"/>
      <sheetName val="CT1"/>
      <sheetName val="Z"/>
      <sheetName val="Tong du toan"/>
      <sheetName val="Bill 2 - ketcau"/>
      <sheetName val="A1"/>
      <sheetName val="13-Cốt thép (10mm&lt;D≤18mm) FO16"/>
      <sheetName val="du lieu du toan"/>
      <sheetName val="IBASE"/>
      <sheetName val="DANHMUC"/>
      <sheetName val="RAB_AR&amp;STR2"/>
      <sheetName val="chi_tiet_TBA2"/>
      <sheetName val="chi_tiet_C2"/>
      <sheetName val="Customize_Your_Purchase_Order2"/>
      <sheetName val="CHITIET_VL-NC-TT-3p1"/>
      <sheetName val="HĐ_ngoài1"/>
      <sheetName val="XT_Buoc_31"/>
      <sheetName val="dongia_(2)1"/>
      <sheetName val="Adix_A1"/>
      <sheetName val="S-curve_1"/>
      <sheetName val="So_doi_chieu_LC1"/>
      <sheetName val="Equip_"/>
      <sheetName val="A1_CN"/>
      <sheetName val="Đầu_vào"/>
      <sheetName val="Trạm_biến_áp"/>
      <sheetName val="Đơn_Giá_"/>
      <sheetName val="Chenh_lech_vat_tu"/>
      <sheetName val="Diện_tích"/>
      <sheetName val="1_Khái_toán"/>
      <sheetName val="TONG_HOP_T5_1998"/>
      <sheetName val="Chi_tiet_XD_TBA"/>
      <sheetName val="CT-0_4KV"/>
      <sheetName val="Chi_tiet_KL"/>
      <sheetName val="Tổng_hợp_KL"/>
      <sheetName val="rate_material"/>
      <sheetName val="KL_Chi_tiết_Xây_tô"/>
      <sheetName val="04_-_XUONG_DET_B"/>
      <sheetName val="07Base_Cost"/>
      <sheetName val="_03"/>
      <sheetName val="chieu_day_san"/>
      <sheetName val="Podium_Concrete_Works"/>
      <sheetName val="KLCT-_TOWER"/>
      <sheetName val="KLCT-_PODIUM"/>
      <sheetName val="Gia_thanh_chuoi_su"/>
      <sheetName val="Tiep_dia"/>
      <sheetName val="Don_gia_vung_III-Can_Tho"/>
      <sheetName val="Bill_1_Quy_dinh_chung"/>
      <sheetName val="1_R18_BF"/>
      <sheetName val="6_External_works-R18"/>
      <sheetName val="Phan_khai_KLuong"/>
      <sheetName val="Area_Cal"/>
      <sheetName val="Elect_(3)"/>
      <sheetName val="plan&amp;section_of_foundation"/>
      <sheetName val="design_criteria"/>
      <sheetName val="Bond_수수료_계산_포맷"/>
      <sheetName val="ITB_COST"/>
      <sheetName val="PAGE_1"/>
      <sheetName val="Loại_Vật_tư"/>
      <sheetName val="DM_67"/>
      <sheetName val="Đầu_tư"/>
      <sheetName val="dg_tphcm"/>
      <sheetName val="T_KÊ_K_CẤU"/>
      <sheetName val="4_PTDG"/>
      <sheetName val="A1,_May"/>
      <sheetName val="Vat_lieu"/>
      <sheetName val="Door_and_window"/>
      <sheetName val="Project_Data"/>
      <sheetName val="EIRR&gt;_2"/>
      <sheetName val="6PILE__(돌출)"/>
      <sheetName val="HÐ_ngoài1"/>
      <sheetName val="Xay_lapduongR3"/>
      <sheetName val="wsLists"/>
      <sheetName val="Chi tiet lan can"/>
      <sheetName val="PU_ITALY_4"/>
      <sheetName val="Tro_giup4"/>
      <sheetName val="TH_DZ354"/>
      <sheetName val="CHITIET_VL-NC-TT_-1p2"/>
      <sheetName val="TONG_HOP_VL-NC_TT2"/>
      <sheetName val="Luong NII"/>
      <sheetName val="Cpbetong"/>
      <sheetName val="366fun"/>
      <sheetName val="DM_60606061"/>
      <sheetName val="DINH MUC THI NGHIEM"/>
      <sheetName val="CUOCVC"/>
      <sheetName val="Luong NI"/>
      <sheetName val="Vatlieu"/>
      <sheetName val="CT"/>
      <sheetName val="DTCTchung"/>
      <sheetName val="Don gia chi tiet DIEN 2"/>
      <sheetName val="NEW-PANEL"/>
      <sheetName val="Dlieu dau vao"/>
      <sheetName val="7606"/>
      <sheetName val="OT"/>
      <sheetName val="Income Statement"/>
      <sheetName val="Shareholders' Equity"/>
      <sheetName val="Don_gia2"/>
      <sheetName val="DON_GIA_TRAM_(3)2"/>
      <sheetName val="DON_GIA_CAN_THO4"/>
      <sheetName val="7606_DZ2"/>
      <sheetName val="Don_gia_chi_tiet2"/>
      <sheetName val="KPVC-BD_2"/>
      <sheetName val="Gia_vat_tu1"/>
      <sheetName val="Ky_Lam_Bridge1"/>
      <sheetName val="Provisional_Sums_Item1"/>
      <sheetName val="Gas_Pressure_Welding1"/>
      <sheetName val="General_Item&amp;General_Requireme1"/>
      <sheetName val="General_Items1"/>
      <sheetName val="Regenral_Requirements1"/>
      <sheetName val="Ng_hàng_xà+bulong1"/>
      <sheetName val="CT_vat_lieu1"/>
      <sheetName val="Income_Statement1"/>
      <sheetName val="Shareholders'_Equity1"/>
      <sheetName val="Gia_vat_tu"/>
      <sheetName val="Income_Statement"/>
      <sheetName val="Shareholders'_Equity"/>
      <sheetName val="#REF!"/>
      <sheetName val="VC.xd"/>
      <sheetName val="Gia.VLTB"/>
      <sheetName val="B.Luong"/>
      <sheetName val="C.May"/>
      <sheetName val="DG 1426"/>
      <sheetName val="don_giaQB"/>
      <sheetName val="dm 366"/>
      <sheetName val="DM 6060"/>
      <sheetName val="DM_4970"/>
      <sheetName val="TK-TUBU"/>
      <sheetName val="DGIA"/>
      <sheetName val="TT"/>
      <sheetName val="dutoan"/>
      <sheetName val="Formwork"/>
      <sheetName val="Chi tiet -tong 9 thang"/>
      <sheetName val="BangMa"/>
      <sheetName val="project_management1"/>
      <sheetName val="REINF_1"/>
      <sheetName val="Rates_20091"/>
      <sheetName val="Du_toan1"/>
      <sheetName val="MAIN_GATE_HOUSE1"/>
      <sheetName val="Commercial_value1"/>
      <sheetName val="cuocbd"/>
      <sheetName val="CUOC"/>
      <sheetName val="DM7606"/>
      <sheetName val="XDM22"/>
      <sheetName val="Gvlch"/>
      <sheetName val="DGLX"/>
      <sheetName val="DinhMuc"/>
      <sheetName val="7606(TT01)"/>
      <sheetName val="7606TBA(TT01)"/>
      <sheetName val="DG7606TBA"/>
      <sheetName val="CTTN"/>
      <sheetName val="Luong_Cnhan"/>
      <sheetName val="DMTN"/>
      <sheetName val="VatTU"/>
      <sheetName val="dgtn"/>
      <sheetName val="Phan tich"/>
      <sheetName val="Main"/>
      <sheetName val="DL ĐẦU VÀO"/>
      <sheetName val="경비2내역"/>
      <sheetName val="chiet_tinh1"/>
      <sheetName val="Bang_KL1"/>
      <sheetName val="TONG_HOP_VL-NC1"/>
      <sheetName val="MH_RATE1"/>
      <sheetName val="Lcau_-_Lxuc1"/>
      <sheetName val="6787CWFASE2CASE2_00_xls"/>
      <sheetName val="Bill_01_-_CTN"/>
      <sheetName val="Bill_2_2_Villa_2_beds"/>
      <sheetName val="CẤP_THOÁT_NƯỚC"/>
      <sheetName val="Cước_VC_+_ĐM_CP_Tư_vấn"/>
      <sheetName val="Hệ_số"/>
      <sheetName val="Vat_tu_XD"/>
      <sheetName val="Bill_02_-_Xay_gach-Pou_"/>
      <sheetName val="Bill_03-Chống_thấm-Pou"/>
      <sheetName val="Bill_04-Kim_loại-Pou"/>
      <sheetName val="Bill_05_-_Hoan_thien-Pou_"/>
      <sheetName val="Bill_02_-_Xay_gach-Tower"/>
      <sheetName val="Bill_03-Chống_thấm-Tower"/>
      <sheetName val="Bill_04-Kim_loại-Tower"/>
      <sheetName val="Bill_05_-_Hoan_thien-Tower"/>
      <sheetName val="KL-_KHAC"/>
      <sheetName val="BILL_3_-_KẾT_CẤU_HẦM"/>
      <sheetName val="PTĐG_LTBT"/>
      <sheetName val="CTG-PRECHEx1_4"/>
      <sheetName val="CTG-AB_(2)"/>
      <sheetName val="CTG-AB_(3)"/>
      <sheetName val="CTG-PLP-1_08"/>
      <sheetName val="Pre_Đội_nhóm"/>
      <sheetName val="Tower_-_Concrete_Works"/>
      <sheetName val="Bill-04_ket_cau_thap-_UNI"/>
      <sheetName val="TH_Vat_tu"/>
      <sheetName val="Bang_trong_luong_rieng_thep"/>
      <sheetName val="gia_cong_tac"/>
      <sheetName val="Measure_1306"/>
      <sheetName val="THDT_goi_thau_TB"/>
      <sheetName val="Tien_do_TV"/>
      <sheetName val="Harga_ME_"/>
      <sheetName val="Analisa_Gabungan"/>
      <sheetName val="GV1-D13_(Casement_door)"/>
      <sheetName val="Isolasi_Luar_Dalam"/>
      <sheetName val="Isolasi_Luar"/>
      <sheetName val="Buy_vs__Lease_Car"/>
      <sheetName val="bridge_#_1"/>
      <sheetName val="BOQ THAN"/>
      <sheetName val="Analisa &amp; Upah"/>
      <sheetName val="CTEMCOST"/>
      <sheetName val="Unit_Div6"/>
      <sheetName val="Purchase Order"/>
      <sheetName val="D &amp; W sizes"/>
      <sheetName val="DETAIL_"/>
      <sheetName val="BOQ건축"/>
      <sheetName val="BocXep"/>
      <sheetName val="VCBo"/>
      <sheetName val="VCThuy"/>
      <sheetName val="Active"/>
      <sheetName val="PMS"/>
      <sheetName val="DongiaVL2"/>
      <sheetName val="dghn"/>
      <sheetName val="1_MV"/>
      <sheetName val="Ktmo"/>
      <sheetName val="Du lieu"/>
      <sheetName val="Cash2"/>
      <sheetName val="Markup"/>
      <sheetName val="INPUT-STR"/>
      <sheetName val="REF"/>
      <sheetName val="CT Thang Mo"/>
      <sheetName val="CT  PL"/>
      <sheetName val="cash budget"/>
      <sheetName val="Criteria"/>
      <sheetName val="ICGSIP"/>
      <sheetName val="DM_60611"/>
      <sheetName val="DG_thep_ma_kem1"/>
      <sheetName val="DG_DZ1"/>
      <sheetName val="DG_TBA1"/>
      <sheetName val="_Bill_5-Earthing_2_-_Add_Works"/>
      <sheetName val="Data_Input1"/>
      <sheetName val="final_list_20051"/>
      <sheetName val="LV_data"/>
      <sheetName val="ESTI_"/>
      <sheetName val="KL_san_lap"/>
      <sheetName val="Equipment_list_(PAC)"/>
      <sheetName val="TINH_KHOI_LUONG"/>
      <sheetName val="DATA_BASE"/>
      <sheetName val="Chenh_lech_ca_may"/>
      <sheetName val="TLg_CN&amp;Laixe"/>
      <sheetName val="TLg_CN&amp;Laixe_(2)"/>
      <sheetName val="TLg_Laitau"/>
      <sheetName val="TLg_Laitau_(2)"/>
      <sheetName val="Bang_3_Chi_tiet_phan_Dz"/>
      <sheetName val="KHOI_LUONG"/>
      <sheetName val="TH_MTC"/>
      <sheetName val="TH_N_Cong"/>
      <sheetName val="Chi_tiet"/>
      <sheetName val="PRE_(E)"/>
      <sheetName val="subcon_sched"/>
      <sheetName val="HVAC_BLOCK_B4"/>
      <sheetName val="SORT"/>
      <sheetName val="DK1.Don gia"/>
      <sheetName val="dongia _2_"/>
      <sheetName val="FAB별"/>
      <sheetName val="Thép CKN"/>
      <sheetName val="GOC-KO IN"/>
      <sheetName val="TMinh"/>
      <sheetName val="MAU 8A"/>
      <sheetName val="MAU 8B"/>
      <sheetName val="MAU 9"/>
      <sheetName val="MAU 10"/>
      <sheetName val="TLuong"/>
      <sheetName val="Perform1"/>
      <sheetName val="Source"/>
      <sheetName val="sochitiettaikhoan "/>
      <sheetName val="DIL4"/>
      <sheetName val="Share price data"/>
      <sheetName val="Breadown-Nop"/>
      <sheetName val="B-111"/>
      <sheetName val="19.3"/>
      <sheetName val="20.3"/>
      <sheetName val="Chieu 4.3"/>
      <sheetName val="Cow req"/>
      <sheetName val="TỔNG HỢP"/>
      <sheetName val="14-LẦN 3-CHIỀU"/>
      <sheetName val="14-LẦN 1-SÁNG"/>
      <sheetName val="14-LẦN 2-TRƯA"/>
      <sheetName val="1.3+1.4-TOTAL - Ko IN"/>
      <sheetName val="2.1-LẦN 3-CHIỀU"/>
      <sheetName val="2.1-LẦN 1-SÁNG"/>
      <sheetName val="2.1-LẦN 2-TRƯA"/>
      <sheetName val="2.1-TOTAL-Ko IN"/>
      <sheetName val="1.3(TMR 4)"/>
      <sheetName val="CHO DE"/>
      <sheetName val="1.1+1.2+2.2+2.3(TMR 3)"/>
      <sheetName val="CK1+CK2"/>
      <sheetName val="CK1+CK2 (VS SAN CHOI 23)"/>
      <sheetName val="CK1+CK2 (2)"/>
      <sheetName val="CP-CK"/>
      <sheetName val="12-16 THÁNG"/>
      <sheetName val="CAN SỮA"/>
      <sheetName val="54+55+56(SAU CAI SỮA-6)"/>
      <sheetName val="BÊ 71-90 NGÀY"/>
      <sheetName val="BÊ 12-16 tháng"/>
      <sheetName val="BÊ 6-12"/>
      <sheetName val="BÊ 1-3"/>
      <sheetName val="F01-BC KHAU PHAN SANG 20.3"/>
      <sheetName val="F01-BC KHAU PHAN CHIEU 19.3"/>
      <sheetName val="dinh mưc cty"/>
      <sheetName val="Giá thành"/>
      <sheetName val="Thong ke"/>
      <sheetName val="MIFC"/>
      <sheetName val="Energy for milk prod"/>
      <sheetName val="DE NGHI XUAT "/>
      <sheetName val="phieu xuat mau"/>
      <sheetName val="PHIEU XUAT CHIEU"/>
      <sheetName val="11 rai them cỏ"/>
      <sheetName val="PHU LUC 02- HDSD CAC BIEU MAU"/>
      <sheetName val="PhU LUC 01- MA CAC NHOM BO"/>
      <sheetName val="F03-BC THUC TRON SANG 20.3"/>
      <sheetName val="F03-BC THUC TRON CHIEU 19.3"/>
      <sheetName val="F02-BC THEO DOI THUC AN DU"/>
      <sheetName val="Tham khao- Bao cao xuat thuc an"/>
      <sheetName val="外気負荷"/>
      <sheetName val="Don gia (khong in)"/>
      <sheetName val="1.MONG 1-2"/>
      <sheetName val="02. PTDG"/>
      <sheetName val="Chiết tính"/>
      <sheetName val="CTKL_KTX_HT"/>
      <sheetName val="NHÀ_NHẬP_LIỆU"/>
      <sheetName val="MÓNG_SILO"/>
      <sheetName val="CP_Khac_cuoc_VC"/>
      <sheetName val="Budget_Code"/>
      <sheetName val="BẢNG_KHỐI_LƯỢNG_TỔNG_HỢP"/>
      <sheetName val="2_Chiet_tinh"/>
      <sheetName val="M1-XL-1c"/>
      <sheetName val="THKL"/>
      <sheetName val="sort2"/>
      <sheetName val="소일위대가코드표"/>
      <sheetName val="DATA1"/>
      <sheetName val="wk prgs"/>
      <sheetName val="Dongiaxd"/>
      <sheetName val="TB NẶNG"/>
      <sheetName val="Du tru CP-Bieu 01"/>
      <sheetName val="Dự thầu"/>
      <sheetName val="Nhap VT oto"/>
      <sheetName val="MTL(AG)"/>
      <sheetName val="Hao phí"/>
      <sheetName val="Structure data"/>
      <sheetName val="Specs"/>
      <sheetName val="Data.Wall"/>
      <sheetName val="ĐNTT"/>
      <sheetName val="GTHT"/>
      <sheetName val="Chi tiet cong no"/>
      <sheetName val="BoQ"/>
      <sheetName val="PHÁT SINH TẦNG 1."/>
      <sheetName val="PHÁT SINH TẦNG 2"/>
      <sheetName val="Hầm chuyển psinh"/>
      <sheetName val="Ống thẳng"/>
      <sheetName val="Côn thu"/>
      <sheetName val="Vuông tròn"/>
      <sheetName val="Chân rẽ"/>
      <sheetName val="Cút"/>
      <sheetName val="Chạc ba"/>
      <sheetName val="Ma don vi"/>
      <sheetName val="bang cc"/>
      <sheetName val="Theo doi Doanh thu 2017"/>
      <sheetName val="Dongia7606new"/>
      <sheetName val="DGiaT"/>
      <sheetName val="DGiaTN"/>
      <sheetName val="CP HMC"/>
      <sheetName val="Thongtin"/>
      <sheetName val="Tổng hợp KPHM"/>
      <sheetName val="AG Pipe Qty Analysis"/>
      <sheetName val="Cong"/>
      <sheetName val="gtrinh"/>
      <sheetName val="đọc số"/>
      <sheetName val="PU_ITALY_5"/>
      <sheetName val="RAB_AR&amp;STR3"/>
      <sheetName val="chi_tiet_TBA3"/>
      <sheetName val="chi_tiet_C3"/>
      <sheetName val="Tro_giup5"/>
      <sheetName val="TH_DZ355"/>
      <sheetName val="Customize_Your_Purchase_Order3"/>
      <sheetName val="CHITIET_VL-NC-TT_-1p3"/>
      <sheetName val="CHITIET_VL-NC-TT-3p2"/>
      <sheetName val="TONG_HOP_VL-NC_TT3"/>
      <sheetName val="KPVC-BD_3"/>
      <sheetName val="Don_gia3"/>
      <sheetName val="DON_GIA_TRAM_(3)3"/>
      <sheetName val="DON_GIA_CAN_THO5"/>
      <sheetName val="HĐ_ngoài2"/>
      <sheetName val="XT_Buoc_32"/>
      <sheetName val="dongia_(2)2"/>
      <sheetName val="7606_DZ3"/>
      <sheetName val="project_management2"/>
      <sheetName val="Don_gia_chi_tiet3"/>
      <sheetName val="Adix_A2"/>
      <sheetName val="S-curve_2"/>
      <sheetName val="REINF_2"/>
      <sheetName val="Rates_20092"/>
      <sheetName val="So_doi_chieu_LC2"/>
      <sheetName val="MAIN_GATE_HOUSE2"/>
      <sheetName val="Du_toan2"/>
      <sheetName val="Commercial_value2"/>
      <sheetName val="Ky_Lam_Bridge2"/>
      <sheetName val="Provisional_Sums_Item2"/>
      <sheetName val="Gas_Pressure_Welding2"/>
      <sheetName val="General_Item&amp;General_Requireme2"/>
      <sheetName val="General_Items2"/>
      <sheetName val="Regenral_Requirements2"/>
      <sheetName val="TONG_HOP_VL-NC2"/>
      <sheetName val="MH_RATE2"/>
      <sheetName val="Ng_hàng_xà+bulong2"/>
      <sheetName val="chiet_tinh2"/>
      <sheetName val="Bang_KL2"/>
      <sheetName val="Equip_1"/>
      <sheetName val="A1_CN1"/>
      <sheetName val="DG_thep_ma_kem2"/>
      <sheetName val="Lcau_-_Lxuc2"/>
      <sheetName val="DM_60612"/>
      <sheetName val="Đầu_vào1"/>
      <sheetName val="CT_vat_lieu2"/>
      <sheetName val="Trạm_biến_áp1"/>
      <sheetName val="Đơn_Giá_1"/>
      <sheetName val="Chenh_lech_vat_tu1"/>
      <sheetName val="Diện_tích1"/>
      <sheetName val="1_Khái_toán1"/>
      <sheetName val="TONG_HOP_T5_19981"/>
      <sheetName val="Chi_tiet_XD_TBA1"/>
      <sheetName val="DG_DZ2"/>
      <sheetName val="DG_TBA2"/>
      <sheetName val="rate_material1"/>
      <sheetName val="CT-0_4KV1"/>
      <sheetName val="KL_Chi_tiết_Xây_tô1"/>
      <sheetName val="07Base_Cost1"/>
      <sheetName val="Chi_tiet_KL1"/>
      <sheetName val="Tổng_hợp_KL1"/>
      <sheetName val="Bill_1_Quy_dinh_chung1"/>
      <sheetName val="1_R18_BF1"/>
      <sheetName val="6_External_works-R181"/>
      <sheetName val="Phan_khai_KLuong1"/>
      <sheetName val="Measure_13061"/>
      <sheetName val="Area_Cal1"/>
      <sheetName val="gia_cong_tac1"/>
      <sheetName val="Isolasi_Luar_Dalam1"/>
      <sheetName val="Isolasi_Luar1"/>
      <sheetName val="Data_Input2"/>
      <sheetName val="Project_Data1"/>
      <sheetName val="GV1-D13_(Casement_door)1"/>
      <sheetName val="DM_671"/>
      <sheetName val="04_-_XUONG_DET_B1"/>
      <sheetName val="_031"/>
      <sheetName val="chieu_day_san1"/>
      <sheetName val="Podium_Concrete_Works1"/>
      <sheetName val="KLCT-_TOWER1"/>
      <sheetName val="KLCT-_PODIUM1"/>
      <sheetName val="Gia_thanh_chuoi_su1"/>
      <sheetName val="Tiep_dia1"/>
      <sheetName val="Don_gia_vung_III-Can_Tho1"/>
      <sheetName val="Elect_(3)1"/>
      <sheetName val="plan&amp;section_of_foundation1"/>
      <sheetName val="design_criteria1"/>
      <sheetName val="Bond_수수료_계산_포맷1"/>
      <sheetName val="ITB_COST1"/>
      <sheetName val="PAGE_11"/>
      <sheetName val="Đầu_tư1"/>
      <sheetName val="EIRR&gt;_21"/>
      <sheetName val="HÐ_ngoài2"/>
      <sheetName val="6PILE__(돌출)1"/>
      <sheetName val="Xay_lapduongR31"/>
      <sheetName val="dg_tphcm1"/>
      <sheetName val="Loại_Vật_tư1"/>
      <sheetName val="T_KÊ_K_CẤU1"/>
      <sheetName val="Analisa_Gabungan1"/>
      <sheetName val="Bill_01_-_CTN1"/>
      <sheetName val="Bill_2_2_Villa_2_beds1"/>
      <sheetName val="4_PTDG1"/>
      <sheetName val="6787CWFASE2CASE2_00_xls1"/>
      <sheetName val="Bill_02_-_Xay_gach-Pou_1"/>
      <sheetName val="Bill_03-Chống_thấm-Pou1"/>
      <sheetName val="Bill_04-Kim_loại-Pou1"/>
      <sheetName val="Bill_05_-_Hoan_thien-Pou_1"/>
      <sheetName val="Bill_02_-_Xay_gach-Tower1"/>
      <sheetName val="Bill_03-Chống_thấm-Tower1"/>
      <sheetName val="Bill_04-Kim_loại-Tower1"/>
      <sheetName val="Bill_05_-_Hoan_thien-Tower1"/>
      <sheetName val="KL-_KHAC1"/>
      <sheetName val="BILL_3_-_KẾT_CẤU_HẦM1"/>
      <sheetName val="PTĐG_LTBT1"/>
      <sheetName val="CTG-PRECHEx1_41"/>
      <sheetName val="CTG-AB_(2)1"/>
      <sheetName val="CTG-AB_(3)1"/>
      <sheetName val="CTG-PLP-1_081"/>
      <sheetName val="Pre_Đội_nhóm1"/>
      <sheetName val="Vat_tu_XD1"/>
      <sheetName val="Tower_-_Concrete_Works1"/>
      <sheetName val="Bill-04_ket_cau_thap-_UNI1"/>
      <sheetName val="A1,_May1"/>
      <sheetName val="Vat_lieu1"/>
      <sheetName val="TH_N_Cong1"/>
      <sheetName val="Harga_ME_1"/>
      <sheetName val="ESTI_1"/>
      <sheetName val="KL_san_lap1"/>
      <sheetName val="TH_Vat_tu1"/>
      <sheetName val="_Bill_5-Earthing_2_-_Add_Works1"/>
      <sheetName val="CẤP_THOÁT_NƯỚC1"/>
      <sheetName val="Cước_VC_+_ĐM_CP_Tư_vấn1"/>
      <sheetName val="Hệ_số1"/>
      <sheetName val="THDT_goi_thau_TB1"/>
      <sheetName val="Tien_do_TV1"/>
      <sheetName val="Bang_trong_luong_rieng_thep1"/>
      <sheetName val="DETAIL_1"/>
      <sheetName val="final_list_20052"/>
      <sheetName val="LV_data1"/>
      <sheetName val="TH_MTC1"/>
      <sheetName val="Chenh_lech_ca_may1"/>
      <sheetName val="TLg_CN&amp;Laixe1"/>
      <sheetName val="TLg_CN&amp;Laixe_(2)1"/>
      <sheetName val="TLg_Laitau1"/>
      <sheetName val="TLg_Laitau_(2)1"/>
      <sheetName val="Equipment_list_(PAC)1"/>
      <sheetName val="TINH_KHOI_LUONG1"/>
      <sheetName val="DATA_BASE1"/>
      <sheetName val="bridge_#_11"/>
      <sheetName val="Chi_tiet1"/>
      <sheetName val="Buy_vs__Lease_Car1"/>
      <sheetName val="subcon_sched1"/>
      <sheetName val="Bang_3_Chi_tiet_phan_Dz1"/>
      <sheetName val="KHOI_LUONG1"/>
      <sheetName val="HVAC_BLOCK_B41"/>
      <sheetName val="PRE_(E)1"/>
      <sheetName val="Tong_du_toan"/>
      <sheetName val="Bill_2_-_ketcau"/>
      <sheetName val="Chi_tiet_lan_can"/>
      <sheetName val="Analisa_&amp;_Upah"/>
      <sheetName val="13-Cốt_thép_(10mm&lt;D≤18mm)_FO16"/>
      <sheetName val="du_lieu_du_toan"/>
      <sheetName val="Purchase_Order"/>
      <sheetName val="DL_ĐẦU_VÀO"/>
      <sheetName val="BOQ_THAN"/>
      <sheetName val="D_&amp;_W_sizes"/>
      <sheetName val="Du_lieu1"/>
      <sheetName val="cash_budget"/>
      <sheetName val="Luong_NII"/>
      <sheetName val="DINH_MUC_THI_NGHIEM"/>
      <sheetName val="Luong_NI"/>
      <sheetName val="Phan_tich"/>
      <sheetName val="CT_Thang_Mo"/>
      <sheetName val="CT__PL"/>
      <sheetName val="dongia__2_"/>
      <sheetName val="Thép_CKN"/>
      <sheetName val="GOC-KO_IN"/>
      <sheetName val="MAU_8A"/>
      <sheetName val="MAU_8B"/>
      <sheetName val="MAU_9"/>
      <sheetName val="MAU_10"/>
      <sheetName val="sochitiettaikhoan_"/>
      <sheetName val="Share_price_data"/>
      <sheetName val="19_3"/>
      <sheetName val="20_3"/>
      <sheetName val="Chieu_4_3"/>
      <sheetName val="Cow_req"/>
      <sheetName val="TỔNG_HỢP"/>
      <sheetName val="14-LẦN_3-CHIỀU"/>
      <sheetName val="14-LẦN_1-SÁNG"/>
      <sheetName val="14-LẦN_2-TRƯA"/>
      <sheetName val="1_3+1_4-TOTAL_-_Ko_IN"/>
      <sheetName val="2_1-LẦN_3-CHIỀU"/>
      <sheetName val="2_1-LẦN_1-SÁNG"/>
      <sheetName val="2_1-LẦN_2-TRƯA"/>
      <sheetName val="2_1-TOTAL-Ko_IN"/>
      <sheetName val="1_3(TMR_4)"/>
      <sheetName val="CHO_DE"/>
      <sheetName val="1_1+1_2+2_2+2_3(TMR_3)"/>
      <sheetName val="CK1+CK2_(VS_SAN_CHOI_23)"/>
      <sheetName val="CK1+CK2_(2)"/>
      <sheetName val="12-16_THÁNG"/>
      <sheetName val="CAN_SỮA"/>
      <sheetName val="54+55+56(SAU_CAI_SỮA-6)"/>
      <sheetName val="BÊ_71-90_NGÀY"/>
      <sheetName val="BÊ_12-16_tháng"/>
      <sheetName val="BÊ_6-12"/>
      <sheetName val="BÊ_1-3"/>
      <sheetName val="F01-BC_KHAU_PHAN_SANG_20_3"/>
      <sheetName val="F01-BC_KHAU_PHAN_CHIEU_19_3"/>
      <sheetName val="dinh_mưc_cty"/>
      <sheetName val="Giá_thành"/>
      <sheetName val="Thong_ke"/>
      <sheetName val="Energy_for_milk_prod"/>
      <sheetName val="DE_NGHI_XUAT_"/>
      <sheetName val="phieu_xuat_mau"/>
      <sheetName val="PHIEU_XUAT_CHIEU"/>
      <sheetName val="11_rai_them_cỏ"/>
      <sheetName val="PHU_LUC_02-_HDSD_CAC_BIEU_MAU"/>
      <sheetName val="PhU_LUC_01-_MA_CAC_NHOM_BO"/>
      <sheetName val="F03-BC_THUC_TRON_SANG_20_3"/>
      <sheetName val="F03-BC_THUC_TRON_CHIEU_19_3"/>
      <sheetName val="F02-BC_THEO_DOI_THUC_AN_DU"/>
      <sheetName val="Tham_khao-_Bao_cao_xuat_thuc_an"/>
      <sheetName val="Don_gia_(khong_in)"/>
      <sheetName val="Dlieu_dau_vao"/>
      <sheetName val="DK1_Don_gia"/>
      <sheetName val="1_MONG_1-2"/>
      <sheetName val="BANCO_(2)"/>
      <sheetName val="MT_DPin_(2)"/>
      <sheetName val="02__PTDG"/>
      <sheetName val="Chiết_tính"/>
      <sheetName val="PU_ITALY_6"/>
      <sheetName val="RAB_AR&amp;STR4"/>
      <sheetName val="chi_tiet_TBA4"/>
      <sheetName val="chi_tiet_C4"/>
      <sheetName val="Tro_giup6"/>
      <sheetName val="TH_DZ356"/>
      <sheetName val="Customize_Your_Purchase_Order4"/>
      <sheetName val="CHITIET_VL-NC-TT_-1p4"/>
      <sheetName val="CHITIET_VL-NC-TT-3p3"/>
      <sheetName val="TONG_HOP_VL-NC_TT4"/>
      <sheetName val="KPVC-BD_4"/>
      <sheetName val="Don_gia4"/>
      <sheetName val="DON_GIA_TRAM_(3)4"/>
      <sheetName val="DON_GIA_CAN_THO6"/>
      <sheetName val="HĐ_ngoài3"/>
      <sheetName val="XT_Buoc_33"/>
      <sheetName val="dongia_(2)3"/>
      <sheetName val="7606_DZ4"/>
      <sheetName val="project_management3"/>
      <sheetName val="Don_gia_chi_tiet4"/>
      <sheetName val="Adix_A3"/>
      <sheetName val="S-curve_3"/>
      <sheetName val="REINF_3"/>
      <sheetName val="Rates_20093"/>
      <sheetName val="So_doi_chieu_LC3"/>
      <sheetName val="MAIN_GATE_HOUSE3"/>
      <sheetName val="Commercial_value3"/>
      <sheetName val="Du_toan3"/>
      <sheetName val="Ky_Lam_Bridge3"/>
      <sheetName val="Provisional_Sums_Item3"/>
      <sheetName val="Gas_Pressure_Welding3"/>
      <sheetName val="General_Item&amp;General_Requireme3"/>
      <sheetName val="General_Items3"/>
      <sheetName val="Regenral_Requirements3"/>
      <sheetName val="chiet_tinh3"/>
      <sheetName val="Ng_hàng_xà+bulong3"/>
      <sheetName val="Bang_KL3"/>
      <sheetName val="TONG_HOP_VL-NC3"/>
      <sheetName val="MH_RATE3"/>
      <sheetName val="Đầu_vào2"/>
      <sheetName val="Lcau_-_Lxuc3"/>
      <sheetName val="DM_60613"/>
      <sheetName val="DG_thep_ma_kem3"/>
      <sheetName val="CT_vat_lieu3"/>
      <sheetName val="Equip_2"/>
      <sheetName val="A1_CN2"/>
      <sheetName val="Trạm_biến_áp2"/>
      <sheetName val="Đơn_Giá_2"/>
      <sheetName val="Chenh_lech_vat_tu2"/>
      <sheetName val="Diện_tích2"/>
      <sheetName val="1_Khái_toán2"/>
      <sheetName val="TONG_HOP_T5_19982"/>
      <sheetName val="Chi_tiet_XD_TBA2"/>
      <sheetName val="DG_DZ3"/>
      <sheetName val="DG_TBA3"/>
      <sheetName val="CT-0_4KV2"/>
      <sheetName val="rate_material2"/>
      <sheetName val="KL_Chi_tiết_Xây_tô2"/>
      <sheetName val="07Base_Cost2"/>
      <sheetName val="GV1-D13_(Casement_door)2"/>
      <sheetName val="Bill_1_Quy_dinh_chung2"/>
      <sheetName val="1_R18_BF2"/>
      <sheetName val="6_External_works-R182"/>
      <sheetName val="Phan_khai_KLuong2"/>
      <sheetName val="Chi_tiet_KL2"/>
      <sheetName val="Tổng_hợp_KL2"/>
      <sheetName val="Measure_13062"/>
      <sheetName val="Area_Cal2"/>
      <sheetName val="gia_cong_tac2"/>
      <sheetName val="Analisa_Gabungan2"/>
      <sheetName val="Isolasi_Luar_Dalam2"/>
      <sheetName val="Isolasi_Luar2"/>
      <sheetName val="04_-_XUONG_DET_B2"/>
      <sheetName val="_032"/>
      <sheetName val="chieu_day_san2"/>
      <sheetName val="Podium_Concrete_Works2"/>
      <sheetName val="KLCT-_TOWER2"/>
      <sheetName val="KLCT-_PODIUM2"/>
      <sheetName val="Gia_thanh_chuoi_su2"/>
      <sheetName val="Tiep_dia2"/>
      <sheetName val="Don_gia_vung_III-Can_Tho2"/>
      <sheetName val="Loại_Vật_tư2"/>
      <sheetName val="Elect_(3)2"/>
      <sheetName val="plan&amp;section_of_foundation2"/>
      <sheetName val="design_criteria2"/>
      <sheetName val="Bond_수수료_계산_포맷2"/>
      <sheetName val="ITB_COST2"/>
      <sheetName val="PAGE_12"/>
      <sheetName val="Xay_lapduongR32"/>
      <sheetName val="DM_672"/>
      <sheetName val="Project_Data2"/>
      <sheetName val="6787CWFASE2CASE2_00_xls2"/>
      <sheetName val="Đầu_tư2"/>
      <sheetName val="EIRR&gt;_22"/>
      <sheetName val="Bill_02_-_Xay_gach-Pou_2"/>
      <sheetName val="Bill_03-Chống_thấm-Pou2"/>
      <sheetName val="Bill_04-Kim_loại-Pou2"/>
      <sheetName val="Bill_05_-_Hoan_thien-Pou_2"/>
      <sheetName val="Bill_02_-_Xay_gach-Tower2"/>
      <sheetName val="Bill_03-Chống_thấm-Tower2"/>
      <sheetName val="Bill_04-Kim_loại-Tower2"/>
      <sheetName val="Bill_05_-_Hoan_thien-Tower2"/>
      <sheetName val="KL-_KHAC2"/>
      <sheetName val="BILL_3_-_KẾT_CẤU_HẦM2"/>
      <sheetName val="PTĐG_LTBT2"/>
      <sheetName val="CTG-PRECHEx1_42"/>
      <sheetName val="CTG-AB_(2)2"/>
      <sheetName val="CTG-AB_(3)2"/>
      <sheetName val="CTG-PLP-1_082"/>
      <sheetName val="Pre_Đội_nhóm2"/>
      <sheetName val="Vat_tu_XD2"/>
      <sheetName val="Tower_-_Concrete_Works2"/>
      <sheetName val="Bill-04_ket_cau_thap-_UNI2"/>
      <sheetName val="dg_tphcm2"/>
      <sheetName val="T_KÊ_K_CẤU2"/>
      <sheetName val="4_PTDG2"/>
      <sheetName val="A1,_May2"/>
      <sheetName val="Vat_lieu2"/>
      <sheetName val="Data_Input3"/>
      <sheetName val="HÐ_ngoài3"/>
      <sheetName val="6PILE__(돌출)2"/>
      <sheetName val="Bill_01_-_CTN2"/>
      <sheetName val="Bill_2_2_Villa_2_beds2"/>
      <sheetName val="ESTI_2"/>
      <sheetName val="KL_san_lap2"/>
      <sheetName val="TH_Vat_tu2"/>
      <sheetName val="_Bill_5-Earthing_2_-_Add_Works2"/>
      <sheetName val="Harga_ME_2"/>
      <sheetName val="TH_N_Cong2"/>
      <sheetName val="Bang_trong_luong_rieng_thep2"/>
      <sheetName val="CẤP_THOÁT_NƯỚC2"/>
      <sheetName val="Cước_VC_+_ĐM_CP_Tư_vấn2"/>
      <sheetName val="Hệ_số2"/>
      <sheetName val="bridge_#_12"/>
      <sheetName val="THDT_goi_thau_TB2"/>
      <sheetName val="Tien_do_TV2"/>
      <sheetName val="DETAIL_2"/>
      <sheetName val="final_list_20053"/>
      <sheetName val="LV_data2"/>
      <sheetName val="Gia_vat_tu2"/>
      <sheetName val="TH_MTC2"/>
      <sheetName val="Chenh_lech_ca_may2"/>
      <sheetName val="TLg_CN&amp;Laixe2"/>
      <sheetName val="TLg_CN&amp;Laixe_(2)2"/>
      <sheetName val="TLg_Laitau2"/>
      <sheetName val="TLg_Laitau_(2)2"/>
      <sheetName val="Equipment_list_(PAC)2"/>
      <sheetName val="TINH_KHOI_LUONG2"/>
      <sheetName val="DATA_BASE2"/>
      <sheetName val="Chi_tiet2"/>
      <sheetName val="Bang_3_Chi_tiet_phan_Dz2"/>
      <sheetName val="KHOI_LUONG2"/>
      <sheetName val="HVAC_BLOCK_B42"/>
      <sheetName val="Buy_vs__Lease_Car2"/>
      <sheetName val="subcon_sched2"/>
      <sheetName val="CP_Khac_cuoc_VC1"/>
      <sheetName val="Budget_Code1"/>
      <sheetName val="BẢNG_KHỐI_LƯỢNG_TỔNG_HỢP1"/>
      <sheetName val="CTKL_KTX_HT1"/>
      <sheetName val="PRE_(E)2"/>
      <sheetName val="2_Chiet_tinh1"/>
      <sheetName val="NHÀ_NHẬP_LIỆU1"/>
      <sheetName val="MÓNG_SILO1"/>
      <sheetName val="Tong_du_toan1"/>
      <sheetName val="Bill_2_-_ketcau1"/>
      <sheetName val="Chi_tiet_lan_can1"/>
      <sheetName val="Analisa_&amp;_Upah1"/>
      <sheetName val="Purchase_Order1"/>
      <sheetName val="13-Cốt_thép_(10mm&lt;D≤18mm)_FO161"/>
      <sheetName val="du_lieu_du_toan1"/>
      <sheetName val="DL_ĐẦU_VÀO1"/>
      <sheetName val="BOQ_THAN1"/>
      <sheetName val="D_&amp;_W_sizes1"/>
      <sheetName val="Du_lieu2"/>
      <sheetName val="cash_budget1"/>
      <sheetName val="Luong_NII1"/>
      <sheetName val="DINH_MUC_THI_NGHIEM1"/>
      <sheetName val="Luong_NI1"/>
      <sheetName val="Phan_tich1"/>
      <sheetName val="CT_Thang_Mo1"/>
      <sheetName val="CT__PL1"/>
      <sheetName val="dongia__2_1"/>
      <sheetName val="Thép_CKN1"/>
      <sheetName val="GOC-KO_IN1"/>
      <sheetName val="MAU_8A1"/>
      <sheetName val="MAU_8B1"/>
      <sheetName val="MAU_91"/>
      <sheetName val="MAU_101"/>
      <sheetName val="sochitiettaikhoan_1"/>
      <sheetName val="Share_price_data1"/>
      <sheetName val="19_31"/>
      <sheetName val="20_31"/>
      <sheetName val="Chieu_4_31"/>
      <sheetName val="Cow_req1"/>
      <sheetName val="TỔNG_HỢP1"/>
      <sheetName val="14-LẦN_3-CHIỀU1"/>
      <sheetName val="14-LẦN_1-SÁNG1"/>
      <sheetName val="14-LẦN_2-TRƯA1"/>
      <sheetName val="1_3+1_4-TOTAL_-_Ko_IN1"/>
      <sheetName val="2_1-LẦN_3-CHIỀU1"/>
      <sheetName val="2_1-LẦN_1-SÁNG1"/>
      <sheetName val="2_1-LẦN_2-TRƯA1"/>
      <sheetName val="2_1-TOTAL-Ko_IN1"/>
      <sheetName val="1_3(TMR_4)1"/>
      <sheetName val="CHO_DE1"/>
      <sheetName val="1_1+1_2+2_2+2_3(TMR_3)1"/>
      <sheetName val="CK1+CK2_(VS_SAN_CHOI_23)1"/>
      <sheetName val="CK1+CK2_(2)1"/>
      <sheetName val="12-16_THÁNG1"/>
      <sheetName val="CAN_SỮA1"/>
      <sheetName val="54+55+56(SAU_CAI_SỮA-6)1"/>
      <sheetName val="BÊ_71-90_NGÀY1"/>
      <sheetName val="BÊ_12-16_tháng1"/>
      <sheetName val="BÊ_6-121"/>
      <sheetName val="BÊ_1-31"/>
      <sheetName val="F01-BC_KHAU_PHAN_SANG_20_31"/>
      <sheetName val="F01-BC_KHAU_PHAN_CHIEU_19_31"/>
      <sheetName val="dinh_mưc_cty1"/>
      <sheetName val="Giá_thành1"/>
      <sheetName val="Thong_ke1"/>
      <sheetName val="Energy_for_milk_prod1"/>
      <sheetName val="DE_NGHI_XUAT_1"/>
      <sheetName val="phieu_xuat_mau1"/>
      <sheetName val="PHIEU_XUAT_CHIEU1"/>
      <sheetName val="11_rai_them_cỏ1"/>
      <sheetName val="PHU_LUC_02-_HDSD_CAC_BIEU_MAU1"/>
      <sheetName val="PhU_LUC_01-_MA_CAC_NHOM_BO1"/>
      <sheetName val="F03-BC_THUC_TRON_SANG_20_31"/>
      <sheetName val="F03-BC_THUC_TRON_CHIEU_19_31"/>
      <sheetName val="F02-BC_THEO_DOI_THUC_AN_DU1"/>
      <sheetName val="Tham_khao-_Bao_cao_xuat_thuc_a1"/>
      <sheetName val="Dlieu_dau_vao1"/>
      <sheetName val="DK1_Don_gia1"/>
      <sheetName val="1_MONG_1-21"/>
      <sheetName val="Don_gia_(khong_in)1"/>
      <sheetName val="BANCO_(2)1"/>
      <sheetName val="MT_DPin_(2)1"/>
      <sheetName val="02__PTDG1"/>
      <sheetName val="Chiết_tính1"/>
      <sheetName val="Bill No.3 - Prov. Sum (Ph2&amp;3)"/>
      <sheetName val="TH TN"/>
      <sheetName val="Ｎｏ.13"/>
      <sheetName val="tra_vat_lieu"/>
      <sheetName val="DGchitiet "/>
      <sheetName val="CP Du phong"/>
      <sheetName val="THCP Lap dat"/>
      <sheetName val="THCP xay dung"/>
      <sheetName val="Tong hop kinh phi"/>
      <sheetName val="QD79"/>
      <sheetName val="HỆ THỐNG PHÒNG CHÁY CHỮA CHÁY"/>
      <sheetName val="HỆ THỐNG CẤP THOÁT NƯỚC"/>
      <sheetName val="HỆ THỐNG ĐHKK"/>
      <sheetName val="MÁY PHÁT ĐIỆN"/>
      <sheetName val="HỆ THỐNG ĐIỆN"/>
      <sheetName val="Thiết bị chính"/>
      <sheetName val="Tongke"/>
      <sheetName val="2.1Warehouse 1"/>
      <sheetName val="CHI PHI"/>
      <sheetName val="MDA"/>
      <sheetName val="MKH"/>
      <sheetName val="DMNV"/>
      <sheetName val="DMNCC"/>
      <sheetName val="MHH"/>
      <sheetName val="Bill 2-Road HR2"/>
      <sheetName val="Bill 3 - Softscape HR2"/>
      <sheetName val="Brick"/>
      <sheetName val="見積書"/>
      <sheetName val="TNHC"/>
      <sheetName val="TK chi tiet"/>
      <sheetName val="CĂN HỘ T16-17 "/>
      <sheetName val="TRỤC ĐỨNG THOÁT BẨN T15-17"/>
      <sheetName val="TRỤC ĐỨNG TM T15-17"/>
      <sheetName val="trialth"/>
      <sheetName val="1"/>
      <sheetName val="PCCC"/>
      <sheetName val="Tổng GT"/>
      <sheetName val="GT"/>
      <sheetName val="KL"/>
      <sheetName val="Chi tiết KL"/>
      <sheetName val="khấu trừ phạt"/>
      <sheetName val="GT  KHAU TRU"/>
      <sheetName val="HAO HUT VAT TU (2)"/>
      <sheetName val="cao độ"/>
      <sheetName val="THEP TAM"/>
      <sheetName val="THEP HÌNH"/>
      <sheetName val="THEP HINH"/>
      <sheetName val="XA GO"/>
      <sheetName val="BANG TRA"/>
      <sheetName val="CDTK"/>
      <sheetName val="물량표"/>
      <sheetName val="NHATKYC"/>
      <sheetName val="BCX_NL"/>
      <sheetName val="Est"/>
      <sheetName val="E-Breakdown"/>
      <sheetName val="CostData"/>
      <sheetName val="costingsheet"/>
      <sheetName val="Wind"/>
      <sheetName val="Main Bldg-Rev02"/>
      <sheetName val="D&amp;W def."/>
      <sheetName val="Nhan cong"/>
      <sheetName val="Thiet bi"/>
      <sheetName val="Vat tu"/>
      <sheetName val="DM.ChiPhi"/>
      <sheetName val="May TC"/>
      <sheetName val="TH Kinh phi"/>
      <sheetName val="LKVL-CK-HT-GD1"/>
      <sheetName val="NhanCong"/>
      <sheetName val="TN"/>
      <sheetName val="ND"/>
      <sheetName val="Ptvl "/>
      <sheetName val="escon"/>
      <sheetName val="INSTR"/>
      <sheetName val="GiaVL"/>
      <sheetName val="노임단가"/>
      <sheetName val="Rebar"/>
      <sheetName val="KLT"/>
      <sheetName val="nkc"/>
      <sheetName val="Móng, nền "/>
      <sheetName val="1.Requisition(E)"/>
      <sheetName val="TONG HOP"/>
      <sheetName val="VT190111"/>
      <sheetName val="DM_336cai tao"/>
      <sheetName val="KHOI LUONG15-4"/>
      <sheetName val="HS"/>
      <sheetName val="gui BKCT"/>
      <sheetName val="A6,MAY"/>
      <sheetName val="Bù giá CM"/>
      <sheetName val="Trichluc"/>
      <sheetName val="dodat"/>
      <sheetName val="Dieutra"/>
      <sheetName val="catdoc"/>
      <sheetName val="diahinh"/>
      <sheetName val="Thop Ksat"/>
      <sheetName val="Nhap"/>
      <sheetName val="bia"/>
      <sheetName val="Thu hoi "/>
      <sheetName val="tongkphi"/>
      <sheetName val="HM chung"/>
      <sheetName val="CP xd-thiet bi"/>
      <sheetName val="TH-TN LD TB"/>
      <sheetName val="CP xaydung"/>
      <sheetName val="Thao ha phu kien"/>
      <sheetName val="VL-NC-MTC ket cau"/>
      <sheetName val="CTKETCAU"/>
      <sheetName val="KHOI LUONG TONG"/>
      <sheetName val="TK 22KV"/>
      <sheetName val="TK0,4KV"/>
      <sheetName val="6061"/>
      <sheetName val="6060"/>
      <sheetName val="DM 366-1777"/>
      <sheetName val="Thi nhiem"/>
      <sheetName val="Gia goc VT-TB"/>
      <sheetName val="Gia_BTong"/>
      <sheetName val="Gia vc den chan CT"/>
      <sheetName val="culy 22"/>
      <sheetName val="Daomong"/>
      <sheetName val="Luong 2050"/>
      <sheetName val="ca may QN"/>
      <sheetName val="TNHC1246 "/>
      <sheetName val="Ca may TT06.2010"/>
      <sheetName val="Don gia VLXD dia phuong"/>
      <sheetName val="Bang luong SCL"/>
      <sheetName val="Dinhmuc366"/>
      <sheetName val="Dinh muc TN1426"/>
      <sheetName val="DongiaCamay"/>
      <sheetName val="Luong BN"/>
      <sheetName val="Luong TB"/>
      <sheetName val="Ca may TB"/>
      <sheetName val="Ca máy BN"/>
      <sheetName val="Vật liệu"/>
      <sheetName val="Gia vat lieu"/>
      <sheetName val="Precios unitarios AXH"/>
      <sheetName val=""/>
      <sheetName val="3. CNT"/>
      <sheetName val="unit price list(M)"/>
      <sheetName val="Rate1"/>
      <sheetName val="TH VL, NC, DDHT Thanhphuoc"/>
      <sheetName val="전기"/>
      <sheetName val="DMCT"/>
      <sheetName val="lam_moi"/>
      <sheetName val="So lieu chung"/>
      <sheetName val="BẢNG ÁP GIÁ (in)"/>
      <sheetName val="NT (KL) IN"/>
      <sheetName val="DOM D2"/>
      <sheetName val="nhà ăn"/>
      <sheetName val="Công nhật"/>
      <sheetName val="btkt cột"/>
      <sheetName val="THÉP"/>
      <sheetName val="Door_and_window1"/>
      <sheetName val="Ma_don_vi"/>
      <sheetName val="bang_cc"/>
      <sheetName val="유림콘도"/>
      <sheetName val="유림골조"/>
      <sheetName val="Btra"/>
      <sheetName val="Doi so"/>
      <sheetName val="Notes"/>
      <sheetName val="1.2 Staff Schedule"/>
      <sheetName val="SPEC"/>
      <sheetName val="VO-PS02-XD"/>
      <sheetName val="0. Input"/>
      <sheetName val="DANH MỤC HỒ SƠ"/>
      <sheetName val="GT PHÁT SINH NGOÀI HĐ"/>
      <sheetName val="KL PHÁT SINH "/>
      <sheetName val="PS NGOÀI HĐ"/>
      <sheetName val="GT PHÁT SINH VƯỢT HĐ"/>
      <sheetName val="PS TĂNG GIẢM TRONG HĐ"/>
      <sheetName val="DGCT PHÁT SINH"/>
      <sheetName val="DGCT TRẦN NLV"/>
      <sheetName val="DGKL chi tiết NLV"/>
      <sheetName val="DGKL chi tiết NHN,NK"/>
      <sheetName val="TG KL"/>
      <sheetName val="DGCT SƠN BẢ TƯỜNG NLV"/>
      <sheetName val="DGKL TRẦN NHN"/>
      <sheetName val="INF"/>
      <sheetName val="MTO REV.2(ARMOR)"/>
      <sheetName val="ReadFirst"/>
      <sheetName val="T2-3"/>
      <sheetName val="Pric塅䕃"/>
      <sheetName val="PNT_QUOT__3"/>
      <sheetName val="COAT_WRAP_QIOT__3"/>
      <sheetName val="TH các CC"/>
      <sheetName val="Bill Prelim-CDT"/>
      <sheetName val="Prelims"/>
      <sheetName val="Bill BPTC-CDT"/>
      <sheetName val="Chi tiết BPTC"/>
      <sheetName val="Bill BPTC-CDT (PA MCT CDT)"/>
      <sheetName val="Chi tiết BPTC (PA MCT CDT)"/>
      <sheetName val="KL THEP  GIAM DO DUNG COUPLER"/>
      <sheetName val="01.KL THÉP NHẬP VỀ"/>
      <sheetName val="BBLMHT"/>
      <sheetName val="2. NT VLDV"/>
      <sheetName val="GHI CHU"/>
      <sheetName val="1.BB LMHT"/>
      <sheetName val="Bê tông bảo vệ"/>
      <sheetName val="01. Data"/>
      <sheetName val="Neo, nối cốt thép dầm, cột"/>
      <sheetName val="Uốn móc cốt thép"/>
      <sheetName val="Tiêu chuẩn cốt thép"/>
      <sheetName val="BQ-E20-02(Rp)"/>
      <sheetName val="F4-F7"/>
      <sheetName val="날개벽수량표"/>
      <sheetName val="PERSONNELIST"/>
      <sheetName val="1. Office"/>
      <sheetName val="A6"/>
      <sheetName val="KL thep lam sat"/>
      <sheetName val="PU_ITALY_7"/>
      <sheetName val="RAB_AR&amp;STR5"/>
      <sheetName val="chi_tiet_TBA5"/>
      <sheetName val="chi_tiet_C5"/>
      <sheetName val="Tro_giup7"/>
      <sheetName val="TH_DZ357"/>
      <sheetName val="Customize_Your_Purchase_Order5"/>
      <sheetName val="CHITIET_VL-NC-TT_-1p5"/>
      <sheetName val="CHITIET_VL-NC-TT-3p4"/>
      <sheetName val="TONG_HOP_VL-NC_TT5"/>
      <sheetName val="KPVC-BD_5"/>
      <sheetName val="Don_gia5"/>
      <sheetName val="DON_GIA_TRAM_(3)5"/>
      <sheetName val="DON_GIA_CAN_THO7"/>
      <sheetName val="HĐ_ngoài4"/>
      <sheetName val="XT_Buoc_34"/>
      <sheetName val="dongia_(2)4"/>
      <sheetName val="7606_DZ5"/>
      <sheetName val="project_management4"/>
      <sheetName val="Don_gia_chi_tiet5"/>
      <sheetName val="Adix_A4"/>
      <sheetName val="S-curve_4"/>
      <sheetName val="REINF_4"/>
      <sheetName val="Rates_20094"/>
      <sheetName val="So_doi_chieu_LC4"/>
      <sheetName val="MAIN_GATE_HOUSE4"/>
      <sheetName val="Du_toan4"/>
      <sheetName val="Commercial_value4"/>
      <sheetName val="Ky_Lam_Bridge4"/>
      <sheetName val="Provisional_Sums_Item4"/>
      <sheetName val="Gas_Pressure_Welding4"/>
      <sheetName val="General_Item&amp;General_Requireme4"/>
      <sheetName val="General_Items4"/>
      <sheetName val="Regenral_Requirements4"/>
      <sheetName val="chiet_tinh4"/>
      <sheetName val="Ng_hàng_xà+bulong4"/>
      <sheetName val="Bang_KL4"/>
      <sheetName val="TONG_HOP_VL-NC4"/>
      <sheetName val="MH_RATE4"/>
      <sheetName val="DM_60614"/>
      <sheetName val="DG_thep_ma_kem4"/>
      <sheetName val="Lcau_-_Lxuc4"/>
      <sheetName val="Đầu_vào3"/>
      <sheetName val="Equip_3"/>
      <sheetName val="A1_CN3"/>
      <sheetName val="CT_vat_lieu4"/>
      <sheetName val="Trạm_biến_áp3"/>
      <sheetName val="Đơn_Giá_3"/>
      <sheetName val="Chi_tiet_XD_TBA3"/>
      <sheetName val="Chenh_lech_vat_tu3"/>
      <sheetName val="Diện_tích3"/>
      <sheetName val="1_Khái_toán3"/>
      <sheetName val="TONG_HOP_T5_19983"/>
      <sheetName val="CT-0_4KV3"/>
      <sheetName val="rate_material3"/>
      <sheetName val="KL_Chi_tiết_Xây_tô3"/>
      <sheetName val="DG_DZ4"/>
      <sheetName val="DG_TBA4"/>
      <sheetName val="04_-_XUONG_DET_B3"/>
      <sheetName val="Chi_tiet_KL3"/>
      <sheetName val="Tổng_hợp_KL3"/>
      <sheetName val="Bill_1_Quy_dinh_chung3"/>
      <sheetName val="1_R18_BF3"/>
      <sheetName val="6_External_works-R183"/>
      <sheetName val="07Base_Cost3"/>
      <sheetName val="_033"/>
      <sheetName val="chieu_day_san3"/>
      <sheetName val="Podium_Concrete_Works3"/>
      <sheetName val="KLCT-_TOWER3"/>
      <sheetName val="KLCT-_PODIUM3"/>
      <sheetName val="Gia_thanh_chuoi_su3"/>
      <sheetName val="Tiep_dia3"/>
      <sheetName val="Don_gia_vung_III-Can_Tho3"/>
      <sheetName val="Phan_khai_KLuong3"/>
      <sheetName val="Area_Cal3"/>
      <sheetName val="Elect_(3)3"/>
      <sheetName val="plan&amp;section_of_foundation3"/>
      <sheetName val="design_criteria3"/>
      <sheetName val="Bond_수수료_계산_포맷3"/>
      <sheetName val="ITB_COST3"/>
      <sheetName val="PAGE_13"/>
      <sheetName val="DM_673"/>
      <sheetName val="Đầu_tư3"/>
      <sheetName val="Loại_Vật_tư3"/>
      <sheetName val="EIRR&gt;_23"/>
      <sheetName val="Xay_lapduongR33"/>
      <sheetName val="dg_tphcm3"/>
      <sheetName val="T_KÊ_K_CẤU3"/>
      <sheetName val="Bill_01_-_CTN3"/>
      <sheetName val="Bill_2_2_Villa_2_beds3"/>
      <sheetName val="Data_Input4"/>
      <sheetName val="6787CWFASE2CASE2_00_xls3"/>
      <sheetName val="Project_Data3"/>
      <sheetName val="CẤP_THOÁT_NƯỚC3"/>
      <sheetName val="Cước_VC_+_ĐM_CP_Tư_vấn3"/>
      <sheetName val="Hệ_số3"/>
      <sheetName val="Vat_tu_XD3"/>
      <sheetName val="HÐ_ngoài4"/>
      <sheetName val="6PILE__(돌출)3"/>
      <sheetName val="THDT_goi_thau_TB3"/>
      <sheetName val="Tien_do_TV3"/>
      <sheetName val="Harga_ME_3"/>
      <sheetName val="Analisa_Gabungan3"/>
      <sheetName val="Bill_02_-_Xay_gach-Pou_3"/>
      <sheetName val="Bill_03-Chống_thấm-Pou3"/>
      <sheetName val="Bill_04-Kim_loại-Pou3"/>
      <sheetName val="Bill_05_-_Hoan_thien-Pou_3"/>
      <sheetName val="Bill_02_-_Xay_gach-Tower3"/>
      <sheetName val="Bill_03-Chống_thấm-Tower3"/>
      <sheetName val="Bill_04-Kim_loại-Tower3"/>
      <sheetName val="Bill_05_-_Hoan_thien-Tower3"/>
      <sheetName val="KL-_KHAC3"/>
      <sheetName val="BILL_3_-_KẾT_CẤU_HẦM3"/>
      <sheetName val="PTĐG_LTBT3"/>
      <sheetName val="CTG-PRECHEx1_43"/>
      <sheetName val="CTG-AB_(2)3"/>
      <sheetName val="CTG-AB_(3)3"/>
      <sheetName val="CTG-PLP-1_083"/>
      <sheetName val="Pre_Đội_nhóm3"/>
      <sheetName val="Tower_-_Concrete_Works3"/>
      <sheetName val="Bill-04_ket_cau_thap-_UNI3"/>
      <sheetName val="TH_Vat_tu3"/>
      <sheetName val="4_PTDG3"/>
      <sheetName val="A1,_May3"/>
      <sheetName val="Vat_lieu3"/>
      <sheetName val="Bang_trong_luong_rieng_thep3"/>
      <sheetName val="gia_cong_tac3"/>
      <sheetName val="Measure_13063"/>
      <sheetName val="GV1-D13_(Casement_door)3"/>
      <sheetName val="bridge_#_13"/>
      <sheetName val="final_list_20054"/>
      <sheetName val="LV_data3"/>
      <sheetName val="ESTI_3"/>
      <sheetName val="DETAIL_3"/>
      <sheetName val="Gia_vat_tu3"/>
      <sheetName val="Isolasi_Luar_Dalam3"/>
      <sheetName val="Isolasi_Luar3"/>
      <sheetName val="TH_MTC3"/>
      <sheetName val="TH_N_Cong3"/>
      <sheetName val="_Bill_5-Earthing_2_-_Add_Works3"/>
      <sheetName val="DATA_BASE3"/>
      <sheetName val="Equipment_list_(PAC)3"/>
      <sheetName val="KL_san_lap3"/>
      <sheetName val="Chenh_lech_ca_may3"/>
      <sheetName val="TLg_CN&amp;Laixe3"/>
      <sheetName val="TLg_CN&amp;Laixe_(2)3"/>
      <sheetName val="TLg_Laitau3"/>
      <sheetName val="TLg_Laitau_(2)3"/>
      <sheetName val="TINH_KHOI_LUONG3"/>
      <sheetName val="Buy_vs__Lease_Car3"/>
      <sheetName val="CP_Khac_cuoc_VC2"/>
      <sheetName val="Budget_Code2"/>
      <sheetName val="subcon_sched3"/>
      <sheetName val="Chi_tiet3"/>
      <sheetName val="Bang_3_Chi_tiet_phan_Dz3"/>
      <sheetName val="KHOI_LUONG3"/>
      <sheetName val="HVAC_BLOCK_B43"/>
      <sheetName val="PRE_(E)3"/>
      <sheetName val="BẢNG_KHỐI_LƯỢNG_TỔNG_HỢP2"/>
      <sheetName val="CTKL_KTX_HT2"/>
      <sheetName val="2_Chiet_tinh2"/>
      <sheetName val="NHÀ_NHẬP_LIỆU2"/>
      <sheetName val="MÓNG_SILO2"/>
      <sheetName val="Tong_du_toan2"/>
      <sheetName val="Bill_2_-_ketcau2"/>
      <sheetName val="Analisa_&amp;_Upah2"/>
      <sheetName val="BOQ_THAN2"/>
      <sheetName val="Chi_tiet_lan_can2"/>
      <sheetName val="13-Cốt_thép_(10mm&lt;D≤18mm)_FO162"/>
      <sheetName val="du_lieu_du_toan2"/>
      <sheetName val="Purchase_Order2"/>
      <sheetName val="D_&amp;_W_sizes2"/>
      <sheetName val="DL_ĐẦU_VÀO2"/>
      <sheetName val="Du_lieu3"/>
      <sheetName val="cash_budget2"/>
      <sheetName val="Phan_tich2"/>
      <sheetName val="Luong_NII2"/>
      <sheetName val="DINH_MUC_THI_NGHIEM2"/>
      <sheetName val="Luong_NI2"/>
      <sheetName val="CT_Thang_Mo2"/>
      <sheetName val="CT__PL2"/>
      <sheetName val="dongia__2_2"/>
      <sheetName val="Thép_CKN2"/>
      <sheetName val="GOC-KO_IN2"/>
      <sheetName val="MAU_8A2"/>
      <sheetName val="MAU_8B2"/>
      <sheetName val="MAU_92"/>
      <sheetName val="MAU_102"/>
      <sheetName val="sochitiettaikhoan_2"/>
      <sheetName val="Share_price_data2"/>
      <sheetName val="19_32"/>
      <sheetName val="20_32"/>
      <sheetName val="Chieu_4_32"/>
      <sheetName val="Cow_req2"/>
      <sheetName val="TỔNG_HỢP2"/>
      <sheetName val="14-LẦN_3-CHIỀU2"/>
      <sheetName val="14-LẦN_1-SÁNG2"/>
      <sheetName val="14-LẦN_2-TRƯA2"/>
      <sheetName val="1_3+1_4-TOTAL_-_Ko_IN2"/>
      <sheetName val="2_1-LẦN_3-CHIỀU2"/>
      <sheetName val="2_1-LẦN_1-SÁNG2"/>
      <sheetName val="2_1-LẦN_2-TRƯA2"/>
      <sheetName val="2_1-TOTAL-Ko_IN2"/>
      <sheetName val="1_3(TMR_4)2"/>
      <sheetName val="CHO_DE2"/>
      <sheetName val="1_1+1_2+2_2+2_3(TMR_3)2"/>
      <sheetName val="CK1+CK2_(VS_SAN_CHOI_23)2"/>
      <sheetName val="CK1+CK2_(2)2"/>
      <sheetName val="12-16_THÁNG2"/>
      <sheetName val="CAN_SỮA2"/>
      <sheetName val="54+55+56(SAU_CAI_SỮA-6)2"/>
      <sheetName val="BÊ_71-90_NGÀY2"/>
      <sheetName val="BÊ_12-16_tháng2"/>
      <sheetName val="BÊ_6-122"/>
      <sheetName val="BÊ_1-32"/>
      <sheetName val="F01-BC_KHAU_PHAN_SANG_20_32"/>
      <sheetName val="F01-BC_KHAU_PHAN_CHIEU_19_32"/>
      <sheetName val="dinh_mưc_cty2"/>
      <sheetName val="Giá_thành2"/>
      <sheetName val="Thong_ke2"/>
      <sheetName val="Energy_for_milk_prod2"/>
      <sheetName val="DE_NGHI_XUAT_2"/>
      <sheetName val="phieu_xuat_mau2"/>
      <sheetName val="PHIEU_XUAT_CHIEU2"/>
      <sheetName val="11_rai_them_cỏ2"/>
      <sheetName val="PHU_LUC_02-_HDSD_CAC_BIEU_MAU2"/>
      <sheetName val="PhU_LUC_01-_MA_CAC_NHOM_BO2"/>
      <sheetName val="F03-BC_THUC_TRON_SANG_20_32"/>
      <sheetName val="F03-BC_THUC_TRON_CHIEU_19_32"/>
      <sheetName val="F02-BC_THEO_DOI_THUC_AN_DU2"/>
      <sheetName val="Tham_khao-_Bao_cao_xuat_thuc_a2"/>
      <sheetName val="02__PTDG2"/>
      <sheetName val="BANCO_(2)2"/>
      <sheetName val="MT_DPin_(2)2"/>
      <sheetName val="Dlieu_dau_vao2"/>
      <sheetName val="Don_gia_(khong_in)2"/>
      <sheetName val="DK1_Don_gia2"/>
      <sheetName val="1_MONG_1-22"/>
      <sheetName val="Chiết_tính2"/>
      <sheetName val="wk_prgs"/>
      <sheetName val="TH_TN"/>
      <sheetName val="dm_366"/>
      <sheetName val="DM_6060"/>
      <sheetName val="Bill_No_3_-_Prov__Sum_(Ph2&amp;3)"/>
      <sheetName val="Du_tru_CP-Bieu_01"/>
      <sheetName val="TB_NẶNG"/>
      <sheetName val="Income_Statement2"/>
      <sheetName val="Shareholders'_Equity2"/>
      <sheetName val="VC_xd"/>
      <sheetName val="Gia_VLTB"/>
      <sheetName val="B_Luong"/>
      <sheetName val="C_May"/>
      <sheetName val="2_1Warehouse_1"/>
      <sheetName val="đọc_số"/>
      <sheetName val="Data_Wall"/>
      <sheetName val="Nhap_VT_oto"/>
      <sheetName val="AG_Pipe_Qty_Analysis"/>
      <sheetName val="Hao_phí"/>
      <sheetName val="THEP_TAM"/>
      <sheetName val="THEP_HÌNH"/>
      <sheetName val="THEP_HINH"/>
      <sheetName val="XA_GO"/>
      <sheetName val="BANG_TRA"/>
      <sheetName val="CP_HMC"/>
      <sheetName val="Ｎｏ_13"/>
      <sheetName val="DGchitiet_"/>
      <sheetName val="Bill_2-Road_HR2"/>
      <sheetName val="Bill_3_-_Softscape_HR2"/>
      <sheetName val="TK_chi_tiet"/>
      <sheetName val="CĂN_HỘ_T16-17_"/>
      <sheetName val="TRỤC_ĐỨNG_THOÁT_BẨN_T15-17"/>
      <sheetName val="TRỤC_ĐỨNG_TM_T15-17"/>
      <sheetName val="Chi_tiet_cong_no"/>
      <sheetName val="PHÁT_SINH_TẦNG_1_"/>
      <sheetName val="PHÁT_SINH_TẦNG_2"/>
      <sheetName val="Hầm_chuyển_psinh"/>
      <sheetName val="Ống_thẳng"/>
      <sheetName val="Côn_thu"/>
      <sheetName val="Vuông_tròn"/>
      <sheetName val="Chân_rẽ"/>
      <sheetName val="Chạc_ba"/>
      <sheetName val="Dự_thầu"/>
      <sheetName val="Structure_data"/>
      <sheetName val="CP_Du_phong"/>
      <sheetName val="THCP_Lap_dat"/>
      <sheetName val="THCP_xay_dung"/>
      <sheetName val="Tong_hop_kinh_phi"/>
      <sheetName val="HỆ_THỐNG_PHÒNG_CHÁY_CHỮA_CHÁY"/>
      <sheetName val="HỆ_THỐNG_CẤP_THOÁT_NƯỚC"/>
      <sheetName val="HỆ_THỐNG_ĐHKK"/>
      <sheetName val="MÁY_PHÁT_ĐIỆN"/>
      <sheetName val="HỆ_THỐNG_ĐIỆN"/>
      <sheetName val="Thiết_bị_chính"/>
      <sheetName val="CHI_PHI"/>
      <sheetName val="Main_Bldg-Rev02"/>
      <sheetName val="D&amp;W_def_"/>
      <sheetName val="Nhan_cong"/>
      <sheetName val="Thiet_bi"/>
      <sheetName val="Vat_tu"/>
      <sheetName val="DM_ChiPhi"/>
      <sheetName val="May_TC"/>
      <sheetName val="TH_Kinh_phi"/>
      <sheetName val="Ptvl_"/>
      <sheetName val="Móng,_nền_"/>
      <sheetName val="1_Requisition(E)"/>
      <sheetName val="TONG_HOP"/>
      <sheetName val="Tổng_GT"/>
      <sheetName val="Chi_tiết_KL"/>
      <sheetName val="ca_máy"/>
      <sheetName val="khấu_trừ_phạt"/>
      <sheetName val="GT__KHAU_TRU"/>
      <sheetName val="HAO_HUT_VAT_TU_(2)"/>
      <sheetName val="cao_độ"/>
      <sheetName val="Dự_toán"/>
      <sheetName val="Đơn_Giá_TH"/>
      <sheetName val="Nhân_công"/>
      <sheetName val="Phân_tích"/>
      <sheetName val="C_P_Thiết_bị"/>
      <sheetName val="T_H_Kinh_phí"/>
      <sheetName val="Vật_tư"/>
      <sheetName val="Trang_bìa"/>
      <sheetName val="phan_tic_chi_tiet"/>
      <sheetName val="Steel"/>
      <sheetName val="Order"/>
      <sheetName val="DM-VNT ko sd"/>
      <sheetName val="B3A - TOWER A"/>
      <sheetName val="Annex B"/>
      <sheetName val="Cotthep.NPT"/>
      <sheetName val="vl.nc.mtc"/>
      <sheetName val="TOSHIBA-Structure"/>
      <sheetName val="1.Civil (Org)"/>
      <sheetName val="villa"/>
      <sheetName val="Data-year2001i"/>
      <sheetName val="Tien Thuong"/>
      <sheetName val="NC XL 6T cuoi 01 CTy"/>
      <sheetName val="Data -6T dau"/>
      <sheetName val="Cong 6T"/>
      <sheetName val="125x125"/>
      <sheetName val="Bảng đo bóc KL OLK-09"/>
      <sheetName val="6.3 CHI TIET OLK-09"/>
      <sheetName val="음료실행"/>
      <sheetName val="내역서을지"/>
      <sheetName val="Assumptions"/>
      <sheetName val="Dot 4"/>
      <sheetName val="Chi phi van chuyen"/>
      <sheetName val="Tong hop vat tu"/>
      <sheetName val="XLR_NoRangeSheet"/>
      <sheetName val="工艺分类库"/>
      <sheetName val="1.San "/>
      <sheetName val="DT hợp đồng"/>
      <sheetName val="Bảng KL đợt 1"/>
      <sheetName val="DLDT"/>
      <sheetName val="Dgia vat tu"/>
      <sheetName val="Don gia_III"/>
      <sheetName val="D÷ liÖu"/>
      <sheetName val="TLG Type"/>
      <sheetName val="Duthau"/>
      <sheetName val="HRG BHN"/>
      <sheetName val="CĂN ĐH"/>
      <sheetName val="Div26 - Elect"/>
      <sheetName val="DMSC"/>
      <sheetName val="Heso DZ"/>
      <sheetName val="DGiaDZ"/>
      <sheetName val="DG_BINH THUAN"/>
      <sheetName val="CAUDIT"/>
      <sheetName val="7.Khau tru "/>
      <sheetName val="Inputs_Sens"/>
      <sheetName val="IS_Sum_CM"/>
      <sheetName val="gia vt,nc,may"/>
      <sheetName val="2.CDPS"/>
      <sheetName val="Q.A01.2-Sh"/>
      <sheetName val="개산공사비"/>
      <sheetName val="Gld"/>
      <sheetName val="Gxd"/>
      <sheetName val="4 CĂN"/>
      <sheetName val="Calculation"/>
      <sheetName val="Danh mục"/>
      <sheetName val="Financ. Overview"/>
      <sheetName val="Toolbox"/>
      <sheetName val="Dinh muc"/>
      <sheetName val="TDTKP"/>
      <sheetName val="DK-KH"/>
      <sheetName val="Bieu gia HD"/>
      <sheetName val="Summary Sheet"/>
      <sheetName val="Progress"/>
      <sheetName val="C&amp;S-sum"/>
      <sheetName val="Archi-sum"/>
      <sheetName val="MEP-sum"/>
      <sheetName val="Finishing-Tower A"/>
      <sheetName val="Finishing-Tower B"/>
      <sheetName val="Finishing-Tower C"/>
      <sheetName val="Finishing-Tower D"/>
      <sheetName val="PODIUM"/>
      <sheetName val="MEP-Tower A"/>
      <sheetName val="MEP-Tower B"/>
      <sheetName val="MEP-Tower C"/>
      <sheetName val="MEP-Tower D"/>
      <sheetName val="MEP-Podium"/>
      <sheetName val="Cost Report Sum"/>
      <sheetName val="Detail Cost Sum"/>
      <sheetName val="RVO-VO Sum"/>
      <sheetName val="Potential VOs Sum"/>
      <sheetName val="Cash Flow Sum"/>
      <sheetName val="gui_BKCT"/>
      <sheetName val="DG_1426"/>
      <sheetName val="1_2_Staff_Schedule"/>
      <sheetName val="BẢNG_ÁP_GIÁ_(in)"/>
      <sheetName val="NT_(KL)_IN"/>
      <sheetName val="DOM_D2"/>
      <sheetName val="nhà_ăn"/>
      <sheetName val="Công_nhật"/>
      <sheetName val="btkt_cột"/>
      <sheetName val="Chi_tiet_-tong_9_thang"/>
      <sheetName val="Don_gia_chi_tiet_DIEN_2"/>
      <sheetName val="0__Input"/>
      <sheetName val="Tong_hop_vat_tu"/>
      <sheetName val="Theo_doi_Doanh_thu_2017"/>
      <sheetName val="Gia_vat_lieu"/>
      <sheetName val="So_lieu_chung"/>
      <sheetName val="Precios_unitarios_AXH"/>
      <sheetName val="3__CNT"/>
      <sheetName val="unit_price_list(M)"/>
      <sheetName val="TH_VL,_NC,_DDHT_Thanhphuoc"/>
      <sheetName val="BTK-Dai Hoc Kien Giang"/>
      <sheetName val="PV Graph Data"/>
      <sheetName val="GJ_06"/>
      <sheetName val="doanh thu"/>
      <sheetName val="Dutoan KL"/>
      <sheetName val="Kyhieuloptratsonba"/>
      <sheetName val="Method_BouyancyFactor"/>
      <sheetName val="Method_PressureArea"/>
      <sheetName val="InputData"/>
      <sheetName val="B-2  (DPP)"/>
      <sheetName val="LX -TT05"/>
      <sheetName val="NC Moi TT05"/>
      <sheetName val="dulieumong"/>
      <sheetName val="Don gia NC"/>
      <sheetName val="PU_ITALY_8"/>
      <sheetName val="RAB_AR&amp;STR6"/>
      <sheetName val="chi_tiet_TBA6"/>
      <sheetName val="chi_tiet_C6"/>
      <sheetName val="Tro_giup8"/>
      <sheetName val="TH_DZ358"/>
      <sheetName val="Customize_Your_Purchase_Order6"/>
      <sheetName val="CHITIET_VL-NC-TT_-1p6"/>
      <sheetName val="CHITIET_VL-NC-TT-3p5"/>
      <sheetName val="TONG_HOP_VL-NC_TT6"/>
      <sheetName val="KPVC-BD_6"/>
      <sheetName val="Don_gia6"/>
      <sheetName val="DON_GIA_CAN_THO8"/>
      <sheetName val="DON_GIA_TRAM_(3)6"/>
      <sheetName val="HĐ_ngoài5"/>
      <sheetName val="XT_Buoc_35"/>
      <sheetName val="dongia_(2)5"/>
      <sheetName val="Don_gia_chi_tiet6"/>
      <sheetName val="7606_DZ6"/>
      <sheetName val="project_management5"/>
      <sheetName val="Adix_A5"/>
      <sheetName val="S-curve_5"/>
      <sheetName val="REINF_5"/>
      <sheetName val="Rates_20095"/>
      <sheetName val="So_doi_chieu_LC5"/>
      <sheetName val="MAIN_GATE_HOUSE5"/>
      <sheetName val="Du_toan5"/>
      <sheetName val="Commercial_value5"/>
      <sheetName val="Ky_Lam_Bridge5"/>
      <sheetName val="Provisional_Sums_Item5"/>
      <sheetName val="Gas_Pressure_Welding5"/>
      <sheetName val="General_Item&amp;General_Requireme5"/>
      <sheetName val="General_Items5"/>
      <sheetName val="Regenral_Requirements5"/>
      <sheetName val="TONG_HOP_VL-NC5"/>
      <sheetName val="MH_RATE5"/>
      <sheetName val="Ng_hàng_xà+bulong5"/>
      <sheetName val="chiet_tinh5"/>
      <sheetName val="Bang_KL5"/>
      <sheetName val="Đầu_vào4"/>
      <sheetName val="Equip_4"/>
      <sheetName val="A1_CN4"/>
      <sheetName val="DG_thep_ma_kem5"/>
      <sheetName val="Lcau_-_Lxuc5"/>
      <sheetName val="DM_60615"/>
      <sheetName val="CT_vat_lieu5"/>
      <sheetName val="Trạm_biến_áp4"/>
      <sheetName val="Đơn_Giá_4"/>
      <sheetName val="Chenh_lech_vat_tu4"/>
      <sheetName val="Diện_tích4"/>
      <sheetName val="1_Khái_toán4"/>
      <sheetName val="TONG_HOP_T5_19984"/>
      <sheetName val="Chi_tiet_XD_TBA4"/>
      <sheetName val="DG_DZ5"/>
      <sheetName val="DG_TBA5"/>
      <sheetName val="rate_material4"/>
      <sheetName val="CT-0_4KV4"/>
      <sheetName val="KL_Chi_tiết_Xây_tô4"/>
      <sheetName val="Bill_1_Quy_dinh_chung4"/>
      <sheetName val="1_R18_BF4"/>
      <sheetName val="6_External_works-R184"/>
      <sheetName val="Phan_khai_KLuong4"/>
      <sheetName val="Data_Input5"/>
      <sheetName val="Project_Data4"/>
      <sheetName val="07Base_Cost4"/>
      <sheetName val="Chi_tiet_KL4"/>
      <sheetName val="Tổng_hợp_KL4"/>
      <sheetName val="Measure_13064"/>
      <sheetName val="Area_Cal4"/>
      <sheetName val="04_-_XUONG_DET_B4"/>
      <sheetName val="dg_tphcm4"/>
      <sheetName val="_034"/>
      <sheetName val="chieu_day_san4"/>
      <sheetName val="Podium_Concrete_Works4"/>
      <sheetName val="KLCT-_TOWER4"/>
      <sheetName val="KLCT-_PODIUM4"/>
      <sheetName val="Gia_thanh_chuoi_su4"/>
      <sheetName val="Tiep_dia4"/>
      <sheetName val="Don_gia_vung_III-Can_Tho4"/>
      <sheetName val="Loại_Vật_tư4"/>
      <sheetName val="Elect_(3)4"/>
      <sheetName val="plan&amp;section_of_foundation4"/>
      <sheetName val="design_criteria4"/>
      <sheetName val="Bond_수수료_계산_포맷4"/>
      <sheetName val="ITB_COST4"/>
      <sheetName val="PAGE_14"/>
      <sheetName val="DM_674"/>
      <sheetName val="Đầu_tư4"/>
      <sheetName val="T_KÊ_K_CẤU4"/>
      <sheetName val="4_PTDG4"/>
      <sheetName val="A1,_May4"/>
      <sheetName val="Vat_lieu4"/>
      <sheetName val="ESTI_4"/>
      <sheetName val="EIRR&gt;_24"/>
      <sheetName val="KL_san_lap4"/>
      <sheetName val="Bill_01_-_CTN4"/>
      <sheetName val="Bill_2_2_Villa_2_beds4"/>
      <sheetName val="6787CWFASE2CASE2_00_xls4"/>
      <sheetName val="Xay_lapduongR34"/>
      <sheetName val="Bill_02_-_Xay_gach-Pou_4"/>
      <sheetName val="Bill_03-Chống_thấm-Pou4"/>
      <sheetName val="Bill_04-Kim_loại-Pou4"/>
      <sheetName val="Bill_05_-_Hoan_thien-Pou_4"/>
      <sheetName val="Bill_02_-_Xay_gach-Tower4"/>
      <sheetName val="Bill_03-Chống_thấm-Tower4"/>
      <sheetName val="Bill_04-Kim_loại-Tower4"/>
      <sheetName val="Bill_05_-_Hoan_thien-Tower4"/>
      <sheetName val="KL-_KHAC4"/>
      <sheetName val="BILL_3_-_KẾT_CẤU_HẦM4"/>
      <sheetName val="PTĐG_LTBT4"/>
      <sheetName val="CTG-PRECHEx1_44"/>
      <sheetName val="CTG-AB_(2)4"/>
      <sheetName val="CTG-AB_(3)4"/>
      <sheetName val="CTG-PLP-1_084"/>
      <sheetName val="Pre_Đội_nhóm4"/>
      <sheetName val="Vat_tu_XD4"/>
      <sheetName val="Tower_-_Concrete_Works4"/>
      <sheetName val="Bill-04_ket_cau_thap-_UNI4"/>
      <sheetName val="TH_Vat_tu4"/>
      <sheetName val="gia_cong_tac4"/>
      <sheetName val="_Bill_5-Earthing_2_-_Add_Works4"/>
      <sheetName val="Analisa_Gabungan4"/>
      <sheetName val="GV1-D13_(Casement_door)4"/>
      <sheetName val="Isolasi_Luar_Dalam4"/>
      <sheetName val="Isolasi_Luar4"/>
      <sheetName val="HÐ_ngoài5"/>
      <sheetName val="6PILE__(돌출)4"/>
      <sheetName val="TH_N_Cong4"/>
      <sheetName val="Bang_trong_luong_rieng_thep4"/>
      <sheetName val="Harga_ME_4"/>
      <sheetName val="Cước_VC_+_ĐM_CP_Tư_vấn4"/>
      <sheetName val="Hệ_số4"/>
      <sheetName val="DATA_BASE4"/>
      <sheetName val="Equipment_list_(PAC)4"/>
      <sheetName val="DETAIL_4"/>
      <sheetName val="TH_MTC4"/>
      <sheetName val="CẤP_THOÁT_NƯỚC4"/>
      <sheetName val="THDT_goi_thau_TB4"/>
      <sheetName val="Tien_do_TV4"/>
      <sheetName val="final_list_20055"/>
      <sheetName val="LV_data4"/>
      <sheetName val="Gia_vat_tu4"/>
      <sheetName val="TINH_KHOI_LUONG4"/>
      <sheetName val="Chenh_lech_ca_may4"/>
      <sheetName val="TLg_CN&amp;Laixe4"/>
      <sheetName val="TLg_CN&amp;Laixe_(2)4"/>
      <sheetName val="TLg_Laitau4"/>
      <sheetName val="TLg_Laitau_(2)4"/>
      <sheetName val="bridge_#_14"/>
      <sheetName val="Buy_vs__Lease_Car4"/>
      <sheetName val="CP_Khac_cuoc_VC3"/>
      <sheetName val="PRE_(E)4"/>
      <sheetName val="subcon_sched4"/>
      <sheetName val="Budget_Code3"/>
      <sheetName val="Chi_tiet4"/>
      <sheetName val="Bang_3_Chi_tiet_phan_Dz4"/>
      <sheetName val="KHOI_LUONG4"/>
      <sheetName val="HVAC_BLOCK_B44"/>
      <sheetName val="BẢNG_KHỐI_LƯỢNG_TỔNG_HỢP3"/>
      <sheetName val="CTKL_KTX_HT3"/>
      <sheetName val="2_Chiet_tinh3"/>
      <sheetName val="Tong_du_toan3"/>
      <sheetName val="Bill_2_-_ketcau3"/>
      <sheetName val="NHÀ_NHẬP_LIỆU3"/>
      <sheetName val="MÓNG_SILO3"/>
      <sheetName val="Chi_tiet_lan_can3"/>
      <sheetName val="Analisa_&amp;_Upah3"/>
      <sheetName val="Purchase_Order3"/>
      <sheetName val="13-Cốt_thép_(10mm&lt;D≤18mm)_FO163"/>
      <sheetName val="du_lieu_du_toan3"/>
      <sheetName val="DL_ĐẦU_VÀO3"/>
      <sheetName val="BOQ_THAN3"/>
      <sheetName val="D_&amp;_W_sizes3"/>
      <sheetName val="Du_lieu4"/>
      <sheetName val="cash_budget3"/>
      <sheetName val="Luong_NII3"/>
      <sheetName val="DINH_MUC_THI_NGHIEM3"/>
      <sheetName val="Luong_NI3"/>
      <sheetName val="Phan_tich3"/>
      <sheetName val="CT_Thang_Mo3"/>
      <sheetName val="CT__PL3"/>
      <sheetName val="dongia__2_3"/>
      <sheetName val="Thép_CKN3"/>
      <sheetName val="GOC-KO_IN3"/>
      <sheetName val="MAU_8A3"/>
      <sheetName val="MAU_8B3"/>
      <sheetName val="MAU_93"/>
      <sheetName val="MAU_103"/>
      <sheetName val="sochitiettaikhoan_3"/>
      <sheetName val="Share_price_data3"/>
      <sheetName val="19_33"/>
      <sheetName val="20_33"/>
      <sheetName val="Chieu_4_33"/>
      <sheetName val="Cow_req3"/>
      <sheetName val="TỔNG_HỢP3"/>
      <sheetName val="14-LẦN_3-CHIỀU3"/>
      <sheetName val="14-LẦN_1-SÁNG3"/>
      <sheetName val="14-LẦN_2-TRƯA3"/>
      <sheetName val="1_3+1_4-TOTAL_-_Ko_IN3"/>
      <sheetName val="2_1-LẦN_3-CHIỀU3"/>
      <sheetName val="2_1-LẦN_1-SÁNG3"/>
      <sheetName val="2_1-LẦN_2-TRƯA3"/>
      <sheetName val="2_1-TOTAL-Ko_IN3"/>
      <sheetName val="1_3(TMR_4)3"/>
      <sheetName val="CHO_DE3"/>
      <sheetName val="1_1+1_2+2_2+2_3(TMR_3)3"/>
      <sheetName val="CK1+CK2_(VS_SAN_CHOI_23)3"/>
      <sheetName val="CK1+CK2_(2)3"/>
      <sheetName val="12-16_THÁNG3"/>
      <sheetName val="CAN_SỮA3"/>
      <sheetName val="54+55+56(SAU_CAI_SỮA-6)3"/>
      <sheetName val="BÊ_71-90_NGÀY3"/>
      <sheetName val="BÊ_12-16_tháng3"/>
      <sheetName val="BÊ_6-123"/>
      <sheetName val="BÊ_1-33"/>
      <sheetName val="F01-BC_KHAU_PHAN_SANG_20_33"/>
      <sheetName val="F01-BC_KHAU_PHAN_CHIEU_19_33"/>
      <sheetName val="dinh_mưc_cty3"/>
      <sheetName val="Giá_thành3"/>
      <sheetName val="Thong_ke3"/>
      <sheetName val="Energy_for_milk_prod3"/>
      <sheetName val="DE_NGHI_XUAT_3"/>
      <sheetName val="phieu_xuat_mau3"/>
      <sheetName val="PHIEU_XUAT_CHIEU3"/>
      <sheetName val="11_rai_them_cỏ3"/>
      <sheetName val="PHU_LUC_02-_HDSD_CAC_BIEU_MAU3"/>
      <sheetName val="PhU_LUC_01-_MA_CAC_NHOM_BO3"/>
      <sheetName val="F03-BC_THUC_TRON_SANG_20_33"/>
      <sheetName val="F03-BC_THUC_TRON_CHIEU_19_33"/>
      <sheetName val="F02-BC_THEO_DOI_THUC_AN_DU3"/>
      <sheetName val="Tham_khao-_Bao_cao_xuat_thuc_a3"/>
      <sheetName val="Don_gia_(khong_in)3"/>
      <sheetName val="Dlieu_dau_vao3"/>
      <sheetName val="DK1_Don_gia3"/>
      <sheetName val="1_MONG_1-23"/>
      <sheetName val="BANCO_(2)3"/>
      <sheetName val="MT_DPin_(2)3"/>
      <sheetName val="02__PTDG3"/>
      <sheetName val="Chiết_tính3"/>
      <sheetName val="TK_chi_tiet1"/>
      <sheetName val="Income_Statement3"/>
      <sheetName val="Shareholders'_Equity3"/>
      <sheetName val="VC_xd1"/>
      <sheetName val="Gia_VLTB1"/>
      <sheetName val="B_Luong1"/>
      <sheetName val="C_May1"/>
      <sheetName val="TB_NẶNG1"/>
      <sheetName val="Du_tru_CP-Bieu_011"/>
      <sheetName val="dm_3661"/>
      <sheetName val="DM_60601"/>
      <sheetName val="Dự_thầu1"/>
      <sheetName val="Nhap_VT_oto1"/>
      <sheetName val="wk_prgs1"/>
      <sheetName val="Ma_don_vi1"/>
      <sheetName val="bang_cc1"/>
      <sheetName val="Bill_No_3_-_Prov__Sum_(Ph2&amp;3)1"/>
      <sheetName val="TH_TN1"/>
      <sheetName val="Bill_2-Road_HR21"/>
      <sheetName val="Bill_3_-_Softscape_HR21"/>
      <sheetName val="Ｎｏ_131"/>
      <sheetName val="DGchitiet_1"/>
      <sheetName val="AG_Pipe_Qty_Analysis1"/>
      <sheetName val="Tổng_GT1"/>
      <sheetName val="Chi_tiết_KL1"/>
      <sheetName val="ca_máy1"/>
      <sheetName val="khấu_trừ_phạt1"/>
      <sheetName val="GT__KHAU_TRU1"/>
      <sheetName val="HAO_HUT_VAT_TU_(2)1"/>
      <sheetName val="cao_độ1"/>
      <sheetName val="đọc_số1"/>
      <sheetName val="HỆ_THỐNG_PHÒNG_CHÁY_CHỮA_CHÁY1"/>
      <sheetName val="HỆ_THỐNG_CẤP_THOÁT_NƯỚC1"/>
      <sheetName val="HỆ_THỐNG_ĐHKK1"/>
      <sheetName val="MÁY_PHÁT_ĐIỆN1"/>
      <sheetName val="HỆ_THỐNG_ĐIỆN1"/>
      <sheetName val="Thiết_bị_chính1"/>
      <sheetName val="CP_HMC1"/>
      <sheetName val="2_1Warehouse_11"/>
      <sheetName val="Data_Wall1"/>
      <sheetName val="Hao_phí1"/>
      <sheetName val="THEP_TAM1"/>
      <sheetName val="THEP_HÌNH1"/>
      <sheetName val="THEP_HINH1"/>
      <sheetName val="XA_GO1"/>
      <sheetName val="BANG_TRA1"/>
      <sheetName val="CĂN_HỘ_T16-17_1"/>
      <sheetName val="TRỤC_ĐỨNG_THOÁT_BẨN_T15-171"/>
      <sheetName val="TRỤC_ĐỨNG_TM_T15-171"/>
      <sheetName val="Structure_data1"/>
      <sheetName val="Chi_tiet_cong_no1"/>
      <sheetName val="PHÁT_SINH_TẦNG_1_1"/>
      <sheetName val="PHÁT_SINH_TẦNG_21"/>
      <sheetName val="Hầm_chuyển_psinh1"/>
      <sheetName val="Ống_thẳng1"/>
      <sheetName val="Côn_thu1"/>
      <sheetName val="Vuông_tròn1"/>
      <sheetName val="Chân_rẽ1"/>
      <sheetName val="Chạc_ba1"/>
      <sheetName val="CP_Du_phong1"/>
      <sheetName val="THCP_Lap_dat1"/>
      <sheetName val="THCP_xay_dung1"/>
      <sheetName val="Tong_hop_kinh_phi1"/>
      <sheetName val="CHI_PHI1"/>
      <sheetName val="1_Requisition(E)1"/>
      <sheetName val="Móng,_nền_1"/>
      <sheetName val="Main_Bldg-Rev021"/>
      <sheetName val="D&amp;W_def_1"/>
      <sheetName val="Nhan_cong1"/>
      <sheetName val="Thiet_bi1"/>
      <sheetName val="Vat_tu1"/>
      <sheetName val="DM_ChiPhi1"/>
      <sheetName val="May_TC1"/>
      <sheetName val="TH_Kinh_phi1"/>
      <sheetName val="Ptvl_1"/>
      <sheetName val="Dự_toán1"/>
      <sheetName val="Đơn_Giá_TH1"/>
      <sheetName val="Nhân_công1"/>
      <sheetName val="Phân_tích1"/>
      <sheetName val="C_P_Thiết_bị1"/>
      <sheetName val="T_H_Kinh_phí1"/>
      <sheetName val="Vật_tư1"/>
      <sheetName val="Trang_bìa1"/>
      <sheetName val="TONG_HOP1"/>
      <sheetName val="phan_tic_chi_tiet1"/>
      <sheetName val="Bill_Prelim-CDT"/>
      <sheetName val="Bill_BPTC-CDT"/>
      <sheetName val="Chi_tiết_BPTC"/>
      <sheetName val="Bill_BPTC-CDT_(PA_MCT_CDT)"/>
      <sheetName val="Chi_tiết_BPTC_(PA_MCT_CDT)"/>
      <sheetName val="1__Office"/>
      <sheetName val="KHOI_LUONG15-4"/>
      <sheetName val="Doi_so"/>
      <sheetName val="DANH_MỤC_HỒ_SƠ"/>
      <sheetName val="GT_PHÁT_SINH_NGOÀI_HĐ"/>
      <sheetName val="KL_PHÁT_SINH_"/>
      <sheetName val="PS_NGOÀI_HĐ"/>
      <sheetName val="GT_PHÁT_SINH_VƯỢT_HĐ"/>
      <sheetName val="PS_TĂNG_GIẢM_TRONG_HĐ"/>
      <sheetName val="DGCT_PHÁT_SINH"/>
      <sheetName val="DGCT_TRẦN_NLV"/>
      <sheetName val="DGKL_chi_tiết_NLV"/>
      <sheetName val="DGKL_chi_tiết_NHN,NK"/>
      <sheetName val="TG_KL"/>
      <sheetName val="DGCT_SƠN_BẢ_TƯỜNG_NLV"/>
      <sheetName val="DGKL_TRẦN_NHN"/>
      <sheetName val="MTO_REV_2(ARMOR)"/>
      <sheetName val="KL_THEP__GIAM_DO_DUNG_COUPLER"/>
      <sheetName val="01_KL_THÉP_NHẬP_VỀ"/>
      <sheetName val="2__NT_VLDV"/>
      <sheetName val="GHI_CHU"/>
      <sheetName val="1_BB_LMHT"/>
      <sheetName val="Bê_tông_bảo_vệ"/>
      <sheetName val="01__Data"/>
      <sheetName val="Neo,_nối_cốt_thép_dầm,_cột"/>
      <sheetName val="Uốn_móc_cốt_thép"/>
      <sheetName val="Tiêu_chuẩn_cốt_thép"/>
      <sheetName val="Cotthep_NPT"/>
      <sheetName val="vl_nc_mtc"/>
      <sheetName val="DM-VNT_ko_sd"/>
      <sheetName val="Bảng_đo_bóc_KL_OLK-09"/>
      <sheetName val="6_3_CHI_TIET_OLK-09"/>
      <sheetName val="B3A_-_TOWER_A"/>
      <sheetName val="Annex_B"/>
      <sheetName val="TLG_Type"/>
      <sheetName val="1_Civil_(Org)"/>
      <sheetName val="Dot_4"/>
      <sheetName val="1_San_"/>
      <sheetName val="Thop_Ksat"/>
      <sheetName val="Thu_hoi_"/>
      <sheetName val="HM_chung"/>
      <sheetName val="CP_xd-thiet_bi"/>
      <sheetName val="TH-TN_LD_TB"/>
      <sheetName val="CP_xaydung"/>
      <sheetName val="Thao_ha_phu_kien"/>
      <sheetName val="VL-NC-MTC_ket_cau"/>
      <sheetName val="KHOI_LUONG_TONG"/>
      <sheetName val="TK_22KV"/>
      <sheetName val="DM_366-1777"/>
      <sheetName val="Thi_nhiem"/>
      <sheetName val="Gia_goc_VT-TB"/>
      <sheetName val="Gia_vc_den_chan_CT"/>
      <sheetName val="culy_22"/>
      <sheetName val="Luong_2050"/>
      <sheetName val="ca_may_QN"/>
      <sheetName val="TNHC1246_"/>
      <sheetName val="Ca_may_TT06_2010"/>
      <sheetName val="Don_gia_VLXD_dia_phuong"/>
      <sheetName val="Bang_luong_SCL"/>
      <sheetName val="Dinh_muc_TN1426"/>
      <sheetName val="KL_thep_lam_sat"/>
      <sheetName val="Tien_Thuong"/>
      <sheetName val="NC_XL_6T_cuoi_01_CTy"/>
      <sheetName val="Data_-6T_dau"/>
      <sheetName val="Cong_6T"/>
      <sheetName val="Dgia_vat_tu"/>
      <sheetName val="Don_gia_III"/>
      <sheetName val="D÷_liÖu"/>
      <sheetName val="Chi_phi_van_chuyen"/>
      <sheetName val="Div26_-_Elect"/>
      <sheetName val="Huong dan"/>
      <sheetName val="Dây"/>
      <sheetName val="Nuoc5T"/>
      <sheetName val="Dien5T"/>
      <sheetName val="CAP NUOC"/>
      <sheetName val="cấp nước trục nhà vs"/>
      <sheetName val="THOAT NUOC"/>
      <sheetName val="TB"/>
      <sheetName val="THOAT MUA"/>
      <sheetName val="Cáp phòng"/>
      <sheetName val="TMC ĐIỆN_Phi"/>
      <sheetName val="TMC Tổng"/>
      <sheetName val="TH Đèn Phòng L1"/>
      <sheetName val="TH Đèn Hầm L1"/>
      <sheetName val="TỦ MODULE T1"/>
      <sheetName val="APTOMAT"/>
      <sheetName val="TINH GIA - SAN XUAT Vertico"/>
      <sheetName val="DGIAgoi1"/>
      <sheetName val="13.BANG CT"/>
      <sheetName val="14.MMUS GIUA NHIP"/>
      <sheetName val="4.HSPBngang"/>
      <sheetName val="6.Tinh tai"/>
      <sheetName val="2 NSl"/>
      <sheetName val="17.US CHU tho a_b"/>
      <sheetName val="15.MMUS GOI"/>
      <sheetName val="Door_and_window2"/>
      <sheetName val="TH_các_CC"/>
      <sheetName val="Heso_DZ"/>
      <sheetName val="DM_336cai_tao"/>
      <sheetName val="DG_BINH_THUAN"/>
      <sheetName val="7_Khau_tru_"/>
      <sheetName val="4_CĂN"/>
      <sheetName val="2_CDPS"/>
      <sheetName val="HRG_BHN"/>
      <sheetName val="CĂN_ĐH"/>
      <sheetName val="Q_A01_2-Sh"/>
      <sheetName val="B-2__(DPP)"/>
      <sheetName val="Don_gia_NC"/>
      <sheetName val="COVER"/>
      <sheetName val="DZ 22KV"/>
      <sheetName val="5.2.1 Đo bóc KL OLK-06"/>
      <sheetName val="QUO"/>
      <sheetName val="Classification"/>
      <sheetName val="Kê 0,4"/>
      <sheetName val="TH 0,4"/>
      <sheetName val="Kê 22"/>
      <sheetName val="TH 22"/>
      <sheetName val="TBA CAI TAO"/>
      <sheetName val="TBA XDM"/>
      <sheetName val="V-N-M"/>
      <sheetName val="TONG HOP DU TOAN"/>
      <sheetName val="Thop XAY DUNG"/>
      <sheetName val="CP HANG MUC CHUNG"/>
      <sheetName val="THKS+TK"/>
      <sheetName val="CHI PHI XD"/>
      <sheetName val="CHI PHI THI NGHIEM"/>
      <sheetName val="DGVL"/>
      <sheetName val="VC"/>
      <sheetName val="VLDIEN 22"/>
      <sheetName val="Tinhvanchuyen"/>
      <sheetName val="Dao dat"/>
      <sheetName val="TH Denbu"/>
      <sheetName val="Denbu"/>
      <sheetName val="Do ve DC"/>
      <sheetName val="CMHLT"/>
      <sheetName val="TH Bommin"/>
      <sheetName val="Bommin"/>
      <sheetName val="CHI PHI THI NGHIEM-LD thiet bi"/>
      <sheetName val="VLXD"/>
      <sheetName val="Luong TT01"/>
      <sheetName val="NLĐV"/>
      <sheetName val="Đongia"/>
      <sheetName val="Camay QB"/>
      <sheetName val="gia ca may BXD"/>
      <sheetName val="BANG LUONG KY SU"/>
      <sheetName val="Bang luong NHOM I"/>
      <sheetName val="Bangluong NHOM II "/>
      <sheetName val="13-XE_MAY"/>
      <sheetName val="09-GIA nhien lieu-ko in"/>
      <sheetName val="Tinh V cot chiem cho"/>
      <sheetName val="ĐM 1354"/>
      <sheetName val="KHOAN MAU"/>
      <sheetName val="ĐO ĐỊA VẬT LÝ"/>
      <sheetName val="KSMB"/>
      <sheetName val="KSCD"/>
      <sheetName val="khoan tiep dia"/>
      <sheetName val="BANRA"/>
      <sheetName val="Annual_CFs_Asset"/>
      <sheetName val="datatt"/>
      <sheetName val="PTVT"/>
      <sheetName val="GIÁ DỰ THẦU 30 CĂN"/>
      <sheetName val="DG Chi tiet"/>
      <sheetName val=" 1710 HOINGHINLD"/>
      <sheetName val="99"/>
      <sheetName val="99 (2)"/>
      <sheetName val="134 "/>
      <sheetName val="DG-1776KV4"/>
      <sheetName val="DG 4970"/>
      <sheetName val="THCT"/>
      <sheetName val="DM-1776"/>
      <sheetName val="CTDZTA(5)"/>
      <sheetName val="THONG SO"/>
      <sheetName val="Đơn giá chi tiết TN 39"/>
      <sheetName val="DT"/>
      <sheetName val="Giathau"/>
      <sheetName val="KS tuyen"/>
      <sheetName val="THTL"/>
      <sheetName val="CP(dz)"/>
      <sheetName val="Bang chiet tinh TBA"/>
      <sheetName val="EQT-ESTN"/>
      <sheetName val="MB.DT.02"/>
      <sheetName val="01-&gt;12"/>
      <sheetName val="Article"/>
      <sheetName val="BT3"/>
      <sheetName val="DI_ESTI"/>
      <sheetName val="4.2.1 Đo bóc KL OLK-06"/>
      <sheetName val="4.1.1 CHI TIET OLK-06"/>
      <sheetName val="Hệ_qố2"/>
      <sheetName val="Electrical Works"/>
      <sheetName val="H_T_ INCOMING SYSTEM"/>
      <sheetName val="EQUIP LIST"/>
      <sheetName val="electrical"/>
      <sheetName val="So sanh"/>
      <sheetName val="HERD MOVEMENTFARM1"/>
      <sheetName val="HERD MOVEMENTFARM2"/>
      <sheetName val="A2TNTH"/>
      <sheetName val="CALVES 2-4"/>
      <sheetName val="Cavles 2-4"/>
      <sheetName val="CALVES 4-7"/>
      <sheetName val="HEIFER 7-12m"/>
      <sheetName val="HEIFER 12+"/>
      <sheetName val="FRESH COW 2017-18"/>
      <sheetName val="HP COW 2018"/>
      <sheetName val="LP COW 2017-18"/>
      <sheetName val="DRY COW"/>
      <sheetName val="TRANSITION"/>
      <sheetName val="FIELD CROPS"/>
      <sheetName val="FORAGE"/>
      <sheetName val="HERD_MOVEMENTFARM1"/>
      <sheetName val="HERD_MOVEMENTFARM2"/>
      <sheetName val="CALVES_2-4"/>
      <sheetName val="Cavles_2-4"/>
      <sheetName val="CALVES_4-7"/>
      <sheetName val="HEIFER_7-12m"/>
      <sheetName val="HEIFER_12+"/>
      <sheetName val="FRESH_COW_2017-18"/>
      <sheetName val="HP_COW_2018"/>
      <sheetName val="LP_COW_2017-18"/>
      <sheetName val="DRY_COW"/>
      <sheetName val="FIELD_CROPS"/>
      <sheetName val="HERD_MOVEMENTFARM11"/>
      <sheetName val="HERD_MOVEMENTFARM21"/>
      <sheetName val="CALVES_2-41"/>
      <sheetName val="Cavles_2-41"/>
      <sheetName val="CALVES_4-71"/>
      <sheetName val="HEIFER_7-12m1"/>
      <sheetName val="HEIFER_12+1"/>
      <sheetName val="FRESH_COW_2017-181"/>
      <sheetName val="HP_COW_20181"/>
      <sheetName val="LP_COW_2017-181"/>
      <sheetName val="DRY_COW1"/>
      <sheetName val="FIELD_CROPS1"/>
      <sheetName val="Gia VT-TB"/>
      <sheetName val="noi suy xa"/>
      <sheetName val="noi suy xa thu hoi"/>
      <sheetName val="DCQ"/>
      <sheetName val="DCS"/>
      <sheetName val="DD"/>
      <sheetName val="SUMDETAIL"/>
      <sheetName val="Factory"/>
      <sheetName val="Matchung"/>
      <sheetName val="BU LONG"/>
      <sheetName val="ĐNVT"/>
      <sheetName val="ĐNBL"/>
      <sheetName val="CTLK"/>
      <sheetName val="係数"/>
      <sheetName val="8521"/>
      <sheetName val="Package1"/>
      <sheetName val="Painting"/>
      <sheetName val="영동(D)"/>
      <sheetName val="Thuyết minh"/>
      <sheetName val="Đơn giá máy"/>
      <sheetName val="Tính giá NC"/>
      <sheetName val="SL cước"/>
      <sheetName val="DT. NHA XUONG"/>
      <sheetName val="ABUT수량-A1"/>
      <sheetName val="THKP957"/>
      <sheetName val="Tiên lượng"/>
      <sheetName val="Tong DT"/>
      <sheetName val="phan tich don gia"/>
      <sheetName val="Items"/>
      <sheetName val="Detail"/>
      <sheetName val="¥ "/>
      <sheetName val="KLall"/>
      <sheetName val="Bia lot"/>
      <sheetName val="DSKH"/>
      <sheetName val="DT san XD-So lieu cu"/>
      <sheetName val="Chu dau tu"/>
      <sheetName val="AASHTO92"/>
      <sheetName val="Cash Flow"/>
      <sheetName val="Yield"/>
      <sheetName val="Bill No.1.6"/>
      <sheetName val="Bill No.1.10"/>
      <sheetName val="Bill No.3.3"/>
      <sheetName val="Bill No.1.4"/>
      <sheetName val="Bill No.1.7"/>
      <sheetName val="Summary Bill No. 3"/>
      <sheetName val="PU_ITALY_9"/>
      <sheetName val="RAB_AR&amp;STR7"/>
      <sheetName val="chi_tiet_TBA7"/>
      <sheetName val="chi_tiet_C7"/>
      <sheetName val="Tro_giup9"/>
      <sheetName val="TH_DZ359"/>
      <sheetName val="Customize_Your_Purchase_Order7"/>
      <sheetName val="CHITIET_VL-NC-TT_-1p7"/>
      <sheetName val="CHITIET_VL-NC-TT-3p6"/>
      <sheetName val="TONG_HOP_VL-NC_TT7"/>
      <sheetName val="KPVC-BD_7"/>
      <sheetName val="Don_gia7"/>
      <sheetName val="DON_GIA_TRAM_(3)7"/>
      <sheetName val="DON_GIA_CAN_THO9"/>
      <sheetName val="HĐ_ngoài6"/>
      <sheetName val="XT_Buoc_36"/>
      <sheetName val="dongia_(2)6"/>
      <sheetName val="7606_DZ7"/>
      <sheetName val="project_management6"/>
      <sheetName val="Don_gia_chi_tiet7"/>
      <sheetName val="Adix_A6"/>
      <sheetName val="S-curve_6"/>
      <sheetName val="REINF_6"/>
      <sheetName val="Rates_20096"/>
      <sheetName val="So_doi_chieu_LC6"/>
      <sheetName val="MAIN_GATE_HOUSE6"/>
      <sheetName val="Du_toan6"/>
      <sheetName val="Commercial_value6"/>
      <sheetName val="Ky_Lam_Bridge6"/>
      <sheetName val="Provisional_Sums_Item6"/>
      <sheetName val="Gas_Pressure_Welding6"/>
      <sheetName val="General_Item&amp;General_Requireme6"/>
      <sheetName val="General_Items6"/>
      <sheetName val="Regenral_Requirements6"/>
      <sheetName val="chiet_tinh6"/>
      <sheetName val="Ng_hàng_xà+bulong6"/>
      <sheetName val="TONG_HOP_VL-NC6"/>
      <sheetName val="Bang_KL6"/>
      <sheetName val="MH_RATE6"/>
      <sheetName val="Đầu_vào5"/>
      <sheetName val="Lcau_-_Lxuc6"/>
      <sheetName val="DM_60616"/>
      <sheetName val="DG_thep_ma_kem6"/>
      <sheetName val="Equip_5"/>
      <sheetName val="A1_CN5"/>
      <sheetName val="CT_vat_lieu6"/>
      <sheetName val="Trạm_biến_áp5"/>
      <sheetName val="Đơn_Giá_5"/>
      <sheetName val="Chi_tiet_XD_TBA5"/>
      <sheetName val="CT-0_4KV5"/>
      <sheetName val="Chenh_lech_vat_tu5"/>
      <sheetName val="Diện_tích5"/>
      <sheetName val="1_Khái_toán5"/>
      <sheetName val="TONG_HOP_T5_19985"/>
      <sheetName val="rate_material5"/>
      <sheetName val="KL_Chi_tiết_Xây_tô5"/>
      <sheetName val="DG_DZ6"/>
      <sheetName val="DG_TBA6"/>
      <sheetName val="07Base_Cost5"/>
      <sheetName val="04_-_XUONG_DET_B5"/>
      <sheetName val="Bill_1_Quy_dinh_chung5"/>
      <sheetName val="1_R18_BF5"/>
      <sheetName val="6_External_works-R185"/>
      <sheetName val="Chi_tiet_KL5"/>
      <sheetName val="Tổng_hợp_KL5"/>
      <sheetName val="_035"/>
      <sheetName val="chieu_day_san5"/>
      <sheetName val="Podium_Concrete_Works5"/>
      <sheetName val="KLCT-_TOWER5"/>
      <sheetName val="KLCT-_PODIUM5"/>
      <sheetName val="Gia_thanh_chuoi_su5"/>
      <sheetName val="Tiep_dia5"/>
      <sheetName val="Don_gia_vung_III-Can_Tho5"/>
      <sheetName val="Phan_khai_KLuong5"/>
      <sheetName val="Area_Cal5"/>
      <sheetName val="Elect_(3)5"/>
      <sheetName val="plan&amp;section_of_foundation5"/>
      <sheetName val="design_criteria5"/>
      <sheetName val="Bond_수수료_계산_포맷5"/>
      <sheetName val="ITB_COST5"/>
      <sheetName val="PAGE_15"/>
      <sheetName val="Loại_Vật_tư5"/>
      <sheetName val="DM_675"/>
      <sheetName val="Đầu_tư5"/>
      <sheetName val="Xay_lapduongR35"/>
      <sheetName val="KL-_KHAC5"/>
      <sheetName val="BILL_3_-_KẾT_CẤU_HẦM5"/>
      <sheetName val="Bill_02_-_Xay_gach-Pou_5"/>
      <sheetName val="Bill_03-Chống_thấm-Pou5"/>
      <sheetName val="Bill_05_-_Hoan_thien-Pou_5"/>
      <sheetName val="Bill_02_-_Xay_gach-Tower5"/>
      <sheetName val="Bill_03-Chống_thấm-Tower5"/>
      <sheetName val="Bill_05_-_Hoan_thien-Tower5"/>
      <sheetName val="PTĐG_LTBT5"/>
      <sheetName val="CTG-PRECHEx1_45"/>
      <sheetName val="CTG-AB_(2)5"/>
      <sheetName val="CTG-AB_(3)5"/>
      <sheetName val="CTG-PLP-1_085"/>
      <sheetName val="Pre_Đội_nhóm5"/>
      <sheetName val="Bill_04-Kim_loại-Pou5"/>
      <sheetName val="Bill_04-Kim_loại-Tower5"/>
      <sheetName val="Vat_tu_XD5"/>
      <sheetName val="Tower_-_Concrete_Works5"/>
      <sheetName val="GV1-D13_(Casement_door)5"/>
      <sheetName val="gia_cong_tac5"/>
      <sheetName val="Measure_13065"/>
      <sheetName val="EIRR&gt;_25"/>
      <sheetName val="4_PTDG5"/>
      <sheetName val="Analisa_Gabungan5"/>
      <sheetName val="Isolasi_Luar_Dalam5"/>
      <sheetName val="Isolasi_Luar5"/>
      <sheetName val="Data_Input6"/>
      <sheetName val="Project_Data5"/>
      <sheetName val="dg_tphcm5"/>
      <sheetName val="Bill_01_-_CTN5"/>
      <sheetName val="Bill_2_2_Villa_2_beds5"/>
      <sheetName val="HÐ_ngoài6"/>
      <sheetName val="6PILE__(돌출)5"/>
      <sheetName val="Harga_ME_5"/>
      <sheetName val="T_KÊ_K_CẤU5"/>
      <sheetName val="A1,_May5"/>
      <sheetName val="Vat_lieu5"/>
      <sheetName val="TH_N_Cong5"/>
      <sheetName val="ESTI_5"/>
      <sheetName val="KL_san_lap5"/>
      <sheetName val="6787CWFASE2CASE2_00_xls5"/>
      <sheetName val="Bill-04_ket_cau_thap-_UNI5"/>
      <sheetName val="TH_Vat_tu5"/>
      <sheetName val="_Bill_5-Earthing_2_-_Add_Works5"/>
      <sheetName val="CẤP_THOÁT_NƯỚC5"/>
      <sheetName val="Cước_VC_+_ĐM_CP_Tư_vấn5"/>
      <sheetName val="Hệ_số5"/>
      <sheetName val="THDT_goi_thau_TB5"/>
      <sheetName val="Tien_do_TV5"/>
      <sheetName val="Bang_trong_luong_rieng_thep5"/>
      <sheetName val="DETAIL_5"/>
      <sheetName val="final_list_20056"/>
      <sheetName val="LV_data5"/>
      <sheetName val="Gia_vat_tu5"/>
      <sheetName val="TH_MTC5"/>
      <sheetName val="Chenh_lech_ca_may5"/>
      <sheetName val="TLg_CN&amp;Laixe5"/>
      <sheetName val="TLg_CN&amp;Laixe_(2)5"/>
      <sheetName val="TLg_Laitau5"/>
      <sheetName val="TLg_Laitau_(2)5"/>
      <sheetName val="Equipment_list_(PAC)5"/>
      <sheetName val="TINH_KHOI_LUONG5"/>
      <sheetName val="DATA_BASE5"/>
      <sheetName val="bridge_#_15"/>
      <sheetName val="Buy_vs__Lease_Car5"/>
      <sheetName val="Chi_tiet5"/>
      <sheetName val="Budget_Code4"/>
      <sheetName val="CP_Khac_cuoc_VC4"/>
      <sheetName val="subcon_sched5"/>
      <sheetName val="PRE_(E)5"/>
      <sheetName val="Bang_3_Chi_tiet_phan_Dz5"/>
      <sheetName val="KHOI_LUONG5"/>
      <sheetName val="HVAC_BLOCK_B45"/>
      <sheetName val="BẢNG_KHỐI_LƯỢNG_TỔNG_HỢP4"/>
      <sheetName val="CTKL_KTX_HT4"/>
      <sheetName val="2_Chiet_tinh4"/>
      <sheetName val="Tong_du_toan4"/>
      <sheetName val="Bill_2_-_ketcau4"/>
      <sheetName val="Analisa_&amp;_Upah4"/>
      <sheetName val="NHÀ_NHẬP_LIỆU4"/>
      <sheetName val="MÓNG_SILO4"/>
      <sheetName val="Chi_tiet_lan_can4"/>
      <sheetName val="13-Cốt_thép_(10mm&lt;D≤18mm)_FO164"/>
      <sheetName val="du_lieu_du_toan4"/>
      <sheetName val="Purchase_Order4"/>
      <sheetName val="DL_ĐẦU_VÀO4"/>
      <sheetName val="BOQ_THAN4"/>
      <sheetName val="D_&amp;_W_sizes4"/>
      <sheetName val="Du_lieu5"/>
      <sheetName val="cash_budget4"/>
      <sheetName val="Luong_NII4"/>
      <sheetName val="DINH_MUC_THI_NGHIEM4"/>
      <sheetName val="Luong_NI4"/>
      <sheetName val="Phan_tich4"/>
      <sheetName val="CT_Thang_Mo4"/>
      <sheetName val="CT__PL4"/>
      <sheetName val="BANCO_(2)4"/>
      <sheetName val="MT_DPin_(2)4"/>
      <sheetName val="dongia__2_4"/>
      <sheetName val="Thép_CKN4"/>
      <sheetName val="GOC-KO_IN4"/>
      <sheetName val="MAU_8A4"/>
      <sheetName val="MAU_8B4"/>
      <sheetName val="MAU_94"/>
      <sheetName val="MAU_104"/>
      <sheetName val="sochitiettaikhoan_4"/>
      <sheetName val="Share_price_data4"/>
      <sheetName val="19_34"/>
      <sheetName val="20_34"/>
      <sheetName val="Chieu_4_34"/>
      <sheetName val="Cow_req4"/>
      <sheetName val="TỔNG_HỢP4"/>
      <sheetName val="14-LẦN_3-CHIỀU4"/>
      <sheetName val="14-LẦN_1-SÁNG4"/>
      <sheetName val="14-LẦN_2-TRƯA4"/>
      <sheetName val="1_3+1_4-TOTAL_-_Ko_IN4"/>
      <sheetName val="2_1-LẦN_3-CHIỀU4"/>
      <sheetName val="2_1-LẦN_1-SÁNG4"/>
      <sheetName val="2_1-LẦN_2-TRƯA4"/>
      <sheetName val="2_1-TOTAL-Ko_IN4"/>
      <sheetName val="1_3(TMR_4)4"/>
      <sheetName val="CHO_DE4"/>
      <sheetName val="1_1+1_2+2_2+2_3(TMR_3)4"/>
      <sheetName val="CK1+CK2_(VS_SAN_CHOI_23)4"/>
      <sheetName val="CK1+CK2_(2)4"/>
      <sheetName val="12-16_THÁNG4"/>
      <sheetName val="CAN_SỮA4"/>
      <sheetName val="54+55+56(SAU_CAI_SỮA-6)4"/>
      <sheetName val="BÊ_71-90_NGÀY4"/>
      <sheetName val="BÊ_12-16_tháng4"/>
      <sheetName val="BÊ_6-124"/>
      <sheetName val="BÊ_1-34"/>
      <sheetName val="F01-BC_KHAU_PHAN_SANG_20_34"/>
      <sheetName val="F01-BC_KHAU_PHAN_CHIEU_19_34"/>
      <sheetName val="dinh_mưc_cty4"/>
      <sheetName val="Giá_thành4"/>
      <sheetName val="Thong_ke4"/>
      <sheetName val="Energy_for_milk_prod4"/>
      <sheetName val="DE_NGHI_XUAT_4"/>
      <sheetName val="phieu_xuat_mau4"/>
      <sheetName val="PHIEU_XUAT_CHIEU4"/>
      <sheetName val="11_rai_them_cỏ4"/>
      <sheetName val="PHU_LUC_02-_HDSD_CAC_BIEU_MAU4"/>
      <sheetName val="PhU_LUC_01-_MA_CAC_NHOM_BO4"/>
      <sheetName val="F03-BC_THUC_TRON_SANG_20_34"/>
      <sheetName val="F03-BC_THUC_TRON_CHIEU_19_34"/>
      <sheetName val="F02-BC_THEO_DOI_THUC_AN_DU4"/>
      <sheetName val="Tham_khao-_Bao_cao_xuat_thuc_a4"/>
      <sheetName val="Dlieu_dau_vao4"/>
      <sheetName val="DK1_Don_gia4"/>
      <sheetName val="Don_gia_(khong_in)4"/>
      <sheetName val="1_MONG_1-24"/>
      <sheetName val="02__PTDG4"/>
      <sheetName val="Chiết_tính4"/>
      <sheetName val="TK_chi_tiet2"/>
      <sheetName val="Income_Statement4"/>
      <sheetName val="Shareholders'_Equity4"/>
      <sheetName val="VC_xd2"/>
      <sheetName val="Gia_VLTB2"/>
      <sheetName val="B_Luong2"/>
      <sheetName val="C_May2"/>
      <sheetName val="wk_prgs2"/>
      <sheetName val="Ma_don_vi2"/>
      <sheetName val="bang_cc2"/>
      <sheetName val="TH_TN2"/>
      <sheetName val="dm_3662"/>
      <sheetName val="DM_60602"/>
      <sheetName val="Bill_No_3_-_Prov__Sum_(Ph2&amp;3)2"/>
      <sheetName val="Du_tru_CP-Bieu_012"/>
      <sheetName val="TB_NẶNG2"/>
      <sheetName val="CĂN_HỘ_T16-17_2"/>
      <sheetName val="TRỤC_ĐỨNG_THOÁT_BẨN_T15-172"/>
      <sheetName val="TRỤC_ĐỨNG_TM_T15-172"/>
      <sheetName val="Bill_2-Road_HR22"/>
      <sheetName val="Bill_3_-_Softscape_HR22"/>
      <sheetName val="Ｎｏ_132"/>
      <sheetName val="DGchitiet_2"/>
      <sheetName val="AG_Pipe_Qty_Analysis2"/>
      <sheetName val="Dự_thầu2"/>
      <sheetName val="Nhap_VT_oto2"/>
      <sheetName val="đọc_số2"/>
      <sheetName val="CP_HMC2"/>
      <sheetName val="2_1Warehouse_12"/>
      <sheetName val="Data_Wall2"/>
      <sheetName val="Hao_phí2"/>
      <sheetName val="THEP_TAM2"/>
      <sheetName val="THEP_HÌNH2"/>
      <sheetName val="THEP_HINH2"/>
      <sheetName val="XA_GO2"/>
      <sheetName val="BANG_TRA2"/>
      <sheetName val="Tổng_GT2"/>
      <sheetName val="Chi_tiết_KL2"/>
      <sheetName val="ca_máy2"/>
      <sheetName val="khấu_trừ_phạt2"/>
      <sheetName val="GT__KHAU_TRU2"/>
      <sheetName val="HAO_HUT_VAT_TU_(2)2"/>
      <sheetName val="cao_độ2"/>
      <sheetName val="HỆ_THỐNG_PHÒNG_CHÁY_CHỮA_CHÁY2"/>
      <sheetName val="HỆ_THỐNG_CẤP_THOÁT_NƯỚC2"/>
      <sheetName val="HỆ_THỐNG_ĐHKK2"/>
      <sheetName val="MÁY_PHÁT_ĐIỆN2"/>
      <sheetName val="HỆ_THỐNG_ĐIỆN2"/>
      <sheetName val="Thiết_bị_chính2"/>
      <sheetName val="gui_BKCT1"/>
      <sheetName val="Chi_tiet_cong_no2"/>
      <sheetName val="PHÁT_SINH_TẦNG_1_2"/>
      <sheetName val="PHÁT_SINH_TẦNG_22"/>
      <sheetName val="Hầm_chuyển_psinh2"/>
      <sheetName val="Ống_thẳng2"/>
      <sheetName val="Côn_thu2"/>
      <sheetName val="Vuông_tròn2"/>
      <sheetName val="Chân_rẽ2"/>
      <sheetName val="Chạc_ba2"/>
      <sheetName val="Structure_data2"/>
      <sheetName val="CP_Du_phong2"/>
      <sheetName val="THCP_Lap_dat2"/>
      <sheetName val="THCP_xay_dung2"/>
      <sheetName val="Tong_hop_kinh_phi2"/>
      <sheetName val="CHI_PHI2"/>
      <sheetName val="1_Requisition(E)2"/>
      <sheetName val="Móng,_nền_2"/>
      <sheetName val="Main_Bldg-Rev022"/>
      <sheetName val="D&amp;W_def_2"/>
      <sheetName val="Nhan_cong2"/>
      <sheetName val="Thiet_bi2"/>
      <sheetName val="Vat_tu2"/>
      <sheetName val="DM_ChiPhi2"/>
      <sheetName val="May_TC2"/>
      <sheetName val="TH_Kinh_phi2"/>
      <sheetName val="Ptvl_2"/>
      <sheetName val="Dự_toán2"/>
      <sheetName val="Đơn_Giá_TH2"/>
      <sheetName val="Nhân_công2"/>
      <sheetName val="Phân_tích2"/>
      <sheetName val="C_P_Thiết_bị2"/>
      <sheetName val="T_H_Kinh_phí2"/>
      <sheetName val="Vật_tư2"/>
      <sheetName val="Trang_bìa2"/>
      <sheetName val="Don_gia_chi_tiet_DIEN_21"/>
      <sheetName val="TONG_HOP2"/>
      <sheetName val="DG_14261"/>
      <sheetName val="Theo_doi_Doanh_thu_20171"/>
      <sheetName val="phan_tic_chi_tiet2"/>
      <sheetName val="1_2_Staff_Schedule1"/>
      <sheetName val="1_San_1"/>
      <sheetName val="BẢNG_ÁP_GIÁ_(in)1"/>
      <sheetName val="NT_(KL)_IN1"/>
      <sheetName val="DOM_D21"/>
      <sheetName val="nhà_ăn1"/>
      <sheetName val="Công_nhật1"/>
      <sheetName val="btkt_cột1"/>
      <sheetName val="Chi_tiet_-tong_9_thang1"/>
      <sheetName val="0__Input1"/>
      <sheetName val="Gia_vat_lieu1"/>
      <sheetName val="Precios_unitarios_AXH1"/>
      <sheetName val="3__CNT1"/>
      <sheetName val="unit_price_list(M)1"/>
      <sheetName val="TH_VL,_NC,_DDHT_Thanhphuoc1"/>
      <sheetName val="So_lieu_chung1"/>
      <sheetName val="Doi_so1"/>
      <sheetName val="MTO_REV_2(ARMOR)1"/>
      <sheetName val="DANH_MỤC_HỒ_SƠ1"/>
      <sheetName val="GT_PHÁT_SINH_NGOÀI_HĐ1"/>
      <sheetName val="KL_PHÁT_SINH_1"/>
      <sheetName val="PS_NGOÀI_HĐ1"/>
      <sheetName val="GT_PHÁT_SINH_VƯỢT_HĐ1"/>
      <sheetName val="PS_TĂNG_GIẢM_TRONG_HĐ1"/>
      <sheetName val="DGCT_PHÁT_SINH1"/>
      <sheetName val="DGCT_TRẦN_NLV1"/>
      <sheetName val="DGKL_chi_tiết_NLV1"/>
      <sheetName val="DGKL_chi_tiết_NHN,NK1"/>
      <sheetName val="TG_KL1"/>
      <sheetName val="DGCT_SƠN_BẢ_TƯỜNG_NLV1"/>
      <sheetName val="DGKL_TRẦN_NHN1"/>
      <sheetName val="Bill_Prelim-CDT1"/>
      <sheetName val="Bill_BPTC-CDT1"/>
      <sheetName val="Chi_tiết_BPTC1"/>
      <sheetName val="Bill_BPTC-CDT_(PA_MCT_CDT)1"/>
      <sheetName val="Chi_tiết_BPTC_(PA_MCT_CDT)1"/>
      <sheetName val="KL_THEP__GIAM_DO_DUNG_COUPLER1"/>
      <sheetName val="01_KL_THÉP_NHẬP_VỀ1"/>
      <sheetName val="2__NT_VLDV1"/>
      <sheetName val="GHI_CHU1"/>
      <sheetName val="1_BB_LMHT1"/>
      <sheetName val="Tong_hop_vat_tu1"/>
      <sheetName val="DM-VNT_ko_sd1"/>
      <sheetName val="Bảng_đo_bóc_KL_OLK-091"/>
      <sheetName val="6_3_CHI_TIET_OLK-091"/>
      <sheetName val="1__Office1"/>
      <sheetName val="Cotthep_NPT1"/>
      <sheetName val="vl_nc_mtc1"/>
      <sheetName val="1_Civil_(Org)1"/>
      <sheetName val="Bê_tông_bảo_vệ1"/>
      <sheetName val="01__Data1"/>
      <sheetName val="Neo,_nối_cốt_thép_dầm,_cột1"/>
      <sheetName val="Uốn_móc_cốt_thép1"/>
      <sheetName val="Tiêu_chuẩn_cốt_thép1"/>
      <sheetName val="B3A_-_TOWER_A1"/>
      <sheetName val="Annex_B1"/>
      <sheetName val="TLG_Type1"/>
      <sheetName val="Dot_41"/>
      <sheetName val="KHOI_LUONG15-41"/>
      <sheetName val="KL_thep_lam_sat1"/>
      <sheetName val="Tien_Thuong1"/>
      <sheetName val="NC_XL_6T_cuoi_01_CTy1"/>
      <sheetName val="Data_-6T_dau1"/>
      <sheetName val="Cong_6T1"/>
      <sheetName val="Thop_Ksat1"/>
      <sheetName val="Thu_hoi_1"/>
      <sheetName val="HM_chung1"/>
      <sheetName val="CP_xd-thiet_bi1"/>
      <sheetName val="TH-TN_LD_TB1"/>
      <sheetName val="CP_xaydung1"/>
      <sheetName val="Thao_ha_phu_kien1"/>
      <sheetName val="VL-NC-MTC_ket_cau1"/>
      <sheetName val="KHOI_LUONG_TONG1"/>
      <sheetName val="TK_22KV1"/>
      <sheetName val="DM_366-17771"/>
      <sheetName val="Thi_nhiem1"/>
      <sheetName val="Gia_goc_VT-TB1"/>
      <sheetName val="Gia_vc_den_chan_CT1"/>
      <sheetName val="culy_221"/>
      <sheetName val="Luong_20501"/>
      <sheetName val="ca_may_QN1"/>
      <sheetName val="TNHC1246_1"/>
      <sheetName val="Ca_may_TT06_20101"/>
      <sheetName val="Don_gia_VLXD_dia_phuong1"/>
      <sheetName val="Bang_luong_SCL1"/>
      <sheetName val="Dinh_muc_TN14261"/>
      <sheetName val="Chi_phi_van_chuyen1"/>
      <sheetName val="Dgia_vat_tu1"/>
      <sheetName val="Don_gia_III1"/>
      <sheetName val="D÷_liÖu1"/>
      <sheetName val="2_CDPS1"/>
      <sheetName val="Q_A01_2-Sh1"/>
      <sheetName val="DM_336cai_tao1"/>
      <sheetName val="TH_các_CC1"/>
      <sheetName val="Heso_DZ1"/>
      <sheetName val="Danh_mục"/>
      <sheetName val="HRG_BHN1"/>
      <sheetName val="CĂN_ĐH1"/>
      <sheetName val="4_CĂN1"/>
      <sheetName val="Div26_-_Elect1"/>
      <sheetName val="DG_BINH_THUAN1"/>
      <sheetName val="Don_gia_NC1"/>
      <sheetName val="7_Khau_tru_1"/>
      <sheetName val="DT_hợp_đồng"/>
      <sheetName val="Bảng_KL_đợt_1"/>
      <sheetName val="B-2__(DPP)1"/>
      <sheetName val="Bieu_gia_HD"/>
      <sheetName val="Summary_Sheet"/>
      <sheetName val="Finishing-Tower_A"/>
      <sheetName val="Finishing-Tower_B"/>
      <sheetName val="Finishing-Tower_C"/>
      <sheetName val="Finishing-Tower_D"/>
      <sheetName val="MEP-Tower_A"/>
      <sheetName val="MEP-Tower_B"/>
      <sheetName val="MEP-Tower_C"/>
      <sheetName val="MEP-Tower_D"/>
      <sheetName val="Cost_Report_Sum"/>
      <sheetName val="Detail_Cost_Sum"/>
      <sheetName val="RVO-VO_Sum"/>
      <sheetName val="Potential_VOs_Sum"/>
      <sheetName val="Cash_Flow_Sum"/>
      <sheetName val="CAP_NUOC"/>
      <sheetName val="cấp_nước_trục_nhà_vs"/>
      <sheetName val="THOAT_NUOC"/>
      <sheetName val="THOAT_MUA"/>
      <sheetName val="Cáp_phòng"/>
      <sheetName val="TMC_ĐIỆN_Phi"/>
      <sheetName val="TMC_Tổng"/>
      <sheetName val="TH_Đèn_Phòng_L1"/>
      <sheetName val="TH_Đèn_Hầm_L1"/>
      <sheetName val="TỦ_MODULE_T1"/>
      <sheetName val="Financ__Overview"/>
      <sheetName val="TINH_GIA_-_SAN_XUAT_Vertico"/>
      <sheetName val="Huong_dan"/>
      <sheetName val="13_BANG_CT"/>
      <sheetName val="14_MMUS_GIUA_NHIP"/>
      <sheetName val="4_HSPBngang"/>
      <sheetName val="6_Tinh_tai"/>
      <sheetName val="2_NSl"/>
      <sheetName val="17_US_CHU_tho_a_b"/>
      <sheetName val="15_MMUS_GOI"/>
      <sheetName val="gia_vt,nc,may"/>
      <sheetName val="DZ_22KV"/>
      <sheetName val="BTK-Dai_Hoc_Kien_Giang"/>
      <sheetName val="PV_Graph_Data"/>
      <sheetName val="doanh_thu"/>
      <sheetName val="Dutoan_KL"/>
      <sheetName val="Kê_0,4"/>
      <sheetName val="TH_0,4"/>
      <sheetName val="Kê_22"/>
      <sheetName val="TH_22"/>
      <sheetName val="TBA_CAI_TAO"/>
      <sheetName val="TBA_XDM"/>
      <sheetName val="TONG_HOP_DU_TOAN"/>
      <sheetName val="Thop_XAY_DUNG"/>
      <sheetName val="CP_HANG_MUC_CHUNG"/>
      <sheetName val="CHI_PHI_XD"/>
      <sheetName val="CHI_PHI_THI_NGHIEM"/>
      <sheetName val="VLDIEN_22"/>
      <sheetName val="Dao_dat"/>
      <sheetName val="TH_Denbu"/>
      <sheetName val="Do_ve_DC"/>
      <sheetName val="TH_Bommin"/>
      <sheetName val="CHI_PHI_THI_NGHIEM-LD_thiet_bi"/>
      <sheetName val="Luong_TT01"/>
      <sheetName val="Camay_QB"/>
      <sheetName val="gia_ca_may_BXD"/>
      <sheetName val="BANG_LUONG_KY_SU"/>
      <sheetName val="Bang_luong_NHOM_I"/>
      <sheetName val="Bangluong_NHOM_II_"/>
      <sheetName val="09-GIA_nhien_lieu-ko_in"/>
      <sheetName val="Tinh_V_cot_chiem_cho"/>
      <sheetName val="ĐM_1354"/>
      <sheetName val="KHOAN_MAU"/>
      <sheetName val="ĐO_ĐỊA_VẬT_LÝ"/>
      <sheetName val="khoan_tiep_dia"/>
      <sheetName val="5_2_1_Đo_bóc_KL_OLK-06"/>
      <sheetName val="Tổng_hợp_KPHM"/>
      <sheetName val="Dinh_muc"/>
      <sheetName val="GIÁ_DỰ_THẦU_30_CĂN"/>
      <sheetName val="KS_tuyen"/>
      <sheetName val="Bang_chiet_tinh_TBA"/>
      <sheetName val="MB_DT_02"/>
      <sheetName val="HERD_MOVEMENTFARM12"/>
      <sheetName val="HERD_MOVEMENTFARM22"/>
      <sheetName val="CALVES_2-42"/>
      <sheetName val="Cavles_2-42"/>
      <sheetName val="CALVES_4-72"/>
      <sheetName val="HEIFER_7-12m2"/>
      <sheetName val="HEIFER_12+2"/>
      <sheetName val="FRESH_COW_2017-182"/>
      <sheetName val="HP_COW_20182"/>
      <sheetName val="LP_COW_2017-182"/>
      <sheetName val="DRY_COW2"/>
      <sheetName val="FIELD_CROPS2"/>
      <sheetName val="4_2_1_Đo_bóc_KL_OLK-06"/>
      <sheetName val="4_1_1_CHI_TIET_OLK-06"/>
      <sheetName val="Gia_VT-TB"/>
      <sheetName val="noi_suy_xa"/>
      <sheetName val="noi_suy_xa_thu_hoi"/>
      <sheetName val="EQUIP_LIST"/>
      <sheetName val="So_sanh"/>
      <sheetName val="BU_LONG"/>
      <sheetName val="DG_Chi_tiet"/>
      <sheetName val="_1710_HOINGHINLD"/>
      <sheetName val="99_(2)"/>
      <sheetName val="134_"/>
      <sheetName val="DG_4970"/>
      <sheetName val="Electrical_Works"/>
      <sheetName val="H_T__INCOMING_SYSTEM"/>
      <sheetName val="THONG_SO"/>
      <sheetName val="Đơn_giá_chi_tiết_TN_39"/>
      <sheetName val="DT__NHA_XUONG"/>
      <sheetName val="Cash_Flow"/>
      <sheetName val="Thuyết_minh"/>
      <sheetName val="Đơn_giá_máy"/>
      <sheetName val="Tính_giá_NC"/>
      <sheetName val="SL_cước"/>
      <sheetName val="Tiên_lượng"/>
      <sheetName val="Bill_No_1_6"/>
      <sheetName val="Bill_No_1_10"/>
      <sheetName val="Bill_No_3_3"/>
      <sheetName val="Bill_No_1_4"/>
      <sheetName val="Bill_No_1_7"/>
      <sheetName val="Summary_Bill_No__3"/>
      <sheetName val="¥_"/>
      <sheetName val="Unit price"/>
      <sheetName val="현장별"/>
      <sheetName val="112016"/>
      <sheetName val="Bán đợt 1 trang"/>
      <sheetName val="DI-ESTI"/>
      <sheetName val="3. KC - PODIUM"/>
      <sheetName val="說明"/>
      <sheetName val="dg-VTu"/>
      <sheetName val="데리네이타현황"/>
      <sheetName val="BID"/>
      <sheetName val="Chiet tinh dz35"/>
      <sheetName val="DG3285"/>
      <sheetName val="Tien Luong"/>
      <sheetName val="Breakdown (B)"/>
      <sheetName val="U.P_Breakdown"/>
      <sheetName val="기안"/>
      <sheetName val="DW"/>
      <sheetName val="DWD"/>
      <sheetName val="DW1"/>
      <sheetName val="pctg"/>
      <sheetName val="M-work"/>
      <sheetName val="WORK"/>
      <sheetName val="DWi"/>
      <sheetName val="PC=FLAT"/>
      <sheetName val="Cert1"/>
      <sheetName val="설계내역서"/>
      <sheetName val="g-vl"/>
      <sheetName val="tuong"/>
      <sheetName val="dats"/>
      <sheetName val="CHITIET VL-NCHT1 (2)"/>
      <sheetName val="Links"/>
      <sheetName val="Lead"/>
      <sheetName val="Unit price(Updateting)"/>
      <sheetName val="基本"/>
      <sheetName val="149-2"/>
      <sheetName val="IMF Code"/>
      <sheetName val="Main_Mech"/>
      <sheetName val="Sub_Mech"/>
      <sheetName val="Cost List"/>
      <sheetName val="Detail Cost"/>
      <sheetName val="IC Price New"/>
      <sheetName val="QUOTE-IC"/>
      <sheetName val="Summary Table"/>
      <sheetName val="Sales Person"/>
      <sheetName val="Bidding Entity"/>
      <sheetName val="DOA"/>
      <sheetName val="Subsidiary Calculation"/>
      <sheetName val="CashFlows"/>
      <sheetName val="갑지(추정)"/>
      <sheetName val="5.2.1 Đo bóc KL OLK-10"/>
      <sheetName val="tifico"/>
      <sheetName val="CTDZ6kv (gd1) "/>
      <sheetName val="CTDZ 0.4+cto (GD1)"/>
      <sheetName val="CTTBA (gd1)"/>
      <sheetName val="선가03C"/>
      <sheetName val="03 Detailed"/>
      <sheetName val="01 Bid Price summary"/>
      <sheetName val="Home Office Manhours"/>
      <sheetName val="Field SPV Barchart"/>
      <sheetName val="95D"/>
      <sheetName val="94D"/>
      <sheetName val="COAT&amp;WRAP-QIOT-#3"/>
      <sheetName val="Abutment"/>
      <sheetName val="STATC"/>
      <sheetName val="FF-2 (1)"/>
      <sheetName val="FSA"/>
      <sheetName val="KCCP"/>
      <sheetName val="Contents"/>
      <sheetName val="Factor_sheet"/>
      <sheetName val="Labour Summary"/>
      <sheetName val="CWN_Consol"/>
      <sheetName val="Labour_Summary"/>
      <sheetName val="final_list_20059"/>
      <sheetName val="final_list_20057"/>
      <sheetName val="final_list_20058"/>
      <sheetName val="Deff_Tax_Sept01"/>
      <sheetName val="custScore"/>
      <sheetName val="corpGoalsSchedule0708"/>
      <sheetName val="1999"/>
      <sheetName val="2000"/>
      <sheetName val="2001"/>
      <sheetName val="2002"/>
      <sheetName val="YTD 12'2003"/>
      <sheetName val="YTD 06'2003"/>
      <sheetName val="YTD 03'2003"/>
      <sheetName val="YTD 09'2003"/>
      <sheetName val="PU_ITALY_10"/>
      <sheetName val="final_list_200510"/>
      <sheetName val="Labour_Summary1"/>
      <sheetName val="PU_ITALY_11"/>
      <sheetName val="final_list_200511"/>
      <sheetName val="Tro_giup10"/>
      <sheetName val="Labour_Summary2"/>
      <sheetName val="PU_ITALY_12"/>
      <sheetName val="final_list_200512"/>
      <sheetName val="Tro_giup11"/>
      <sheetName val="Labour_Summary3"/>
      <sheetName val="PU_ITALY_13"/>
      <sheetName val="final_list_200513"/>
      <sheetName val="Tro_giup12"/>
      <sheetName val="Labour_Summary4"/>
      <sheetName val="PU_ITALY_14"/>
      <sheetName val="final_list_200514"/>
      <sheetName val="Tro_giup13"/>
      <sheetName val="Labour_Summary5"/>
      <sheetName val="PU_ITALY_15"/>
      <sheetName val="final_list_200515"/>
      <sheetName val="Tro_giup14"/>
      <sheetName val="Labour_Summary6"/>
      <sheetName val="PU_ITALY_21"/>
      <sheetName val="final_list_200521"/>
      <sheetName val="Tro_giup20"/>
      <sheetName val="Labour_Summary12"/>
      <sheetName val="PU_ITALY_16"/>
      <sheetName val="final_list_200516"/>
      <sheetName val="Tro_giup15"/>
      <sheetName val="Labour_Summary7"/>
      <sheetName val="PU_ITALY_17"/>
      <sheetName val="final_list_200517"/>
      <sheetName val="Tro_giup16"/>
      <sheetName val="Labour_Summary8"/>
      <sheetName val="PU_ITALY_18"/>
      <sheetName val="final_list_200518"/>
      <sheetName val="Tro_giup17"/>
      <sheetName val="Labour_Summary9"/>
      <sheetName val="PU_ITALY_19"/>
      <sheetName val="final_list_200519"/>
      <sheetName val="Tro_giup18"/>
      <sheetName val="Labour_Summary10"/>
      <sheetName val="PU_ITALY_20"/>
      <sheetName val="final_list_200520"/>
      <sheetName val="Tro_giup19"/>
      <sheetName val="Labour_Summary11"/>
      <sheetName val="deferred taxes"/>
      <sheetName val="Macrow"/>
      <sheetName val="console"/>
      <sheetName val="Ratios"/>
      <sheetName val="_Parameters"/>
      <sheetName val="Eqpmnt Plng"/>
      <sheetName val="TRIAL BALANCE"/>
      <sheetName val="DPR 31st march"/>
      <sheetName val="current month"/>
      <sheetName val="Blng. Vs Coll."/>
      <sheetName val="GRN"/>
      <sheetName val="CRITERIA1"/>
      <sheetName val="Design"/>
      <sheetName val="Blore"/>
      <sheetName val="Chnai"/>
      <sheetName val="Pune"/>
      <sheetName val="CoverSheet"/>
      <sheetName val="H"/>
      <sheetName val="DSUM2004"/>
      <sheetName val="dwbulk"/>
      <sheetName val="NTCV1"/>
      <sheetName val="THÔNG TIN"/>
      <sheetName val="SGC RATE"/>
      <sheetName val="DSNV"/>
      <sheetName val="ThongtinDN"/>
      <sheetName val="DM DU AN"/>
      <sheetName val="DM TP."/>
      <sheetName val="File Chi tiet"/>
      <sheetName val="Bangia"/>
      <sheetName val="D+W"/>
      <sheetName val="Cau tao gia xay to"/>
      <sheetName val="inputcua"/>
      <sheetName val="Phu Bai Bridge"/>
      <sheetName val="beam"/>
      <sheetName val="Gia-VL"/>
      <sheetName val="chitiet"/>
      <sheetName val="chitietCS"/>
      <sheetName val="chitietTD"/>
      <sheetName val="CauHinh"/>
      <sheetName val="PL02"/>
      <sheetName val="don gia 1426"/>
      <sheetName val="TM"/>
      <sheetName val="Bordereau"/>
      <sheetName val="Y-WORK"/>
      <sheetName val="Khai toan"/>
      <sheetName val="Phu luc 01.1 EPC P11-14"/>
      <sheetName val="Bìa"/>
      <sheetName val="TH"/>
      <sheetName val="TDT P11-P14"/>
      <sheetName val="CPXD"/>
      <sheetName val="Chi phi khac "/>
      <sheetName val="Hang muc Chung"/>
      <sheetName val="ĐGNC"/>
      <sheetName val="DGMTC"/>
      <sheetName val="Bia Phu Luc"/>
      <sheetName val="DATA.1 CHUNG"/>
      <sheetName val="Muc luc"/>
      <sheetName val="Tra cuu 957"/>
      <sheetName val="DG "/>
      <sheetName val="NTKL"/>
      <sheetName val="HSTV"/>
      <sheetName val="GCM"/>
      <sheetName val="GVT"/>
      <sheetName val="NC CU"/>
      <sheetName val="PLV"/>
      <sheetName val="Luong (TP Việt Trì)"/>
      <sheetName val="DNDN"/>
      <sheetName val="toyota"/>
      <sheetName val="Solieu"/>
      <sheetName val="주식"/>
      <sheetName val="Tru TT"/>
      <sheetName val="Thg 04"/>
      <sheetName val="Thg 05"/>
      <sheetName val="Thg 06"/>
      <sheetName val="Thg 07"/>
      <sheetName val="Thg 08"/>
      <sheetName val="Thg 09"/>
      <sheetName val="Thg 10"/>
      <sheetName val="Thg 11"/>
      <sheetName val="Thg 12"/>
      <sheetName val="CTGS"/>
      <sheetName val="Dashboard - BQL - VHL"/>
      <sheetName val="kl3p"/>
      <sheetName val="kl3pct"/>
      <sheetName val="kl3pcto"/>
      <sheetName val="ERECIN"/>
      <sheetName val="DG05new"/>
      <sheetName val="DLTA"/>
      <sheetName val="BẢNG DIỄN GIẢI KL (7)"/>
      <sheetName val="THPDMoi  (2)"/>
      <sheetName val="thao-go"/>
      <sheetName val="t-h HA THE"/>
      <sheetName val="TH XL"/>
      <sheetName val="Tiepdia"/>
      <sheetName val="CHITIET VL-NC"/>
      <sheetName val="Breakdown"/>
      <sheetName val="DTCT"/>
      <sheetName val="TKXM"/>
      <sheetName val="변경내역"/>
      <sheetName val="Takeoff"/>
      <sheetName val="Bán_đợt_1_trang"/>
      <sheetName val="Tong_DT"/>
      <sheetName val="phan_tich_don_gia"/>
      <sheetName val="Cost_List"/>
      <sheetName val="Detail_Cost"/>
      <sheetName val="IC_Price_New"/>
      <sheetName val="Summary_Table"/>
      <sheetName val="Sales_Person"/>
      <sheetName val="Bidding_Entity"/>
      <sheetName val="Tcd"/>
      <sheetName val="Cuoc "/>
      <sheetName val="gia chao"/>
      <sheetName val="Vat lieu BTN"/>
      <sheetName val="TCVN 1651-2008"/>
      <sheetName val="Da xay dung"/>
      <sheetName val="MTO REV.0"/>
      <sheetName val="TH khoi luong"/>
      <sheetName val="Chi tiet khoi luong"/>
      <sheetName val="TK thep"/>
      <sheetName val="CT THOÁT WC VP"/>
      <sheetName val="CT CẤP WC VP"/>
      <sheetName val="CT THOÁT MƯA VP TRỤC LỚN"/>
      <sheetName val="CT THOÁT MƯA VP TRỤC NHỎ"/>
      <sheetName val="Menu"/>
      <sheetName val="Chênh lệch máy thi công"/>
      <sheetName val="Chênh lệch nhân công"/>
      <sheetName val="Chênh lệch vật liệu"/>
      <sheetName val="DO AM DT"/>
      <sheetName val="BANGTRA"/>
      <sheetName val="COST_ACC"/>
      <sheetName val="Probbl - Production"/>
      <sheetName val="Backup"/>
      <sheetName val="내역"/>
      <sheetName val="CHI PHÍ NHÔM"/>
      <sheetName val="TABLE-A"/>
      <sheetName val="w't table"/>
      <sheetName val="Danh mục khối"/>
      <sheetName val="Danh mục đơn vị -phòng chức năn"/>
      <sheetName val="Door_and_window3"/>
      <sheetName val="RAB_AR&amp;STR8"/>
      <sheetName val="chi_tiet_TBA8"/>
      <sheetName val="chi_tiet_C8"/>
      <sheetName val="TH_DZ3510"/>
      <sheetName val="Customize_Your_Purchase_Order8"/>
      <sheetName val="CHITIET_VL-NC-TT_-1p8"/>
      <sheetName val="CHITIET_VL-NC-TT-3p7"/>
      <sheetName val="TONG_HOP_VL-NC_TT8"/>
      <sheetName val="KPVC-BD_8"/>
      <sheetName val="Don_gia8"/>
      <sheetName val="DON_GIA_TRAM_(3)8"/>
      <sheetName val="DON_GIA_CAN_THO10"/>
      <sheetName val="HĐ_ngoài7"/>
      <sheetName val="XT_Buoc_37"/>
      <sheetName val="dongia_(2)7"/>
      <sheetName val="Don_gia_chi_tiet8"/>
      <sheetName val="7606_DZ8"/>
      <sheetName val="project_management7"/>
      <sheetName val="Adix_A7"/>
      <sheetName val="S-curve_7"/>
      <sheetName val="REINF_7"/>
      <sheetName val="Rates_20097"/>
      <sheetName val="Commercial_value7"/>
      <sheetName val="So_doi_chieu_LC7"/>
      <sheetName val="MAIN_GATE_HOUSE7"/>
      <sheetName val="Du_toan7"/>
      <sheetName val="Ky_Lam_Bridge7"/>
      <sheetName val="Provisional_Sums_Item7"/>
      <sheetName val="Gas_Pressure_Welding7"/>
      <sheetName val="General_Item&amp;General_Requireme7"/>
      <sheetName val="General_Items7"/>
      <sheetName val="Regenral_Requirements7"/>
      <sheetName val="TONG_HOP_VL-NC7"/>
      <sheetName val="MH_RATE7"/>
      <sheetName val="Ng_hàng_xà+bulong7"/>
      <sheetName val="chiet_tinh7"/>
      <sheetName val="Bang_KL7"/>
      <sheetName val="Lcau_-_Lxuc7"/>
      <sheetName val="Equip_6"/>
      <sheetName val="A1_CN6"/>
      <sheetName val="DG_thep_ma_kem7"/>
      <sheetName val="Đầu_vào6"/>
      <sheetName val="Chi_tiet_XD_TBA6"/>
      <sheetName val="DM_60617"/>
      <sheetName val="CT_vat_lieu7"/>
      <sheetName val="Trạm_biến_áp6"/>
      <sheetName val="Đơn_Giá_6"/>
      <sheetName val="TONG_HOP_T5_19986"/>
      <sheetName val="Chenh_lech_vat_tu6"/>
      <sheetName val="Diện_tích6"/>
      <sheetName val="1_Khái_toán6"/>
      <sheetName val="CT-0_4KV6"/>
      <sheetName val="rate_material6"/>
      <sheetName val="DG_DZ7"/>
      <sheetName val="DG_TBA7"/>
      <sheetName val="KL_Chi_tiết_Xây_tô6"/>
      <sheetName val="Bill_01_-_CTN6"/>
      <sheetName val="Bill_1_Quy_dinh_chung6"/>
      <sheetName val="1_R18_BF6"/>
      <sheetName val="6_External_works-R186"/>
      <sheetName val="Chi_tiet_KL6"/>
      <sheetName val="Tổng_hợp_KL6"/>
      <sheetName val="04_-_XUONG_DET_B6"/>
      <sheetName val="07Base_Cost6"/>
      <sheetName val="_036"/>
      <sheetName val="chieu_day_san6"/>
      <sheetName val="Podium_Concrete_Works6"/>
      <sheetName val="KLCT-_TOWER6"/>
      <sheetName val="KLCT-_PODIUM6"/>
      <sheetName val="Gia_thanh_chuoi_su6"/>
      <sheetName val="Tiep_dia6"/>
      <sheetName val="Don_gia_vung_III-Can_Tho6"/>
      <sheetName val="Bill_2_2_Villa_2_beds6"/>
      <sheetName val="Elect_(3)6"/>
      <sheetName val="plan&amp;section_of_foundation6"/>
      <sheetName val="design_criteria6"/>
      <sheetName val="Bond_수수료_계산_포맷6"/>
      <sheetName val="ITB_COST6"/>
      <sheetName val="PAGE_16"/>
      <sheetName val="Phan_khai_KLuong6"/>
      <sheetName val="Loại_Vật_tư6"/>
      <sheetName val="Area_Cal6"/>
      <sheetName val="gia_cong_tac6"/>
      <sheetName val="EIRR&gt;_26"/>
      <sheetName val="dg_tphcm6"/>
      <sheetName val="Xay_lapduongR36"/>
      <sheetName val="DM_676"/>
      <sheetName val="Đầu_tư6"/>
      <sheetName val="6787CWFASE2CASE2_00_xls6"/>
      <sheetName val="Project_Data6"/>
      <sheetName val="Harga_ME_6"/>
      <sheetName val="Analisa_Gabungan6"/>
      <sheetName val="Data_Input7"/>
      <sheetName val="T_KÊ_K_CẤU6"/>
      <sheetName val="CẤP_THOÁT_NƯỚC6"/>
      <sheetName val="Cước_VC_+_ĐM_CP_Tư_vấn6"/>
      <sheetName val="Hệ_số6"/>
      <sheetName val="Vat_tu_XD6"/>
      <sheetName val="HÐ_ngoài7"/>
      <sheetName val="6PILE__(돌출)6"/>
      <sheetName val="THDT_goi_thau_TB6"/>
      <sheetName val="Tien_do_TV6"/>
      <sheetName val="Bill_02_-_Xay_gach-Pou_6"/>
      <sheetName val="Bill_03-Chống_thấm-Pou6"/>
      <sheetName val="Bill_04-Kim_loại-Pou6"/>
      <sheetName val="Bill_05_-_Hoan_thien-Pou_6"/>
      <sheetName val="Bill_02_-_Xay_gach-Tower6"/>
      <sheetName val="Bill_03-Chống_thấm-Tower6"/>
      <sheetName val="Bill_04-Kim_loại-Tower6"/>
      <sheetName val="Bill_05_-_Hoan_thien-Tower6"/>
      <sheetName val="KL-_KHAC6"/>
      <sheetName val="BILL_3_-_KẾT_CẤU_HẦM6"/>
      <sheetName val="PTĐG_LTBT6"/>
      <sheetName val="CTG-PRECHEx1_46"/>
      <sheetName val="CTG-AB_(2)6"/>
      <sheetName val="CTG-AB_(3)6"/>
      <sheetName val="CTG-PLP-1_086"/>
      <sheetName val="Pre_Đội_nhóm6"/>
      <sheetName val="Tower_-_Concrete_Works6"/>
      <sheetName val="Bill-04_ket_cau_thap-_UNI6"/>
      <sheetName val="TH_Vat_tu6"/>
      <sheetName val="4_PTDG6"/>
      <sheetName val="A1,_May6"/>
      <sheetName val="Vat_lieu6"/>
      <sheetName val="Bang_trong_luong_rieng_thep6"/>
      <sheetName val="Measure_13066"/>
      <sheetName val="Door_and_window4"/>
      <sheetName val="DETAIL_6"/>
      <sheetName val="GV1-D13_(Casement_door)6"/>
      <sheetName val="Gia_vat_tu6"/>
      <sheetName val="TH_MTC6"/>
      <sheetName val="TH_N_Cong6"/>
      <sheetName val="Isolasi_Luar_Dalam6"/>
      <sheetName val="Isolasi_Luar6"/>
      <sheetName val="LV_data6"/>
      <sheetName val="ESTI_6"/>
      <sheetName val="_Bill_5-Earthing_2_-_Add_Works6"/>
      <sheetName val="bridge_#_16"/>
      <sheetName val="Buy_vs__Lease_Car6"/>
      <sheetName val="PRE_(E)6"/>
      <sheetName val="Equipment_list_(PAC)6"/>
      <sheetName val="TINH_KHOI_LUONG6"/>
      <sheetName val="DATA_BASE6"/>
      <sheetName val="KL_san_lap6"/>
      <sheetName val="Chenh_lech_ca_may6"/>
      <sheetName val="TLg_CN&amp;Laixe6"/>
      <sheetName val="TLg_CN&amp;Laixe_(2)6"/>
      <sheetName val="TLg_Laitau6"/>
      <sheetName val="TLg_Laitau_(2)6"/>
      <sheetName val="CTKL_KTX_HT5"/>
      <sheetName val="Chi_tiet6"/>
      <sheetName val="Bang_3_Chi_tiet_phan_Dz6"/>
      <sheetName val="KHOI_LUONG6"/>
      <sheetName val="subcon_sched6"/>
      <sheetName val="NHÀ_NHẬP_LIỆU5"/>
      <sheetName val="MÓNG_SILO5"/>
      <sheetName val="HVAC_BLOCK_B46"/>
      <sheetName val="2_Chiet_tinh5"/>
      <sheetName val="BẢNG_KHỐI_LƯỢNG_TỔNG_HỢP5"/>
      <sheetName val="CP_Khac_cuoc_VC5"/>
      <sheetName val="Budget_Code5"/>
      <sheetName val="Tong_du_toan5"/>
      <sheetName val="Bill_2_-_ketcau5"/>
      <sheetName val="13-Cốt_thép_(10mm&lt;D≤18mm)_FO165"/>
      <sheetName val="du_lieu_du_toan5"/>
      <sheetName val="Chi_tiet_lan_can5"/>
      <sheetName val="D_&amp;_W_sizes5"/>
      <sheetName val="BOQ_THAN5"/>
      <sheetName val="Purchase_Order5"/>
      <sheetName val="Analisa_&amp;_Upah5"/>
      <sheetName val="DL_ĐẦU_VÀO5"/>
      <sheetName val="Du_lieu6"/>
      <sheetName val="cash_budget5"/>
      <sheetName val="1_MONG_1-25"/>
      <sheetName val="Luong_NII5"/>
      <sheetName val="DINH_MUC_THI_NGHIEM5"/>
      <sheetName val="Luong_NI5"/>
      <sheetName val="Phan_tich5"/>
      <sheetName val="CT_Thang_Mo5"/>
      <sheetName val="CT__PL5"/>
      <sheetName val="dongia__2_5"/>
      <sheetName val="Thép_CKN5"/>
      <sheetName val="GOC-KO_IN5"/>
      <sheetName val="MAU_8A5"/>
      <sheetName val="MAU_8B5"/>
      <sheetName val="MAU_95"/>
      <sheetName val="MAU_105"/>
      <sheetName val="sochitiettaikhoan_5"/>
      <sheetName val="Share_price_data5"/>
      <sheetName val="19_35"/>
      <sheetName val="20_35"/>
      <sheetName val="Chieu_4_35"/>
      <sheetName val="Cow_req5"/>
      <sheetName val="TỔNG_HỢP5"/>
      <sheetName val="14-LẦN_3-CHIỀU5"/>
      <sheetName val="14-LẦN_1-SÁNG5"/>
      <sheetName val="14-LẦN_2-TRƯA5"/>
      <sheetName val="1_3+1_4-TOTAL_-_Ko_IN5"/>
      <sheetName val="2_1-LẦN_3-CHIỀU5"/>
      <sheetName val="2_1-LẦN_1-SÁNG5"/>
      <sheetName val="2_1-LẦN_2-TRƯA5"/>
      <sheetName val="2_1-TOTAL-Ko_IN5"/>
      <sheetName val="1_3(TMR_4)5"/>
      <sheetName val="CHO_DE5"/>
      <sheetName val="1_1+1_2+2_2+2_3(TMR_3)5"/>
      <sheetName val="CK1+CK2_(VS_SAN_CHOI_23)5"/>
      <sheetName val="CK1+CK2_(2)5"/>
      <sheetName val="12-16_THÁNG5"/>
      <sheetName val="CAN_SỮA5"/>
      <sheetName val="54+55+56(SAU_CAI_SỮA-6)5"/>
      <sheetName val="BÊ_71-90_NGÀY5"/>
      <sheetName val="BÊ_12-16_tháng5"/>
      <sheetName val="BÊ_6-125"/>
      <sheetName val="BÊ_1-35"/>
      <sheetName val="F01-BC_KHAU_PHAN_SANG_20_35"/>
      <sheetName val="F01-BC_KHAU_PHAN_CHIEU_19_35"/>
      <sheetName val="dinh_mưc_cty5"/>
      <sheetName val="Giá_thành5"/>
      <sheetName val="Thong_ke5"/>
      <sheetName val="Energy_for_milk_prod5"/>
      <sheetName val="DE_NGHI_XUAT_5"/>
      <sheetName val="phieu_xuat_mau5"/>
      <sheetName val="PHIEU_XUAT_CHIEU5"/>
      <sheetName val="11_rai_them_cỏ5"/>
      <sheetName val="PHU_LUC_02-_HDSD_CAC_BIEU_MAU5"/>
      <sheetName val="PhU_LUC_01-_MA_CAC_NHOM_BO5"/>
      <sheetName val="F03-BC_THUC_TRON_SANG_20_35"/>
      <sheetName val="F03-BC_THUC_TRON_CHIEU_19_35"/>
      <sheetName val="F02-BC_THEO_DOI_THUC_AN_DU5"/>
      <sheetName val="Tham_khao-_Bao_cao_xuat_thuc_a5"/>
      <sheetName val="02__PTDG5"/>
      <sheetName val="Bill_2-Road_HR23"/>
      <sheetName val="Bill_3_-_Softscape_HR23"/>
      <sheetName val="Nhap_VT_oto3"/>
      <sheetName val="dm_3663"/>
      <sheetName val="DM_60603"/>
      <sheetName val="Dự_thầu3"/>
      <sheetName val="DK1_Don_gia5"/>
      <sheetName val="Don_gia_(khong_in)5"/>
      <sheetName val="Dlieu_dau_vao5"/>
      <sheetName val="BANCO_(2)5"/>
      <sheetName val="MT_DPin_(2)5"/>
      <sheetName val="Chiết_tính5"/>
      <sheetName val="Du_tru_CP-Bieu_013"/>
      <sheetName val="TB_NẶNG3"/>
      <sheetName val="Bill_No_3_-_Prov__Sum_(Ph2&amp;3)3"/>
      <sheetName val="TH_TN3"/>
      <sheetName val="Income_Statement5"/>
      <sheetName val="Shareholders'_Equity5"/>
      <sheetName val="VC_xd3"/>
      <sheetName val="Gia_VLTB3"/>
      <sheetName val="B_Luong3"/>
      <sheetName val="C_May3"/>
      <sheetName val="AG_Pipe_Qty_Analysis3"/>
      <sheetName val="TK_chi_tiet3"/>
      <sheetName val="wk_prgs3"/>
      <sheetName val="Ma_don_vi3"/>
      <sheetName val="bang_cc3"/>
      <sheetName val="DG_14262"/>
      <sheetName val="Hao_phí3"/>
      <sheetName val="BẢNG_ÁP_GIÁ_(in)2"/>
      <sheetName val="NT_(KL)_IN2"/>
      <sheetName val="DOM_D22"/>
      <sheetName val="nhà_ăn2"/>
      <sheetName val="Công_nhật2"/>
      <sheetName val="btkt_cột2"/>
      <sheetName val="Ｎｏ_133"/>
      <sheetName val="DGchitiet_3"/>
      <sheetName val="CP_HMC3"/>
      <sheetName val="gui_BKCT2"/>
      <sheetName val="đọc_số3"/>
      <sheetName val="TH_các_CC2"/>
      <sheetName val="HỆ_THỐNG_PHÒNG_CHÁY_CHỮA_CHÁY3"/>
      <sheetName val="HỆ_THỐNG_CẤP_THOÁT_NƯỚC3"/>
      <sheetName val="HỆ_THỐNG_ĐHKK3"/>
      <sheetName val="MÁY_PHÁT_ĐIỆN3"/>
      <sheetName val="HỆ_THỐNG_ĐIỆN3"/>
      <sheetName val="Thiết_bị_chính3"/>
      <sheetName val="Structure_data3"/>
      <sheetName val="CP_Du_phong3"/>
      <sheetName val="THCP_Lap_dat3"/>
      <sheetName val="THCP_xay_dung3"/>
      <sheetName val="Tong_hop_kinh_phi3"/>
      <sheetName val="2_1Warehouse_13"/>
      <sheetName val="CHI_PHI3"/>
      <sheetName val="THEP_TAM3"/>
      <sheetName val="THEP_HÌNH3"/>
      <sheetName val="THEP_HINH3"/>
      <sheetName val="XA_GO3"/>
      <sheetName val="BANG_TRA3"/>
      <sheetName val="CĂN_HỘ_T16-17_3"/>
      <sheetName val="TRỤC_ĐỨNG_THOÁT_BẨN_T15-173"/>
      <sheetName val="TRỤC_ĐỨNG_TM_T15-173"/>
      <sheetName val="Móng,_nền_3"/>
      <sheetName val="Main_Bldg-Rev023"/>
      <sheetName val="D&amp;W_def_3"/>
      <sheetName val="Nhan_cong3"/>
      <sheetName val="Thiet_bi3"/>
      <sheetName val="Vat_tu3"/>
      <sheetName val="DM_ChiPhi3"/>
      <sheetName val="May_TC3"/>
      <sheetName val="TH_Kinh_phi3"/>
      <sheetName val="Ptvl_3"/>
      <sheetName val="1_Requisition(E)3"/>
      <sheetName val="TONG_HOP3"/>
      <sheetName val="Tổng_GT3"/>
      <sheetName val="Chi_tiết_KL3"/>
      <sheetName val="ca_máy3"/>
      <sheetName val="khấu_trừ_phạt3"/>
      <sheetName val="GT__KHAU_TRU3"/>
      <sheetName val="HAO_HUT_VAT_TU_(2)3"/>
      <sheetName val="cao_độ3"/>
      <sheetName val="Data_Wall3"/>
      <sheetName val="Dự_toán3"/>
      <sheetName val="Đơn_Giá_TH3"/>
      <sheetName val="Nhân_công3"/>
      <sheetName val="Phân_tích3"/>
      <sheetName val="C_P_Thiết_bị3"/>
      <sheetName val="T_H_Kinh_phí3"/>
      <sheetName val="Vật_tư3"/>
      <sheetName val="Trang_bìa3"/>
      <sheetName val="phan_tic_chi_tiet3"/>
      <sheetName val="Chi_tiet_cong_no3"/>
      <sheetName val="PHÁT_SINH_TẦNG_1_3"/>
      <sheetName val="PHÁT_SINH_TẦNG_23"/>
      <sheetName val="Hầm_chuyển_psinh3"/>
      <sheetName val="Ống_thẳng3"/>
      <sheetName val="Côn_thu3"/>
      <sheetName val="Vuông_tròn3"/>
      <sheetName val="Chân_rẽ3"/>
      <sheetName val="Chạc_ba3"/>
      <sheetName val="Don_gia_chi_tiet_DIEN_22"/>
      <sheetName val="0__Input2"/>
      <sheetName val="3__CNT2"/>
      <sheetName val="unit_price_list(M)2"/>
      <sheetName val="Theo_doi_Doanh_thu_20172"/>
      <sheetName val="Gia_vat_lieu2"/>
      <sheetName val="Chi_tiet_-tong_9_thang2"/>
      <sheetName val="1_2_Staff_Schedule2"/>
      <sheetName val="TH_VL,_NC,_DDHT_Thanhphuoc2"/>
      <sheetName val="1__Office2"/>
      <sheetName val="KL_THEP__GIAM_DO_DUNG_COUPLER2"/>
      <sheetName val="01_KL_THÉP_NHẬP_VỀ2"/>
      <sheetName val="2__NT_VLDV2"/>
      <sheetName val="GHI_CHU2"/>
      <sheetName val="1_BB_LMHT2"/>
      <sheetName val="Bê_tông_bảo_vệ2"/>
      <sheetName val="01__Data2"/>
      <sheetName val="Neo,_nối_cốt_thép_dầm,_cột2"/>
      <sheetName val="Uốn_móc_cốt_thép2"/>
      <sheetName val="Tiêu_chuẩn_cốt_thép2"/>
      <sheetName val="Doi_so2"/>
      <sheetName val="1_Civil_(Org)2"/>
      <sheetName val="Precios_unitarios_AXH2"/>
      <sheetName val="So_lieu_chung2"/>
      <sheetName val="Bill_Prelim-CDT2"/>
      <sheetName val="Bill_BPTC-CDT2"/>
      <sheetName val="Chi_tiết_BPTC2"/>
      <sheetName val="Bill_BPTC-CDT_(PA_MCT_CDT)2"/>
      <sheetName val="Chi_tiết_BPTC_(PA_MCT_CDT)2"/>
      <sheetName val="Thop_Ksat2"/>
      <sheetName val="Thu_hoi_2"/>
      <sheetName val="HM_chung2"/>
      <sheetName val="CP_xd-thiet_bi2"/>
      <sheetName val="TH-TN_LD_TB2"/>
      <sheetName val="CP_xaydung2"/>
      <sheetName val="Thao_ha_phu_kien2"/>
      <sheetName val="VL-NC-MTC_ket_cau2"/>
      <sheetName val="KHOI_LUONG_TONG2"/>
      <sheetName val="TK_22KV2"/>
      <sheetName val="DM_366-17772"/>
      <sheetName val="Thi_nhiem2"/>
      <sheetName val="Gia_goc_VT-TB2"/>
      <sheetName val="Gia_vc_den_chan_CT2"/>
      <sheetName val="culy_222"/>
      <sheetName val="Luong_20502"/>
      <sheetName val="ca_may_QN2"/>
      <sheetName val="TNHC1246_2"/>
      <sheetName val="Ca_may_TT06_20102"/>
      <sheetName val="Don_gia_VLXD_dia_phuong2"/>
      <sheetName val="Bang_luong_SCL2"/>
      <sheetName val="Dinh_muc_TN14262"/>
      <sheetName val="DM_336cai_tao2"/>
      <sheetName val="DANH_MỤC_HỒ_SƠ2"/>
      <sheetName val="GT_PHÁT_SINH_NGOÀI_HĐ2"/>
      <sheetName val="KL_PHÁT_SINH_2"/>
      <sheetName val="PS_NGOÀI_HĐ2"/>
      <sheetName val="GT_PHÁT_SINH_VƯỢT_HĐ2"/>
      <sheetName val="PS_TĂNG_GIẢM_TRONG_HĐ2"/>
      <sheetName val="DGCT_PHÁT_SINH2"/>
      <sheetName val="DGCT_TRẦN_NLV2"/>
      <sheetName val="DGKL_chi_tiết_NLV2"/>
      <sheetName val="DGKL_chi_tiết_NHN,NK2"/>
      <sheetName val="TG_KL2"/>
      <sheetName val="DGCT_SƠN_BẢ_TƯỜNG_NLV2"/>
      <sheetName val="DGKL_TRẦN_NHN2"/>
      <sheetName val="MTO_REV_2(ARMOR)2"/>
      <sheetName val="Cotthep_NPT2"/>
      <sheetName val="vl_nc_mtc2"/>
      <sheetName val="KL_thep_lam_sat2"/>
      <sheetName val="Tien_Thuong2"/>
      <sheetName val="NC_XL_6T_cuoi_01_CTy2"/>
      <sheetName val="Data_-6T_dau2"/>
      <sheetName val="Cong_6T2"/>
      <sheetName val="DM-VNT_ko_sd2"/>
      <sheetName val="Bảng_đo_bóc_KL_OLK-092"/>
      <sheetName val="6_3_CHI_TIET_OLK-092"/>
      <sheetName val="Tong_hop_vat_tu2"/>
      <sheetName val="PV_Graph_Data1"/>
      <sheetName val="Danh_mục1"/>
      <sheetName val="Q_A01_2-Sh2"/>
      <sheetName val="Dutoan_KL1"/>
      <sheetName val="doanh_thu1"/>
      <sheetName val="BTK-Dai_Hoc_Kien_Giang1"/>
      <sheetName val="1_San_2"/>
      <sheetName val="Chi_phi_van_chuyen2"/>
      <sheetName val="TLG_Type2"/>
      <sheetName val="KHOI_LUONG15-42"/>
      <sheetName val="B3A_-_TOWER_A2"/>
      <sheetName val="Annex_B2"/>
      <sheetName val="Dot_42"/>
      <sheetName val="4_CĂN2"/>
      <sheetName val="Dgia_vat_tu2"/>
      <sheetName val="Don_gia_III2"/>
      <sheetName val="D÷_liÖu2"/>
      <sheetName val="GIÁ_DỰ_THẦU_30_CĂN1"/>
      <sheetName val="Div26_-_Elect2"/>
      <sheetName val="2_CDPS2"/>
      <sheetName val="Heso_DZ2"/>
      <sheetName val="HRG_BHN2"/>
      <sheetName val="CĂN_ĐH2"/>
      <sheetName val="Don_gia_NC2"/>
      <sheetName val="DG_BINH_THUAN2"/>
      <sheetName val="7_Khau_tru_2"/>
      <sheetName val="DT_hợp_đồng1"/>
      <sheetName val="Bảng_KL_đợt_11"/>
      <sheetName val="DG_Chi_tiet1"/>
      <sheetName val="Kê_0,41"/>
      <sheetName val="TH_0,41"/>
      <sheetName val="Kê_221"/>
      <sheetName val="TH_221"/>
      <sheetName val="TBA_CAI_TAO1"/>
      <sheetName val="TBA_XDM1"/>
      <sheetName val="TONG_HOP_DU_TOAN1"/>
      <sheetName val="Thop_XAY_DUNG1"/>
      <sheetName val="CP_HANG_MUC_CHUNG1"/>
      <sheetName val="CHI_PHI_XD1"/>
      <sheetName val="CHI_PHI_THI_NGHIEM1"/>
      <sheetName val="VLDIEN_221"/>
      <sheetName val="Dao_dat1"/>
      <sheetName val="TH_Denbu1"/>
      <sheetName val="Do_ve_DC1"/>
      <sheetName val="TH_Bommin1"/>
      <sheetName val="CHI_PHI_THI_NGHIEM-LD_thiet_bi1"/>
      <sheetName val="Luong_TT011"/>
      <sheetName val="Camay_QB1"/>
      <sheetName val="gia_ca_may_BXD1"/>
      <sheetName val="BANG_LUONG_KY_SU1"/>
      <sheetName val="Bang_luong_NHOM_I1"/>
      <sheetName val="Bangluong_NHOM_II_1"/>
      <sheetName val="09-GIA_nhien_lieu-ko_in1"/>
      <sheetName val="Tinh_V_cot_chiem_cho1"/>
      <sheetName val="ĐM_13541"/>
      <sheetName val="KHOAN_MAU1"/>
      <sheetName val="ĐO_ĐỊA_VẬT_LÝ1"/>
      <sheetName val="khoan_tiep_dia1"/>
      <sheetName val="DZ_22KV1"/>
      <sheetName val="_1710_HOINGHINLD1"/>
      <sheetName val="99_(2)1"/>
      <sheetName val="134_1"/>
      <sheetName val="DG_49701"/>
      <sheetName val="Financ__Overview1"/>
      <sheetName val="TINH_GIA_-_SAN_XUAT_Vertico1"/>
      <sheetName val="13_BANG_CT1"/>
      <sheetName val="14_MMUS_GIUA_NHIP1"/>
      <sheetName val="4_HSPBngang1"/>
      <sheetName val="6_Tinh_tai1"/>
      <sheetName val="2_NSl1"/>
      <sheetName val="17_US_CHU_tho_a_b1"/>
      <sheetName val="15_MMUS_GOI1"/>
      <sheetName val="Summary_Sheet1"/>
      <sheetName val="Finishing-Tower_A1"/>
      <sheetName val="Finishing-Tower_B1"/>
      <sheetName val="Finishing-Tower_C1"/>
      <sheetName val="Finishing-Tower_D1"/>
      <sheetName val="MEP-Tower_A1"/>
      <sheetName val="MEP-Tower_B1"/>
      <sheetName val="MEP-Tower_C1"/>
      <sheetName val="MEP-Tower_D1"/>
      <sheetName val="Cost_Report_Sum1"/>
      <sheetName val="Detail_Cost_Sum1"/>
      <sheetName val="RVO-VO_Sum1"/>
      <sheetName val="Potential_VOs_Sum1"/>
      <sheetName val="Cash_Flow_Sum1"/>
      <sheetName val="B-2__(DPP)2"/>
      <sheetName val="CAP_NUOC1"/>
      <sheetName val="cấp_nước_trục_nhà_vs1"/>
      <sheetName val="THOAT_NUOC1"/>
      <sheetName val="THOAT_MUA1"/>
      <sheetName val="Cáp_phòng1"/>
      <sheetName val="TMC_ĐIỆN_Phi1"/>
      <sheetName val="TMC_Tổng1"/>
      <sheetName val="TH_Đèn_Phòng_L11"/>
      <sheetName val="TH_Đèn_Hầm_L11"/>
      <sheetName val="TỦ_MODULE_T11"/>
      <sheetName val="Huong_dan1"/>
      <sheetName val="gia_vt,nc,may1"/>
      <sheetName val="Bieu_gia_HD1"/>
      <sheetName val="Tổng_hợp_KPHM1"/>
      <sheetName val="5_2_1_Đo_bóc_KL_OLK-061"/>
      <sheetName val="Dinh_muc1"/>
      <sheetName val="KS_tuyen1"/>
      <sheetName val="Bang_chiet_tinh_TBA1"/>
      <sheetName val="MB_DT_021"/>
      <sheetName val="So_sanh1"/>
      <sheetName val="EQUIP_LIST1"/>
      <sheetName val="Electrical_Works1"/>
      <sheetName val="H_T__INCOMING_SYSTEM1"/>
      <sheetName val="THONG_SO1"/>
      <sheetName val="Đơn_giá_chi_tiết_TN_391"/>
      <sheetName val="DT__NHA_XUONG1"/>
      <sheetName val="4_2_1_Đo_bóc_KL_OLK-061"/>
      <sheetName val="4_1_1_CHI_TIET_OLK-061"/>
      <sheetName val="BU_LONG1"/>
      <sheetName val="Cash_Flow1"/>
      <sheetName val="Thuyết_minh1"/>
      <sheetName val="Đơn_giá_máy1"/>
      <sheetName val="Tính_giá_NC1"/>
      <sheetName val="SL_cước1"/>
      <sheetName val="Currency Rate"/>
      <sheetName val="BQ"/>
      <sheetName val="KEILA TP 2020-07"/>
      <sheetName val="lookups"/>
      <sheetName val="BILL 34Āᐁë"/>
      <sheetName val="BILL 34Āᐁë_x0000__x0000__x0001__x0000__x0000__x0000_ HẦM"/>
      <sheetName val="CFA (ME)"/>
      <sheetName val="MEP Building"/>
      <sheetName val="Cot"/>
      <sheetName val="2. BBNT KLHT"/>
      <sheetName val="QSUM"/>
      <sheetName val="SucChiuTaiCuaCoc"/>
      <sheetName val="CHITIET VL-NC-TT1p"/>
      <sheetName val="CFA"/>
      <sheetName val="TKLD"/>
      <sheetName val="NHOM KINH"/>
      <sheetName val="Share Price 2002"/>
      <sheetName val="Case"/>
      <sheetName val="SumVal"/>
      <sheetName val="LUONG SCL"/>
      <sheetName val="HERD_MOVEMENTFARM13"/>
      <sheetName val="HERD_MOVEMENTFARM23"/>
      <sheetName val="CALVES_2-43"/>
      <sheetName val="Cavles_2-43"/>
      <sheetName val="CALVES_4-73"/>
      <sheetName val="HEIFER_7-12m3"/>
      <sheetName val="HEIFER_12+3"/>
      <sheetName val="FRESH_COW_2017-183"/>
      <sheetName val="HP_COW_20183"/>
      <sheetName val="LP_COW_2017-183"/>
      <sheetName val="DRY_COW3"/>
      <sheetName val="FIELD_CROPS3"/>
      <sheetName val="Gia_VT-TB1"/>
      <sheetName val="noi_suy_xa1"/>
      <sheetName val="noi_suy_xa_thu_hoi1"/>
      <sheetName val="¥_1"/>
      <sheetName val="CHITIET_VL-NCHT1_(2)"/>
      <sheetName val="Unit_price"/>
      <sheetName val="Bill_No_1_61"/>
      <sheetName val="Bill_No_1_101"/>
      <sheetName val="Bill_No_3_31"/>
      <sheetName val="Bill_No_1_41"/>
      <sheetName val="Bill_No_1_71"/>
      <sheetName val="Summary_Bill_No__31"/>
      <sheetName val="3__KC_-_PODIUM"/>
      <sheetName val="Tien_Luong"/>
      <sheetName val="Chiet_tinh_dz35"/>
      <sheetName val="Bù_giá_CM"/>
      <sheetName val="B3A-APARTMENT"/>
      <sheetName val="Auto Monthly Inputs "/>
      <sheetName val="CFS3"/>
      <sheetName val="재료비단가(VALVE)"/>
      <sheetName val="BOM-13.11-Other(PS1+PS2)"/>
      <sheetName val="Tra_thep"/>
      <sheetName val="PAINT_SPEC"/>
      <sheetName val="SCHEDULE"/>
      <sheetName val="MSB-DB"/>
      <sheetName val="BP"/>
      <sheetName val="Tiên_lượng1"/>
      <sheetName val="Breakdown_(B)"/>
      <sheetName val="U_P_Breakdown"/>
      <sheetName val="Unit_price(Updateting)"/>
      <sheetName val="CTDZ6kv_(gd1)_"/>
      <sheetName val="CTDZ_0_4+cto_(GD1)"/>
      <sheetName val="CTTBA_(gd1)"/>
      <sheetName val="03_Detailed"/>
      <sheetName val="01_Bid_Price_summary"/>
      <sheetName val="Home_Office_Manhours"/>
      <sheetName val="Field_SPV_Barchart"/>
      <sheetName val="IMF_Code"/>
      <sheetName val="Subsidiary_Calculation"/>
      <sheetName val="DEF"/>
      <sheetName val="QMCT"/>
      <sheetName val="ChiTietDZ"/>
      <sheetName val="VuaBT"/>
      <sheetName val="01. Nha xuong"/>
      <sheetName val="Nhập liệu"/>
      <sheetName val="Dinh Muc Vat Tu"/>
      <sheetName val="mã "/>
      <sheetName val="Chao gia T12_RE"/>
      <sheetName val="Tabela1"/>
      <sheetName val="Bech_Lab"/>
      <sheetName val="Service Cost "/>
      <sheetName val="Don gia Tay Ninh"/>
      <sheetName val="Don gia Dak Lak"/>
      <sheetName val="做法表"/>
      <sheetName val="진주방향"/>
      <sheetName val="2BOX본체"/>
      <sheetName val="마산방향"/>
      <sheetName val="MB-D2"/>
      <sheetName val="Bearing"/>
      <sheetName val="MB-D3"/>
      <sheetName val="MB-D8"/>
      <sheetName val="MB-D9"/>
      <sheetName val="Manhole"/>
      <sheetName val="MB-D4"/>
      <sheetName val="MB-D12"/>
      <sheetName val="streeta and cacth pit"/>
      <sheetName val="MB-D7"/>
      <sheetName val="Pipe"/>
      <sheetName val="MB-D6"/>
      <sheetName val="Daf 1"/>
      <sheetName val="SLabs"/>
      <sheetName val="CTtr"/>
      <sheetName val="Gia NC theo TT05"/>
      <sheetName val="KUNGDEVI"/>
      <sheetName val="기본DATA"/>
      <sheetName val="caocot"/>
      <sheetName val="Bia1"/>
      <sheetName val="Don gia XD"/>
      <sheetName val="DSV6 Summ"/>
      <sheetName val="Luong_BN"/>
      <sheetName val="Luong_TB"/>
      <sheetName val="Ca_may_TB"/>
      <sheetName val="Ca_máy_BN"/>
      <sheetName val="Vật_liệu"/>
      <sheetName val="DS_GioiTinh"/>
      <sheetName val="DS_LoaiNhanVien"/>
      <sheetName val="DS_QuocTich"/>
      <sheetName val="DS_TinhTrangGiaDinh"/>
      <sheetName val="DS_TonGiao"/>
      <sheetName val="Currency"/>
      <sheetName val="Land Dev't. Ph-1"/>
      <sheetName val="Hac.Lots"/>
      <sheetName val="4-Lane bridge"/>
      <sheetName val="Res.Lots"/>
      <sheetName val="Spine Road"/>
      <sheetName val="tra-vat-lieu"/>
      <sheetName val="BAG-2"/>
      <sheetName val="COPING"/>
      <sheetName val="datta"/>
      <sheetName val="GIAVLIEU"/>
      <sheetName val="BTH"/>
      <sheetName val="264"/>
      <sheetName val="TienLuong"/>
      <sheetName val="Para"/>
      <sheetName val="PNTEXT"/>
      <sheetName val="DFA"/>
      <sheetName val="sortÔ"/>
      <sheetName val="BangQuiDoi"/>
      <sheetName val="5.2.1 Đo bóc KL OLK-07"/>
      <sheetName val="Boc KL DAT+CAT+BT"/>
      <sheetName val="Boc KL thép"/>
      <sheetName val="Bieu do nhan luc"/>
      <sheetName val="B1_HT"/>
      <sheetName val="PU_ITALY_22"/>
      <sheetName val="TH_DZ3511"/>
      <sheetName val="Tro_giup21"/>
      <sheetName val="RAB_AR&amp;STR9"/>
      <sheetName val="chi_tiet_TBA9"/>
      <sheetName val="chi_tiet_C9"/>
      <sheetName val="Customize_Your_Purchase_Order9"/>
      <sheetName val="Don_gia9"/>
      <sheetName val="CHITIET_VL-NC-TT_-1p9"/>
      <sheetName val="CHITIET_VL-NC-TT-3p8"/>
      <sheetName val="TONG_HOP_VL-NC_TT9"/>
      <sheetName val="KPVC-BD_9"/>
      <sheetName val="DON_GIA_TRAM_(3)9"/>
      <sheetName val="DON_GIA_CAN_THO11"/>
      <sheetName val="HĐ_ngoài8"/>
      <sheetName val="XT_Buoc_38"/>
      <sheetName val="dongia_(2)8"/>
      <sheetName val="Don_gia_chi_tiet9"/>
      <sheetName val="7606_DZ9"/>
      <sheetName val="project_management8"/>
      <sheetName val="Adix_A8"/>
      <sheetName val="REINF_8"/>
      <sheetName val="Rates_20098"/>
      <sheetName val="S-curve_8"/>
      <sheetName val="Du_toan8"/>
      <sheetName val="So_doi_chieu_LC8"/>
      <sheetName val="MAIN_GATE_HOUSE8"/>
      <sheetName val="Commercial_value8"/>
      <sheetName val="Ky_Lam_Bridge8"/>
      <sheetName val="Provisional_Sums_Item8"/>
      <sheetName val="Gas_Pressure_Welding8"/>
      <sheetName val="General_Item&amp;General_Requireme8"/>
      <sheetName val="General_Items8"/>
      <sheetName val="Regenral_Requirements8"/>
      <sheetName val="chiet_tinh8"/>
      <sheetName val="Ng_hàng_xà+bulong8"/>
      <sheetName val="TONG_HOP_VL-NC8"/>
      <sheetName val="MH_RATE8"/>
      <sheetName val="Bang_KL8"/>
      <sheetName val="Đầu_vào7"/>
      <sheetName val="Equip_7"/>
      <sheetName val="A1_CN7"/>
      <sheetName val="DG_thep_ma_kem8"/>
      <sheetName val="Lcau_-_Lxuc8"/>
      <sheetName val="CT_vat_lieu8"/>
      <sheetName val="Trạm_biến_áp7"/>
      <sheetName val="Đơn_Giá_7"/>
      <sheetName val="DM_60618"/>
      <sheetName val="TONG_HOP_T5_19987"/>
      <sheetName val="Chenh_lech_vat_tu7"/>
      <sheetName val="Diện_tích7"/>
      <sheetName val="1_Khái_toán7"/>
      <sheetName val="Chi_tiet_XD_TBA7"/>
      <sheetName val="DG_DZ8"/>
      <sheetName val="DG_TBA8"/>
      <sheetName val="CT-0_4KV7"/>
      <sheetName val="rate_material7"/>
      <sheetName val="KL_Chi_tiết_Xây_tô7"/>
      <sheetName val="04_-_XUONG_DET_B7"/>
      <sheetName val="Loại_Vật_tư7"/>
      <sheetName val="Bill_1_Quy_dinh_chung7"/>
      <sheetName val="1_R18_BF7"/>
      <sheetName val="6_External_works-R187"/>
      <sheetName val="07Base_Cost7"/>
      <sheetName val="Chi_tiet_KL7"/>
      <sheetName val="Tổng_hợp_KL7"/>
      <sheetName val="_037"/>
      <sheetName val="chieu_day_san7"/>
      <sheetName val="Podium_Concrete_Works7"/>
      <sheetName val="KLCT-_TOWER7"/>
      <sheetName val="KLCT-_PODIUM7"/>
      <sheetName val="Gia_thanh_chuoi_su7"/>
      <sheetName val="Tiep_dia7"/>
      <sheetName val="Don_gia_vung_III-Can_Tho7"/>
      <sheetName val="Phan_khai_KLuong7"/>
      <sheetName val="Area_Cal7"/>
      <sheetName val="Bill_01_-_CTN7"/>
      <sheetName val="Bill_2_2_Villa_2_beds7"/>
      <sheetName val="Elect_(3)7"/>
      <sheetName val="plan&amp;section_of_foundation7"/>
      <sheetName val="design_criteria7"/>
      <sheetName val="Bond_수수료_계산_포맷7"/>
      <sheetName val="ITB_COST7"/>
      <sheetName val="PAGE_17"/>
      <sheetName val="DM_677"/>
      <sheetName val="Project_Data7"/>
      <sheetName val="6787CWFASE2CASE2_00_xls7"/>
      <sheetName val="Xay_lapduongR37"/>
      <sheetName val="Đầu_tư7"/>
      <sheetName val="gia_cong_tac7"/>
      <sheetName val="EIRR&gt;_27"/>
      <sheetName val="dg_tphcm7"/>
      <sheetName val="T_KÊ_K_CẤU7"/>
      <sheetName val="4_PTDG7"/>
      <sheetName val="A1,_May7"/>
      <sheetName val="Vat_lieu7"/>
      <sheetName val="Data_Input8"/>
      <sheetName val="Measure_13067"/>
      <sheetName val="Bill_02_-_Xay_gach-Pou_7"/>
      <sheetName val="Bill_03-Chống_thấm-Pou7"/>
      <sheetName val="Bill_04-Kim_loại-Pou7"/>
      <sheetName val="Bill_05_-_Hoan_thien-Pou_7"/>
      <sheetName val="Bill_02_-_Xay_gach-Tower7"/>
      <sheetName val="Bill_03-Chống_thấm-Tower7"/>
      <sheetName val="Bill_04-Kim_loại-Tower7"/>
      <sheetName val="Bill_05_-_Hoan_thien-Tower7"/>
      <sheetName val="KL-_KHAC7"/>
      <sheetName val="BILL_3_-_KẾT_CẤU_HẦM7"/>
      <sheetName val="PTĐG_LTBT7"/>
      <sheetName val="CTG-PRECHEx1_47"/>
      <sheetName val="CTG-AB_(2)7"/>
      <sheetName val="CTG-AB_(3)7"/>
      <sheetName val="CTG-PLP-1_087"/>
      <sheetName val="Pre_Đội_nhóm7"/>
      <sheetName val="Vat_tu_XD7"/>
      <sheetName val="Tower_-_Concrete_Works7"/>
      <sheetName val="Bill-04_ket_cau_thap-_UNI7"/>
      <sheetName val="TH_Vat_tu7"/>
      <sheetName val="HÐ_ngoài8"/>
      <sheetName val="6PILE__(돌출)7"/>
      <sheetName val="DETAIL_7"/>
      <sheetName val="GV1-D13_(Casement_door)7"/>
      <sheetName val="Harga_ME_7"/>
      <sheetName val="Analisa_Gabungan7"/>
      <sheetName val="_Bill_5-Earthing_2_-_Add_Works7"/>
      <sheetName val="Isolasi_Luar_Dalam7"/>
      <sheetName val="Isolasi_Luar7"/>
      <sheetName val="Bang_trong_luong_rieng_thep7"/>
      <sheetName val="final_list_200522"/>
      <sheetName val="LV_data7"/>
      <sheetName val="CẤP_THOÁT_NƯỚC7"/>
      <sheetName val="Cước_VC_+_ĐM_CP_Tư_vấn7"/>
      <sheetName val="Hệ_số7"/>
      <sheetName val="ESTI_7"/>
      <sheetName val="Gia_vat_tu7"/>
      <sheetName val="bridge_#_17"/>
      <sheetName val="THDT_goi_thau_TB7"/>
      <sheetName val="Tien_do_TV7"/>
      <sheetName val="Chenh_lech_ca_may7"/>
      <sheetName val="TLg_CN&amp;Laixe7"/>
      <sheetName val="TLg_CN&amp;Laixe_(2)7"/>
      <sheetName val="TLg_Laitau7"/>
      <sheetName val="TLg_Laitau_(2)7"/>
      <sheetName val="KHOI_LUONG7"/>
      <sheetName val="Bang_3_Chi_tiet_phan_Dz7"/>
      <sheetName val="DATA_BASE7"/>
      <sheetName val="Equipment_list_(PAC)7"/>
      <sheetName val="KL_san_lap7"/>
      <sheetName val="TH_N_Cong7"/>
      <sheetName val="TH_MTC7"/>
      <sheetName val="TINH_KHOI_LUONG7"/>
      <sheetName val="Chi_tiet7"/>
      <sheetName val="Buy_vs__Lease_Car7"/>
      <sheetName val="PRE_(E)7"/>
      <sheetName val="CTKL_KTX_HT6"/>
      <sheetName val="subcon_sched7"/>
      <sheetName val="Tong_du_toan6"/>
      <sheetName val="Bill_2_-_ketcau6"/>
      <sheetName val="Budget_Code6"/>
      <sheetName val="CP_Khac_cuoc_VC6"/>
      <sheetName val="NHÀ_NHẬP_LIỆU6"/>
      <sheetName val="MÓNG_SILO6"/>
      <sheetName val="HVAC_BLOCK_B47"/>
      <sheetName val="2_Chiet_tinh6"/>
      <sheetName val="BẢNG_KHỐI_LƯỢNG_TỔNG_HỢP6"/>
      <sheetName val="Chi_tiet_lan_can6"/>
      <sheetName val="13-Cốt_thép_(10mm&lt;D≤18mm)_FO166"/>
      <sheetName val="du_lieu_du_toan6"/>
      <sheetName val="BOQ_THAN6"/>
      <sheetName val="DL_ĐẦU_VÀO6"/>
      <sheetName val="Analisa_&amp;_Upah6"/>
      <sheetName val="Purchase_Order6"/>
      <sheetName val="D_&amp;_W_sizes6"/>
      <sheetName val="Du_lieu7"/>
      <sheetName val="cash_budget6"/>
      <sheetName val="Luong_NII6"/>
      <sheetName val="DINH_MUC_THI_NGHIEM6"/>
      <sheetName val="Luong_NI6"/>
      <sheetName val="Phan_tich6"/>
      <sheetName val="CT_Thang_Mo6"/>
      <sheetName val="CT__PL6"/>
      <sheetName val="dongia__2_6"/>
      <sheetName val="Thép_CKN6"/>
      <sheetName val="GOC-KO_IN6"/>
      <sheetName val="MAU_8A6"/>
      <sheetName val="MAU_8B6"/>
      <sheetName val="MAU_96"/>
      <sheetName val="MAU_106"/>
      <sheetName val="sochitiettaikhoan_6"/>
      <sheetName val="Share_price_data6"/>
      <sheetName val="19_36"/>
      <sheetName val="20_36"/>
      <sheetName val="Chieu_4_36"/>
      <sheetName val="Cow_req6"/>
      <sheetName val="TỔNG_HỢP6"/>
      <sheetName val="14-LẦN_3-CHIỀU6"/>
      <sheetName val="14-LẦN_1-SÁNG6"/>
      <sheetName val="14-LẦN_2-TRƯA6"/>
      <sheetName val="1_3+1_4-TOTAL_-_Ko_IN6"/>
      <sheetName val="2_1-LẦN_3-CHIỀU6"/>
      <sheetName val="2_1-LẦN_1-SÁNG6"/>
      <sheetName val="2_1-LẦN_2-TRƯA6"/>
      <sheetName val="2_1-TOTAL-Ko_IN6"/>
      <sheetName val="1_3(TMR_4)6"/>
      <sheetName val="CHO_DE6"/>
      <sheetName val="1_1+1_2+2_2+2_3(TMR_3)6"/>
      <sheetName val="CK1+CK2_(VS_SAN_CHOI_23)6"/>
      <sheetName val="CK1+CK2_(2)6"/>
      <sheetName val="12-16_THÁNG6"/>
      <sheetName val="CAN_SỮA6"/>
      <sheetName val="54+55+56(SAU_CAI_SỮA-6)6"/>
      <sheetName val="BÊ_71-90_NGÀY6"/>
      <sheetName val="BÊ_12-16_tháng6"/>
      <sheetName val="BÊ_6-126"/>
      <sheetName val="BÊ_1-36"/>
      <sheetName val="F01-BC_KHAU_PHAN_SANG_20_36"/>
      <sheetName val="F01-BC_KHAU_PHAN_CHIEU_19_36"/>
      <sheetName val="dinh_mưc_cty6"/>
      <sheetName val="Giá_thành6"/>
      <sheetName val="Thong_ke6"/>
      <sheetName val="Energy_for_milk_prod6"/>
      <sheetName val="DE_NGHI_XUAT_6"/>
      <sheetName val="phieu_xuat_mau6"/>
      <sheetName val="PHIEU_XUAT_CHIEU6"/>
      <sheetName val="11_rai_them_cỏ6"/>
      <sheetName val="PHU_LUC_02-_HDSD_CAC_BIEU_MAU6"/>
      <sheetName val="PhU_LUC_01-_MA_CAC_NHOM_BO6"/>
      <sheetName val="F03-BC_THUC_TRON_SANG_20_36"/>
      <sheetName val="F03-BC_THUC_TRON_CHIEU_19_36"/>
      <sheetName val="F02-BC_THEO_DOI_THUC_AN_DU6"/>
      <sheetName val="Tham_khao-_Bao_cao_xuat_thuc_a6"/>
      <sheetName val="Don_gia_(khong_in)6"/>
      <sheetName val="Dlieu_dau_vao6"/>
      <sheetName val="DK1_Don_gia6"/>
      <sheetName val="1_MONG_1-26"/>
      <sheetName val="BANCO_(2)6"/>
      <sheetName val="MT_DPin_(2)6"/>
      <sheetName val="dm_3664"/>
      <sheetName val="DM_60604"/>
      <sheetName val="02__PTDG6"/>
      <sheetName val="Chiết_tính6"/>
      <sheetName val="2_1Warehouse_14"/>
      <sheetName val="Income_Statement6"/>
      <sheetName val="Shareholders'_Equity6"/>
      <sheetName val="VC_xd4"/>
      <sheetName val="Gia_VLTB4"/>
      <sheetName val="B_Luong4"/>
      <sheetName val="C_May4"/>
      <sheetName val="TB_NẶNG4"/>
      <sheetName val="Du_tru_CP-Bieu_014"/>
      <sheetName val="Dự_thầu4"/>
      <sheetName val="Nhap_VT_oto4"/>
      <sheetName val="TH_TN4"/>
      <sheetName val="Bill_No_3_-_Prov__Sum_(Ph2&amp;3)4"/>
      <sheetName val="Hao_phí4"/>
      <sheetName val="Structure_data4"/>
      <sheetName val="đọc_số4"/>
      <sheetName val="Ma_don_vi4"/>
      <sheetName val="bang_cc4"/>
      <sheetName val="CP_Du_phong4"/>
      <sheetName val="THCP_Lap_dat4"/>
      <sheetName val="THCP_xay_dung4"/>
      <sheetName val="Tong_hop_kinh_phi4"/>
      <sheetName val="CP_HMC4"/>
      <sheetName val="HỆ_THỐNG_PHÒNG_CHÁY_CHỮA_CHÁY4"/>
      <sheetName val="HỆ_THỐNG_CẤP_THOÁT_NƯỚC4"/>
      <sheetName val="HỆ_THỐNG_ĐHKK4"/>
      <sheetName val="MÁY_PHÁT_ĐIỆN4"/>
      <sheetName val="HỆ_THỐNG_ĐIỆN4"/>
      <sheetName val="Thiết_bị_chính4"/>
      <sheetName val="Ｎｏ_134"/>
      <sheetName val="DGchitiet_4"/>
      <sheetName val="wk_prgs4"/>
      <sheetName val="AG_Pipe_Qty_Analysis4"/>
      <sheetName val="CHI_PHI4"/>
      <sheetName val="TK_chi_tiet4"/>
      <sheetName val="Bill_2-Road_HR24"/>
      <sheetName val="Bill_3_-_Softscape_HR24"/>
      <sheetName val="THEP_TAM4"/>
      <sheetName val="THEP_HÌNH4"/>
      <sheetName val="THEP_HINH4"/>
      <sheetName val="XA_GO4"/>
      <sheetName val="BANG_TRA4"/>
      <sheetName val="CĂN_HỘ_T16-17_4"/>
      <sheetName val="TRỤC_ĐỨNG_THOÁT_BẨN_T15-174"/>
      <sheetName val="TRỤC_ĐỨNG_TM_T15-174"/>
      <sheetName val="Móng,_nền_4"/>
      <sheetName val="Main_Bldg-Rev024"/>
      <sheetName val="D&amp;W_def_4"/>
      <sheetName val="Nhan_cong4"/>
      <sheetName val="Thiet_bi4"/>
      <sheetName val="Vat_tu4"/>
      <sheetName val="DM_ChiPhi4"/>
      <sheetName val="May_TC4"/>
      <sheetName val="TH_Kinh_phi4"/>
      <sheetName val="Ptvl_4"/>
      <sheetName val="1_Requisition(E)4"/>
      <sheetName val="TONG_HOP4"/>
      <sheetName val="Tổng_GT4"/>
      <sheetName val="Chi_tiết_KL4"/>
      <sheetName val="ca_máy4"/>
      <sheetName val="khấu_trừ_phạt4"/>
      <sheetName val="GT__KHAU_TRU4"/>
      <sheetName val="HAO_HUT_VAT_TU_(2)4"/>
      <sheetName val="cao_độ4"/>
      <sheetName val="Data_Wall4"/>
      <sheetName val="Dự_toán4"/>
      <sheetName val="Đơn_Giá_TH4"/>
      <sheetName val="Nhân_công4"/>
      <sheetName val="Phân_tích4"/>
      <sheetName val="C_P_Thiết_bị4"/>
      <sheetName val="T_H_Kinh_phí4"/>
      <sheetName val="Vật_tư4"/>
      <sheetName val="Trang_bìa4"/>
      <sheetName val="phan_tic_chi_tiet4"/>
      <sheetName val="Gia_vat_lieu3"/>
      <sheetName val="DG_14263"/>
      <sheetName val="Theo_doi_Doanh_thu_20173"/>
      <sheetName val="gui_BKCT3"/>
      <sheetName val="Precios_unitarios_AXH3"/>
      <sheetName val="Chi_tiet_cong_no4"/>
      <sheetName val="PHÁT_SINH_TẦNG_1_4"/>
      <sheetName val="PHÁT_SINH_TẦNG_24"/>
      <sheetName val="Hầm_chuyển_psinh4"/>
      <sheetName val="Ống_thẳng4"/>
      <sheetName val="Côn_thu4"/>
      <sheetName val="Vuông_tròn4"/>
      <sheetName val="Chân_rẽ4"/>
      <sheetName val="Chạc_ba4"/>
      <sheetName val="3__CNT3"/>
      <sheetName val="unit_price_list(M)3"/>
      <sheetName val="TH_VL,_NC,_DDHT_Thanhphuoc3"/>
      <sheetName val="Don_gia_chi_tiet_DIEN_23"/>
      <sheetName val="So_lieu_chung3"/>
      <sheetName val="BẢNG_ÁP_GIÁ_(in)3"/>
      <sheetName val="NT_(KL)_IN3"/>
      <sheetName val="DOM_D23"/>
      <sheetName val="nhà_ăn3"/>
      <sheetName val="Công_nhật3"/>
      <sheetName val="btkt_cột3"/>
      <sheetName val="1_2_Staff_Schedule3"/>
      <sheetName val="Chi_tiet_-tong_9_thang3"/>
      <sheetName val="0__Input3"/>
      <sheetName val="Doi_so3"/>
      <sheetName val="MTO_REV_2(ARMOR)3"/>
      <sheetName val="DANH_MỤC_HỒ_SƠ3"/>
      <sheetName val="GT_PHÁT_SINH_NGOÀI_HĐ3"/>
      <sheetName val="KL_PHÁT_SINH_3"/>
      <sheetName val="PS_NGOÀI_HĐ3"/>
      <sheetName val="GT_PHÁT_SINH_VƯỢT_HĐ3"/>
      <sheetName val="PS_TĂNG_GIẢM_TRONG_HĐ3"/>
      <sheetName val="DGCT_PHÁT_SINH3"/>
      <sheetName val="DGCT_TRẦN_NLV3"/>
      <sheetName val="DGKL_chi_tiết_NLV3"/>
      <sheetName val="DGKL_chi_tiết_NHN,NK3"/>
      <sheetName val="TG_KL3"/>
      <sheetName val="DGCT_SƠN_BẢ_TƯỜNG_NLV3"/>
      <sheetName val="DGKL_TRẦN_NHN3"/>
      <sheetName val="Cotthep_NPT3"/>
      <sheetName val="vl_nc_mtc3"/>
      <sheetName val="KL_THEP__GIAM_DO_DUNG_COUPLER3"/>
      <sheetName val="01_KL_THÉP_NHẬP_VỀ3"/>
      <sheetName val="2__NT_VLDV3"/>
      <sheetName val="GHI_CHU3"/>
      <sheetName val="1_BB_LMHT3"/>
      <sheetName val="Bê_tông_bảo_vệ3"/>
      <sheetName val="01__Data3"/>
      <sheetName val="Neo,_nối_cốt_thép_dầm,_cột3"/>
      <sheetName val="Uốn_móc_cốt_thép3"/>
      <sheetName val="Tiêu_chuẩn_cốt_thép3"/>
      <sheetName val="Bill_Prelim-CDT3"/>
      <sheetName val="Bill_BPTC-CDT3"/>
      <sheetName val="Chi_tiết_BPTC3"/>
      <sheetName val="Bill_BPTC-CDT_(PA_MCT_CDT)3"/>
      <sheetName val="Chi_tiết_BPTC_(PA_MCT_CDT)3"/>
      <sheetName val="Tong_hop_vat_tu3"/>
      <sheetName val="TLG_Type3"/>
      <sheetName val="B3A_-_TOWER_A3"/>
      <sheetName val="Annex_B3"/>
      <sheetName val="DM-VNT_ko_sd3"/>
      <sheetName val="Bảng_đo_bóc_KL_OLK-093"/>
      <sheetName val="6_3_CHI_TIET_OLK-093"/>
      <sheetName val="1_Civil_(Org)3"/>
      <sheetName val="1__Office3"/>
      <sheetName val="KHOI_LUONG15-43"/>
      <sheetName val="Dgia_vat_tu3"/>
      <sheetName val="Don_gia_III3"/>
      <sheetName val="D÷_liÖu3"/>
      <sheetName val="Dot_43"/>
      <sheetName val="1_San_3"/>
      <sheetName val="Thop_Ksat3"/>
      <sheetName val="Thu_hoi_3"/>
      <sheetName val="HM_chung3"/>
      <sheetName val="CP_xd-thiet_bi3"/>
      <sheetName val="TH-TN_LD_TB3"/>
      <sheetName val="CP_xaydung3"/>
      <sheetName val="Thao_ha_phu_kien3"/>
      <sheetName val="VL-NC-MTC_ket_cau3"/>
      <sheetName val="KHOI_LUONG_TONG3"/>
      <sheetName val="TK_22KV3"/>
      <sheetName val="DM_366-17773"/>
      <sheetName val="Thi_nhiem3"/>
      <sheetName val="Gia_goc_VT-TB3"/>
      <sheetName val="Gia_vc_den_chan_CT3"/>
      <sheetName val="culy_223"/>
      <sheetName val="Luong_20503"/>
      <sheetName val="ca_may_QN3"/>
      <sheetName val="TNHC1246_3"/>
      <sheetName val="Ca_may_TT06_20103"/>
      <sheetName val="Don_gia_VLXD_dia_phuong3"/>
      <sheetName val="Bang_luong_SCL3"/>
      <sheetName val="Dinh_muc_TN14263"/>
      <sheetName val="KL_thep_lam_sat3"/>
      <sheetName val="Tien_Thuong3"/>
      <sheetName val="NC_XL_6T_cuoi_01_CTy3"/>
      <sheetName val="Data_-6T_dau3"/>
      <sheetName val="Cong_6T3"/>
      <sheetName val="Chi_phi_van_chuyen3"/>
      <sheetName val="2_CDPS3"/>
      <sheetName val="TH_các_CC3"/>
      <sheetName val="DT_hợp_đồng2"/>
      <sheetName val="Bảng_KL_đợt_12"/>
      <sheetName val="HRG_BHN3"/>
      <sheetName val="CĂN_ĐH3"/>
      <sheetName val="Q_A01_2-Sh3"/>
      <sheetName val="7_Khau_tru_3"/>
      <sheetName val="Heso_DZ3"/>
      <sheetName val="DM_336cai_tao3"/>
      <sheetName val="DG_BINH_THUAN3"/>
      <sheetName val="Div26_-_Elect3"/>
      <sheetName val="Danh_mục2"/>
      <sheetName val="4_CĂN3"/>
      <sheetName val="Financ__Overview2"/>
      <sheetName val="Don_gia_NC3"/>
      <sheetName val="B-2__(DPP)3"/>
      <sheetName val="Summary_Sheet2"/>
      <sheetName val="Finishing-Tower_A2"/>
      <sheetName val="Finishing-Tower_B2"/>
      <sheetName val="Finishing-Tower_C2"/>
      <sheetName val="Finishing-Tower_D2"/>
      <sheetName val="MEP-Tower_A2"/>
      <sheetName val="MEP-Tower_B2"/>
      <sheetName val="MEP-Tower_C2"/>
      <sheetName val="MEP-Tower_D2"/>
      <sheetName val="Cost_Report_Sum2"/>
      <sheetName val="Detail_Cost_Sum2"/>
      <sheetName val="RVO-VO_Sum2"/>
      <sheetName val="Potential_VOs_Sum2"/>
      <sheetName val="Cash_Flow_Sum2"/>
      <sheetName val="CAP_NUOC2"/>
      <sheetName val="cấp_nước_trục_nhà_vs2"/>
      <sheetName val="THOAT_NUOC2"/>
      <sheetName val="THOAT_MUA2"/>
      <sheetName val="Cáp_phòng2"/>
      <sheetName val="TMC_ĐIỆN_Phi2"/>
      <sheetName val="TMC_Tổng2"/>
      <sheetName val="TH_Đèn_Phòng_L12"/>
      <sheetName val="TH_Đèn_Hầm_L12"/>
      <sheetName val="TỦ_MODULE_T12"/>
      <sheetName val="TINH_GIA_-_SAN_XUAT_Vertico2"/>
      <sheetName val="Huong_dan2"/>
      <sheetName val="Bieu_gia_HD2"/>
      <sheetName val="13_BANG_CT2"/>
      <sheetName val="14_MMUS_GIUA_NHIP2"/>
      <sheetName val="4_HSPBngang2"/>
      <sheetName val="6_Tinh_tai2"/>
      <sheetName val="2_NSl2"/>
      <sheetName val="17_US_CHU_tho_a_b2"/>
      <sheetName val="15_MMUS_GOI2"/>
      <sheetName val="gia_vt,nc,may2"/>
      <sheetName val="BTK-Dai_Hoc_Kien_Giang2"/>
      <sheetName val="PV_Graph_Data2"/>
      <sheetName val="doanh_thu2"/>
      <sheetName val="Dutoan_KL2"/>
      <sheetName val="Kê_0,42"/>
      <sheetName val="TH_0,42"/>
      <sheetName val="Kê_222"/>
      <sheetName val="TH_222"/>
      <sheetName val="TBA_CAI_TAO2"/>
      <sheetName val="TBA_XDM2"/>
      <sheetName val="TONG_HOP_DU_TOAN2"/>
      <sheetName val="Thop_XAY_DUNG2"/>
      <sheetName val="CP_HANG_MUC_CHUNG2"/>
      <sheetName val="CHI_PHI_XD2"/>
      <sheetName val="CHI_PHI_THI_NGHIEM2"/>
      <sheetName val="VLDIEN_222"/>
      <sheetName val="Dao_dat2"/>
      <sheetName val="TH_Denbu2"/>
      <sheetName val="Do_ve_DC2"/>
      <sheetName val="TH_Bommin2"/>
      <sheetName val="CHI_PHI_THI_NGHIEM-LD_thiet_bi2"/>
      <sheetName val="Luong_TT012"/>
      <sheetName val="Camay_QB2"/>
      <sheetName val="gia_ca_may_BXD2"/>
      <sheetName val="BANG_LUONG_KY_SU2"/>
      <sheetName val="Bang_luong_NHOM_I2"/>
      <sheetName val="Bangluong_NHOM_II_2"/>
      <sheetName val="09-GIA_nhien_lieu-ko_in2"/>
      <sheetName val="Tinh_V_cot_chiem_cho2"/>
      <sheetName val="ĐM_13542"/>
      <sheetName val="KHOAN_MAU2"/>
      <sheetName val="ĐO_ĐỊA_VẬT_LÝ2"/>
      <sheetName val="khoan_tiep_dia2"/>
      <sheetName val="Tổng_hợp_KPHM2"/>
      <sheetName val="Dinh_muc2"/>
      <sheetName val="DZ_22KV2"/>
      <sheetName val="5_2_1_Đo_bóc_KL_OLK-062"/>
      <sheetName val="GIÁ_DỰ_THẦU_30_CĂN2"/>
      <sheetName val="MB_DT_022"/>
      <sheetName val="BU_LONG2"/>
      <sheetName val="KS_tuyen2"/>
      <sheetName val="Bang_chiet_tinh_TBA2"/>
      <sheetName val="HERD_MOVEMENTFARM14"/>
      <sheetName val="HERD_MOVEMENTFARM24"/>
      <sheetName val="CALVES_2-44"/>
      <sheetName val="Cavles_2-44"/>
      <sheetName val="CALVES_4-74"/>
      <sheetName val="HEIFER_7-12m4"/>
      <sheetName val="HEIFER_12+4"/>
      <sheetName val="FRESH_COW_2017-184"/>
      <sheetName val="HP_COW_20184"/>
      <sheetName val="LP_COW_2017-184"/>
      <sheetName val="DRY_COW4"/>
      <sheetName val="FIELD_CROPS4"/>
      <sheetName val="EQUIP_LIST2"/>
      <sheetName val="So_sanh2"/>
      <sheetName val="4_2_1_Đo_bóc_KL_OLK-062"/>
      <sheetName val="4_1_1_CHI_TIET_OLK-062"/>
      <sheetName val="Gia_VT-TB2"/>
      <sheetName val="noi_suy_xa2"/>
      <sheetName val="noi_suy_xa_thu_hoi2"/>
      <sheetName val="DT__NHA_XUONG2"/>
      <sheetName val="THONG_SO2"/>
      <sheetName val="Đơn_giá_chi_tiết_TN_392"/>
      <sheetName val="Tính_giá_NC2"/>
      <sheetName val="Tiên_lượng2"/>
      <sheetName val="SL_cước2"/>
      <sheetName val="DG_Chi_tiet2"/>
      <sheetName val="_1710_HOINGHINLD2"/>
      <sheetName val="99_(2)2"/>
      <sheetName val="134_2"/>
      <sheetName val="DG_49702"/>
      <sheetName val="Electrical_Works2"/>
      <sheetName val="H_T__INCOMING_SYSTEM2"/>
      <sheetName val="Cash_Flow2"/>
      <sheetName val="Thuyết_minh2"/>
      <sheetName val="Đơn_giá_máy2"/>
      <sheetName val="Bill_No_1_62"/>
      <sheetName val="Bill_No_1_102"/>
      <sheetName val="Bill_No_3_32"/>
      <sheetName val="Bill_No_1_42"/>
      <sheetName val="Bill_No_1_72"/>
      <sheetName val="Summary_Bill_No__32"/>
      <sheetName val="¥_2"/>
      <sheetName val="Unit_price1"/>
      <sheetName val="Tong_DT1"/>
      <sheetName val="phan_tich_don_gia1"/>
      <sheetName val="Bán_đợt_1_trang1"/>
      <sheetName val="3__KC_-_PODIUM1"/>
      <sheetName val="Breakdown_(B)1"/>
      <sheetName val="U_P_Breakdown1"/>
      <sheetName val="Chiet_tinh_dz351"/>
      <sheetName val="Tien_Luong1"/>
      <sheetName val="Unit_price(Updateting)1"/>
      <sheetName val="CTDZ6kv_(gd1)_1"/>
      <sheetName val="CTDZ_0_4+cto_(GD1)1"/>
      <sheetName val="CTTBA_(gd1)1"/>
      <sheetName val="03_Detailed1"/>
      <sheetName val="01_Bid_Price_summary1"/>
      <sheetName val="Home_Office_Manhours1"/>
      <sheetName val="Field_SPV_Barchart1"/>
      <sheetName val="Bù_giá_CM1"/>
      <sheetName val="Cost_List1"/>
      <sheetName val="Detail_Cost1"/>
      <sheetName val="IC_Price_New1"/>
      <sheetName val="Summary_Table1"/>
      <sheetName val="Sales_Person1"/>
      <sheetName val="Bidding_Entity1"/>
      <sheetName val="LX_-TT05"/>
      <sheetName val="NC_Moi_TT05"/>
      <sheetName val="IMF_Code1"/>
      <sheetName val="CHITIET_VL-NCHT1_(2)1"/>
      <sheetName val="Subsidiary_Calculation1"/>
      <sheetName val="don_gia_1426"/>
      <sheetName val="SGC_RATE"/>
      <sheetName val="Cau_tao_gia_xay_to"/>
      <sheetName val="Phu_Bai_Bridge"/>
      <sheetName val="5_2_1_Đo_bóc_KL_OLK-10"/>
      <sheetName val="Chu_dau_tu"/>
      <sheetName val="Khai_toan"/>
      <sheetName val="Phu_luc_01_1_EPC_P11-14"/>
      <sheetName val="TDT_P11-P14"/>
      <sheetName val="Chi_phi_khac_"/>
      <sheetName val="Hang_muc_Chung"/>
      <sheetName val="Bia_Phu_Luc"/>
      <sheetName val="DATA_1_CHUNG"/>
      <sheetName val="Muc_luc"/>
      <sheetName val="Tra_cuu_957"/>
      <sheetName val="Tru_TT"/>
      <sheetName val="Thg_04"/>
      <sheetName val="Thg_05"/>
      <sheetName val="Thg_06"/>
      <sheetName val="Thg_07"/>
      <sheetName val="Thg_08"/>
      <sheetName val="Thg_09"/>
      <sheetName val="Thg_10"/>
      <sheetName val="Thg_11"/>
      <sheetName val="Thg_12"/>
      <sheetName val="Bia_lot"/>
      <sheetName val="DT_san_XD-So_lieu_cu"/>
      <sheetName val="DM_DU_AN"/>
      <sheetName val="DM_TP_"/>
      <sheetName val="File_Chi_tiet"/>
      <sheetName val="THPDMoi__(2)"/>
      <sheetName val="t-h_HA_THE"/>
      <sheetName val="TH_XL"/>
      <sheetName val="CHITIET_VL-NC"/>
      <sheetName val="FF-2_(1)"/>
      <sheetName val="Labour_Summary13"/>
      <sheetName val="YTD_12'2003"/>
      <sheetName val="YTD_06'2003"/>
      <sheetName val="YTD_03'2003"/>
      <sheetName val="YTD_09'2003"/>
      <sheetName val="deferred_taxes"/>
      <sheetName val="Eqpmnt_Plng"/>
      <sheetName val="TRIAL_BALANCE"/>
      <sheetName val="DPR_31st_march"/>
      <sheetName val="current_month"/>
      <sheetName val="Blng__Vs_Coll_"/>
      <sheetName val="Currency_Rate"/>
      <sheetName val="BILL_34Āᐁë_HẦM"/>
      <sheetName val="THÔNG_TIN"/>
      <sheetName val="Danh_mục_khối"/>
      <sheetName val="Danh_mục_đơn_vị_-phòng_chức_năn"/>
      <sheetName val="BẢNG_DIỄN_GIẢI_KL_(7)"/>
      <sheetName val="Probbl_-_Production"/>
      <sheetName val="w't_table"/>
      <sheetName val="CHI_PHÍ_NHÔM"/>
      <sheetName val="BILL_34Āᐁë"/>
      <sheetName val="NHOM_KINH"/>
      <sheetName val="CHITIET_VL-NC-TT1p"/>
      <sheetName val="2__BBNT_KLHT"/>
      <sheetName val="Dashboard_-_BQL_-_VHL"/>
      <sheetName val="KEILA_TP_2020-07"/>
      <sheetName val="TH_khoi_luong"/>
      <sheetName val="Chi_tiet_khoi_luong"/>
      <sheetName val="TK_thep"/>
      <sheetName val="CT_THOÁT_WC_VP"/>
      <sheetName val="CT_CẤP_WC_VP"/>
      <sheetName val="CT_THOÁT_MƯA_VP_TRỤC_LỚN"/>
      <sheetName val="CT_THOÁT_MƯA_VP_TRỤC_NHỎ"/>
      <sheetName val="CFA_(ME)"/>
      <sheetName val="MEP_Building"/>
      <sheetName val="Share_Price_2002"/>
      <sheetName val="LUONG_SCL"/>
      <sheetName val="BOM-13_11-Other(PS1+PS2)"/>
      <sheetName val="Don_gia_XD"/>
      <sheetName val="Dinh_Muc_Vat_Tu"/>
      <sheetName val="mã_"/>
      <sheetName val="Chênh_lệch_máy_thi_công"/>
      <sheetName val="Chênh_lệch_nhân_công"/>
      <sheetName val="Chênh_lệch_vật_liệu"/>
      <sheetName val="Chao_gia_T12_RE"/>
      <sheetName val="Service_Cost_"/>
      <sheetName val="Don_gia_Tay_Ninh"/>
      <sheetName val="Don_gia_Dak_Lak"/>
      <sheetName val="streeta_and_cacth_pit"/>
      <sheetName val="Daf_1"/>
      <sheetName val="rc"/>
      <sheetName val="L-Mechanical"/>
      <sheetName val="Committed Items"/>
      <sheetName val="HT"/>
      <sheetName val="Corner Arch"/>
      <sheetName val="End Arch"/>
      <sheetName val="Intermediate Arch"/>
      <sheetName val="DrgList"/>
      <sheetName val="reinforcement 675"/>
      <sheetName val="SHG"/>
      <sheetName val="ext wall fin qty"/>
      <sheetName val="SL Plum."/>
      <sheetName val="1C2A&amp;3"/>
      <sheetName val="Physical Schedule 3D"/>
      <sheetName val="TPI"/>
      <sheetName val="ELKP"/>
      <sheetName val="harga"/>
      <sheetName val="Tabel Berat"/>
      <sheetName val="DETAILED_P&amp;L"/>
      <sheetName val="REKAP_MEKANIKAL"/>
      <sheetName val="basic"/>
      <sheetName val="Data Umum Penawaran"/>
      <sheetName val="UPAH"/>
      <sheetName val="Real Cost"/>
      <sheetName val="bill qty"/>
      <sheetName val="Peralatan"/>
      <sheetName val="REKAP_ARSITEKTUR."/>
      <sheetName val="RAB.ADMINISTRASI PUSAT (1)"/>
      <sheetName val="dwa-01"/>
      <sheetName val="Umum"/>
      <sheetName val="TJ1Q47"/>
      <sheetName val="BQ-Tenis"/>
      <sheetName val="Arsitektur"/>
      <sheetName val="BOQ_Aula"/>
      <sheetName val="Prelim"/>
      <sheetName val="Rekapitulasi"/>
      <sheetName val="SatDas"/>
      <sheetName val="Div2"/>
      <sheetName val="NAME"/>
      <sheetName val="Hrg Readymix"/>
      <sheetName val="노임이"/>
      <sheetName val="Elemental Breakdown+20%"/>
      <sheetName val="CaiDat"/>
      <sheetName val="CPK"/>
      <sheetName val="PHẦN KIẾN TRÚC"/>
      <sheetName val="DGKL_TRỤC NGOAI NHA"/>
      <sheetName val="Sum ELE  CAP S1-4  "/>
      <sheetName val="PHG"/>
      <sheetName val="Utilities"/>
      <sheetName val="Civil_B1"/>
      <sheetName val="Civil_B4"/>
      <sheetName val="THKP"/>
      <sheetName val="CT_trtreo"/>
      <sheetName val="pphtAV"/>
      <sheetName val="Form"/>
      <sheetName val="Bill 2"/>
      <sheetName val="Bill 3"/>
      <sheetName val="Bill 4a - 1A"/>
      <sheetName val="Bill 4a (Fiber) - 1A"/>
      <sheetName val="Bill 4b"/>
      <sheetName val="Bill 4c"/>
      <sheetName val="Bill 5"/>
      <sheetName val="Bill 4a - 1B"/>
      <sheetName val="Bill 4a (Fiber) - 1B"/>
      <sheetName val="표지"/>
      <sheetName val="직종인원"/>
      <sheetName val="총원dB"/>
      <sheetName val="Bank Rev"/>
      <sheetName val="dlvoid"/>
      <sheetName val="STAX"/>
      <sheetName val="PU_ITALY_23"/>
      <sheetName val="final_list_200523"/>
      <sheetName val="Tro_giup22"/>
      <sheetName val="Labour_Summary14"/>
      <sheetName val="PU_ITALY_24"/>
      <sheetName val="final_list_200524"/>
      <sheetName val="Tro_giup23"/>
      <sheetName val="Labour_Summary15"/>
      <sheetName val="DATAENTRY"/>
      <sheetName val="Merit &amp; Market Grid"/>
      <sheetName val="BP DECLINE IT"/>
      <sheetName val="Input List"/>
      <sheetName val="SYSTEMS"/>
      <sheetName val="DBASE"/>
      <sheetName val="Valid data revised"/>
      <sheetName val="BUDGET"/>
      <sheetName val="EXPENSES"/>
      <sheetName val="DETAIL MIX % REPORT"/>
      <sheetName val="LBO"/>
      <sheetName val="BS-DET"/>
      <sheetName val="Table"/>
      <sheetName val="Fill this out first..."/>
      <sheetName val="BC chi tiết TT"/>
      <sheetName val="seido_BS"/>
      <sheetName val="Cước CG"/>
      <sheetName val="ctiet-KVThanhTri-YUR"/>
      <sheetName val="242_3 summaryOPC"/>
      <sheetName val="afis"/>
      <sheetName val="TAKE-OFF"/>
      <sheetName val="1.1General"/>
      <sheetName val="0.Data"/>
      <sheetName val="0.Data_new"/>
      <sheetName val="WEIGHT"/>
      <sheetName val="Aging Sept"/>
      <sheetName val="Invoice"/>
      <sheetName val="Aging_Sept"/>
      <sheetName val="Overview"/>
      <sheetName val="調整項目マスタ"/>
      <sheetName val="DoanhNghiệp"/>
      <sheetName val="ThôngTin"/>
      <sheetName val="sales current month"/>
      <sheetName val="View Variance"/>
      <sheetName val="CTG-PRECHEx1_4ꀋ"/>
      <sheetName val="Gia giao VL den HT"/>
      <sheetName val="Charts"/>
      <sheetName val="XREF"/>
      <sheetName val="Fixed asset register"/>
      <sheetName val="YTD"/>
      <sheetName val="repeatative rejection"/>
      <sheetName val="ﾃﾞ-ﾀ"/>
      <sheetName val="Dec-18"/>
      <sheetName val="Lists"/>
      <sheetName val="General Info"/>
      <sheetName val="Setup"/>
      <sheetName val="Full PBD"/>
      <sheetName val="BOM"/>
      <sheetName val="Dep"/>
      <sheetName val="Non-Statistical Sampling"/>
      <sheetName val="98FORECAST (1)"/>
      <sheetName val="Sch 18 Bank"/>
      <sheetName val="Stock details"/>
      <sheetName val="Part A General"/>
      <sheetName val="DDT_TDS_TCS"/>
      <sheetName val="FRINGE_BENEFIT_INFO"/>
      <sheetName val="OTHER_INFORMATION"/>
      <sheetName val="GENERAL2"/>
      <sheetName val="80G"/>
      <sheetName val="QUANTITATIVE_DETAILS"/>
      <sheetName val="IT_FBT_DDTP"/>
      <sheetName val="PART_C"/>
      <sheetName val=" "/>
      <sheetName val="行动跟踪"/>
      <sheetName val="De11A"/>
      <sheetName val="6. Scope of work "/>
      <sheetName val="4.6 Phân tích nhân sự "/>
      <sheetName val="4.5 Mức độ tham gia dự án"/>
      <sheetName val="RAB_AR&amp;STR10"/>
      <sheetName val="chi_tiet_TBA10"/>
      <sheetName val="chi_tiet_C10"/>
      <sheetName val="TH_DZ3512"/>
      <sheetName val="Customize_Your_Purchase_Order10"/>
      <sheetName val="Don_gia10"/>
      <sheetName val="DON_GIA_TRAM_(3)10"/>
      <sheetName val="DON_GIA_CAN_THO12"/>
      <sheetName val="7606_DZ10"/>
      <sheetName val="CHITIET_VL-NC-TT_-1p10"/>
      <sheetName val="CHITIET_VL-NC-TT-3p9"/>
      <sheetName val="TONG_HOP_VL-NC_TT10"/>
      <sheetName val="KPVC-BD_10"/>
      <sheetName val="Don_gia_chi_tiet10"/>
      <sheetName val="HĐ_ngoài9"/>
      <sheetName val="XT_Buoc_39"/>
      <sheetName val="dongia_(2)9"/>
      <sheetName val="S-curve_9"/>
      <sheetName val="So_doi_chieu_LC9"/>
      <sheetName val="Adix_A9"/>
      <sheetName val="project_management9"/>
      <sheetName val="MAIN_GATE_HOUSE9"/>
      <sheetName val="REINF_9"/>
      <sheetName val="Rates_20099"/>
      <sheetName val="Commercial_value9"/>
      <sheetName val="MH_RATE9"/>
      <sheetName val="Ky_Lam_Bridge9"/>
      <sheetName val="Provisional_Sums_Item9"/>
      <sheetName val="Gas_Pressure_Welding9"/>
      <sheetName val="General_Item&amp;General_Requireme9"/>
      <sheetName val="General_Items9"/>
      <sheetName val="Regenral_Requirements9"/>
      <sheetName val="TONG_HOP_VL-NC9"/>
      <sheetName val="Du_toan9"/>
      <sheetName val="chiet_tinh9"/>
      <sheetName val="Ng_hàng_xà+bulong9"/>
      <sheetName val="CT_vat_lieu9"/>
      <sheetName val="Bang_KL9"/>
      <sheetName val="Lcau_-_Lxuc9"/>
      <sheetName val="Đầu_vào8"/>
      <sheetName val="Equip_8"/>
      <sheetName val="A1_CN8"/>
      <sheetName val="DG_thep_ma_kem9"/>
      <sheetName val="DM_60619"/>
      <sheetName val="Trạm_biến_áp8"/>
      <sheetName val="Đơn_Giá_8"/>
      <sheetName val="Chenh_lech_vat_tu8"/>
      <sheetName val="Diện_tích8"/>
      <sheetName val="1_Khái_toán8"/>
      <sheetName val="TONG_HOP_T5_19988"/>
      <sheetName val="Chi_tiet_XD_TBA8"/>
      <sheetName val="DG_DZ9"/>
      <sheetName val="DG_TBA9"/>
      <sheetName val="CT-0_4KV8"/>
      <sheetName val="Data_Input9"/>
      <sheetName val="KL_Chi_tiết_Xây_tô8"/>
      <sheetName val="rate_material8"/>
      <sheetName val="04_-_XUONG_DET_B8"/>
      <sheetName val="Chi_tiet_KL8"/>
      <sheetName val="Tổng_hợp_KL8"/>
      <sheetName val="Bill_1_Quy_dinh_chung8"/>
      <sheetName val="1_R18_BF8"/>
      <sheetName val="6_External_works-R188"/>
      <sheetName val="07Base_Cost8"/>
      <sheetName val="_038"/>
      <sheetName val="chieu_day_san8"/>
      <sheetName val="Podium_Concrete_Works8"/>
      <sheetName val="KLCT-_TOWER8"/>
      <sheetName val="KLCT-_PODIUM8"/>
      <sheetName val="Gia_thanh_chuoi_su8"/>
      <sheetName val="Tiep_dia8"/>
      <sheetName val="Don_gia_vung_III-Can_Tho8"/>
      <sheetName val="HÐ_ngoài9"/>
      <sheetName val="6PILE__(돌출)8"/>
      <sheetName val="DETAIL_8"/>
      <sheetName val="EIRR&gt;_28"/>
      <sheetName val="Phan_khai_KLuong8"/>
      <sheetName val="Project_Data8"/>
      <sheetName val="Area_Cal8"/>
      <sheetName val="Elect_(3)8"/>
      <sheetName val="plan&amp;section_of_foundation8"/>
      <sheetName val="design_criteria8"/>
      <sheetName val="Bond_수수료_계산_포맷8"/>
      <sheetName val="ITB_COST8"/>
      <sheetName val="PAGE_18"/>
      <sheetName val="DM_678"/>
      <sheetName val="Xay_lapduongR38"/>
      <sheetName val="Đầu_tư8"/>
      <sheetName val="6787CWFASE2CASE2_00_xls8"/>
      <sheetName val="Bill_02_-_Xay_gach-Pou_8"/>
      <sheetName val="Bill_03-Chống_thấm-Pou8"/>
      <sheetName val="Bill_04-Kim_loại-Pou8"/>
      <sheetName val="Bill_05_-_Hoan_thien-Pou_8"/>
      <sheetName val="Bill_02_-_Xay_gach-Tower8"/>
      <sheetName val="Bill_03-Chống_thấm-Tower8"/>
      <sheetName val="Bill_04-Kim_loại-Tower8"/>
      <sheetName val="Bill_05_-_Hoan_thien-Tower8"/>
      <sheetName val="KL-_KHAC8"/>
      <sheetName val="BILL_3_-_KẾT_CẤU_HẦM8"/>
      <sheetName val="PTĐG_LTBT8"/>
      <sheetName val="CTG-PRECHEx1_48"/>
      <sheetName val="CTG-AB_(2)8"/>
      <sheetName val="CTG-AB_(3)8"/>
      <sheetName val="CTG-PLP-1_088"/>
      <sheetName val="Pre_Đội_nhóm8"/>
      <sheetName val="Vat_tu_XD8"/>
      <sheetName val="Tower_-_Concrete_Works8"/>
      <sheetName val="Bill-04_ket_cau_thap-_UNI8"/>
      <sheetName val="Loại_Vật_tư8"/>
      <sheetName val="TH_Vat_tu8"/>
      <sheetName val="dg_tphcm8"/>
      <sheetName val="T_KÊ_K_CẤU8"/>
      <sheetName val="Bill_01_-_CTN8"/>
      <sheetName val="Bill_2_2_Villa_2_beds8"/>
      <sheetName val="4_PTDG8"/>
      <sheetName val="A1,_May8"/>
      <sheetName val="Vat_lieu8"/>
      <sheetName val="Bang_trong_luong_rieng_thep8"/>
      <sheetName val="gia_cong_tac8"/>
      <sheetName val="Measure_13068"/>
      <sheetName val="CẤP_THOÁT_NƯỚC8"/>
      <sheetName val="Cước_VC_+_ĐM_CP_Tư_vấn8"/>
      <sheetName val="Hệ_số8"/>
      <sheetName val="THDT_goi_thau_TB8"/>
      <sheetName val="Tien_do_TV8"/>
      <sheetName val="Harga_ME_8"/>
      <sheetName val="Analisa_Gabungan8"/>
      <sheetName val="ESTI_8"/>
      <sheetName val="KL_san_lap8"/>
      <sheetName val="GV1-D13_(Casement_door)8"/>
      <sheetName val="Isolasi_Luar_Dalam8"/>
      <sheetName val="Isolasi_Luar8"/>
      <sheetName val="bridge_#_18"/>
      <sheetName val="DATA_BASE8"/>
      <sheetName val="Equipment_list_(PAC)8"/>
      <sheetName val="TH_MTC8"/>
      <sheetName val="TH_N_Cong8"/>
      <sheetName val="_Bill_5-Earthing_2_-_Add_Works8"/>
      <sheetName val="LV_data8"/>
      <sheetName val="Gia_vat_tu8"/>
      <sheetName val="Buy_vs__Lease_Car8"/>
      <sheetName val="TINH_KHOI_LUONG8"/>
      <sheetName val="Chenh_lech_ca_may8"/>
      <sheetName val="TLg_CN&amp;Laixe8"/>
      <sheetName val="TLg_CN&amp;Laixe_(2)8"/>
      <sheetName val="TLg_Laitau8"/>
      <sheetName val="TLg_Laitau_(2)8"/>
      <sheetName val="Chi_tiet8"/>
      <sheetName val="NHÀ_NHẬP_LIỆU7"/>
      <sheetName val="MÓNG_SILO7"/>
      <sheetName val="CTKL_KTX_HT7"/>
      <sheetName val="HVAC_BLOCK_B48"/>
      <sheetName val="KHOI_LUONG8"/>
      <sheetName val="13-Cốt_thép_(10mm&lt;D≤18mm)_FO167"/>
      <sheetName val="du_lieu_du_toan7"/>
      <sheetName val="Bang_3_Chi_tiet_phan_Dz8"/>
      <sheetName val="BẢNG_KHỐI_LƯỢNG_TỔNG_HỢP7"/>
      <sheetName val="CP_Khac_cuoc_VC7"/>
      <sheetName val="Budget_Code7"/>
      <sheetName val="2_Chiet_tinh7"/>
      <sheetName val="subcon_sched8"/>
      <sheetName val="PRE_(E)8"/>
      <sheetName val="D_&amp;_W_sizes7"/>
      <sheetName val="Purchase_Order7"/>
      <sheetName val="Tong_du_toan7"/>
      <sheetName val="Bill_2_-_ketcau7"/>
      <sheetName val="Chi_tiet_lan_can7"/>
      <sheetName val="BOQ_THAN7"/>
      <sheetName val="DL_ĐẦU_VÀO7"/>
      <sheetName val="Analisa_&amp;_Upah7"/>
      <sheetName val="Du_lieu8"/>
      <sheetName val="Phan_tich7"/>
      <sheetName val="Luong_NII7"/>
      <sheetName val="DINH_MUC_THI_NGHIEM7"/>
      <sheetName val="Luong_NI7"/>
      <sheetName val="CT_Thang_Mo7"/>
      <sheetName val="CT__PL7"/>
      <sheetName val="dongia__2_7"/>
      <sheetName val="Thép_CKN7"/>
      <sheetName val="GOC-KO_IN7"/>
      <sheetName val="wk_prgs5"/>
      <sheetName val="cash_budget7"/>
      <sheetName val="Don_gia_(khong_in)7"/>
      <sheetName val="DK1_Don_gia7"/>
      <sheetName val="Ma_don_vi5"/>
      <sheetName val="bang_cc5"/>
      <sheetName val="MAU_8A7"/>
      <sheetName val="MAU_8B7"/>
      <sheetName val="MAU_97"/>
      <sheetName val="MAU_107"/>
      <sheetName val="sochitiettaikhoan_7"/>
      <sheetName val="Share_price_data7"/>
      <sheetName val="19_37"/>
      <sheetName val="20_37"/>
      <sheetName val="Chieu_4_37"/>
      <sheetName val="Cow_req7"/>
      <sheetName val="TỔNG_HỢP7"/>
      <sheetName val="14-LẦN_3-CHIỀU7"/>
      <sheetName val="14-LẦN_1-SÁNG7"/>
      <sheetName val="14-LẦN_2-TRƯA7"/>
      <sheetName val="1_3+1_4-TOTAL_-_Ko_IN7"/>
      <sheetName val="2_1-LẦN_3-CHIỀU7"/>
      <sheetName val="2_1-LẦN_1-SÁNG7"/>
      <sheetName val="2_1-LẦN_2-TRƯA7"/>
      <sheetName val="2_1-TOTAL-Ko_IN7"/>
      <sheetName val="1_3(TMR_4)7"/>
      <sheetName val="CHO_DE7"/>
      <sheetName val="1_1+1_2+2_2+2_3(TMR_3)7"/>
      <sheetName val="CK1+CK2_(VS_SAN_CHOI_23)7"/>
      <sheetName val="CK1+CK2_(2)7"/>
      <sheetName val="12-16_THÁNG7"/>
      <sheetName val="CAN_SỮA7"/>
      <sheetName val="54+55+56(SAU_CAI_SỮA-6)7"/>
      <sheetName val="BÊ_71-90_NGÀY7"/>
      <sheetName val="BÊ_12-16_tháng7"/>
      <sheetName val="BÊ_6-127"/>
      <sheetName val="BÊ_1-37"/>
      <sheetName val="F01-BC_KHAU_PHAN_SANG_20_37"/>
      <sheetName val="F01-BC_KHAU_PHAN_CHIEU_19_37"/>
      <sheetName val="dinh_mưc_cty7"/>
      <sheetName val="Giá_thành7"/>
      <sheetName val="Thong_ke7"/>
      <sheetName val="Energy_for_milk_prod7"/>
      <sheetName val="DE_NGHI_XUAT_7"/>
      <sheetName val="phieu_xuat_mau7"/>
      <sheetName val="PHIEU_XUAT_CHIEU7"/>
      <sheetName val="11_rai_them_cỏ7"/>
      <sheetName val="PHU_LUC_02-_HDSD_CAC_BIEU_MAU7"/>
      <sheetName val="PhU_LUC_01-_MA_CAC_NHOM_BO7"/>
      <sheetName val="F03-BC_THUC_TRON_SANG_20_37"/>
      <sheetName val="F03-BC_THUC_TRON_CHIEU_19_37"/>
      <sheetName val="F02-BC_THEO_DOI_THUC_AN_DU7"/>
      <sheetName val="Tham_khao-_Bao_cao_xuat_thuc_a7"/>
      <sheetName val="Dlieu_dau_vao7"/>
      <sheetName val="Nhap_VT_oto5"/>
      <sheetName val="dm_3665"/>
      <sheetName val="DM_60605"/>
      <sheetName val="TB_NẶNG5"/>
      <sheetName val="Du_tru_CP-Bieu_015"/>
      <sheetName val="Dự_thầu5"/>
      <sheetName val="BANCO_(2)7"/>
      <sheetName val="MT_DPin_(2)7"/>
      <sheetName val="02__PTDG7"/>
      <sheetName val="Chiết_tính7"/>
      <sheetName val="Income_Statement7"/>
      <sheetName val="Shareholders'_Equity7"/>
      <sheetName val="VC_xd5"/>
      <sheetName val="Gia_VLTB5"/>
      <sheetName val="B_Luong5"/>
      <sheetName val="C_May5"/>
      <sheetName val="1_MONG_1-27"/>
      <sheetName val="Hao_phí5"/>
      <sheetName val="AG_Pipe_Qty_Analysis5"/>
      <sheetName val="Chi_tiet_-tong_9_thang4"/>
      <sheetName val="Don_gia_chi_tiet_DIEN_24"/>
      <sheetName val="TH_TN5"/>
      <sheetName val="Bill_No_3_-_Prov__Sum_(Ph2&amp;3)5"/>
      <sheetName val="TK_chi_tiet5"/>
      <sheetName val="Bill_2-Road_HR25"/>
      <sheetName val="Bill_3_-_Softscape_HR25"/>
      <sheetName val="Ｎｏ_135"/>
      <sheetName val="DGchitiet_5"/>
      <sheetName val="Tổng_GT5"/>
      <sheetName val="Chi_tiết_KL5"/>
      <sheetName val="ca_máy5"/>
      <sheetName val="khấu_trừ_phạt5"/>
      <sheetName val="GT__KHAU_TRU5"/>
      <sheetName val="HAO_HUT_VAT_TU_(2)5"/>
      <sheetName val="cao_độ5"/>
      <sheetName val="THEP_TAM5"/>
      <sheetName val="THEP_HÌNH5"/>
      <sheetName val="THEP_HINH5"/>
      <sheetName val="XA_GO5"/>
      <sheetName val="BANG_TRA5"/>
      <sheetName val="2_1Warehouse_15"/>
      <sheetName val="đọc_số5"/>
      <sheetName val="Data_Wall5"/>
      <sheetName val="CĂN_HỘ_T16-17_5"/>
      <sheetName val="TRỤC_ĐỨNG_THOÁT_BẨN_T15-175"/>
      <sheetName val="TRỤC_ĐỨNG_TM_T15-175"/>
      <sheetName val="CP_HMC5"/>
      <sheetName val="Structure_data5"/>
      <sheetName val="CP_Du_phong5"/>
      <sheetName val="THCP_Lap_dat5"/>
      <sheetName val="THCP_xay_dung5"/>
      <sheetName val="Tong_hop_kinh_phi5"/>
      <sheetName val="HỆ_THỐNG_PHÒNG_CHÁY_CHỮA_CHÁY5"/>
      <sheetName val="HỆ_THỐNG_CẤP_THOÁT_NƯỚC5"/>
      <sheetName val="HỆ_THỐNG_ĐHKK5"/>
      <sheetName val="MÁY_PHÁT_ĐIỆN5"/>
      <sheetName val="HỆ_THỐNG_ĐIỆN5"/>
      <sheetName val="Thiết_bị_chính5"/>
      <sheetName val="CHI_PHI5"/>
      <sheetName val="DG_14264"/>
      <sheetName val="Main_Bldg-Rev025"/>
      <sheetName val="D&amp;W_def_5"/>
      <sheetName val="Nhan_cong5"/>
      <sheetName val="Thiet_bi5"/>
      <sheetName val="Vat_tu5"/>
      <sheetName val="DM_ChiPhi5"/>
      <sheetName val="May_TC5"/>
      <sheetName val="TH_Kinh_phi5"/>
      <sheetName val="Ptvl_5"/>
      <sheetName val="Móng,_nền_5"/>
      <sheetName val="Chi_tiet_cong_no5"/>
      <sheetName val="PHÁT_SINH_TẦNG_1_5"/>
      <sheetName val="PHÁT_SINH_TẦNG_25"/>
      <sheetName val="Hầm_chuyển_psinh5"/>
      <sheetName val="Ống_thẳng5"/>
      <sheetName val="Côn_thu5"/>
      <sheetName val="Vuông_tròn5"/>
      <sheetName val="Chân_rẽ5"/>
      <sheetName val="Chạc_ba5"/>
      <sheetName val="1_Requisition(E)5"/>
      <sheetName val="Dự_toán5"/>
      <sheetName val="Đơn_Giá_TH5"/>
      <sheetName val="Nhân_công5"/>
      <sheetName val="Phân_tích5"/>
      <sheetName val="C_P_Thiết_bị5"/>
      <sheetName val="T_H_Kinh_phí5"/>
      <sheetName val="Vật_tư5"/>
      <sheetName val="Trang_bìa5"/>
      <sheetName val="gui_BKCT4"/>
      <sheetName val="1_2_Staff_Schedule4"/>
      <sheetName val="TONG_HOP5"/>
      <sheetName val="phan_tic_chi_tiet5"/>
      <sheetName val="BẢNG_ÁP_GIÁ_(in)4"/>
      <sheetName val="NT_(KL)_IN4"/>
      <sheetName val="DOM_D24"/>
      <sheetName val="nhà_ăn4"/>
      <sheetName val="Công_nhật4"/>
      <sheetName val="btkt_cột4"/>
      <sheetName val="Precios_unitarios_AXH4"/>
      <sheetName val="0__Input4"/>
      <sheetName val="Theo_doi_Doanh_thu_20174"/>
      <sheetName val="3__CNT4"/>
      <sheetName val="unit_price_list(M)4"/>
      <sheetName val="TLG_Type4"/>
      <sheetName val="TH_VL,_NC,_DDHT_Thanhphuoc4"/>
      <sheetName val="Gia_vat_lieu4"/>
      <sheetName val="Bê_tông_bảo_vệ4"/>
      <sheetName val="01__Data4"/>
      <sheetName val="Neo,_nối_cốt_thép_dầm,_cột4"/>
      <sheetName val="Uốn_móc_cốt_thép4"/>
      <sheetName val="Tiêu_chuẩn_cốt_thép4"/>
      <sheetName val="KL_THEP__GIAM_DO_DUNG_COUPLER4"/>
      <sheetName val="01_KL_THÉP_NHẬP_VỀ4"/>
      <sheetName val="2__NT_VLDV4"/>
      <sheetName val="GHI_CHU4"/>
      <sheetName val="1_BB_LMHT4"/>
      <sheetName val="So_lieu_chung4"/>
      <sheetName val="Bill_Prelim-CDT4"/>
      <sheetName val="Bill_BPTC-CDT4"/>
      <sheetName val="Chi_tiết_BPTC4"/>
      <sheetName val="Bill_BPTC-CDT_(PA_MCT_CDT)4"/>
      <sheetName val="Chi_tiết_BPTC_(PA_MCT_CDT)4"/>
      <sheetName val="1__Office4"/>
      <sheetName val="Doi_so4"/>
      <sheetName val="MTO_REV_2(ARMOR)4"/>
      <sheetName val="DANH_MỤC_HỒ_SƠ4"/>
      <sheetName val="GT_PHÁT_SINH_NGOÀI_HĐ4"/>
      <sheetName val="KL_PHÁT_SINH_4"/>
      <sheetName val="PS_NGOÀI_HĐ4"/>
      <sheetName val="GT_PHÁT_SINH_VƯỢT_HĐ4"/>
      <sheetName val="PS_TĂNG_GIẢM_TRONG_HĐ4"/>
      <sheetName val="DGCT_PHÁT_SINH4"/>
      <sheetName val="DGCT_TRẦN_NLV4"/>
      <sheetName val="DGKL_chi_tiết_NLV4"/>
      <sheetName val="DGKL_chi_tiết_NHN,NK4"/>
      <sheetName val="TG_KL4"/>
      <sheetName val="DGCT_SƠN_BẢ_TƯỜNG_NLV4"/>
      <sheetName val="DGKL_TRẦN_NHN4"/>
      <sheetName val="KHOI_LUONG15-44"/>
      <sheetName val="DM-VNT_ko_sd4"/>
      <sheetName val="Dgia_vat_tu4"/>
      <sheetName val="Don_gia_III4"/>
      <sheetName val="D÷_liÖu4"/>
      <sheetName val="B3A_-_TOWER_A4"/>
      <sheetName val="Annex_B4"/>
      <sheetName val="1_Civil_(Org)4"/>
      <sheetName val="Cotthep_NPT4"/>
      <sheetName val="vl_nc_mtc4"/>
      <sheetName val="Bảng_đo_bóc_KL_OLK-094"/>
      <sheetName val="6_3_CHI_TIET_OLK-094"/>
      <sheetName val="KL_thep_lam_sat4"/>
      <sheetName val="HRG_BHN4"/>
      <sheetName val="CĂN_ĐH4"/>
      <sheetName val="Tien_Thuong4"/>
      <sheetName val="NC_XL_6T_cuoi_01_CTy4"/>
      <sheetName val="Data_-6T_dau4"/>
      <sheetName val="Cong_6T4"/>
      <sheetName val="1_San_4"/>
      <sheetName val="Tong_hop_vat_tu4"/>
      <sheetName val="Dot_44"/>
      <sheetName val="Q_A01_2-Sh4"/>
      <sheetName val="DM_336cai_tao4"/>
      <sheetName val="Thop_Ksat4"/>
      <sheetName val="Thu_hoi_4"/>
      <sheetName val="HM_chung4"/>
      <sheetName val="CP_xd-thiet_bi4"/>
      <sheetName val="TH-TN_LD_TB4"/>
      <sheetName val="CP_xaydung4"/>
      <sheetName val="Thao_ha_phu_kien4"/>
      <sheetName val="VL-NC-MTC_ket_cau4"/>
      <sheetName val="KHOI_LUONG_TONG4"/>
      <sheetName val="TK_22KV4"/>
      <sheetName val="DM_366-17774"/>
      <sheetName val="Thi_nhiem4"/>
      <sheetName val="Gia_goc_VT-TB4"/>
      <sheetName val="Gia_vc_den_chan_CT4"/>
      <sheetName val="culy_224"/>
      <sheetName val="Luong_20504"/>
      <sheetName val="ca_may_QN4"/>
      <sheetName val="TNHC1246_4"/>
      <sheetName val="Ca_may_TT06_20104"/>
      <sheetName val="Don_gia_VLXD_dia_phuong4"/>
      <sheetName val="Bang_luong_SCL4"/>
      <sheetName val="Dinh_muc_TN14264"/>
      <sheetName val="TH_các_CC4"/>
      <sheetName val="Chi_phi_van_chuyen4"/>
      <sheetName val="Dinh_muc3"/>
      <sheetName val="2_CDPS4"/>
      <sheetName val="B-2__(DPP)4"/>
      <sheetName val="Div26_-_Elect4"/>
      <sheetName val="Heso_DZ4"/>
      <sheetName val="DG_BINH_THUAN4"/>
      <sheetName val="7_Khau_tru_4"/>
      <sheetName val="4_CĂN4"/>
      <sheetName val="DT_hợp_đồng3"/>
      <sheetName val="Bảng_KL_đợt_13"/>
      <sheetName val="Bieu_gia_HD3"/>
      <sheetName val="So_sanh3"/>
      <sheetName val="Huong_dan3"/>
      <sheetName val="Danh_mục3"/>
      <sheetName val="Summary_Sheet3"/>
      <sheetName val="Finishing-Tower_A3"/>
      <sheetName val="Finishing-Tower_B3"/>
      <sheetName val="Finishing-Tower_C3"/>
      <sheetName val="Finishing-Tower_D3"/>
      <sheetName val="MEP-Tower_A3"/>
      <sheetName val="MEP-Tower_B3"/>
      <sheetName val="MEP-Tower_C3"/>
      <sheetName val="MEP-Tower_D3"/>
      <sheetName val="Cost_Report_Sum3"/>
      <sheetName val="Detail_Cost_Sum3"/>
      <sheetName val="RVO-VO_Sum3"/>
      <sheetName val="Potential_VOs_Sum3"/>
      <sheetName val="Cash_Flow_Sum3"/>
      <sheetName val="CAP_NUOC3"/>
      <sheetName val="cấp_nước_trục_nhà_vs3"/>
      <sheetName val="THOAT_NUOC3"/>
      <sheetName val="THOAT_MUA3"/>
      <sheetName val="Cáp_phòng3"/>
      <sheetName val="TMC_ĐIỆN_Phi3"/>
      <sheetName val="TMC_Tổng3"/>
      <sheetName val="TH_Đèn_Phòng_L13"/>
      <sheetName val="TH_Đèn_Hầm_L13"/>
      <sheetName val="TỦ_MODULE_T13"/>
      <sheetName val="Financ__Overview3"/>
      <sheetName val="Don_gia_NC4"/>
      <sheetName val="gia_vt,nc,may3"/>
      <sheetName val="TINH_GIA_-_SAN_XUAT_Vertico3"/>
      <sheetName val="EQUIP_LIST3"/>
      <sheetName val="DZ_22KV3"/>
      <sheetName val="13_BANG_CT3"/>
      <sheetName val="14_MMUS_GIUA_NHIP3"/>
      <sheetName val="4_HSPBngang3"/>
      <sheetName val="6_Tinh_tai3"/>
      <sheetName val="2_NSl3"/>
      <sheetName val="17_US_CHU_tho_a_b3"/>
      <sheetName val="15_MMUS_GOI3"/>
      <sheetName val="BTK-Dai_Hoc_Kien_Giang3"/>
      <sheetName val="PV_Graph_Data3"/>
      <sheetName val="doanh_thu3"/>
      <sheetName val="Dutoan_KL3"/>
      <sheetName val="BU_LONG3"/>
      <sheetName val="5_2_1_Đo_bóc_KL_OLK-063"/>
      <sheetName val="Tổng_hợp_KPHM3"/>
      <sheetName val="GIÁ_DỰ_THẦU_30_CĂN3"/>
      <sheetName val="Kê_0,43"/>
      <sheetName val="TH_0,43"/>
      <sheetName val="Kê_223"/>
      <sheetName val="TH_223"/>
      <sheetName val="TBA_CAI_TAO3"/>
      <sheetName val="TBA_XDM3"/>
      <sheetName val="TONG_HOP_DU_TOAN3"/>
      <sheetName val="Thop_XAY_DUNG3"/>
      <sheetName val="CP_HANG_MUC_CHUNG3"/>
      <sheetName val="CHI_PHI_XD3"/>
      <sheetName val="CHI_PHI_THI_NGHIEM3"/>
      <sheetName val="VLDIEN_223"/>
      <sheetName val="Dao_dat3"/>
      <sheetName val="TH_Denbu3"/>
      <sheetName val="Do_ve_DC3"/>
      <sheetName val="TH_Bommin3"/>
      <sheetName val="CHI_PHI_THI_NGHIEM-LD_thiet_bi3"/>
      <sheetName val="Luong_TT013"/>
      <sheetName val="Camay_QB3"/>
      <sheetName val="gia_ca_may_BXD3"/>
      <sheetName val="BANG_LUONG_KY_SU3"/>
      <sheetName val="Bang_luong_NHOM_I3"/>
      <sheetName val="Bangluong_NHOM_II_3"/>
      <sheetName val="09-GIA_nhien_lieu-ko_in3"/>
      <sheetName val="Tinh_V_cot_chiem_cho3"/>
      <sheetName val="ĐM_13543"/>
      <sheetName val="KHOAN_MAU3"/>
      <sheetName val="ĐO_ĐỊA_VẬT_LÝ3"/>
      <sheetName val="khoan_tiep_dia3"/>
      <sheetName val="MB_DT_023"/>
      <sheetName val="KS_tuyen3"/>
      <sheetName val="Bang_chiet_tinh_TBA3"/>
      <sheetName val="HERD_MOVEMENTFARM15"/>
      <sheetName val="HERD_MOVEMENTFARM25"/>
      <sheetName val="CALVES_2-45"/>
      <sheetName val="Cavles_2-45"/>
      <sheetName val="CALVES_4-75"/>
      <sheetName val="HEIFER_7-12m5"/>
      <sheetName val="HEIFER_12+5"/>
      <sheetName val="FRESH_COW_2017-185"/>
      <sheetName val="HP_COW_20185"/>
      <sheetName val="LP_COW_2017-185"/>
      <sheetName val="DRY_COW5"/>
      <sheetName val="FIELD_CROPS5"/>
      <sheetName val="DG_Chi_tiet3"/>
      <sheetName val="_1710_HOINGHINLD3"/>
      <sheetName val="99_(2)3"/>
      <sheetName val="134_3"/>
      <sheetName val="DG_49703"/>
      <sheetName val="Electrical_Works3"/>
      <sheetName val="H_T__INCOMING_SYSTEM3"/>
      <sheetName val="THONG_SO3"/>
      <sheetName val="Đơn_giá_chi_tiết_TN_393"/>
      <sheetName val="DT__NHA_XUONG3"/>
      <sheetName val="4_2_1_Đo_bóc_KL_OLK-063"/>
      <sheetName val="4_1_1_CHI_TIET_OLK-063"/>
      <sheetName val="Gia_VT-TB3"/>
      <sheetName val="noi_suy_xa3"/>
      <sheetName val="noi_suy_xa_thu_hoi3"/>
      <sheetName val="Cash_Flow3"/>
      <sheetName val="Thuyết_minh3"/>
      <sheetName val="Đơn_giá_máy3"/>
      <sheetName val="Tính_giá_NC3"/>
      <sheetName val="SL_cước3"/>
      <sheetName val="¥_3"/>
      <sheetName val="Tong_DT2"/>
      <sheetName val="phan_tich_don_gia2"/>
      <sheetName val="Bán_đợt_1_trang2"/>
      <sheetName val="Tien_Luong2"/>
      <sheetName val="Bill_No_1_63"/>
      <sheetName val="Bill_No_1_103"/>
      <sheetName val="Bill_No_3_33"/>
      <sheetName val="Bill_No_1_43"/>
      <sheetName val="Bill_No_1_73"/>
      <sheetName val="Summary_Bill_No__33"/>
      <sheetName val="Unit_price2"/>
      <sheetName val="3__KC_-_PODIUM2"/>
      <sheetName val="Chiet_tinh_dz352"/>
      <sheetName val="Bù_giá_CM2"/>
      <sheetName val="Cost_List2"/>
      <sheetName val="Detail_Cost2"/>
      <sheetName val="IC_Price_New2"/>
      <sheetName val="Summary_Table2"/>
      <sheetName val="Sales_Person2"/>
      <sheetName val="Bidding_Entity2"/>
      <sheetName val="Luong_BN1"/>
      <sheetName val="Luong_TB1"/>
      <sheetName val="Ca_may_TB1"/>
      <sheetName val="Ca_máy_BN1"/>
      <sheetName val="Vật_liệu1"/>
      <sheetName val="LX_-TT051"/>
      <sheetName val="NC_Moi_TT051"/>
      <sheetName val="CHITIET_VL-NCHT1_(2)2"/>
      <sheetName val="don_gia_14261"/>
      <sheetName val="Phu_Bai_Bridge1"/>
      <sheetName val="Cau_tao_gia_xay_to1"/>
      <sheetName val="SGC_RATE1"/>
      <sheetName val="DM_DU_AN1"/>
      <sheetName val="DM_TP_1"/>
      <sheetName val="File_Chi_tiet1"/>
      <sheetName val="w't_table1"/>
      <sheetName val="Khai_toan1"/>
      <sheetName val="Phu_luc_01_1_EPC_P11-141"/>
      <sheetName val="TDT_P11-P141"/>
      <sheetName val="Chi_phi_khac_1"/>
      <sheetName val="Hang_muc_Chung1"/>
      <sheetName val="Bia_Phu_Luc1"/>
      <sheetName val="DATA_1_CHUNG1"/>
      <sheetName val="Muc_luc1"/>
      <sheetName val="Tra_cuu_9571"/>
      <sheetName val="Tru_TT1"/>
      <sheetName val="Thg_041"/>
      <sheetName val="Thg_051"/>
      <sheetName val="Thg_061"/>
      <sheetName val="Thg_071"/>
      <sheetName val="Thg_081"/>
      <sheetName val="Thg_091"/>
      <sheetName val="Thg_101"/>
      <sheetName val="Thg_111"/>
      <sheetName val="Thg_121"/>
      <sheetName val="5_2_1_Đo_bóc_KL_OLK-101"/>
      <sheetName val="DT_san_XD-So_lieu_cu1"/>
      <sheetName val="FF-2_(1)1"/>
      <sheetName val="YTD_12'20031"/>
      <sheetName val="YTD_06'20031"/>
      <sheetName val="YTD_03'20031"/>
      <sheetName val="YTD_09'20031"/>
      <sheetName val="deferred_taxes1"/>
      <sheetName val="Eqpmnt_Plng1"/>
      <sheetName val="TRIAL_BALANCE1"/>
      <sheetName val="DPR_31st_march1"/>
      <sheetName val="current_month1"/>
      <sheetName val="Blng__Vs_Coll_1"/>
      <sheetName val="THPDMoi__(2)1"/>
      <sheetName val="t-h_HA_THE1"/>
      <sheetName val="TH_XL1"/>
      <sheetName val="CHITIET_VL-NC1"/>
      <sheetName val="Chu_dau_tu1"/>
      <sheetName val="Bia_lot1"/>
      <sheetName val="THÔNG_TIN1"/>
      <sheetName val="Probbl_-_Production1"/>
      <sheetName val="BẢNG_DIỄN_GIẢI_KL_(7)1"/>
      <sheetName val="Danh_mục_khối1"/>
      <sheetName val="Danh_mục_đơn_vị_-phòng_chức_nă1"/>
      <sheetName val="Currency_Rate1"/>
      <sheetName val="Dashboard_-_BQL_-_VHL1"/>
      <sheetName val="Dinh_Muc_Vat_Tu1"/>
      <sheetName val="mã_1"/>
      <sheetName val="CHI_PHÍ_NHÔM1"/>
      <sheetName val="BILL_34Āᐁë1"/>
      <sheetName val="2__BBNT_KLHT1"/>
      <sheetName val="KEILA_TP_2020-071"/>
      <sheetName val="CFA_(ME)1"/>
      <sheetName val="MEP_Building1"/>
      <sheetName val="CHITIET_VL-NC-TT1p1"/>
      <sheetName val="LUONG_SCL1"/>
      <sheetName val="TH_khoi_luong1"/>
      <sheetName val="Chi_tiet_khoi_luong1"/>
      <sheetName val="TK_thep1"/>
      <sheetName val="CT_THOÁT_WC_VP1"/>
      <sheetName val="CT_CẤP_WC_VP1"/>
      <sheetName val="CT_THOÁT_MƯA_VP_TRỤC_LỚN1"/>
      <sheetName val="CT_THOÁT_MƯA_VP_TRỤC_NHỎ1"/>
      <sheetName val="BOM-13_11-Other(PS1+PS2)1"/>
      <sheetName val="CONSOIDATE 4"/>
      <sheetName val="CONSOIDATE 2"/>
      <sheetName val="1CT-CAUTHANG-TT-T13(TRIU)&lt;16&gt;16"/>
      <sheetName val="3,CT-CAUTHANG-T23-24&gt;50"/>
      <sheetName val="공사개요-C"/>
      <sheetName val="PTdam"/>
      <sheetName val="CAU"/>
      <sheetName val="DT_san_XD-So_lieu_cu2"/>
      <sheetName val="Tiên_lượng3"/>
      <sheetName val="FF-2_(1)2"/>
      <sheetName val="YTD_12'20032"/>
      <sheetName val="YTD_06'20032"/>
      <sheetName val="YTD_03'20032"/>
      <sheetName val="YTD_09'20032"/>
      <sheetName val="deferred_taxes2"/>
      <sheetName val="Eqpmnt_Plng2"/>
      <sheetName val="TRIAL_BALANCE2"/>
      <sheetName val="DPR_31st_march2"/>
      <sheetName val="current_month2"/>
      <sheetName val="Blng__Vs_Coll_2"/>
      <sheetName val="CTDZ6kv_(gd1)_2"/>
      <sheetName val="CTDZ_0_4+cto_(GD1)2"/>
      <sheetName val="CTTBA_(gd1)2"/>
      <sheetName val="03_Detailed2"/>
      <sheetName val="01_Bid_Price_summary2"/>
      <sheetName val="Home_Office_Manhours2"/>
      <sheetName val="Field_SPV_Barchart2"/>
      <sheetName val="Unit_price(Updateting)2"/>
      <sheetName val="Breakdown_(B)2"/>
      <sheetName val="U_P_Breakdown2"/>
      <sheetName val="IMF_Code2"/>
      <sheetName val="Subsidiary_Calculation2"/>
      <sheetName val="Phu_Bai_Bridge2"/>
      <sheetName val="5_2_1_Đo_bóc_KL_OLK-102"/>
      <sheetName val="BẢNG_DIỄN_GIẢI_KL_(7)2"/>
      <sheetName val="don_gia_14262"/>
      <sheetName val="Luong_BN2"/>
      <sheetName val="Luong_TB2"/>
      <sheetName val="Ca_may_TB2"/>
      <sheetName val="Ca_máy_BN2"/>
      <sheetName val="Vật_liệu2"/>
      <sheetName val="LX_-TT052"/>
      <sheetName val="NC_Moi_TT052"/>
      <sheetName val="Bia_lot2"/>
      <sheetName val="PU_ITALY_25"/>
      <sheetName val="TH_DZ3513"/>
      <sheetName val="Tro_giup24"/>
      <sheetName val="RAB_AR&amp;STR11"/>
      <sheetName val="chi_tiet_TBA11"/>
      <sheetName val="chi_tiet_C11"/>
      <sheetName val="Don_gia11"/>
      <sheetName val="DON_GIA_TRAM_(3)11"/>
      <sheetName val="XT_Buoc_310"/>
      <sheetName val="DON_GIA_CAN_THO13"/>
      <sheetName val="7606_DZ11"/>
      <sheetName val="Don_gia_chi_tiet11"/>
      <sheetName val="Customize_Your_Purchase_Order11"/>
      <sheetName val="CHITIET_VL-NC-TT_-1p11"/>
      <sheetName val="CHITIET_VL-NC-TT-3p10"/>
      <sheetName val="TONG_HOP_VL-NC_TT11"/>
      <sheetName val="KPVC-BD_11"/>
      <sheetName val="dongia_(2)10"/>
      <sheetName val="Adix_A10"/>
      <sheetName val="Ky_Lam_Bridge10"/>
      <sheetName val="Provisional_Sums_Item10"/>
      <sheetName val="Gas_Pressure_Welding10"/>
      <sheetName val="General_Item&amp;General_Requirem10"/>
      <sheetName val="General_Items10"/>
      <sheetName val="Regenral_Requirements10"/>
      <sheetName val="HĐ_ngoài10"/>
      <sheetName val="Ng_hàng_xà+bulong10"/>
      <sheetName val="chiet_tinh10"/>
      <sheetName val="S-curve_10"/>
      <sheetName val="DM_606110"/>
      <sheetName val="CT_vat_lieu10"/>
      <sheetName val="So_doi_chieu_LC10"/>
      <sheetName val="Bang_3_Chi_tiet_phan_Dz9"/>
      <sheetName val="Commercial_value10"/>
      <sheetName val="project_management10"/>
      <sheetName val="REINF_10"/>
      <sheetName val="Rates_200910"/>
      <sheetName val="Du_toan10"/>
      <sheetName val="MAIN_GATE_HOUSE10"/>
      <sheetName val="TONG_HOP_VL-NC10"/>
      <sheetName val="Bang_KL10"/>
      <sheetName val="MH_RATE10"/>
      <sheetName val="07Base_Cost9"/>
      <sheetName val="rate_material9"/>
      <sheetName val="DG_thep_ma_kem10"/>
      <sheetName val="Lcau_-_Lxuc10"/>
      <sheetName val="Equip_9"/>
      <sheetName val="A1_CN9"/>
      <sheetName val="Đầu_vào9"/>
      <sheetName val="Chi_tiet_XD_TBA9"/>
      <sheetName val="Trạm_biến_áp9"/>
      <sheetName val="Đơn_Giá_9"/>
      <sheetName val="CT-0_4KV9"/>
      <sheetName val="Chenh_lech_vat_tu9"/>
      <sheetName val="Diện_tích9"/>
      <sheetName val="1_Khái_toán9"/>
      <sheetName val="TONG_HOP_T5_19989"/>
      <sheetName val="KL_Chi_tiết_Xây_tô9"/>
      <sheetName val="DG_DZ10"/>
      <sheetName val="DG_TBA10"/>
      <sheetName val="Xay_lapduongR39"/>
      <sheetName val="HÐ_ngoài10"/>
      <sheetName val="DM_679"/>
      <sheetName val="Data_Input10"/>
      <sheetName val="Bill_1_Quy_dinh_chung9"/>
      <sheetName val="1_R18_BF9"/>
      <sheetName val="6_External_works-R189"/>
      <sheetName val="Gia_vat_tu9"/>
      <sheetName val="Elect_(3)9"/>
      <sheetName val="plan&amp;section_of_foundation9"/>
      <sheetName val="design_criteria9"/>
      <sheetName val="Bond_수수료_계산_포맷9"/>
      <sheetName val="ITB_COST9"/>
      <sheetName val="4_PTDG9"/>
      <sheetName val="final_list_200525"/>
      <sheetName val="LV_data9"/>
      <sheetName val="Chi_tiet_KL9"/>
      <sheetName val="Tổng_hợp_KL9"/>
      <sheetName val="04_-_XUONG_DET_B9"/>
      <sheetName val="Phan_khai_KLuong9"/>
      <sheetName val="_039"/>
      <sheetName val="chieu_day_san9"/>
      <sheetName val="Podium_Concrete_Works9"/>
      <sheetName val="KLCT-_TOWER9"/>
      <sheetName val="KLCT-_PODIUM9"/>
      <sheetName val="Gia_thanh_chuoi_su9"/>
      <sheetName val="Tiep_dia9"/>
      <sheetName val="Don_gia_vung_III-Can_Tho9"/>
      <sheetName val="Area_Cal9"/>
      <sheetName val="PAGE_19"/>
      <sheetName val="EIRR&gt;_29"/>
      <sheetName val="Đầu_tư9"/>
      <sheetName val="Project_Data9"/>
      <sheetName val="6787CWFASE2CASE2_00_xls9"/>
      <sheetName val="Bill_02_-_Xay_gach-Pou_9"/>
      <sheetName val="Bill_03-Chống_thấm-Pou9"/>
      <sheetName val="Bill_04-Kim_loại-Pou9"/>
      <sheetName val="Bill_05_-_Hoan_thien-Pou_9"/>
      <sheetName val="Bill_02_-_Xay_gach-Tower9"/>
      <sheetName val="Bill_03-Chống_thấm-Tower9"/>
      <sheetName val="Bill_04-Kim_loại-Tower9"/>
      <sheetName val="Bill_05_-_Hoan_thien-Tower9"/>
      <sheetName val="KL-_KHAC9"/>
      <sheetName val="BILL_3_-_KẾT_CẤU_HẦM9"/>
      <sheetName val="PTĐG_LTBT9"/>
      <sheetName val="CTG-PRECHEx1_49"/>
      <sheetName val="CTG-AB_(2)9"/>
      <sheetName val="CTG-AB_(3)9"/>
      <sheetName val="CTG-PLP-1_089"/>
      <sheetName val="Pre_Đội_nhóm9"/>
      <sheetName val="Vat_tu_XD9"/>
      <sheetName val="Tower_-_Concrete_Works9"/>
      <sheetName val="Bill-04_ket_cau_thap-_UNI9"/>
      <sheetName val="Loại_Vật_tư9"/>
      <sheetName val="TH_Vat_tu9"/>
      <sheetName val="dg_tphcm9"/>
      <sheetName val="T_KÊ_K_CẤU9"/>
      <sheetName val="Bill_01_-_CTN9"/>
      <sheetName val="Bill_2_2_Villa_2_beds9"/>
      <sheetName val="A1,_May9"/>
      <sheetName val="Vat_lieu9"/>
      <sheetName val="Bang_trong_luong_rieng_thep9"/>
      <sheetName val="6PILE__(돌출)9"/>
      <sheetName val="gia_cong_tac9"/>
      <sheetName val="Measure_13069"/>
      <sheetName val="_Bill_5-Earthing_2_-_Add_Works9"/>
      <sheetName val="Cước_VC_+_ĐM_CP_Tư_vấn9"/>
      <sheetName val="Hệ_số9"/>
      <sheetName val="Door_and_window5"/>
      <sheetName val="DETAIL_9"/>
      <sheetName val="GV1-D13_(Casement_door)9"/>
      <sheetName val="ESTI_9"/>
      <sheetName val="CẤP_THOÁT_NƯỚC9"/>
      <sheetName val="TH_MTC9"/>
      <sheetName val="TH_N_Cong9"/>
      <sheetName val="THDT_goi_thau_TB9"/>
      <sheetName val="Tien_do_TV9"/>
      <sheetName val="Harga_ME_9"/>
      <sheetName val="Analisa_Gabungan9"/>
      <sheetName val="bridge_#_19"/>
      <sheetName val="Isolasi_Luar_Dalam9"/>
      <sheetName val="Isolasi_Luar9"/>
      <sheetName val="KL_san_lap9"/>
      <sheetName val="Chi_tiet9"/>
      <sheetName val="sochitiettaikhoan_8"/>
      <sheetName val="Share_price_data8"/>
      <sheetName val="19_38"/>
      <sheetName val="20_38"/>
      <sheetName val="Chieu_4_38"/>
      <sheetName val="Cow_req8"/>
      <sheetName val="TỔNG_HỢP8"/>
      <sheetName val="14-LẦN_3-CHIỀU8"/>
      <sheetName val="14-LẦN_1-SÁNG8"/>
      <sheetName val="14-LẦN_2-TRƯA8"/>
      <sheetName val="1_3+1_4-TOTAL_-_Ko_IN8"/>
      <sheetName val="2_1-LẦN_3-CHIỀU8"/>
      <sheetName val="2_1-LẦN_1-SÁNG8"/>
      <sheetName val="2_1-LẦN_2-TRƯA8"/>
      <sheetName val="2_1-TOTAL-Ko_IN8"/>
      <sheetName val="1_3(TMR_4)8"/>
      <sheetName val="CHO_DE8"/>
      <sheetName val="1_1+1_2+2_2+2_3(TMR_3)8"/>
      <sheetName val="CK1+CK2_(VS_SAN_CHOI_23)8"/>
      <sheetName val="CK1+CK2_(2)8"/>
      <sheetName val="12-16_THÁNG8"/>
      <sheetName val="CAN_SỮA8"/>
      <sheetName val="54+55+56(SAU_CAI_SỮA-6)8"/>
      <sheetName val="BÊ_71-90_NGÀY8"/>
      <sheetName val="BÊ_12-16_tháng8"/>
      <sheetName val="BÊ_6-128"/>
      <sheetName val="BÊ_1-38"/>
      <sheetName val="F01-BC_KHAU_PHAN_SANG_20_38"/>
      <sheetName val="F01-BC_KHAU_PHAN_CHIEU_19_38"/>
      <sheetName val="dinh_mưc_cty8"/>
      <sheetName val="Giá_thành8"/>
      <sheetName val="Thong_ke8"/>
      <sheetName val="Energy_for_milk_prod8"/>
      <sheetName val="DE_NGHI_XUAT_8"/>
      <sheetName val="phieu_xuat_mau8"/>
      <sheetName val="PHIEU_XUAT_CHIEU8"/>
      <sheetName val="11_rai_them_cỏ8"/>
      <sheetName val="PHU_LUC_02-_HDSD_CAC_BIEU_MAU8"/>
      <sheetName val="PhU_LUC_01-_MA_CAC_NHOM_BO8"/>
      <sheetName val="F03-BC_THUC_TRON_SANG_20_38"/>
      <sheetName val="F03-BC_THUC_TRON_CHIEU_19_38"/>
      <sheetName val="F02-BC_THEO_DOI_THUC_AN_DU8"/>
      <sheetName val="Tham_khao-_Bao_cao_xuat_thuc_a8"/>
      <sheetName val="Chenh_lech_ca_may9"/>
      <sheetName val="TLg_CN&amp;Laixe9"/>
      <sheetName val="TLg_CN&amp;Laixe_(2)9"/>
      <sheetName val="TLg_Laitau9"/>
      <sheetName val="TLg_Laitau_(2)9"/>
      <sheetName val="KHOI_LUONG9"/>
      <sheetName val="Equipment_list_(PAC)9"/>
      <sheetName val="TINH_KHOI_LUONG9"/>
      <sheetName val="DATA_BASE9"/>
      <sheetName val="BẢNG_KHỐI_LƯỢNG_TỔNG_HỢP8"/>
      <sheetName val="Buy_vs__Lease_Car9"/>
      <sheetName val="CP_Khac_cuoc_VC8"/>
      <sheetName val="Budget_Code8"/>
      <sheetName val="CTKL_KTX_HT8"/>
      <sheetName val="2_Chiet_tinh8"/>
      <sheetName val="subcon_sched9"/>
      <sheetName val="NHÀ_NHẬP_LIỆU8"/>
      <sheetName val="MÓNG_SILO8"/>
      <sheetName val="PRE_(E)9"/>
      <sheetName val="HVAC_BLOCK_B49"/>
      <sheetName val="Tong_du_toan8"/>
      <sheetName val="Bill_2_-_ketcau8"/>
      <sheetName val="13-Cốt_thép_(10mm&lt;D≤18mm)_FO168"/>
      <sheetName val="du_lieu_du_toan8"/>
      <sheetName val="BANCO_(2)8"/>
      <sheetName val="MT_DPin_(2)8"/>
      <sheetName val="Chi_tiet_lan_can8"/>
      <sheetName val="BOQ_THAN8"/>
      <sheetName val="DL_ĐẦU_VÀO8"/>
      <sheetName val="D_&amp;_W_sizes8"/>
      <sheetName val="Analisa_&amp;_Upah8"/>
      <sheetName val="Purchase_Order8"/>
      <sheetName val="Du_lieu9"/>
      <sheetName val="Phan_tich8"/>
      <sheetName val="Luong_NII8"/>
      <sheetName val="DINH_MUC_THI_NGHIEM8"/>
      <sheetName val="Luong_NI8"/>
      <sheetName val="CT_Thang_Mo8"/>
      <sheetName val="CT__PL8"/>
      <sheetName val="dongia__2_8"/>
      <sheetName val="Thép_CKN8"/>
      <sheetName val="GOC-KO_IN8"/>
      <sheetName val="MAU_8A8"/>
      <sheetName val="MAU_8B8"/>
      <sheetName val="MAU_98"/>
      <sheetName val="MAU_108"/>
      <sheetName val="cash_budget8"/>
      <sheetName val="Dlieu_dau_vao8"/>
      <sheetName val="CHI_PHI6"/>
      <sheetName val="02__PTDG8"/>
      <sheetName val="Chiết_tính8"/>
      <sheetName val="DK1_Don_gia8"/>
      <sheetName val="Income_Statement8"/>
      <sheetName val="Shareholders'_Equity8"/>
      <sheetName val="VC_xd6"/>
      <sheetName val="Gia_VLTB6"/>
      <sheetName val="B_Luong6"/>
      <sheetName val="C_May6"/>
      <sheetName val="Don_gia_(khong_in)8"/>
      <sheetName val="1_MONG_1-28"/>
      <sheetName val="TB_NẶNG6"/>
      <sheetName val="Du_tru_CP-Bieu_016"/>
      <sheetName val="dm_3666"/>
      <sheetName val="DM_60606"/>
      <sheetName val="Dự_thầu6"/>
      <sheetName val="Nhap_VT_oto6"/>
      <sheetName val="Hao_phí6"/>
      <sheetName val="Ma_don_vi6"/>
      <sheetName val="bang_cc6"/>
      <sheetName val="Structure_data6"/>
      <sheetName val="TH_TN6"/>
      <sheetName val="Bill_No_3_-_Prov__Sum_(Ph2&amp;3)6"/>
      <sheetName val="đọc_số6"/>
      <sheetName val="CP_Du_phong6"/>
      <sheetName val="THCP_Lap_dat6"/>
      <sheetName val="THCP_xay_dung6"/>
      <sheetName val="Tong_hop_kinh_phi6"/>
      <sheetName val="CP_HMC6"/>
      <sheetName val="HỆ_THỐNG_PHÒNG_CHÁY_CHỮA_CHÁY6"/>
      <sheetName val="HỆ_THỐNG_CẤP_THOÁT_NƯỚC6"/>
      <sheetName val="HỆ_THỐNG_ĐHKK6"/>
      <sheetName val="MÁY_PHÁT_ĐIỆN6"/>
      <sheetName val="HỆ_THỐNG_ĐIỆN6"/>
      <sheetName val="Thiết_bị_chính6"/>
      <sheetName val="Ｎｏ_136"/>
      <sheetName val="DGchitiet_6"/>
      <sheetName val="wk_prgs6"/>
      <sheetName val="AG_Pipe_Qty_Analysis6"/>
      <sheetName val="2_1Warehouse_16"/>
      <sheetName val="CĂN_HỘ_T16-17_6"/>
      <sheetName val="TRỤC_ĐỨNG_THOÁT_BẨN_T15-176"/>
      <sheetName val="TRỤC_ĐỨNG_TM_T15-176"/>
      <sheetName val="TK_chi_tiet6"/>
      <sheetName val="Bill_2-Road_HR26"/>
      <sheetName val="Bill_3_-_Softscape_HR26"/>
      <sheetName val="THEP_TAM6"/>
      <sheetName val="THEP_HÌNH6"/>
      <sheetName val="THEP_HINH6"/>
      <sheetName val="XA_GO6"/>
      <sheetName val="BANG_TRA6"/>
      <sheetName val="Main_Bldg-Rev026"/>
      <sheetName val="D&amp;W_def_6"/>
      <sheetName val="Nhan_cong6"/>
      <sheetName val="Thiet_bi6"/>
      <sheetName val="Vat_tu6"/>
      <sheetName val="DM_ChiPhi6"/>
      <sheetName val="May_TC6"/>
      <sheetName val="TH_Kinh_phi6"/>
      <sheetName val="Ptvl_6"/>
      <sheetName val="Móng,_nền_6"/>
      <sheetName val="1_Requisition(E)6"/>
      <sheetName val="So_lieu_chung5"/>
      <sheetName val="Q_A01_2-Sh5"/>
      <sheetName val="DG_14265"/>
      <sheetName val="Dự_toán6"/>
      <sheetName val="Đơn_Giá_TH6"/>
      <sheetName val="Nhân_công6"/>
      <sheetName val="Phân_tích6"/>
      <sheetName val="C_P_Thiết_bị6"/>
      <sheetName val="T_H_Kinh_phí6"/>
      <sheetName val="Vật_tư6"/>
      <sheetName val="Trang_bìa6"/>
      <sheetName val="phan_tic_chi_tiet6"/>
      <sheetName val="TONG_HOP6"/>
      <sheetName val="Tổng_GT6"/>
      <sheetName val="Chi_tiết_KL6"/>
      <sheetName val="khấu_trừ_phạt6"/>
      <sheetName val="GT__KHAU_TRU6"/>
      <sheetName val="HAO_HUT_VAT_TU_(2)6"/>
      <sheetName val="cao_độ6"/>
      <sheetName val="Data_Wall6"/>
      <sheetName val="3__CNT5"/>
      <sheetName val="unit_price_list(M)5"/>
      <sheetName val="Theo_doi_Doanh_thu_20175"/>
      <sheetName val="Gia_vat_lieu5"/>
      <sheetName val="gui_BKCT5"/>
      <sheetName val="Precios_unitarios_AXH5"/>
      <sheetName val="Chi_tiet_cong_no6"/>
      <sheetName val="PHÁT_SINH_TẦNG_1_6"/>
      <sheetName val="PHÁT_SINH_TẦNG_26"/>
      <sheetName val="Hầm_chuyển_psinh6"/>
      <sheetName val="Ống_thẳng6"/>
      <sheetName val="Côn_thu6"/>
      <sheetName val="Vuông_tròn6"/>
      <sheetName val="Chân_rẽ6"/>
      <sheetName val="Chạc_ba6"/>
      <sheetName val="Danh_mục4"/>
      <sheetName val="PV_Graph_Data4"/>
      <sheetName val="1_2_Staff_Schedule5"/>
      <sheetName val="BẢNG_ÁP_GIÁ_(in)5"/>
      <sheetName val="NT_(KL)_IN5"/>
      <sheetName val="DOM_D25"/>
      <sheetName val="nhà_ăn5"/>
      <sheetName val="Công_nhật5"/>
      <sheetName val="btkt_cột5"/>
      <sheetName val="Bảng_đo_bóc_KL_OLK-095"/>
      <sheetName val="6_3_CHI_TIET_OLK-095"/>
      <sheetName val="BTK-Dai_Hoc_Kien_Giang4"/>
      <sheetName val="0__Input5"/>
      <sheetName val="TH_các_CC5"/>
      <sheetName val="Don_gia_chi_tiet_DIEN_25"/>
      <sheetName val="Chi_tiet_-tong_9_thang5"/>
      <sheetName val="TH_VL,_NC,_DDHT_Thanhphuoc5"/>
      <sheetName val="1__Office5"/>
      <sheetName val="KL_THEP__GIAM_DO_DUNG_COUPLER5"/>
      <sheetName val="01_KL_THÉP_NHẬP_VỀ5"/>
      <sheetName val="2__NT_VLDV5"/>
      <sheetName val="GHI_CHU5"/>
      <sheetName val="1_BB_LMHT5"/>
      <sheetName val="Bê_tông_bảo_vệ5"/>
      <sheetName val="01__Data5"/>
      <sheetName val="Neo,_nối_cốt_thép_dầm,_cột5"/>
      <sheetName val="Uốn_móc_cốt_thép5"/>
      <sheetName val="Tiêu_chuẩn_cốt_thép5"/>
      <sheetName val="Doi_so5"/>
      <sheetName val="1_Civil_(Org)5"/>
      <sheetName val="Bill_Prelim-CDT5"/>
      <sheetName val="Bill_BPTC-CDT5"/>
      <sheetName val="Chi_tiết_BPTC5"/>
      <sheetName val="Bill_BPTC-CDT_(PA_MCT_CDT)5"/>
      <sheetName val="Chi_tiết_BPTC_(PA_MCT_CDT)5"/>
      <sheetName val="Thop_Ksat5"/>
      <sheetName val="Thu_hoi_5"/>
      <sheetName val="HM_chung5"/>
      <sheetName val="CP_xd-thiet_bi5"/>
      <sheetName val="TH-TN_LD_TB5"/>
      <sheetName val="CP_xaydung5"/>
      <sheetName val="Thao_ha_phu_kien5"/>
      <sheetName val="VL-NC-MTC_ket_cau5"/>
      <sheetName val="KHOI_LUONG_TONG5"/>
      <sheetName val="TK_22KV5"/>
      <sheetName val="DM_366-17775"/>
      <sheetName val="Thi_nhiem5"/>
      <sheetName val="Gia_goc_VT-TB5"/>
      <sheetName val="Gia_vc_den_chan_CT5"/>
      <sheetName val="culy_225"/>
      <sheetName val="Luong_20505"/>
      <sheetName val="ca_may_QN5"/>
      <sheetName val="TNHC1246_5"/>
      <sheetName val="Ca_may_TT06_20105"/>
      <sheetName val="Don_gia_VLXD_dia_phuong5"/>
      <sheetName val="Bang_luong_SCL5"/>
      <sheetName val="Dinh_muc_TN14265"/>
      <sheetName val="DM_336cai_tao5"/>
      <sheetName val="MTO_REV_2(ARMOR)5"/>
      <sheetName val="Dutoan_KL4"/>
      <sheetName val="doanh_thu4"/>
      <sheetName val="KHOI_LUONG15-45"/>
      <sheetName val="DANH_MỤC_HỒ_SƠ5"/>
      <sheetName val="GT_PHÁT_SINH_NGOÀI_HĐ5"/>
      <sheetName val="KL_PHÁT_SINH_5"/>
      <sheetName val="PS_NGOÀI_HĐ5"/>
      <sheetName val="GT_PHÁT_SINH_VƯỢT_HĐ5"/>
      <sheetName val="PS_TĂNG_GIẢM_TRONG_HĐ5"/>
      <sheetName val="DGCT_PHÁT_SINH5"/>
      <sheetName val="DGCT_TRẦN_NLV5"/>
      <sheetName val="DGKL_chi_tiết_NLV5"/>
      <sheetName val="DGKL_chi_tiết_NHN,NK5"/>
      <sheetName val="TG_KL5"/>
      <sheetName val="DGCT_SƠN_BẢ_TƯỜNG_NLV5"/>
      <sheetName val="DGKL_TRẦN_NHN5"/>
      <sheetName val="KL_thep_lam_sat5"/>
      <sheetName val="DM-VNT_ko_sd5"/>
      <sheetName val="B3A_-_TOWER_A5"/>
      <sheetName val="Annex_B5"/>
      <sheetName val="Cotthep_NPT5"/>
      <sheetName val="vl_nc_mtc5"/>
      <sheetName val="Tien_Thuong5"/>
      <sheetName val="NC_XL_6T_cuoi_01_CTy5"/>
      <sheetName val="Data_-6T_dau5"/>
      <sheetName val="Cong_6T5"/>
      <sheetName val="TLG_Type5"/>
      <sheetName val="Tong_hop_vat_tu5"/>
      <sheetName val="1_San_5"/>
      <sheetName val="Dot_45"/>
      <sheetName val="HRG_BHN5"/>
      <sheetName val="CĂN_ĐH5"/>
      <sheetName val="Chi_phi_van_chuyen5"/>
      <sheetName val="Dgia_vat_tu5"/>
      <sheetName val="Don_gia_III5"/>
      <sheetName val="D÷_liÖu5"/>
      <sheetName val="DT_hợp_đồng4"/>
      <sheetName val="Bảng_KL_đợt_14"/>
      <sheetName val="2_CDPS5"/>
      <sheetName val="Summary_Sheet4"/>
      <sheetName val="Finishing-Tower_A4"/>
      <sheetName val="Finishing-Tower_B4"/>
      <sheetName val="Finishing-Tower_C4"/>
      <sheetName val="Finishing-Tower_D4"/>
      <sheetName val="MEP-Tower_A4"/>
      <sheetName val="MEP-Tower_B4"/>
      <sheetName val="MEP-Tower_C4"/>
      <sheetName val="MEP-Tower_D4"/>
      <sheetName val="Cost_Report_Sum4"/>
      <sheetName val="Detail_Cost_Sum4"/>
      <sheetName val="RVO-VO_Sum4"/>
      <sheetName val="Potential_VOs_Sum4"/>
      <sheetName val="Cash_Flow_Sum4"/>
      <sheetName val="Heso_DZ5"/>
      <sheetName val="Bieu_gia_HD4"/>
      <sheetName val="Div26_-_Elect5"/>
      <sheetName val="7_Khau_tru_5"/>
      <sheetName val="4_CĂN5"/>
      <sheetName val="DG_BINH_THUAN5"/>
      <sheetName val="GIÁ_DỰ_THẦU_30_CĂN4"/>
      <sheetName val="DG_Chi_tiet4"/>
      <sheetName val="Kê_0,44"/>
      <sheetName val="TH_0,44"/>
      <sheetName val="Kê_224"/>
      <sheetName val="TH_224"/>
      <sheetName val="TBA_CAI_TAO4"/>
      <sheetName val="TBA_XDM4"/>
      <sheetName val="TONG_HOP_DU_TOAN4"/>
      <sheetName val="Thop_XAY_DUNG4"/>
      <sheetName val="CP_HANG_MUC_CHUNG4"/>
      <sheetName val="CHI_PHI_XD4"/>
      <sheetName val="CHI_PHI_THI_NGHIEM4"/>
      <sheetName val="VLDIEN_224"/>
      <sheetName val="Dao_dat4"/>
      <sheetName val="TH_Denbu4"/>
      <sheetName val="Do_ve_DC4"/>
      <sheetName val="TH_Bommin4"/>
      <sheetName val="CHI_PHI_THI_NGHIEM-LD_thiet_bi4"/>
      <sheetName val="Luong_TT014"/>
      <sheetName val="Camay_QB4"/>
      <sheetName val="gia_ca_may_BXD4"/>
      <sheetName val="BANG_LUONG_KY_SU4"/>
      <sheetName val="Bang_luong_NHOM_I4"/>
      <sheetName val="Bangluong_NHOM_II_4"/>
      <sheetName val="09-GIA_nhien_lieu-ko_in4"/>
      <sheetName val="Tinh_V_cot_chiem_cho4"/>
      <sheetName val="ĐM_13544"/>
      <sheetName val="KHOAN_MAU4"/>
      <sheetName val="ĐO_ĐỊA_VẬT_LÝ4"/>
      <sheetName val="khoan_tiep_dia4"/>
      <sheetName val="DZ_22KV4"/>
      <sheetName val="_1710_HOINGHINLD4"/>
      <sheetName val="99_(2)4"/>
      <sheetName val="134_4"/>
      <sheetName val="DG_49704"/>
      <sheetName val="Don_gia_NC5"/>
      <sheetName val="B-2__(DPP)5"/>
      <sheetName val="CAP_NUOC4"/>
      <sheetName val="cấp_nước_trục_nhà_vs4"/>
      <sheetName val="THOAT_NUOC4"/>
      <sheetName val="THOAT_MUA4"/>
      <sheetName val="Cáp_phòng4"/>
      <sheetName val="TMC_ĐIỆN_Phi4"/>
      <sheetName val="TMC_Tổng4"/>
      <sheetName val="TH_Đèn_Phòng_L14"/>
      <sheetName val="TH_Đèn_Hầm_L14"/>
      <sheetName val="TỦ_MODULE_T14"/>
      <sheetName val="Financ__Overview4"/>
      <sheetName val="13_BANG_CT4"/>
      <sheetName val="14_MMUS_GIUA_NHIP4"/>
      <sheetName val="4_HSPBngang4"/>
      <sheetName val="6_Tinh_tai4"/>
      <sheetName val="2_NSl4"/>
      <sheetName val="17_US_CHU_tho_a_b4"/>
      <sheetName val="15_MMUS_GOI4"/>
      <sheetName val="TINH_GIA_-_SAN_XUAT_Vertico4"/>
      <sheetName val="gia_vt,nc,may4"/>
      <sheetName val="Huong_dan4"/>
      <sheetName val="Tổng_hợp_KPHM4"/>
      <sheetName val="5_2_1_Đo_bóc_KL_OLK-064"/>
      <sheetName val="MB_DT_024"/>
      <sheetName val="Dinh_muc4"/>
      <sheetName val="KS_tuyen4"/>
      <sheetName val="Bang_chiet_tinh_TBA4"/>
      <sheetName val="4_2_1_Đo_bóc_KL_OLK-064"/>
      <sheetName val="4_1_1_CHI_TIET_OLK-064"/>
      <sheetName val="Cash_Flow4"/>
      <sheetName val="So_sanh4"/>
      <sheetName val="HERD_MOVEMENTFARM16"/>
      <sheetName val="HERD_MOVEMENTFARM26"/>
      <sheetName val="CALVES_2-46"/>
      <sheetName val="Cavles_2-46"/>
      <sheetName val="CALVES_4-76"/>
      <sheetName val="HEIFER_7-12m6"/>
      <sheetName val="HEIFER_12+6"/>
      <sheetName val="FRESH_COW_2017-186"/>
      <sheetName val="HP_COW_20186"/>
      <sheetName val="LP_COW_2017-186"/>
      <sheetName val="DRY_COW6"/>
      <sheetName val="FIELD_CROPS6"/>
      <sheetName val="Tong_DT3"/>
      <sheetName val="phan_tich_don_gia3"/>
      <sheetName val="DT_san_XD-So_lieu_cu3"/>
      <sheetName val="EQUIP_LIST4"/>
      <sheetName val="Electrical_Works4"/>
      <sheetName val="H_T__INCOMING_SYSTEM4"/>
      <sheetName val="BU_LONG4"/>
      <sheetName val="THONG_SO4"/>
      <sheetName val="Đơn_giá_chi_tiết_TN_394"/>
      <sheetName val="DT__NHA_XUONG4"/>
      <sheetName val="Gia_VT-TB4"/>
      <sheetName val="noi_suy_xa4"/>
      <sheetName val="noi_suy_xa_thu_hoi4"/>
      <sheetName val="Tính_giá_NC4"/>
      <sheetName val="Tiên_lượng4"/>
      <sheetName val="SL_cước4"/>
      <sheetName val="Thuyết_minh4"/>
      <sheetName val="Đơn_giá_máy4"/>
      <sheetName val="¥_4"/>
      <sheetName val="FF-2_(1)3"/>
      <sheetName val="Labour_Summary16"/>
      <sheetName val="YTD_12'20033"/>
      <sheetName val="YTD_06'20033"/>
      <sheetName val="YTD_03'20033"/>
      <sheetName val="YTD_09'20033"/>
      <sheetName val="deferred_taxes3"/>
      <sheetName val="Eqpmnt_Plng3"/>
      <sheetName val="TRIAL_BALANCE3"/>
      <sheetName val="DPR_31st_march3"/>
      <sheetName val="current_month3"/>
      <sheetName val="Blng__Vs_Coll_3"/>
      <sheetName val="Unit_price3"/>
      <sheetName val="Bill_No_1_64"/>
      <sheetName val="Bill_No_1_104"/>
      <sheetName val="Bill_No_3_34"/>
      <sheetName val="Bill_No_1_44"/>
      <sheetName val="Bill_No_1_74"/>
      <sheetName val="Summary_Bill_No__34"/>
      <sheetName val="Bán_đợt_1_trang3"/>
      <sheetName val="Chiet_tinh_dz353"/>
      <sheetName val="3__KC_-_PODIUM3"/>
      <sheetName val="CTDZ6kv_(gd1)_3"/>
      <sheetName val="CTDZ_0_4+cto_(GD1)3"/>
      <sheetName val="CTTBA_(gd1)3"/>
      <sheetName val="03_Detailed3"/>
      <sheetName val="01_Bid_Price_summary3"/>
      <sheetName val="Home_Office_Manhours3"/>
      <sheetName val="Field_SPV_Barchart3"/>
      <sheetName val="Tien_Luong3"/>
      <sheetName val="Unit_price(Updateting)3"/>
      <sheetName val="Cost_List3"/>
      <sheetName val="Detail_Cost3"/>
      <sheetName val="IC_Price_New3"/>
      <sheetName val="Summary_Table3"/>
      <sheetName val="Sales_Person3"/>
      <sheetName val="Bidding_Entity3"/>
      <sheetName val="CHITIET_VL-NCHT1_(2)3"/>
      <sheetName val="Bù_giá_CM3"/>
      <sheetName val="Breakdown_(B)3"/>
      <sheetName val="U_P_Breakdown3"/>
      <sheetName val="IMF_Code3"/>
      <sheetName val="Subsidiary_Calculation3"/>
      <sheetName val="Phu_Bai_Bridge3"/>
      <sheetName val="5_2_1_Đo_bóc_KL_OLK-103"/>
      <sheetName val="BẢNG_DIỄN_GIẢI_KL_(7)3"/>
      <sheetName val="don_gia_14263"/>
      <sheetName val="Luong_BN3"/>
      <sheetName val="Luong_TB3"/>
      <sheetName val="Ca_may_TB3"/>
      <sheetName val="Ca_máy_BN3"/>
      <sheetName val="Vật_liệu3"/>
      <sheetName val="LX_-TT053"/>
      <sheetName val="NC_Moi_TT053"/>
      <sheetName val="Bia_lot3"/>
      <sheetName val="PU_ITALY_26"/>
      <sheetName val="TH_DZ3514"/>
      <sheetName val="Tro_giup25"/>
      <sheetName val="RAB_AR&amp;STR12"/>
      <sheetName val="chi_tiet_TBA12"/>
      <sheetName val="chi_tiet_C12"/>
      <sheetName val="Customize_Your_Purchase_Order12"/>
      <sheetName val="CHITIET_VL-NC-TT_-1p12"/>
      <sheetName val="CHITIET_VL-NC-TT-3p11"/>
      <sheetName val="TONG_HOP_VL-NC_TT12"/>
      <sheetName val="KPVC-BD_12"/>
      <sheetName val="Don_gia12"/>
      <sheetName val="DON_GIA_TRAM_(3)12"/>
      <sheetName val="DON_GIA_CAN_THO14"/>
      <sheetName val="Don_gia_chi_tiet12"/>
      <sheetName val="HĐ_ngoài11"/>
      <sheetName val="XT_Buoc_311"/>
      <sheetName val="dongia_(2)11"/>
      <sheetName val="7606_DZ12"/>
      <sheetName val="project_management11"/>
      <sheetName val="Adix_A11"/>
      <sheetName val="S-curve_11"/>
      <sheetName val="REINF_11"/>
      <sheetName val="Rates_200911"/>
      <sheetName val="So_doi_chieu_LC11"/>
      <sheetName val="MAIN_GATE_HOUSE11"/>
      <sheetName val="Commercial_value11"/>
      <sheetName val="Du_toan11"/>
      <sheetName val="Ky_Lam_Bridge11"/>
      <sheetName val="Provisional_Sums_Item11"/>
      <sheetName val="Gas_Pressure_Welding11"/>
      <sheetName val="General_Item&amp;General_Requirem11"/>
      <sheetName val="General_Items11"/>
      <sheetName val="Regenral_Requirements11"/>
      <sheetName val="chiet_tinh11"/>
      <sheetName val="Ng_hàng_xà+bulong11"/>
      <sheetName val="MH_RATE11"/>
      <sheetName val="TONG_HOP_VL-NC11"/>
      <sheetName val="Bang_KL11"/>
      <sheetName val="Đầu_vào10"/>
      <sheetName val="Lcau_-_Lxuc11"/>
      <sheetName val="Chi_tiet_XD_TBA10"/>
      <sheetName val="DM_606111"/>
      <sheetName val="DG_thep_ma_kem11"/>
      <sheetName val="CT_vat_lieu11"/>
      <sheetName val="Equip_10"/>
      <sheetName val="A1_CN10"/>
      <sheetName val="TONG_HOP_T5_199810"/>
      <sheetName val="Chenh_lech_vat_tu10"/>
      <sheetName val="Trạm_biến_áp10"/>
      <sheetName val="Đơn_Giá_10"/>
      <sheetName val="Diện_tích10"/>
      <sheetName val="1_Khái_toán10"/>
      <sheetName val="CT-0_4KV10"/>
      <sheetName val="DG_DZ11"/>
      <sheetName val="DG_TBA11"/>
      <sheetName val="rate_material10"/>
      <sheetName val="KL_Chi_tiết_Xây_tô10"/>
      <sheetName val="07Base_Cost10"/>
      <sheetName val="GV1-D13_(Casement_door)10"/>
      <sheetName val="Bill_1_Quy_dinh_chung10"/>
      <sheetName val="1_R18_BF10"/>
      <sheetName val="6_External_works-R1810"/>
      <sheetName val="Phan_khai_KLuong10"/>
      <sheetName val="Chi_tiet_KL10"/>
      <sheetName val="Tổng_hợp_KL10"/>
      <sheetName val="04_-_XUONG_DET_B10"/>
      <sheetName val="_0310"/>
      <sheetName val="chieu_day_san10"/>
      <sheetName val="Podium_Concrete_Works10"/>
      <sheetName val="KLCT-_TOWER10"/>
      <sheetName val="KLCT-_PODIUM10"/>
      <sheetName val="Area_Cal10"/>
      <sheetName val="Gia_thanh_chuoi_su10"/>
      <sheetName val="Tiep_dia10"/>
      <sheetName val="Don_gia_vung_III-Can_Tho10"/>
      <sheetName val="Loại_Vật_tư10"/>
      <sheetName val="Elect_(3)10"/>
      <sheetName val="plan&amp;section_of_foundation10"/>
      <sheetName val="design_criteria10"/>
      <sheetName val="Bond_수수료_계산_포맷10"/>
      <sheetName val="ITB_COST10"/>
      <sheetName val="PAGE_110"/>
      <sheetName val="Xay_lapduongR310"/>
      <sheetName val="DM_6710"/>
      <sheetName val="Project_Data10"/>
      <sheetName val="6787CWFASE2CASE2_00_xls10"/>
      <sheetName val="Đầu_tư10"/>
      <sheetName val="EIRR&gt;_210"/>
      <sheetName val="Bill_02_-_Xay_gach-Pou_10"/>
      <sheetName val="Bill_03-Chống_thấm-Pou10"/>
      <sheetName val="Bill_04-Kim_loại-Pou10"/>
      <sheetName val="Bill_05_-_Hoan_thien-Pou_10"/>
      <sheetName val="Bill_02_-_Xay_gach-Tower10"/>
      <sheetName val="Bill_03-Chống_thấm-Tower10"/>
      <sheetName val="Bill_04-Kim_loại-Tower10"/>
      <sheetName val="Bill_05_-_Hoan_thien-Tower10"/>
      <sheetName val="KL-_KHAC10"/>
      <sheetName val="BILL_3_-_KẾT_CẤU_HẦM10"/>
      <sheetName val="PTĐG_LTBT10"/>
      <sheetName val="CTG-PRECHEx1_410"/>
      <sheetName val="CTG-AB_(2)10"/>
      <sheetName val="CTG-AB_(3)10"/>
      <sheetName val="CTG-PLP-1_0810"/>
      <sheetName val="Pre_Đội_nhóm10"/>
      <sheetName val="Vat_tu_XD10"/>
      <sheetName val="Tower_-_Concrete_Works10"/>
      <sheetName val="Bill-04_ket_cau_thap-_UNI10"/>
      <sheetName val="dg_tphcm10"/>
      <sheetName val="T_KÊ_K_CẤU10"/>
      <sheetName val="gia_cong_tac10"/>
      <sheetName val="4_PTDG10"/>
      <sheetName val="A1,_May10"/>
      <sheetName val="Vat_lieu10"/>
      <sheetName val="Data_Input11"/>
      <sheetName val="Measure_130610"/>
      <sheetName val="HÐ_ngoài11"/>
      <sheetName val="6PILE__(돌출)10"/>
      <sheetName val="Bill_01_-_CTN10"/>
      <sheetName val="Bill_2_2_Villa_2_beds10"/>
      <sheetName val="Analisa_Gabungan10"/>
      <sheetName val="Isolasi_Luar_Dalam10"/>
      <sheetName val="Isolasi_Luar10"/>
      <sheetName val="Harga_ME_10"/>
      <sheetName val="TH_N_Cong10"/>
      <sheetName val="ESTI_10"/>
      <sheetName val="KL_san_lap10"/>
      <sheetName val="TH_Vat_tu10"/>
      <sheetName val="_Bill_5-Earthing_2_-_Add_Work10"/>
      <sheetName val="Chenh_lech_ca_may10"/>
      <sheetName val="TLg_CN&amp;Laixe10"/>
      <sheetName val="TLg_CN&amp;Laixe_(2)10"/>
      <sheetName val="TLg_Laitau10"/>
      <sheetName val="TLg_Laitau_(2)10"/>
      <sheetName val="Bang_trong_luong_rieng_thep10"/>
      <sheetName val="Cước_VC_+_ĐM_CP_Tư_vấn10"/>
      <sheetName val="Hệ_số10"/>
      <sheetName val="DETAIL_10"/>
      <sheetName val="final_list_200526"/>
      <sheetName val="LV_data10"/>
      <sheetName val="Gia_vat_tu10"/>
      <sheetName val="CẤP_THOÁT_NƯỚC10"/>
      <sheetName val="THDT_goi_thau_TB10"/>
      <sheetName val="Tien_do_TV10"/>
      <sheetName val="bridge_#_110"/>
      <sheetName val="Bang_3_Chi_tiet_phan_Dz10"/>
      <sheetName val="KHOI_LUONG10"/>
      <sheetName val="TH_MTC10"/>
      <sheetName val="CTKL_KTX_HT9"/>
      <sheetName val="Buy_vs__Lease_Car10"/>
      <sheetName val="DATA_BASE10"/>
      <sheetName val="Equipment_list_(PAC)10"/>
      <sheetName val="TINH_KHOI_LUONG10"/>
      <sheetName val="Chi_tiet10"/>
      <sheetName val="subcon_sched10"/>
      <sheetName val="NHÀ_NHẬP_LIỆU9"/>
      <sheetName val="MÓNG_SILO9"/>
      <sheetName val="PRE_(E)10"/>
      <sheetName val="HVAC_BLOCK_B410"/>
      <sheetName val="2_Chiet_tinh9"/>
      <sheetName val="BẢNG_KHỐI_LƯỢNG_TỔNG_HỢP9"/>
      <sheetName val="CP_Khac_cuoc_VC9"/>
      <sheetName val="Budget_Code9"/>
      <sheetName val="Tong_du_toan9"/>
      <sheetName val="Bill_2_-_ketcau9"/>
      <sheetName val="Chi_tiet_lan_can9"/>
      <sheetName val="13-Cốt_thép_(10mm&lt;D≤18mm)_FO169"/>
      <sheetName val="du_lieu_du_toan9"/>
      <sheetName val="BOQ_THAN9"/>
      <sheetName val="DL_ĐẦU_VÀO9"/>
      <sheetName val="Purchase_Order9"/>
      <sheetName val="D_&amp;_W_sizes9"/>
      <sheetName val="Analisa_&amp;_Upah9"/>
      <sheetName val="Du_lieu10"/>
      <sheetName val="Phan_tich9"/>
      <sheetName val="Luong_NII9"/>
      <sheetName val="DINH_MUC_THI_NGHIEM9"/>
      <sheetName val="Luong_NI9"/>
      <sheetName val="CT_Thang_Mo9"/>
      <sheetName val="CT__PL9"/>
      <sheetName val="cash_budget9"/>
      <sheetName val="dongia__2_9"/>
      <sheetName val="GOC-KO_IN9"/>
      <sheetName val="MAU_8A9"/>
      <sheetName val="MAU_8B9"/>
      <sheetName val="MAU_99"/>
      <sheetName val="MAU_109"/>
      <sheetName val="Thép_CKN9"/>
      <sheetName val="sochitiettaikhoan_9"/>
      <sheetName val="Share_price_data9"/>
      <sheetName val="19_39"/>
      <sheetName val="20_39"/>
      <sheetName val="Chieu_4_39"/>
      <sheetName val="Cow_req9"/>
      <sheetName val="TỔNG_HỢP9"/>
      <sheetName val="14-LẦN_3-CHIỀU9"/>
      <sheetName val="14-LẦN_1-SÁNG9"/>
      <sheetName val="14-LẦN_2-TRƯA9"/>
      <sheetName val="1_3+1_4-TOTAL_-_Ko_IN9"/>
      <sheetName val="2_1-LẦN_3-CHIỀU9"/>
      <sheetName val="2_1-LẦN_1-SÁNG9"/>
      <sheetName val="2_1-LẦN_2-TRƯA9"/>
      <sheetName val="2_1-TOTAL-Ko_IN9"/>
      <sheetName val="1_3(TMR_4)9"/>
      <sheetName val="CHO_DE9"/>
      <sheetName val="1_1+1_2+2_2+2_3(TMR_3)9"/>
      <sheetName val="CK1+CK2_(VS_SAN_CHOI_23)9"/>
      <sheetName val="CK1+CK2_(2)9"/>
      <sheetName val="12-16_THÁNG9"/>
      <sheetName val="CAN_SỮA9"/>
      <sheetName val="54+55+56(SAU_CAI_SỮA-6)9"/>
      <sheetName val="BÊ_71-90_NGÀY9"/>
      <sheetName val="BÊ_12-16_tháng9"/>
      <sheetName val="BÊ_6-129"/>
      <sheetName val="BÊ_1-39"/>
      <sheetName val="F01-BC_KHAU_PHAN_SANG_20_39"/>
      <sheetName val="F01-BC_KHAU_PHAN_CHIEU_19_39"/>
      <sheetName val="dinh_mưc_cty9"/>
      <sheetName val="Giá_thành9"/>
      <sheetName val="Thong_ke9"/>
      <sheetName val="Energy_for_milk_prod9"/>
      <sheetName val="DE_NGHI_XUAT_9"/>
      <sheetName val="phieu_xuat_mau9"/>
      <sheetName val="PHIEU_XUAT_CHIEU9"/>
      <sheetName val="11_rai_them_cỏ9"/>
      <sheetName val="PHU_LUC_02-_HDSD_CAC_BIEU_MAU9"/>
      <sheetName val="PhU_LUC_01-_MA_CAC_NHOM_BO9"/>
      <sheetName val="F03-BC_THUC_TRON_SANG_20_39"/>
      <sheetName val="F03-BC_THUC_TRON_CHIEU_19_39"/>
      <sheetName val="F02-BC_THEO_DOI_THUC_AN_DU9"/>
      <sheetName val="Tham_khao-_Bao_cao_xuat_thuc_a9"/>
      <sheetName val="VC_xd7"/>
      <sheetName val="Gia_VLTB7"/>
      <sheetName val="B_Luong7"/>
      <sheetName val="C_May7"/>
      <sheetName val="Dlieu_dau_vao9"/>
      <sheetName val="Income_Statement9"/>
      <sheetName val="Shareholders'_Equity9"/>
      <sheetName val="BANCO_(2)9"/>
      <sheetName val="MT_DPin_(2)9"/>
      <sheetName val="02__PTDG9"/>
      <sheetName val="Chiết_tính9"/>
      <sheetName val="TB_NẶNG7"/>
      <sheetName val="Du_tru_CP-Bieu_017"/>
      <sheetName val="Don_gia_(khong_in)9"/>
      <sheetName val="DK1_Don_gia9"/>
      <sheetName val="1_MONG_1-29"/>
      <sheetName val="THEP_TAM7"/>
      <sheetName val="THEP_HÌNH7"/>
      <sheetName val="THEP_HINH7"/>
      <sheetName val="XA_GO7"/>
      <sheetName val="BANG_TRA7"/>
      <sheetName val="wk_prgs7"/>
      <sheetName val="Ma_don_vi7"/>
      <sheetName val="bang_cc7"/>
      <sheetName val="dm_3667"/>
      <sheetName val="DM_60607"/>
      <sheetName val="Dự_thầu7"/>
      <sheetName val="Nhap_VT_oto7"/>
      <sheetName val="Hao_phí7"/>
      <sheetName val="Structure_data7"/>
      <sheetName val="đọc_số7"/>
      <sheetName val="Bill_No_3_-_Prov__Sum_(Ph2&amp;3)7"/>
      <sheetName val="TH_TN7"/>
      <sheetName val="CP_Du_phong7"/>
      <sheetName val="THCP_Lap_dat7"/>
      <sheetName val="THCP_xay_dung7"/>
      <sheetName val="Tong_hop_kinh_phi7"/>
      <sheetName val="Dự_toán7"/>
      <sheetName val="Đơn_Giá_TH7"/>
      <sheetName val="Nhân_công7"/>
      <sheetName val="Phân_tích7"/>
      <sheetName val="C_P_Thiết_bị7"/>
      <sheetName val="T_H_Kinh_phí7"/>
      <sheetName val="Vật_tư7"/>
      <sheetName val="Trang_bìa7"/>
      <sheetName val="Don_gia_chi_tiet_DIEN_26"/>
      <sheetName val="Data_Wall7"/>
      <sheetName val="2_1Warehouse_17"/>
      <sheetName val="AG_Pipe_Qty_Analysis7"/>
      <sheetName val="Main_Bldg-Rev027"/>
      <sheetName val="D&amp;W_def_7"/>
      <sheetName val="Nhan_cong7"/>
      <sheetName val="Thiet_bi7"/>
      <sheetName val="Vat_tu7"/>
      <sheetName val="DM_ChiPhi7"/>
      <sheetName val="May_TC7"/>
      <sheetName val="TH_Kinh_phi7"/>
      <sheetName val="Ptvl_7"/>
      <sheetName val="Ｎｏ_137"/>
      <sheetName val="DGchitiet_7"/>
      <sheetName val="CP_HMC7"/>
      <sheetName val="HỆ_THỐNG_PHÒNG_CHÁY_CHỮA_CHÁY7"/>
      <sheetName val="HỆ_THỐNG_CẤP_THOÁT_NƯỚC7"/>
      <sheetName val="HỆ_THỐNG_ĐHKK7"/>
      <sheetName val="MÁY_PHÁT_ĐIỆN7"/>
      <sheetName val="HỆ_THỐNG_ĐIỆN7"/>
      <sheetName val="Thiết_bị_chính7"/>
      <sheetName val="CHI_PHI7"/>
      <sheetName val="TK_chi_tiet7"/>
      <sheetName val="Bill_2-Road_HR27"/>
      <sheetName val="Bill_3_-_Softscape_HR27"/>
      <sheetName val="CĂN_HỘ_T16-17_7"/>
      <sheetName val="TRỤC_ĐỨNG_THOÁT_BẨN_T15-177"/>
      <sheetName val="TRỤC_ĐỨNG_TM_T15-177"/>
      <sheetName val="Móng,_nền_7"/>
      <sheetName val="1_Requisition(E)7"/>
      <sheetName val="TONG_HOP7"/>
      <sheetName val="Tổng_GT7"/>
      <sheetName val="Chi_tiết_KL7"/>
      <sheetName val="khấu_trừ_phạt7"/>
      <sheetName val="GT__KHAU_TRU7"/>
      <sheetName val="HAO_HUT_VAT_TU_(2)7"/>
      <sheetName val="cao_độ7"/>
      <sheetName val="phan_tic_chi_tiet7"/>
      <sheetName val="DG_14266"/>
      <sheetName val="Theo_doi_Doanh_thu_20176"/>
      <sheetName val="KL_THEP__GIAM_DO_DUNG_COUPLER6"/>
      <sheetName val="01_KL_THÉP_NHẬP_VỀ6"/>
      <sheetName val="2__NT_VLDV6"/>
      <sheetName val="GHI_CHU6"/>
      <sheetName val="1_BB_LMHT6"/>
      <sheetName val="gui_BKCT6"/>
      <sheetName val="Gia_vat_lieu6"/>
      <sheetName val="Precios_unitarios_AXH6"/>
      <sheetName val="Chi_tiet_cong_no7"/>
      <sheetName val="PHÁT_SINH_TẦNG_1_7"/>
      <sheetName val="PHÁT_SINH_TẦNG_27"/>
      <sheetName val="Hầm_chuyển_psinh7"/>
      <sheetName val="Ống_thẳng7"/>
      <sheetName val="Côn_thu7"/>
      <sheetName val="Vuông_tròn7"/>
      <sheetName val="Chân_rẽ7"/>
      <sheetName val="Chạc_ba7"/>
      <sheetName val="MB_DT_025"/>
      <sheetName val="3__CNT6"/>
      <sheetName val="unit_price_list(M)6"/>
      <sheetName val="So_lieu_chung6"/>
      <sheetName val="TH_VL,_NC,_DDHT_Thanhphuoc6"/>
      <sheetName val="Chi_tiet_-tong_9_thang6"/>
      <sheetName val="BẢNG_ÁP_GIÁ_(in)6"/>
      <sheetName val="NT_(KL)_IN6"/>
      <sheetName val="DOM_D26"/>
      <sheetName val="nhà_ăn6"/>
      <sheetName val="Công_nhật6"/>
      <sheetName val="btkt_cột6"/>
      <sheetName val="Bê_tông_bảo_vệ6"/>
      <sheetName val="01__Data6"/>
      <sheetName val="Neo,_nối_cốt_thép_dầm,_cột6"/>
      <sheetName val="Uốn_móc_cốt_thép6"/>
      <sheetName val="Tiêu_chuẩn_cốt_thép6"/>
      <sheetName val="Doi_so6"/>
      <sheetName val="1_2_Staff_Schedule6"/>
      <sheetName val="0__Input6"/>
      <sheetName val="DANH_MỤC_HỒ_SƠ6"/>
      <sheetName val="GT_PHÁT_SINH_NGOÀI_HĐ6"/>
      <sheetName val="KL_PHÁT_SINH_6"/>
      <sheetName val="PS_NGOÀI_HĐ6"/>
      <sheetName val="GT_PHÁT_SINH_VƯỢT_HĐ6"/>
      <sheetName val="PS_TĂNG_GIẢM_TRONG_HĐ6"/>
      <sheetName val="DGCT_PHÁT_SINH6"/>
      <sheetName val="DGCT_TRẦN_NLV6"/>
      <sheetName val="DGKL_chi_tiết_NLV6"/>
      <sheetName val="DGKL_chi_tiết_NHN,NK6"/>
      <sheetName val="TG_KL6"/>
      <sheetName val="DGCT_SƠN_BẢ_TƯỜNG_NLV6"/>
      <sheetName val="DGKL_TRẦN_NHN6"/>
      <sheetName val="MTO_REV_2(ARMOR)6"/>
      <sheetName val="Cotthep_NPT6"/>
      <sheetName val="vl_nc_mtc6"/>
      <sheetName val="Heso_DZ6"/>
      <sheetName val="DM_336cai_tao6"/>
      <sheetName val="DG_BINH_THUAN6"/>
      <sheetName val="Tien_Thuong6"/>
      <sheetName val="NC_XL_6T_cuoi_01_CTy6"/>
      <sheetName val="Data_-6T_dau6"/>
      <sheetName val="Cong_6T6"/>
      <sheetName val="KL_thep_lam_sat6"/>
      <sheetName val="B3A_-_TOWER_A6"/>
      <sheetName val="Annex_B6"/>
      <sheetName val="Bill_Prelim-CDT6"/>
      <sheetName val="Bill_BPTC-CDT6"/>
      <sheetName val="Chi_tiết_BPTC6"/>
      <sheetName val="Bill_BPTC-CDT_(PA_MCT_CDT)6"/>
      <sheetName val="Chi_tiết_BPTC_(PA_MCT_CDT)6"/>
      <sheetName val="1_Civil_(Org)6"/>
      <sheetName val="DM-VNT_ko_sd6"/>
      <sheetName val="Bảng_đo_bóc_KL_OLK-096"/>
      <sheetName val="6_3_CHI_TIET_OLK-096"/>
      <sheetName val="1__Office6"/>
      <sheetName val="KHOI_LUONG15-46"/>
      <sheetName val="Tong_hop_vat_tu6"/>
      <sheetName val="1_San_6"/>
      <sheetName val="TLG_Type6"/>
      <sheetName val="Dgia_vat_tu6"/>
      <sheetName val="Don_gia_III6"/>
      <sheetName val="D÷_liÖu6"/>
      <sheetName val="Dot_46"/>
      <sheetName val="Thop_Ksat6"/>
      <sheetName val="Thu_hoi_6"/>
      <sheetName val="HM_chung6"/>
      <sheetName val="CP_xd-thiet_bi6"/>
      <sheetName val="TH-TN_LD_TB6"/>
      <sheetName val="CP_xaydung6"/>
      <sheetName val="Thao_ha_phu_kien6"/>
      <sheetName val="VL-NC-MTC_ket_cau6"/>
      <sheetName val="KHOI_LUONG_TONG6"/>
      <sheetName val="TK_22KV6"/>
      <sheetName val="DM_366-17776"/>
      <sheetName val="Thi_nhiem6"/>
      <sheetName val="Gia_goc_VT-TB6"/>
      <sheetName val="Gia_vc_den_chan_CT6"/>
      <sheetName val="culy_226"/>
      <sheetName val="Luong_20506"/>
      <sheetName val="ca_may_QN6"/>
      <sheetName val="TNHC1246_6"/>
      <sheetName val="Ca_may_TT06_20106"/>
      <sheetName val="Don_gia_VLXD_dia_phuong6"/>
      <sheetName val="Bang_luong_SCL6"/>
      <sheetName val="Dinh_muc_TN14266"/>
      <sheetName val="HRG_BHN6"/>
      <sheetName val="CĂN_ĐH6"/>
      <sheetName val="Chi_phi_van_chuyen6"/>
      <sheetName val="TH_các_CC6"/>
      <sheetName val="Div26_-_Elect6"/>
      <sheetName val="7_Khau_tru_6"/>
      <sheetName val="Q_A01_2-Sh6"/>
      <sheetName val="4_CĂN6"/>
      <sheetName val="2_CDPS6"/>
      <sheetName val="Don_gia_NC6"/>
      <sheetName val="DT_hợp_đồng5"/>
      <sheetName val="Bảng_KL_đợt_15"/>
      <sheetName val="Danh_mục5"/>
      <sheetName val="Bieu_gia_HD5"/>
      <sheetName val="Summary_Sheet5"/>
      <sheetName val="Finishing-Tower_A5"/>
      <sheetName val="Finishing-Tower_B5"/>
      <sheetName val="Finishing-Tower_C5"/>
      <sheetName val="Finishing-Tower_D5"/>
      <sheetName val="MEP-Tower_A5"/>
      <sheetName val="MEP-Tower_B5"/>
      <sheetName val="MEP-Tower_C5"/>
      <sheetName val="MEP-Tower_D5"/>
      <sheetName val="Cost_Report_Sum5"/>
      <sheetName val="Detail_Cost_Sum5"/>
      <sheetName val="RVO-VO_Sum5"/>
      <sheetName val="Potential_VOs_Sum5"/>
      <sheetName val="Cash_Flow_Sum5"/>
      <sheetName val="BTK-Dai_Hoc_Kien_Giang5"/>
      <sheetName val="PV_Graph_Data5"/>
      <sheetName val="doanh_thu5"/>
      <sheetName val="Dutoan_KL5"/>
      <sheetName val="CAP_NUOC5"/>
      <sheetName val="cấp_nước_trục_nhà_vs5"/>
      <sheetName val="THOAT_NUOC5"/>
      <sheetName val="THOAT_MUA5"/>
      <sheetName val="Cáp_phòng5"/>
      <sheetName val="TMC_ĐIỆN_Phi5"/>
      <sheetName val="TMC_Tổng5"/>
      <sheetName val="TH_Đèn_Phòng_L15"/>
      <sheetName val="TH_Đèn_Hầm_L15"/>
      <sheetName val="TỦ_MODULE_T15"/>
      <sheetName val="B-2__(DPP)6"/>
      <sheetName val="Huong_dan5"/>
      <sheetName val="gia_vt,nc,may5"/>
      <sheetName val="Financ__Overview5"/>
      <sheetName val="TINH_GIA_-_SAN_XUAT_Vertico5"/>
      <sheetName val="13_BANG_CT5"/>
      <sheetName val="14_MMUS_GIUA_NHIP5"/>
      <sheetName val="4_HSPBngang5"/>
      <sheetName val="6_Tinh_tai5"/>
      <sheetName val="2_NSl5"/>
      <sheetName val="17_US_CHU_tho_a_b5"/>
      <sheetName val="15_MMUS_GOI5"/>
      <sheetName val="DZ_22KV5"/>
      <sheetName val="Kê_0,45"/>
      <sheetName val="TH_0,45"/>
      <sheetName val="Kê_225"/>
      <sheetName val="TH_225"/>
      <sheetName val="TBA_CAI_TAO5"/>
      <sheetName val="TBA_XDM5"/>
      <sheetName val="TONG_HOP_DU_TOAN5"/>
      <sheetName val="Thop_XAY_DUNG5"/>
      <sheetName val="CP_HANG_MUC_CHUNG5"/>
      <sheetName val="CHI_PHI_XD5"/>
      <sheetName val="CHI_PHI_THI_NGHIEM5"/>
      <sheetName val="VLDIEN_225"/>
      <sheetName val="Dao_dat5"/>
      <sheetName val="TH_Denbu5"/>
      <sheetName val="Do_ve_DC5"/>
      <sheetName val="TH_Bommin5"/>
      <sheetName val="CHI_PHI_THI_NGHIEM-LD_thiet_bi5"/>
      <sheetName val="Luong_TT015"/>
      <sheetName val="Camay_QB5"/>
      <sheetName val="gia_ca_may_BXD5"/>
      <sheetName val="BANG_LUONG_KY_SU5"/>
      <sheetName val="Bang_luong_NHOM_I5"/>
      <sheetName val="Bangluong_NHOM_II_5"/>
      <sheetName val="09-GIA_nhien_lieu-ko_in5"/>
      <sheetName val="Tinh_V_cot_chiem_cho5"/>
      <sheetName val="ĐM_13545"/>
      <sheetName val="KHOAN_MAU5"/>
      <sheetName val="ĐO_ĐỊA_VẬT_LÝ5"/>
      <sheetName val="khoan_tiep_dia5"/>
      <sheetName val="Tổng_hợp_KPHM5"/>
      <sheetName val="Dinh_muc5"/>
      <sheetName val="GIÁ_DỰ_THẦU_30_CĂN5"/>
      <sheetName val="5_2_1_Đo_bóc_KL_OLK-065"/>
      <sheetName val="KS_tuyen5"/>
      <sheetName val="Bang_chiet_tinh_TBA5"/>
      <sheetName val="4_2_1_Đo_bóc_KL_OLK-065"/>
      <sheetName val="4_1_1_CHI_TIET_OLK-065"/>
      <sheetName val="DG_Chi_tiet5"/>
      <sheetName val="_1710_HOINGHINLD5"/>
      <sheetName val="99_(2)5"/>
      <sheetName val="134_5"/>
      <sheetName val="DG_49705"/>
      <sheetName val="Cash_Flow5"/>
      <sheetName val="BU_LONG5"/>
      <sheetName val="DT__NHA_XUONG5"/>
      <sheetName val="EQUIP_LIST5"/>
      <sheetName val="THONG_SO5"/>
      <sheetName val="Đơn_giá_chi_tiết_TN_395"/>
      <sheetName val="HERD_MOVEMENTFARM17"/>
      <sheetName val="HERD_MOVEMENTFARM27"/>
      <sheetName val="CALVES_2-47"/>
      <sheetName val="Cavles_2-47"/>
      <sheetName val="CALVES_4-77"/>
      <sheetName val="HEIFER_7-12m7"/>
      <sheetName val="HEIFER_12+7"/>
      <sheetName val="FRESH_COW_2017-187"/>
      <sheetName val="HP_COW_20187"/>
      <sheetName val="LP_COW_2017-187"/>
      <sheetName val="DRY_COW7"/>
      <sheetName val="FIELD_CROPS7"/>
      <sheetName val="So_sanh5"/>
      <sheetName val="Electrical_Works5"/>
      <sheetName val="H_T__INCOMING_SYSTEM5"/>
      <sheetName val="Tính_giá_NC5"/>
      <sheetName val="Tiên_lượng5"/>
      <sheetName val="SL_cước5"/>
      <sheetName val="¥_5"/>
      <sheetName val="Gia_VT-TB5"/>
      <sheetName val="noi_suy_xa5"/>
      <sheetName val="noi_suy_xa_thu_hoi5"/>
      <sheetName val="Thuyết_minh5"/>
      <sheetName val="Đơn_giá_máy5"/>
      <sheetName val="Tong_DT4"/>
      <sheetName val="phan_tich_don_gia4"/>
      <sheetName val="Bill_No_1_65"/>
      <sheetName val="Bill_No_1_105"/>
      <sheetName val="Bill_No_3_35"/>
      <sheetName val="Bill_No_1_45"/>
      <sheetName val="Bill_No_1_75"/>
      <sheetName val="Summary_Bill_No__35"/>
      <sheetName val="DT_san_XD-So_lieu_cu4"/>
      <sheetName val="FF-2_(1)4"/>
      <sheetName val="Labour_Summary17"/>
      <sheetName val="YTD_12'20034"/>
      <sheetName val="YTD_06'20034"/>
      <sheetName val="YTD_03'20034"/>
      <sheetName val="YTD_09'20034"/>
      <sheetName val="deferred_taxes4"/>
      <sheetName val="Eqpmnt_Plng4"/>
      <sheetName val="TRIAL_BALANCE4"/>
      <sheetName val="DPR_31st_march4"/>
      <sheetName val="current_month4"/>
      <sheetName val="Blng__Vs_Coll_4"/>
      <sheetName val="Unit_price4"/>
      <sheetName val="Bán_đợt_1_trang4"/>
      <sheetName val="Chiet_tinh_dz354"/>
      <sheetName val="3__KC_-_PODIUM4"/>
      <sheetName val="CTDZ6kv_(gd1)_4"/>
      <sheetName val="CTDZ_0_4+cto_(GD1)4"/>
      <sheetName val="CTTBA_(gd1)4"/>
      <sheetName val="03_Detailed4"/>
      <sheetName val="01_Bid_Price_summary4"/>
      <sheetName val="Home_Office_Manhours4"/>
      <sheetName val="Field_SPV_Barchart4"/>
      <sheetName val="Tien_Luong4"/>
      <sheetName val="Unit_price(Updateting)4"/>
      <sheetName val="Cost_List4"/>
      <sheetName val="Detail_Cost4"/>
      <sheetName val="IC_Price_New4"/>
      <sheetName val="Summary_Table4"/>
      <sheetName val="Sales_Person4"/>
      <sheetName val="Bidding_Entity4"/>
      <sheetName val="CHITIET_VL-NCHT1_(2)4"/>
      <sheetName val="Bù_giá_CM4"/>
      <sheetName val="Breakdown_(B)4"/>
      <sheetName val="U_P_Breakdown4"/>
      <sheetName val="IMF_Code4"/>
      <sheetName val="Subsidiary_Calculation4"/>
      <sheetName val="Phu_Bai_Bridge4"/>
      <sheetName val="5_2_1_Đo_bóc_KL_OLK-104"/>
      <sheetName val="BẢNG_DIỄN_GIẢI_KL_(7)4"/>
      <sheetName val="don_gia_14264"/>
      <sheetName val="Luong_BN4"/>
      <sheetName val="Luong_TB4"/>
      <sheetName val="Ca_may_TB4"/>
      <sheetName val="Ca_máy_BN4"/>
      <sheetName val="Vật_liệu4"/>
      <sheetName val="LX_-TT054"/>
      <sheetName val="NC_Moi_TT054"/>
      <sheetName val="Bia_lot4"/>
      <sheetName val="PU_ITALY_27"/>
      <sheetName val="TH_DZ3515"/>
      <sheetName val="Tro_giup26"/>
      <sheetName val="RAB_AR&amp;STR13"/>
      <sheetName val="chi_tiet_TBA13"/>
      <sheetName val="chi_tiet_C13"/>
      <sheetName val="Customize_Your_Purchase_Order13"/>
      <sheetName val="CHITIET_VL-NC-TT_-1p13"/>
      <sheetName val="CHITIET_VL-NC-TT-3p12"/>
      <sheetName val="TONG_HOP_VL-NC_TT13"/>
      <sheetName val="KPVC-BD_13"/>
      <sheetName val="Don_gia13"/>
      <sheetName val="DON_GIA_TRAM_(3)13"/>
      <sheetName val="DON_GIA_CAN_THO15"/>
      <sheetName val="Don_gia_chi_tiet13"/>
      <sheetName val="HĐ_ngoài12"/>
      <sheetName val="XT_Buoc_312"/>
      <sheetName val="dongia_(2)12"/>
      <sheetName val="7606_DZ13"/>
      <sheetName val="project_management12"/>
      <sheetName val="Adix_A12"/>
      <sheetName val="S-curve_12"/>
      <sheetName val="REINF_12"/>
      <sheetName val="Rates_200912"/>
      <sheetName val="So_doi_chieu_LC12"/>
      <sheetName val="MAIN_GATE_HOUSE12"/>
      <sheetName val="Commercial_value12"/>
      <sheetName val="Du_toan12"/>
      <sheetName val="Ky_Lam_Bridge12"/>
      <sheetName val="Provisional_Sums_Item12"/>
      <sheetName val="Gas_Pressure_Welding12"/>
      <sheetName val="General_Item&amp;General_Requirem12"/>
      <sheetName val="General_Items12"/>
      <sheetName val="Regenral_Requirements12"/>
      <sheetName val="chiet_tinh12"/>
      <sheetName val="Ng_hàng_xà+bulong12"/>
      <sheetName val="MH_RATE12"/>
      <sheetName val="TONG_HOP_VL-NC12"/>
      <sheetName val="Bang_KL12"/>
      <sheetName val="Đầu_vào11"/>
      <sheetName val="Lcau_-_Lxuc12"/>
      <sheetName val="Chi_tiet_XD_TBA11"/>
      <sheetName val="DM_606112"/>
      <sheetName val="DG_thep_ma_kem12"/>
      <sheetName val="CT_vat_lieu12"/>
      <sheetName val="Equip_11"/>
      <sheetName val="A1_CN11"/>
      <sheetName val="TONG_HOP_T5_199811"/>
      <sheetName val="Chenh_lech_vat_tu11"/>
      <sheetName val="Trạm_biến_áp11"/>
      <sheetName val="Đơn_Giá_11"/>
      <sheetName val="Diện_tích11"/>
      <sheetName val="1_Khái_toán11"/>
      <sheetName val="CT-0_4KV11"/>
      <sheetName val="DG_DZ12"/>
      <sheetName val="DG_TBA12"/>
      <sheetName val="rate_material11"/>
      <sheetName val="KL_Chi_tiết_Xây_tô11"/>
      <sheetName val="07Base_Cost11"/>
      <sheetName val="GV1-D13_(Casement_door)11"/>
      <sheetName val="Bill_1_Quy_dinh_chung11"/>
      <sheetName val="1_R18_BF11"/>
      <sheetName val="6_External_works-R1811"/>
      <sheetName val="Phan_khai_KLuong11"/>
      <sheetName val="Chi_tiet_KL11"/>
      <sheetName val="Tổng_hợp_KL11"/>
      <sheetName val="04_-_XUONG_DET_B11"/>
      <sheetName val="_0311"/>
      <sheetName val="chieu_day_san11"/>
      <sheetName val="Podium_Concrete_Works11"/>
      <sheetName val="KLCT-_TOWER11"/>
      <sheetName val="KLCT-_PODIUM11"/>
      <sheetName val="Area_Cal11"/>
      <sheetName val="Gia_thanh_chuoi_su11"/>
      <sheetName val="Tiep_dia11"/>
      <sheetName val="Don_gia_vung_III-Can_Tho11"/>
      <sheetName val="Loại_Vật_tư11"/>
      <sheetName val="Elect_(3)11"/>
      <sheetName val="plan&amp;section_of_foundation11"/>
      <sheetName val="design_criteria11"/>
      <sheetName val="Bond_수수료_계산_포맷11"/>
      <sheetName val="ITB_COST11"/>
      <sheetName val="PAGE_111"/>
      <sheetName val="Xay_lapduongR311"/>
      <sheetName val="DM_6711"/>
      <sheetName val="Project_Data11"/>
      <sheetName val="6787CWFASE2CASE2_00_xls11"/>
      <sheetName val="Đầu_tư11"/>
      <sheetName val="EIRR&gt;_211"/>
      <sheetName val="Bill_02_-_Xay_gach-Pou_11"/>
      <sheetName val="Bill_03-Chống_thấm-Pou11"/>
      <sheetName val="Bill_04-Kim_loại-Pou11"/>
      <sheetName val="Bill_05_-_Hoan_thien-Pou_11"/>
      <sheetName val="Bill_02_-_Xay_gach-Tower11"/>
      <sheetName val="Bill_03-Chống_thấm-Tower11"/>
      <sheetName val="Bill_04-Kim_loại-Tower11"/>
      <sheetName val="Bill_05_-_Hoan_thien-Tower11"/>
      <sheetName val="KL-_KHAC11"/>
      <sheetName val="BILL_3_-_KẾT_CẤU_HẦM11"/>
      <sheetName val="PTĐG_LTBT11"/>
      <sheetName val="CTG-PRECHEx1_411"/>
      <sheetName val="CTG-AB_(2)11"/>
      <sheetName val="CTG-AB_(3)11"/>
      <sheetName val="CTG-PLP-1_0811"/>
      <sheetName val="Pre_Đội_nhóm11"/>
      <sheetName val="Vat_tu_XD11"/>
      <sheetName val="Tower_-_Concrete_Works11"/>
      <sheetName val="Bill-04_ket_cau_thap-_UNI11"/>
      <sheetName val="dg_tphcm11"/>
      <sheetName val="T_KÊ_K_CẤU11"/>
      <sheetName val="gia_cong_tac11"/>
      <sheetName val="4_PTDG11"/>
      <sheetName val="A1,_May11"/>
      <sheetName val="Vat_lieu11"/>
      <sheetName val="Data_Input12"/>
      <sheetName val="Measure_130611"/>
      <sheetName val="HÐ_ngoài12"/>
      <sheetName val="6PILE__(돌출)11"/>
      <sheetName val="Door_and_window6"/>
      <sheetName val="Bill_01_-_CTN11"/>
      <sheetName val="Bill_2_2_Villa_2_beds11"/>
      <sheetName val="Analisa_Gabungan11"/>
      <sheetName val="Isolasi_Luar_Dalam11"/>
      <sheetName val="Isolasi_Luar11"/>
      <sheetName val="Harga_ME_11"/>
      <sheetName val="TH_N_Cong11"/>
      <sheetName val="ESTI_11"/>
      <sheetName val="KL_san_lap11"/>
      <sheetName val="TH_Vat_tu11"/>
      <sheetName val="_Bill_5-Earthing_2_-_Add_Work11"/>
      <sheetName val="Chenh_lech_ca_may11"/>
      <sheetName val="TLg_CN&amp;Laixe11"/>
      <sheetName val="TLg_CN&amp;Laixe_(2)11"/>
      <sheetName val="TLg_Laitau11"/>
      <sheetName val="TLg_Laitau_(2)11"/>
      <sheetName val="Bang_trong_luong_rieng_thep11"/>
      <sheetName val="Cước_VC_+_ĐM_CP_Tư_vấn11"/>
      <sheetName val="Hệ_số11"/>
      <sheetName val="DETAIL_11"/>
      <sheetName val="final_list_200527"/>
      <sheetName val="LV_data11"/>
      <sheetName val="Gia_vat_tu11"/>
      <sheetName val="CẤP_THOÁT_NƯỚC11"/>
      <sheetName val="THDT_goi_thau_TB11"/>
      <sheetName val="Tien_do_TV11"/>
      <sheetName val="bridge_#_111"/>
      <sheetName val="Bang_3_Chi_tiet_phan_Dz11"/>
      <sheetName val="KHOI_LUONG11"/>
      <sheetName val="TH_MTC11"/>
      <sheetName val="CTKL_KTX_HT10"/>
      <sheetName val="Buy_vs__Lease_Car11"/>
      <sheetName val="DATA_BASE11"/>
      <sheetName val="Equipment_list_(PAC)11"/>
      <sheetName val="TINH_KHOI_LUONG11"/>
      <sheetName val="Chi_tiet11"/>
      <sheetName val="subcon_sched11"/>
      <sheetName val="NHÀ_NHẬP_LIỆU10"/>
      <sheetName val="MÓNG_SILO10"/>
      <sheetName val="PRE_(E)11"/>
      <sheetName val="HVAC_BLOCK_B411"/>
      <sheetName val="2_Chiet_tinh10"/>
      <sheetName val="BẢNG_KHỐI_LƯỢNG_TỔNG_HỢP10"/>
      <sheetName val="CP_Khac_cuoc_VC10"/>
      <sheetName val="Budget_Code10"/>
      <sheetName val="Tong_du_toan10"/>
      <sheetName val="Bill_2_-_ketcau10"/>
      <sheetName val="Chi_tiet_lan_can10"/>
      <sheetName val="sochitiettaikhoan_10"/>
      <sheetName val="Share_price_data10"/>
      <sheetName val="19_310"/>
      <sheetName val="20_310"/>
      <sheetName val="Chieu_4_310"/>
      <sheetName val="Cow_req10"/>
      <sheetName val="TỔNG_HỢP10"/>
      <sheetName val="14-LẦN_3-CHIỀU10"/>
      <sheetName val="14-LẦN_1-SÁNG10"/>
      <sheetName val="14-LẦN_2-TRƯA10"/>
      <sheetName val="1_3+1_4-TOTAL_-_Ko_IN10"/>
      <sheetName val="2_1-LẦN_3-CHIỀU10"/>
      <sheetName val="2_1-LẦN_1-SÁNG10"/>
      <sheetName val="2_1-LẦN_2-TRƯA10"/>
      <sheetName val="2_1-TOTAL-Ko_IN10"/>
      <sheetName val="1_3(TMR_4)10"/>
      <sheetName val="CHO_DE10"/>
      <sheetName val="1_1+1_2+2_2+2_3(TMR_3)10"/>
      <sheetName val="CK1+CK2_(VS_SAN_CHOI_23)10"/>
      <sheetName val="CK1+CK2_(2)10"/>
      <sheetName val="12-16_THÁNG10"/>
      <sheetName val="CAN_SỮA10"/>
      <sheetName val="54+55+56(SAU_CAI_SỮA-6)10"/>
      <sheetName val="BÊ_71-90_NGÀY10"/>
      <sheetName val="BÊ_12-16_tháng10"/>
      <sheetName val="BÊ_6-1210"/>
      <sheetName val="BÊ_1-310"/>
      <sheetName val="F01-BC_KHAU_PHAN_SANG_20_310"/>
      <sheetName val="F01-BC_KHAU_PHAN_CHIEU_19_310"/>
      <sheetName val="dinh_mưc_cty10"/>
      <sheetName val="Giá_thành10"/>
      <sheetName val="Thong_ke10"/>
      <sheetName val="Energy_for_milk_prod10"/>
      <sheetName val="DE_NGHI_XUAT_10"/>
      <sheetName val="phieu_xuat_mau10"/>
      <sheetName val="PHIEU_XUAT_CHIEU10"/>
      <sheetName val="11_rai_them_cỏ10"/>
      <sheetName val="PHU_LUC_02-_HDSD_CAC_BIEU_MAU10"/>
      <sheetName val="PhU_LUC_01-_MA_CAC_NHOM_BO10"/>
      <sheetName val="F03-BC_THUC_TRON_SANG_20_310"/>
      <sheetName val="F03-BC_THUC_TRON_CHIEU_19_310"/>
      <sheetName val="F02-BC_THEO_DOI_THUC_AN_DU10"/>
      <sheetName val="Tham_khao-_Bao_cao_xuat_thuc_10"/>
      <sheetName val="13-Cốt_thép_(10mm&lt;D≤18mm)_FO110"/>
      <sheetName val="du_lieu_du_toan10"/>
      <sheetName val="BANCO_(2)10"/>
      <sheetName val="MT_DPin_(2)10"/>
      <sheetName val="BOQ_THAN10"/>
      <sheetName val="DL_ĐẦU_VÀO10"/>
      <sheetName val="D_&amp;_W_sizes10"/>
      <sheetName val="Analisa_&amp;_Upah10"/>
      <sheetName val="Purchase_Order10"/>
      <sheetName val="Du_lieu11"/>
      <sheetName val="Phan_tich10"/>
      <sheetName val="Luong_NII10"/>
      <sheetName val="DINH_MUC_THI_NGHIEM10"/>
      <sheetName val="Luong_NI10"/>
      <sheetName val="CT_Thang_Mo10"/>
      <sheetName val="CT__PL10"/>
      <sheetName val="dongia__2_10"/>
      <sheetName val="Thép_CKN10"/>
      <sheetName val="GOC-KO_IN10"/>
      <sheetName val="MAU_8A10"/>
      <sheetName val="MAU_8B10"/>
      <sheetName val="MAU_910"/>
      <sheetName val="MAU_1010"/>
      <sheetName val="cash_budget10"/>
      <sheetName val="Dlieu_dau_vao10"/>
      <sheetName val="CHI_PHI8"/>
      <sheetName val="02__PTDG10"/>
      <sheetName val="Chiết_tính10"/>
      <sheetName val="DK1_Don_gia10"/>
      <sheetName val="Income_Statement10"/>
      <sheetName val="Shareholders'_Equity10"/>
      <sheetName val="VC_xd8"/>
      <sheetName val="Gia_VLTB8"/>
      <sheetName val="B_Luong8"/>
      <sheetName val="C_May8"/>
      <sheetName val="Don_gia_(khong_in)10"/>
      <sheetName val="1_MONG_1-210"/>
      <sheetName val="TB_NẶNG8"/>
      <sheetName val="Du_tru_CP-Bieu_018"/>
      <sheetName val="dm_3668"/>
      <sheetName val="DM_60608"/>
      <sheetName val="Dự_thầu8"/>
      <sheetName val="Nhap_VT_oto8"/>
      <sheetName val="Hao_phí8"/>
      <sheetName val="Ma_don_vi8"/>
      <sheetName val="bang_cc8"/>
      <sheetName val="Structure_data8"/>
      <sheetName val="TH_TN8"/>
      <sheetName val="Bill_No_3_-_Prov__Sum_(Ph2&amp;3)8"/>
      <sheetName val="đọc_số8"/>
      <sheetName val="CP_Du_phong8"/>
      <sheetName val="THCP_Lap_dat8"/>
      <sheetName val="THCP_xay_dung8"/>
      <sheetName val="Tong_hop_kinh_phi8"/>
      <sheetName val="CP_HMC8"/>
      <sheetName val="HỆ_THỐNG_PHÒNG_CHÁY_CHỮA_CHÁY8"/>
      <sheetName val="HỆ_THỐNG_CẤP_THOÁT_NƯỚC8"/>
      <sheetName val="HỆ_THỐNG_ĐHKK8"/>
      <sheetName val="MÁY_PHÁT_ĐIỆN8"/>
      <sheetName val="HỆ_THỐNG_ĐIỆN8"/>
      <sheetName val="Thiết_bị_chính8"/>
      <sheetName val="Ｎｏ_138"/>
      <sheetName val="DGchitiet_8"/>
      <sheetName val="wk_prgs8"/>
      <sheetName val="AG_Pipe_Qty_Analysis8"/>
      <sheetName val="2_1Warehouse_18"/>
      <sheetName val="CĂN_HỘ_T16-17_8"/>
      <sheetName val="TRỤC_ĐỨNG_THOÁT_BẨN_T15-178"/>
      <sheetName val="TRỤC_ĐỨNG_TM_T15-178"/>
      <sheetName val="TK_chi_tiet8"/>
      <sheetName val="Bill_2-Road_HR28"/>
      <sheetName val="Bill_3_-_Softscape_HR28"/>
      <sheetName val="THEP_TAM8"/>
      <sheetName val="THEP_HÌNH8"/>
      <sheetName val="THEP_HINH8"/>
      <sheetName val="XA_GO8"/>
      <sheetName val="BANG_TRA8"/>
      <sheetName val="Main_Bldg-Rev028"/>
      <sheetName val="D&amp;W_def_8"/>
      <sheetName val="Nhan_cong8"/>
      <sheetName val="Thiet_bi8"/>
      <sheetName val="Vat_tu8"/>
      <sheetName val="DM_ChiPhi8"/>
      <sheetName val="May_TC8"/>
      <sheetName val="TH_Kinh_phi8"/>
      <sheetName val="Ptvl_8"/>
      <sheetName val="Móng,_nền_8"/>
      <sheetName val="1_Requisition(E)8"/>
      <sheetName val="So_lieu_chung7"/>
      <sheetName val="Q_A01_2-Sh7"/>
      <sheetName val="DG_14267"/>
      <sheetName val="Dự_toán8"/>
      <sheetName val="Đơn_Giá_TH8"/>
      <sheetName val="Nhân_công8"/>
      <sheetName val="Phân_tích8"/>
      <sheetName val="C_P_Thiết_bị8"/>
      <sheetName val="T_H_Kinh_phí8"/>
      <sheetName val="Vật_tư8"/>
      <sheetName val="Trang_bìa8"/>
      <sheetName val="phan_tic_chi_tiet8"/>
      <sheetName val="TONG_HOP8"/>
      <sheetName val="Tổng_GT8"/>
      <sheetName val="Chi_tiết_KL8"/>
      <sheetName val="khấu_trừ_phạt8"/>
      <sheetName val="GT__KHAU_TRU8"/>
      <sheetName val="HAO_HUT_VAT_TU_(2)8"/>
      <sheetName val="cao_độ8"/>
      <sheetName val="Data_Wall8"/>
      <sheetName val="3__CNT7"/>
      <sheetName val="unit_price_list(M)7"/>
      <sheetName val="Theo_doi_Doanh_thu_20177"/>
      <sheetName val="Gia_vat_lieu7"/>
      <sheetName val="gui_BKCT7"/>
      <sheetName val="Precios_unitarios_AXH7"/>
      <sheetName val="Chi_tiet_cong_no8"/>
      <sheetName val="PHÁT_SINH_TẦNG_1_8"/>
      <sheetName val="PHÁT_SINH_TẦNG_28"/>
      <sheetName val="Hầm_chuyển_psinh8"/>
      <sheetName val="Ống_thẳng8"/>
      <sheetName val="Côn_thu8"/>
      <sheetName val="Vuông_tròn8"/>
      <sheetName val="Chân_rẽ8"/>
      <sheetName val="Chạc_ba8"/>
      <sheetName val="Danh_mục6"/>
      <sheetName val="PV_Graph_Data6"/>
      <sheetName val="1_2_Staff_Schedule7"/>
      <sheetName val="BẢNG_ÁP_GIÁ_(in)7"/>
      <sheetName val="NT_(KL)_IN7"/>
      <sheetName val="DOM_D27"/>
      <sheetName val="nhà_ăn7"/>
      <sheetName val="Công_nhật7"/>
      <sheetName val="btkt_cột7"/>
      <sheetName val="Bảng_đo_bóc_KL_OLK-097"/>
      <sheetName val="6_3_CHI_TIET_OLK-097"/>
      <sheetName val="BTK-Dai_Hoc_Kien_Giang6"/>
      <sheetName val="0__Input7"/>
      <sheetName val="TH_các_CC7"/>
      <sheetName val="Don_gia_chi_tiet_DIEN_27"/>
      <sheetName val="Chi_tiet_-tong_9_thang7"/>
      <sheetName val="TH_VL,_NC,_DDHT_Thanhphuoc7"/>
      <sheetName val="1__Office7"/>
      <sheetName val="KL_THEP__GIAM_DO_DUNG_COUPLER7"/>
      <sheetName val="01_KL_THÉP_NHẬP_VỀ7"/>
      <sheetName val="2__NT_VLDV7"/>
      <sheetName val="GHI_CHU7"/>
      <sheetName val="1_BB_LMHT7"/>
      <sheetName val="Bê_tông_bảo_vệ7"/>
      <sheetName val="01__Data7"/>
      <sheetName val="Neo,_nối_cốt_thép_dầm,_cột7"/>
      <sheetName val="Uốn_móc_cốt_thép7"/>
      <sheetName val="Tiêu_chuẩn_cốt_thép7"/>
      <sheetName val="Doi_so7"/>
      <sheetName val="1_Civil_(Org)7"/>
      <sheetName val="Bill_Prelim-CDT7"/>
      <sheetName val="Bill_BPTC-CDT7"/>
      <sheetName val="Chi_tiết_BPTC7"/>
      <sheetName val="Bill_BPTC-CDT_(PA_MCT_CDT)7"/>
      <sheetName val="Chi_tiết_BPTC_(PA_MCT_CDT)7"/>
      <sheetName val="Thop_Ksat7"/>
      <sheetName val="Thu_hoi_7"/>
      <sheetName val="HM_chung7"/>
      <sheetName val="CP_xd-thiet_bi7"/>
      <sheetName val="TH-TN_LD_TB7"/>
      <sheetName val="CP_xaydung7"/>
      <sheetName val="Thao_ha_phu_kien7"/>
      <sheetName val="VL-NC-MTC_ket_cau7"/>
      <sheetName val="KHOI_LUONG_TONG7"/>
      <sheetName val="TK_22KV7"/>
      <sheetName val="DM_366-17777"/>
      <sheetName val="Thi_nhiem7"/>
      <sheetName val="Gia_goc_VT-TB7"/>
      <sheetName val="Gia_vc_den_chan_CT7"/>
      <sheetName val="culy_227"/>
      <sheetName val="Luong_20507"/>
      <sheetName val="ca_may_QN7"/>
      <sheetName val="TNHC1246_7"/>
      <sheetName val="Ca_may_TT06_20107"/>
      <sheetName val="Don_gia_VLXD_dia_phuong7"/>
      <sheetName val="Bang_luong_SCL7"/>
      <sheetName val="Dinh_muc_TN14267"/>
      <sheetName val="DM_336cai_tao7"/>
      <sheetName val="MTO_REV_2(ARMOR)7"/>
      <sheetName val="Dutoan_KL6"/>
      <sheetName val="doanh_thu6"/>
      <sheetName val="KHOI_LUONG15-47"/>
      <sheetName val="DANH_MỤC_HỒ_SƠ7"/>
      <sheetName val="GT_PHÁT_SINH_NGOÀI_HĐ7"/>
      <sheetName val="KL_PHÁT_SINH_7"/>
      <sheetName val="PS_NGOÀI_HĐ7"/>
      <sheetName val="GT_PHÁT_SINH_VƯỢT_HĐ7"/>
      <sheetName val="PS_TĂNG_GIẢM_TRONG_HĐ7"/>
      <sheetName val="DGCT_PHÁT_SINH7"/>
      <sheetName val="DGCT_TRẦN_NLV7"/>
      <sheetName val="DGKL_chi_tiết_NLV7"/>
      <sheetName val="DGKL_chi_tiết_NHN,NK7"/>
      <sheetName val="TG_KL7"/>
      <sheetName val="DGCT_SƠN_BẢ_TƯỜNG_NLV7"/>
      <sheetName val="DGKL_TRẦN_NHN7"/>
      <sheetName val="KL_thep_lam_sat7"/>
      <sheetName val="DM-VNT_ko_sd7"/>
      <sheetName val="B3A_-_TOWER_A7"/>
      <sheetName val="Annex_B7"/>
      <sheetName val="Cotthep_NPT7"/>
      <sheetName val="vl_nc_mtc7"/>
      <sheetName val="Tien_Thuong7"/>
      <sheetName val="NC_XL_6T_cuoi_01_CTy7"/>
      <sheetName val="Data_-6T_dau7"/>
      <sheetName val="Cong_6T7"/>
      <sheetName val="TLG_Type7"/>
      <sheetName val="Tong_hop_vat_tu7"/>
      <sheetName val="1_San_7"/>
      <sheetName val="Dot_47"/>
      <sheetName val="HRG_BHN7"/>
      <sheetName val="CĂN_ĐH7"/>
      <sheetName val="Chi_phi_van_chuyen7"/>
      <sheetName val="Dgia_vat_tu7"/>
      <sheetName val="Don_gia_III7"/>
      <sheetName val="D÷_liÖu7"/>
      <sheetName val="DT_hợp_đồng6"/>
      <sheetName val="Bảng_KL_đợt_16"/>
      <sheetName val="2_CDPS7"/>
      <sheetName val="Summary_Sheet6"/>
      <sheetName val="Finishing-Tower_A6"/>
      <sheetName val="Finishing-Tower_B6"/>
      <sheetName val="Finishing-Tower_C6"/>
      <sheetName val="Finishing-Tower_D6"/>
      <sheetName val="MEP-Tower_A6"/>
      <sheetName val="MEP-Tower_B6"/>
      <sheetName val="MEP-Tower_C6"/>
      <sheetName val="MEP-Tower_D6"/>
      <sheetName val="Cost_Report_Sum6"/>
      <sheetName val="Detail_Cost_Sum6"/>
      <sheetName val="RVO-VO_Sum6"/>
      <sheetName val="Potential_VOs_Sum6"/>
      <sheetName val="Cash_Flow_Sum6"/>
      <sheetName val="Heso_DZ7"/>
      <sheetName val="Bieu_gia_HD6"/>
      <sheetName val="Div26_-_Elect7"/>
      <sheetName val="7_Khau_tru_7"/>
      <sheetName val="4_CĂN7"/>
      <sheetName val="DG_BINH_THUAN7"/>
      <sheetName val="GIÁ_DỰ_THẦU_30_CĂN6"/>
      <sheetName val="DG_Chi_tiet6"/>
      <sheetName val="Kê_0,46"/>
      <sheetName val="TH_0,46"/>
      <sheetName val="Kê_226"/>
      <sheetName val="TH_226"/>
      <sheetName val="TBA_CAI_TAO6"/>
      <sheetName val="TBA_XDM6"/>
      <sheetName val="TONG_HOP_DU_TOAN6"/>
      <sheetName val="Thop_XAY_DUNG6"/>
      <sheetName val="CP_HANG_MUC_CHUNG6"/>
      <sheetName val="CHI_PHI_XD6"/>
      <sheetName val="CHI_PHI_THI_NGHIEM6"/>
      <sheetName val="VLDIEN_226"/>
      <sheetName val="Dao_dat6"/>
      <sheetName val="TH_Denbu6"/>
      <sheetName val="Do_ve_DC6"/>
      <sheetName val="TH_Bommin6"/>
      <sheetName val="CHI_PHI_THI_NGHIEM-LD_thiet_bi6"/>
      <sheetName val="Luong_TT016"/>
      <sheetName val="Camay_QB6"/>
      <sheetName val="gia_ca_may_BXD6"/>
      <sheetName val="BANG_LUONG_KY_SU6"/>
      <sheetName val="Bang_luong_NHOM_I6"/>
      <sheetName val="Bangluong_NHOM_II_6"/>
      <sheetName val="09-GIA_nhien_lieu-ko_in6"/>
      <sheetName val="Tinh_V_cot_chiem_cho6"/>
      <sheetName val="ĐM_13546"/>
      <sheetName val="KHOAN_MAU6"/>
      <sheetName val="ĐO_ĐỊA_VẬT_LÝ6"/>
      <sheetName val="khoan_tiep_dia6"/>
      <sheetName val="DZ_22KV6"/>
      <sheetName val="_1710_HOINGHINLD6"/>
      <sheetName val="99_(2)6"/>
      <sheetName val="134_6"/>
      <sheetName val="DG_49706"/>
      <sheetName val="Don_gia_NC7"/>
      <sheetName val="B-2__(DPP)7"/>
      <sheetName val="CAP_NUOC6"/>
      <sheetName val="cấp_nước_trục_nhà_vs6"/>
      <sheetName val="THOAT_NUOC6"/>
      <sheetName val="THOAT_MUA6"/>
      <sheetName val="Cáp_phòng6"/>
      <sheetName val="TMC_ĐIỆN_Phi6"/>
      <sheetName val="TMC_Tổng6"/>
      <sheetName val="TH_Đèn_Phòng_L16"/>
      <sheetName val="TH_Đèn_Hầm_L16"/>
      <sheetName val="TỦ_MODULE_T16"/>
      <sheetName val="Financ__Overview6"/>
      <sheetName val="13_BANG_CT6"/>
      <sheetName val="14_MMUS_GIUA_NHIP6"/>
      <sheetName val="4_HSPBngang6"/>
      <sheetName val="6_Tinh_tai6"/>
      <sheetName val="2_NSl6"/>
      <sheetName val="17_US_CHU_tho_a_b6"/>
      <sheetName val="15_MMUS_GOI6"/>
      <sheetName val="TINH_GIA_-_SAN_XUAT_Vertico6"/>
      <sheetName val="gia_vt,nc,may6"/>
      <sheetName val="Huong_dan6"/>
      <sheetName val="Tổng_hợp_KPHM6"/>
      <sheetName val="5_2_1_Đo_bóc_KL_OLK-066"/>
      <sheetName val="MB_DT_026"/>
      <sheetName val="Dinh_muc6"/>
      <sheetName val="KS_tuyen6"/>
      <sheetName val="Bang_chiet_tinh_TBA6"/>
      <sheetName val="4_2_1_Đo_bóc_KL_OLK-066"/>
      <sheetName val="4_1_1_CHI_TIET_OLK-066"/>
      <sheetName val="Cash_Flow6"/>
      <sheetName val="So_sanh6"/>
      <sheetName val="HERD_MOVEMENTFARM18"/>
      <sheetName val="HERD_MOVEMENTFARM28"/>
      <sheetName val="CALVES_2-48"/>
      <sheetName val="Cavles_2-48"/>
      <sheetName val="CALVES_4-78"/>
      <sheetName val="HEIFER_7-12m8"/>
      <sheetName val="HEIFER_12+8"/>
      <sheetName val="FRESH_COW_2017-188"/>
      <sheetName val="HP_COW_20188"/>
      <sheetName val="LP_COW_2017-188"/>
      <sheetName val="DRY_COW8"/>
      <sheetName val="FIELD_CROPS8"/>
      <sheetName val="Tong_DT5"/>
      <sheetName val="phan_tich_don_gia5"/>
      <sheetName val="DT_san_XD-So_lieu_cu5"/>
      <sheetName val="EQUIP_LIST6"/>
      <sheetName val="Electrical_Works6"/>
      <sheetName val="H_T__INCOMING_SYSTEM6"/>
      <sheetName val="BU_LONG6"/>
      <sheetName val="THONG_SO6"/>
      <sheetName val="Đơn_giá_chi_tiết_TN_396"/>
      <sheetName val="DT__NHA_XUONG6"/>
      <sheetName val="Gia_VT-TB6"/>
      <sheetName val="noi_suy_xa6"/>
      <sheetName val="noi_suy_xa_thu_hoi6"/>
      <sheetName val="Tính_giá_NC6"/>
      <sheetName val="Tiên_lượng6"/>
      <sheetName val="SL_cước6"/>
      <sheetName val="Thuyết_minh6"/>
      <sheetName val="Đơn_giá_máy6"/>
      <sheetName val="¥_6"/>
      <sheetName val="FF-2_(1)5"/>
      <sheetName val="Labour_Summary18"/>
      <sheetName val="YTD_12'20035"/>
      <sheetName val="YTD_06'20035"/>
      <sheetName val="YTD_03'20035"/>
      <sheetName val="YTD_09'20035"/>
      <sheetName val="deferred_taxes5"/>
      <sheetName val="Eqpmnt_Plng5"/>
      <sheetName val="TRIAL_BALANCE5"/>
      <sheetName val="DPR_31st_march5"/>
      <sheetName val="current_month5"/>
      <sheetName val="Blng__Vs_Coll_5"/>
      <sheetName val="Unit_price5"/>
      <sheetName val="Bill_No_1_66"/>
      <sheetName val="Bill_No_1_106"/>
      <sheetName val="Bill_No_3_36"/>
      <sheetName val="Bill_No_1_46"/>
      <sheetName val="Bill_No_1_76"/>
      <sheetName val="Summary_Bill_No__36"/>
      <sheetName val="Bán_đợt_1_trang5"/>
      <sheetName val="Chiet_tinh_dz355"/>
      <sheetName val="3__KC_-_PODIUM5"/>
      <sheetName val="CTDZ6kv_(gd1)_5"/>
      <sheetName val="CTDZ_0_4+cto_(GD1)5"/>
      <sheetName val="CTTBA_(gd1)5"/>
      <sheetName val="03_Detailed5"/>
      <sheetName val="01_Bid_Price_summary5"/>
      <sheetName val="Home_Office_Manhours5"/>
      <sheetName val="Field_SPV_Barchart5"/>
      <sheetName val="Tien_Luong5"/>
      <sheetName val="Unit_price(Updateting)5"/>
      <sheetName val="Cost_List5"/>
      <sheetName val="Detail_Cost5"/>
      <sheetName val="IC_Price_New5"/>
      <sheetName val="Summary_Table5"/>
      <sheetName val="Sales_Person5"/>
      <sheetName val="Bidding_Entity5"/>
      <sheetName val="CHITIET_VL-NCHT1_(2)5"/>
      <sheetName val="Bù_giá_CM5"/>
      <sheetName val="Breakdown_(B)5"/>
      <sheetName val="U_P_Breakdown5"/>
      <sheetName val="IMF_Code5"/>
      <sheetName val="Subsidiary_Calculation5"/>
      <sheetName val="Phu_Bai_Bridge5"/>
      <sheetName val="5_2_1_Đo_bóc_KL_OLK-105"/>
      <sheetName val="BẢNG_DIỄN_GIẢI_KL_(7)5"/>
      <sheetName val="don_gia_14265"/>
      <sheetName val="Luong_BN5"/>
      <sheetName val="Luong_TB5"/>
      <sheetName val="Ca_may_TB5"/>
      <sheetName val="Ca_máy_BN5"/>
      <sheetName val="Vật_liệu5"/>
      <sheetName val="LX_-TT055"/>
      <sheetName val="NC_Moi_TT055"/>
      <sheetName val="Bia_lot5"/>
      <sheetName val="PU_ITALY_28"/>
      <sheetName val="TH_DZ3516"/>
      <sheetName val="Tro_giup27"/>
      <sheetName val="RAB_AR&amp;STR14"/>
      <sheetName val="chi_tiet_TBA14"/>
      <sheetName val="chi_tiet_C14"/>
      <sheetName val="Customize_Your_Purchase_Order14"/>
      <sheetName val="CHITIET_VL-NC-TT_-1p14"/>
      <sheetName val="CHITIET_VL-NC-TT-3p13"/>
      <sheetName val="TONG_HOP_VL-NC_TT14"/>
      <sheetName val="KPVC-BD_14"/>
      <sheetName val="Don_gia14"/>
      <sheetName val="DON_GIA_TRAM_(3)14"/>
      <sheetName val="DON_GIA_CAN_THO16"/>
      <sheetName val="Don_gia_chi_tiet14"/>
      <sheetName val="HĐ_ngoài13"/>
      <sheetName val="XT_Buoc_313"/>
      <sheetName val="dongia_(2)13"/>
      <sheetName val="7606_DZ14"/>
      <sheetName val="project_management13"/>
      <sheetName val="Adix_A13"/>
      <sheetName val="S-curve_13"/>
      <sheetName val="REINF_13"/>
      <sheetName val="Rates_200913"/>
      <sheetName val="So_doi_chieu_LC13"/>
      <sheetName val="MAIN_GATE_HOUSE13"/>
      <sheetName val="Commercial_value13"/>
      <sheetName val="Du_toan13"/>
      <sheetName val="Ky_Lam_Bridge13"/>
      <sheetName val="Provisional_Sums_Item13"/>
      <sheetName val="Gas_Pressure_Welding13"/>
      <sheetName val="General_Item&amp;General_Requirem13"/>
      <sheetName val="General_Items13"/>
      <sheetName val="Regenral_Requirements13"/>
      <sheetName val="chiet_tinh13"/>
      <sheetName val="Ng_hàng_xà+bulong13"/>
      <sheetName val="MH_RATE13"/>
      <sheetName val="TONG_HOP_VL-NC13"/>
      <sheetName val="Bang_KL13"/>
      <sheetName val="Đầu_vào12"/>
      <sheetName val="Lcau_-_Lxuc13"/>
      <sheetName val="Chi_tiet_XD_TBA12"/>
      <sheetName val="DM_606113"/>
      <sheetName val="DG_thep_ma_kem13"/>
      <sheetName val="CT_vat_lieu13"/>
      <sheetName val="Equip_12"/>
      <sheetName val="A1_CN12"/>
      <sheetName val="TONG_HOP_T5_199812"/>
      <sheetName val="Chenh_lech_vat_tu12"/>
      <sheetName val="Trạm_biến_áp12"/>
      <sheetName val="Đơn_Giá_12"/>
      <sheetName val="Diện_tích12"/>
      <sheetName val="1_Khái_toán12"/>
      <sheetName val="CT-0_4KV12"/>
      <sheetName val="DG_DZ13"/>
      <sheetName val="DG_TBA13"/>
      <sheetName val="rate_material12"/>
      <sheetName val="KL_Chi_tiết_Xây_tô12"/>
      <sheetName val="07Base_Cost12"/>
      <sheetName val="GV1-D13_(Casement_door)12"/>
      <sheetName val="Bill_1_Quy_dinh_chung12"/>
      <sheetName val="1_R18_BF12"/>
      <sheetName val="6_External_works-R1812"/>
      <sheetName val="Phan_khai_KLuong12"/>
      <sheetName val="Chi_tiet_KL12"/>
      <sheetName val="Tổng_hợp_KL12"/>
      <sheetName val="04_-_XUONG_DET_B12"/>
      <sheetName val="_0312"/>
      <sheetName val="chieu_day_san12"/>
      <sheetName val="Podium_Concrete_Works12"/>
      <sheetName val="KLCT-_TOWER12"/>
      <sheetName val="KLCT-_PODIUM12"/>
      <sheetName val="Area_Cal12"/>
      <sheetName val="Gia_thanh_chuoi_su12"/>
      <sheetName val="Tiep_dia12"/>
      <sheetName val="Don_gia_vung_III-Can_Tho12"/>
      <sheetName val="Loại_Vật_tư12"/>
      <sheetName val="Elect_(3)12"/>
      <sheetName val="plan&amp;section_of_foundation12"/>
      <sheetName val="design_criteria12"/>
      <sheetName val="Bond_수수료_계산_포맷12"/>
      <sheetName val="ITB_COST12"/>
      <sheetName val="PAGE_112"/>
      <sheetName val="Xay_lapduongR312"/>
      <sheetName val="DM_6712"/>
      <sheetName val="Project_Data12"/>
      <sheetName val="6787CWFASE2CASE2_00_xls12"/>
      <sheetName val="Đầu_tư12"/>
      <sheetName val="EIRR&gt;_212"/>
      <sheetName val="Bill_02_-_Xay_gach-Pou_12"/>
      <sheetName val="Bill_03-Chống_thấm-Pou12"/>
      <sheetName val="Bill_04-Kim_loại-Pou12"/>
      <sheetName val="Bill_05_-_Hoan_thien-Pou_12"/>
      <sheetName val="Bill_02_-_Xay_gach-Tower12"/>
      <sheetName val="Bill_03-Chống_thấm-Tower12"/>
      <sheetName val="Bill_04-Kim_loại-Tower12"/>
      <sheetName val="Bill_05_-_Hoan_thien-Tower12"/>
      <sheetName val="KL-_KHAC12"/>
      <sheetName val="BILL_3_-_KẾT_CẤU_HẦM12"/>
      <sheetName val="PTĐG_LTBT12"/>
      <sheetName val="CTG-PRECHEx1_412"/>
      <sheetName val="CTG-AB_(2)12"/>
      <sheetName val="CTG-AB_(3)12"/>
      <sheetName val="CTG-PLP-1_0812"/>
      <sheetName val="Pre_Đội_nhóm12"/>
      <sheetName val="Vat_tu_XD12"/>
      <sheetName val="Tower_-_Concrete_Works12"/>
      <sheetName val="Bill-04_ket_cau_thap-_UNI12"/>
      <sheetName val="dg_tphcm12"/>
      <sheetName val="T_KÊ_K_CẤU12"/>
      <sheetName val="gia_cong_tac12"/>
      <sheetName val="4_PTDG12"/>
      <sheetName val="A1,_May12"/>
      <sheetName val="Vat_lieu12"/>
      <sheetName val="Data_Input13"/>
      <sheetName val="Measure_130612"/>
      <sheetName val="HÐ_ngoài13"/>
      <sheetName val="6PILE__(돌출)12"/>
      <sheetName val="Bill_01_-_CTN12"/>
      <sheetName val="Bill_2_2_Villa_2_beds12"/>
      <sheetName val="Analisa_Gabungan12"/>
      <sheetName val="Isolasi_Luar_Dalam12"/>
      <sheetName val="Isolasi_Luar12"/>
      <sheetName val="Harga_ME_12"/>
      <sheetName val="TH_N_Cong12"/>
      <sheetName val="ESTI_12"/>
      <sheetName val="KL_san_lap12"/>
      <sheetName val="TH_Vat_tu12"/>
      <sheetName val="_Bill_5-Earthing_2_-_Add_Work12"/>
      <sheetName val="Chenh_lech_ca_may12"/>
      <sheetName val="TLg_CN&amp;Laixe12"/>
      <sheetName val="TLg_CN&amp;Laixe_(2)12"/>
      <sheetName val="TLg_Laitau12"/>
      <sheetName val="TLg_Laitau_(2)12"/>
      <sheetName val="Bang_trong_luong_rieng_thep12"/>
      <sheetName val="Cước_VC_+_ĐM_CP_Tư_vấn12"/>
      <sheetName val="Hệ_số12"/>
      <sheetName val="DETAIL_12"/>
      <sheetName val="final_list_200528"/>
      <sheetName val="LV_data12"/>
      <sheetName val="Gia_vat_tu12"/>
      <sheetName val="CẤP_THOÁT_NƯỚC12"/>
      <sheetName val="THDT_goi_thau_TB12"/>
      <sheetName val="Tien_do_TV12"/>
      <sheetName val="bridge_#_112"/>
      <sheetName val="Bang_3_Chi_tiet_phan_Dz12"/>
      <sheetName val="KHOI_LUONG12"/>
      <sheetName val="TH_MTC12"/>
      <sheetName val="CTKL_KTX_HT11"/>
      <sheetName val="Buy_vs__Lease_Car12"/>
      <sheetName val="DATA_BASE12"/>
      <sheetName val="Equipment_list_(PAC)12"/>
      <sheetName val="TINH_KHOI_LUONG12"/>
      <sheetName val="Chi_tiet12"/>
      <sheetName val="subcon_sched12"/>
      <sheetName val="NHÀ_NHẬP_LIỆU11"/>
      <sheetName val="MÓNG_SILO11"/>
      <sheetName val="PRE_(E)12"/>
      <sheetName val="HVAC_BLOCK_B412"/>
      <sheetName val="2_Chiet_tinh11"/>
      <sheetName val="BẢNG_KHỐI_LƯỢNG_TỔNG_HỢP11"/>
      <sheetName val="CP_Khac_cuoc_VC11"/>
      <sheetName val="Budget_Code11"/>
      <sheetName val="Tong_du_toan11"/>
      <sheetName val="Bill_2_-_ketcau11"/>
      <sheetName val="Chi_tiet_lan_can11"/>
      <sheetName val="13-Cốt_thép_(10mm&lt;D≤18mm)_FO111"/>
      <sheetName val="du_lieu_du_toan11"/>
      <sheetName val="BOQ_THAN11"/>
      <sheetName val="DL_ĐẦU_VÀO11"/>
      <sheetName val="Purchase_Order11"/>
      <sheetName val="D_&amp;_W_sizes11"/>
      <sheetName val="Analisa_&amp;_Upah11"/>
      <sheetName val="Du_lieu12"/>
      <sheetName val="Phan_tich11"/>
      <sheetName val="Luong_NII11"/>
      <sheetName val="DINH_MUC_THI_NGHIEM11"/>
      <sheetName val="Luong_NI11"/>
      <sheetName val="CT_Thang_Mo11"/>
      <sheetName val="CT__PL11"/>
      <sheetName val="cash_budget11"/>
      <sheetName val="dongia__2_11"/>
      <sheetName val="GOC-KO_IN11"/>
      <sheetName val="MAU_8A11"/>
      <sheetName val="MAU_8B11"/>
      <sheetName val="MAU_911"/>
      <sheetName val="MAU_1011"/>
      <sheetName val="Thép_CKN11"/>
      <sheetName val="sochitiettaikhoan_11"/>
      <sheetName val="Share_price_data11"/>
      <sheetName val="19_311"/>
      <sheetName val="20_311"/>
      <sheetName val="Chieu_4_311"/>
      <sheetName val="Cow_req11"/>
      <sheetName val="TỔNG_HỢP11"/>
      <sheetName val="14-LẦN_3-CHIỀU11"/>
      <sheetName val="14-LẦN_1-SÁNG11"/>
      <sheetName val="14-LẦN_2-TRƯA11"/>
      <sheetName val="1_3+1_4-TOTAL_-_Ko_IN11"/>
      <sheetName val="2_1-LẦN_3-CHIỀU11"/>
      <sheetName val="2_1-LẦN_1-SÁNG11"/>
      <sheetName val="2_1-LẦN_2-TRƯA11"/>
      <sheetName val="2_1-TOTAL-Ko_IN11"/>
      <sheetName val="1_3(TMR_4)11"/>
      <sheetName val="CHO_DE11"/>
      <sheetName val="1_1+1_2+2_2+2_3(TMR_3)11"/>
      <sheetName val="CK1+CK2_(VS_SAN_CHOI_23)11"/>
      <sheetName val="CK1+CK2_(2)11"/>
      <sheetName val="12-16_THÁNG11"/>
      <sheetName val="CAN_SỮA11"/>
      <sheetName val="54+55+56(SAU_CAI_SỮA-6)11"/>
      <sheetName val="BÊ_71-90_NGÀY11"/>
      <sheetName val="BÊ_12-16_tháng11"/>
      <sheetName val="BÊ_6-1211"/>
      <sheetName val="BÊ_1-311"/>
      <sheetName val="F01-BC_KHAU_PHAN_SANG_20_311"/>
      <sheetName val="F01-BC_KHAU_PHAN_CHIEU_19_311"/>
      <sheetName val="dinh_mưc_cty11"/>
      <sheetName val="Giá_thành11"/>
      <sheetName val="Thong_ke11"/>
      <sheetName val="Energy_for_milk_prod11"/>
      <sheetName val="DE_NGHI_XUAT_11"/>
      <sheetName val="phieu_xuat_mau11"/>
      <sheetName val="PHIEU_XUAT_CHIEU11"/>
      <sheetName val="11_rai_them_cỏ11"/>
      <sheetName val="PHU_LUC_02-_HDSD_CAC_BIEU_MAU11"/>
      <sheetName val="PhU_LUC_01-_MA_CAC_NHOM_BO11"/>
      <sheetName val="F03-BC_THUC_TRON_SANG_20_311"/>
      <sheetName val="F03-BC_THUC_TRON_CHIEU_19_311"/>
      <sheetName val="F02-BC_THEO_DOI_THUC_AN_DU11"/>
      <sheetName val="Tham_khao-_Bao_cao_xuat_thuc_11"/>
      <sheetName val="VC_xd9"/>
      <sheetName val="Gia_VLTB9"/>
      <sheetName val="B_Luong9"/>
      <sheetName val="C_May9"/>
      <sheetName val="Dlieu_dau_vao11"/>
      <sheetName val="Income_Statement11"/>
      <sheetName val="Shareholders'_Equity11"/>
      <sheetName val="BANCO_(2)11"/>
      <sheetName val="MT_DPin_(2)11"/>
      <sheetName val="02__PTDG11"/>
      <sheetName val="Chiết_tính11"/>
      <sheetName val="TB_NẶNG9"/>
      <sheetName val="Du_tru_CP-Bieu_019"/>
      <sheetName val="Don_gia_(khong_in)11"/>
      <sheetName val="DK1_Don_gia11"/>
      <sheetName val="1_MONG_1-211"/>
      <sheetName val="THEP_TAM9"/>
      <sheetName val="THEP_HÌNH9"/>
      <sheetName val="THEP_HINH9"/>
      <sheetName val="XA_GO9"/>
      <sheetName val="BANG_TRA9"/>
      <sheetName val="wk_prgs9"/>
      <sheetName val="Ma_don_vi9"/>
      <sheetName val="bang_cc9"/>
      <sheetName val="dm_3669"/>
      <sheetName val="DM_60609"/>
      <sheetName val="Dự_thầu9"/>
      <sheetName val="Nhap_VT_oto9"/>
      <sheetName val="Hao_phí9"/>
      <sheetName val="Structure_data9"/>
      <sheetName val="đọc_số9"/>
      <sheetName val="Bill_No_3_-_Prov__Sum_(Ph2&amp;3)9"/>
      <sheetName val="TH_TN9"/>
      <sheetName val="CP_Du_phong9"/>
      <sheetName val="THCP_Lap_dat9"/>
      <sheetName val="THCP_xay_dung9"/>
      <sheetName val="Tong_hop_kinh_phi9"/>
      <sheetName val="Dự_toán9"/>
      <sheetName val="Đơn_Giá_TH9"/>
      <sheetName val="Nhân_công9"/>
      <sheetName val="Phân_tích9"/>
      <sheetName val="C_P_Thiết_bị9"/>
      <sheetName val="T_H_Kinh_phí9"/>
      <sheetName val="Vật_tư9"/>
      <sheetName val="Trang_bìa9"/>
      <sheetName val="Don_gia_chi_tiet_DIEN_28"/>
      <sheetName val="Data_Wall9"/>
      <sheetName val="2_1Warehouse_19"/>
      <sheetName val="AG_Pipe_Qty_Analysis9"/>
      <sheetName val="Main_Bldg-Rev029"/>
      <sheetName val="D&amp;W_def_9"/>
      <sheetName val="Nhan_cong9"/>
      <sheetName val="Thiet_bi9"/>
      <sheetName val="Vat_tu9"/>
      <sheetName val="DM_ChiPhi9"/>
      <sheetName val="May_TC9"/>
      <sheetName val="TH_Kinh_phi9"/>
      <sheetName val="Ptvl_9"/>
      <sheetName val="Ｎｏ_139"/>
      <sheetName val="DGchitiet_9"/>
      <sheetName val="CP_HMC9"/>
      <sheetName val="HỆ_THỐNG_PHÒNG_CHÁY_CHỮA_CHÁY9"/>
      <sheetName val="HỆ_THỐNG_CẤP_THOÁT_NƯỚC9"/>
      <sheetName val="HỆ_THỐNG_ĐHKK9"/>
      <sheetName val="MÁY_PHÁT_ĐIỆN9"/>
      <sheetName val="HỆ_THỐNG_ĐIỆN9"/>
      <sheetName val="Thiết_bị_chính9"/>
      <sheetName val="CHI_PHI9"/>
      <sheetName val="TK_chi_tiet9"/>
      <sheetName val="Bill_2-Road_HR29"/>
      <sheetName val="Bill_3_-_Softscape_HR29"/>
      <sheetName val="CĂN_HỘ_T16-17_9"/>
      <sheetName val="TRỤC_ĐỨNG_THOÁT_BẨN_T15-179"/>
      <sheetName val="TRỤC_ĐỨNG_TM_T15-179"/>
      <sheetName val="Móng,_nền_9"/>
      <sheetName val="1_Requisition(E)9"/>
      <sheetName val="TONG_HOP9"/>
      <sheetName val="Tổng_GT9"/>
      <sheetName val="Chi_tiết_KL9"/>
      <sheetName val="khấu_trừ_phạt9"/>
      <sheetName val="GT__KHAU_TRU9"/>
      <sheetName val="HAO_HUT_VAT_TU_(2)9"/>
      <sheetName val="cao_độ9"/>
      <sheetName val="phan_tic_chi_tiet9"/>
      <sheetName val="DG_14268"/>
      <sheetName val="Theo_doi_Doanh_thu_20178"/>
      <sheetName val="KL_THEP__GIAM_DO_DUNG_COUPLER8"/>
      <sheetName val="01_KL_THÉP_NHẬP_VỀ8"/>
      <sheetName val="2__NT_VLDV8"/>
      <sheetName val="GHI_CHU8"/>
      <sheetName val="1_BB_LMHT8"/>
      <sheetName val="gui_BKCT8"/>
      <sheetName val="Gia_vat_lieu8"/>
      <sheetName val="Precios_unitarios_AXH8"/>
      <sheetName val="Chi_tiet_cong_no9"/>
      <sheetName val="PHÁT_SINH_TẦNG_1_9"/>
      <sheetName val="PHÁT_SINH_TẦNG_29"/>
      <sheetName val="Hầm_chuyển_psinh9"/>
      <sheetName val="Ống_thẳng9"/>
      <sheetName val="Côn_thu9"/>
      <sheetName val="Vuông_tròn9"/>
      <sheetName val="Chân_rẽ9"/>
      <sheetName val="Chạc_ba9"/>
      <sheetName val="MB_DT_027"/>
      <sheetName val="3__CNT8"/>
      <sheetName val="unit_price_list(M)8"/>
      <sheetName val="So_lieu_chung8"/>
      <sheetName val="TH_VL,_NC,_DDHT_Thanhphuoc8"/>
      <sheetName val="Chi_tiet_-tong_9_thang8"/>
      <sheetName val="BẢNG_ÁP_GIÁ_(in)8"/>
      <sheetName val="NT_(KL)_IN8"/>
      <sheetName val="DOM_D28"/>
      <sheetName val="nhà_ăn8"/>
      <sheetName val="Công_nhật8"/>
      <sheetName val="btkt_cột8"/>
      <sheetName val="Bê_tông_bảo_vệ8"/>
      <sheetName val="01__Data8"/>
      <sheetName val="Neo,_nối_cốt_thép_dầm,_cột8"/>
      <sheetName val="Uốn_móc_cốt_thép8"/>
      <sheetName val="Tiêu_chuẩn_cốt_thép8"/>
      <sheetName val="Doi_so8"/>
      <sheetName val="1_2_Staff_Schedule8"/>
      <sheetName val="0__Input8"/>
      <sheetName val="DANH_MỤC_HỒ_SƠ8"/>
      <sheetName val="GT_PHÁT_SINH_NGOÀI_HĐ8"/>
      <sheetName val="KL_PHÁT_SINH_8"/>
      <sheetName val="PS_NGOÀI_HĐ8"/>
      <sheetName val="GT_PHÁT_SINH_VƯỢT_HĐ8"/>
      <sheetName val="PS_TĂNG_GIẢM_TRONG_HĐ8"/>
      <sheetName val="DGCT_PHÁT_SINH8"/>
      <sheetName val="DGCT_TRẦN_NLV8"/>
      <sheetName val="DGKL_chi_tiết_NLV8"/>
      <sheetName val="DGKL_chi_tiết_NHN,NK8"/>
      <sheetName val="TG_KL8"/>
      <sheetName val="DGCT_SƠN_BẢ_TƯỜNG_NLV8"/>
      <sheetName val="DGKL_TRẦN_NHN8"/>
      <sheetName val="MTO_REV_2(ARMOR)8"/>
      <sheetName val="Cotthep_NPT8"/>
      <sheetName val="vl_nc_mtc8"/>
      <sheetName val="Heso_DZ8"/>
      <sheetName val="DM_336cai_tao8"/>
      <sheetName val="DG_BINH_THUAN8"/>
      <sheetName val="Tien_Thuong8"/>
      <sheetName val="NC_XL_6T_cuoi_01_CTy8"/>
      <sheetName val="Data_-6T_dau8"/>
      <sheetName val="Cong_6T8"/>
      <sheetName val="KL_thep_lam_sat8"/>
      <sheetName val="B3A_-_TOWER_A8"/>
      <sheetName val="Annex_B8"/>
      <sheetName val="Bill_Prelim-CDT8"/>
      <sheetName val="Bill_BPTC-CDT8"/>
      <sheetName val="Chi_tiết_BPTC8"/>
      <sheetName val="Bill_BPTC-CDT_(PA_MCT_CDT)8"/>
      <sheetName val="Chi_tiết_BPTC_(PA_MCT_CDT)8"/>
      <sheetName val="1_Civil_(Org)8"/>
      <sheetName val="DM-VNT_ko_sd8"/>
      <sheetName val="Bảng_đo_bóc_KL_OLK-098"/>
      <sheetName val="6_3_CHI_TIET_OLK-098"/>
      <sheetName val="1__Office8"/>
      <sheetName val="KHOI_LUONG15-48"/>
      <sheetName val="Tong_hop_vat_tu8"/>
      <sheetName val="1_San_8"/>
      <sheetName val="TLG_Type8"/>
      <sheetName val="Dgia_vat_tu8"/>
      <sheetName val="Don_gia_III8"/>
      <sheetName val="D÷_liÖu8"/>
      <sheetName val="Dot_48"/>
      <sheetName val="Thop_Ksat8"/>
      <sheetName val="Thu_hoi_8"/>
      <sheetName val="HM_chung8"/>
      <sheetName val="CP_xd-thiet_bi8"/>
      <sheetName val="TH-TN_LD_TB8"/>
      <sheetName val="CP_xaydung8"/>
      <sheetName val="Thao_ha_phu_kien8"/>
      <sheetName val="VL-NC-MTC_ket_cau8"/>
      <sheetName val="KHOI_LUONG_TONG8"/>
      <sheetName val="TK_22KV8"/>
      <sheetName val="DM_366-17778"/>
      <sheetName val="Thi_nhiem8"/>
      <sheetName val="Gia_goc_VT-TB8"/>
      <sheetName val="Gia_vc_den_chan_CT8"/>
      <sheetName val="culy_228"/>
      <sheetName val="Luong_20508"/>
      <sheetName val="ca_may_QN8"/>
      <sheetName val="TNHC1246_8"/>
      <sheetName val="Ca_may_TT06_20108"/>
      <sheetName val="Don_gia_VLXD_dia_phuong8"/>
      <sheetName val="Bang_luong_SCL8"/>
      <sheetName val="Dinh_muc_TN14268"/>
      <sheetName val="HRG_BHN8"/>
      <sheetName val="CĂN_ĐH8"/>
      <sheetName val="Chi_phi_van_chuyen8"/>
      <sheetName val="TH_các_CC8"/>
      <sheetName val="Div26_-_Elect8"/>
      <sheetName val="7_Khau_tru_8"/>
      <sheetName val="Q_A01_2-Sh8"/>
      <sheetName val="4_CĂN8"/>
      <sheetName val="2_CDPS8"/>
      <sheetName val="Don_gia_NC8"/>
      <sheetName val="DT_hợp_đồng7"/>
      <sheetName val="Bảng_KL_đợt_17"/>
      <sheetName val="Danh_mục7"/>
      <sheetName val="Bieu_gia_HD7"/>
      <sheetName val="Summary_Sheet7"/>
      <sheetName val="Finishing-Tower_A7"/>
      <sheetName val="Finishing-Tower_B7"/>
      <sheetName val="Finishing-Tower_C7"/>
      <sheetName val="Finishing-Tower_D7"/>
      <sheetName val="MEP-Tower_A7"/>
      <sheetName val="MEP-Tower_B7"/>
      <sheetName val="MEP-Tower_C7"/>
      <sheetName val="MEP-Tower_D7"/>
      <sheetName val="Cost_Report_Sum7"/>
      <sheetName val="Detail_Cost_Sum7"/>
      <sheetName val="RVO-VO_Sum7"/>
      <sheetName val="Potential_VOs_Sum7"/>
      <sheetName val="Cash_Flow_Sum7"/>
      <sheetName val="BTK-Dai_Hoc_Kien_Giang7"/>
      <sheetName val="PV_Graph_Data7"/>
      <sheetName val="doanh_thu7"/>
      <sheetName val="Dutoan_KL7"/>
      <sheetName val="CAP_NUOC7"/>
      <sheetName val="cấp_nước_trục_nhà_vs7"/>
      <sheetName val="THOAT_NUOC7"/>
      <sheetName val="THOAT_MUA7"/>
      <sheetName val="Cáp_phòng7"/>
      <sheetName val="TMC_ĐIỆN_Phi7"/>
      <sheetName val="TMC_Tổng7"/>
      <sheetName val="TH_Đèn_Phòng_L17"/>
      <sheetName val="TH_Đèn_Hầm_L17"/>
      <sheetName val="TỦ_MODULE_T17"/>
      <sheetName val="B-2__(DPP)8"/>
      <sheetName val="Huong_dan7"/>
      <sheetName val="gia_vt,nc,may7"/>
      <sheetName val="Financ__Overview7"/>
      <sheetName val="TINH_GIA_-_SAN_XUAT_Vertico7"/>
      <sheetName val="13_BANG_CT7"/>
      <sheetName val="14_MMUS_GIUA_NHIP7"/>
      <sheetName val="4_HSPBngang7"/>
      <sheetName val="6_Tinh_tai7"/>
      <sheetName val="2_NSl7"/>
      <sheetName val="17_US_CHU_tho_a_b7"/>
      <sheetName val="15_MMUS_GOI7"/>
      <sheetName val="DZ_22KV7"/>
      <sheetName val="Kê_0,47"/>
      <sheetName val="TH_0,47"/>
      <sheetName val="Kê_227"/>
      <sheetName val="TH_227"/>
      <sheetName val="TBA_CAI_TAO7"/>
      <sheetName val="TBA_XDM7"/>
      <sheetName val="TONG_HOP_DU_TOAN7"/>
      <sheetName val="Thop_XAY_DUNG7"/>
      <sheetName val="CP_HANG_MUC_CHUNG7"/>
      <sheetName val="CHI_PHI_XD7"/>
      <sheetName val="CHI_PHI_THI_NGHIEM7"/>
      <sheetName val="VLDIEN_227"/>
      <sheetName val="Dao_dat7"/>
      <sheetName val="TH_Denbu7"/>
      <sheetName val="Do_ve_DC7"/>
      <sheetName val="TH_Bommin7"/>
      <sheetName val="CHI_PHI_THI_NGHIEM-LD_thiet_bi7"/>
      <sheetName val="Luong_TT017"/>
      <sheetName val="Camay_QB7"/>
      <sheetName val="gia_ca_may_BXD7"/>
      <sheetName val="BANG_LUONG_KY_SU7"/>
      <sheetName val="Bang_luong_NHOM_I7"/>
      <sheetName val="Bangluong_NHOM_II_7"/>
      <sheetName val="09-GIA_nhien_lieu-ko_in7"/>
      <sheetName val="Tinh_V_cot_chiem_cho7"/>
      <sheetName val="ĐM_13547"/>
      <sheetName val="KHOAN_MAU7"/>
      <sheetName val="ĐO_ĐỊA_VẬT_LÝ7"/>
      <sheetName val="khoan_tiep_dia7"/>
      <sheetName val="Tổng_hợp_KPHM7"/>
      <sheetName val="Dinh_muc7"/>
      <sheetName val="GIÁ_DỰ_THẦU_30_CĂN7"/>
      <sheetName val="5_2_1_Đo_bóc_KL_OLK-067"/>
      <sheetName val="KS_tuyen7"/>
      <sheetName val="Bang_chiet_tinh_TBA7"/>
      <sheetName val="4_2_1_Đo_bóc_KL_OLK-067"/>
      <sheetName val="4_1_1_CHI_TIET_OLK-067"/>
      <sheetName val="DG_Chi_tiet7"/>
      <sheetName val="_1710_HOINGHINLD7"/>
      <sheetName val="99_(2)7"/>
      <sheetName val="134_7"/>
      <sheetName val="DG_49707"/>
      <sheetName val="Cash_Flow7"/>
      <sheetName val="BU_LONG7"/>
      <sheetName val="DT__NHA_XUONG7"/>
      <sheetName val="EQUIP_LIST7"/>
      <sheetName val="THONG_SO7"/>
      <sheetName val="Đơn_giá_chi_tiết_TN_397"/>
      <sheetName val="HERD_MOVEMENTFARM19"/>
      <sheetName val="HERD_MOVEMENTFARM29"/>
      <sheetName val="CALVES_2-49"/>
      <sheetName val="Cavles_2-49"/>
      <sheetName val="CALVES_4-79"/>
      <sheetName val="HEIFER_7-12m9"/>
      <sheetName val="HEIFER_12+9"/>
      <sheetName val="FRESH_COW_2017-189"/>
      <sheetName val="HP_COW_20189"/>
      <sheetName val="LP_COW_2017-189"/>
      <sheetName val="DRY_COW9"/>
      <sheetName val="FIELD_CROPS9"/>
      <sheetName val="So_sanh7"/>
      <sheetName val="Electrical_Works7"/>
      <sheetName val="H_T__INCOMING_SYSTEM7"/>
      <sheetName val="Tính_giá_NC7"/>
      <sheetName val="Tiên_lượng7"/>
      <sheetName val="SL_cước7"/>
      <sheetName val="¥_7"/>
      <sheetName val="Gia_VT-TB7"/>
      <sheetName val="noi_suy_xa7"/>
      <sheetName val="noi_suy_xa_thu_hoi7"/>
      <sheetName val="Thuyết_minh7"/>
      <sheetName val="Đơn_giá_máy7"/>
      <sheetName val="Tong_DT6"/>
      <sheetName val="phan_tich_don_gia6"/>
      <sheetName val="Bill_No_1_67"/>
      <sheetName val="Bill_No_1_107"/>
      <sheetName val="Bill_No_3_37"/>
      <sheetName val="Bill_No_1_47"/>
      <sheetName val="Bill_No_1_77"/>
      <sheetName val="Summary_Bill_No__37"/>
      <sheetName val="DT_san_XD-So_lieu_cu6"/>
      <sheetName val="FF-2_(1)6"/>
      <sheetName val="Labour_Summary19"/>
      <sheetName val="YTD_12'20036"/>
      <sheetName val="YTD_06'20036"/>
      <sheetName val="YTD_03'20036"/>
      <sheetName val="YTD_09'20036"/>
      <sheetName val="deferred_taxes6"/>
      <sheetName val="Eqpmnt_Plng6"/>
      <sheetName val="TRIAL_BALANCE6"/>
      <sheetName val="DPR_31st_march6"/>
      <sheetName val="current_month6"/>
      <sheetName val="Blng__Vs_Coll_6"/>
      <sheetName val="Unit_price6"/>
      <sheetName val="Bán_đợt_1_trang6"/>
      <sheetName val="Chiet_tinh_dz356"/>
      <sheetName val="3__KC_-_PODIUM6"/>
      <sheetName val="CTDZ6kv_(gd1)_6"/>
      <sheetName val="CTDZ_0_4+cto_(GD1)6"/>
      <sheetName val="CTTBA_(gd1)6"/>
      <sheetName val="03_Detailed6"/>
      <sheetName val="01_Bid_Price_summary6"/>
      <sheetName val="Home_Office_Manhours6"/>
      <sheetName val="Field_SPV_Barchart6"/>
      <sheetName val="Tien_Luong6"/>
      <sheetName val="Unit_price(Updateting)6"/>
      <sheetName val="Cost_List6"/>
      <sheetName val="Detail_Cost6"/>
      <sheetName val="IC_Price_New6"/>
      <sheetName val="Summary_Table6"/>
      <sheetName val="Sales_Person6"/>
      <sheetName val="Bidding_Entity6"/>
      <sheetName val="CHITIET_VL-NCHT1_(2)6"/>
      <sheetName val="Bù_giá_CM6"/>
      <sheetName val="Breakdown_(B)6"/>
      <sheetName val="U_P_Breakdown6"/>
      <sheetName val="IMF_Code6"/>
      <sheetName val="Subsidiary_Calculation6"/>
      <sheetName val="Phu_Bai_Bridge6"/>
      <sheetName val="5_2_1_Đo_bóc_KL_OLK-106"/>
      <sheetName val="BẢNG_DIỄN_GIẢI_KL_(7)6"/>
      <sheetName val="don_gia_14266"/>
      <sheetName val="Luong_BN6"/>
      <sheetName val="Luong_TB6"/>
      <sheetName val="Ca_may_TB6"/>
      <sheetName val="Ca_máy_BN6"/>
      <sheetName val="Vật_liệu6"/>
      <sheetName val="LX_-TT056"/>
      <sheetName val="NC_Moi_TT056"/>
      <sheetName val="Bia_lot6"/>
      <sheetName val="Chu_dau_tu2"/>
      <sheetName val="Cau_tao_gia_xay_to2"/>
      <sheetName val="THÔNG_TIN2"/>
      <sheetName val="THPDMoi__(2)2"/>
      <sheetName val="t-h_HA_THE2"/>
      <sheetName val="TH_XL2"/>
      <sheetName val="CHITIET_VL-NC2"/>
      <sheetName val="Dai tu"/>
      <sheetName val="Khoi luong kenh dan"/>
      <sheetName val="Thep_Be TN(tai_C10)"/>
      <sheetName val="GGBC"/>
      <sheetName val="Luong 2622EVN"/>
      <sheetName val="data-ma2"/>
      <sheetName val="PTDG-CL"/>
      <sheetName val="GVL-tuyến"/>
      <sheetName val="GVL-BTN"/>
      <sheetName val="0,SO LIEU DAU VAO"/>
      <sheetName val="So sanh gia"/>
      <sheetName val="PhaDoMong"/>
      <sheetName val="bdkdt"/>
      <sheetName val="begin"/>
      <sheetName val="BXLDL"/>
      <sheetName val="TONGKE3p "/>
      <sheetName val="TNHCHINH"/>
      <sheetName val="VCV-BE-TONG"/>
      <sheetName val="Bill rekap"/>
      <sheetName val="Cash Flow bulanan"/>
      <sheetName val="DG VL KS"/>
      <sheetName val="DTXL( 270)"/>
      <sheetName val="cable, lighting, switch"/>
      <sheetName val="DNTT_2"/>
      <sheetName val="DNTT_3"/>
      <sheetName val="DNTT_4"/>
      <sheetName val="ĐỢT 1"/>
      <sheetName val="Define finishing"/>
      <sheetName val="CươcVC tinh"/>
      <sheetName val="Dot_1"/>
      <sheetName val="Dot_2"/>
      <sheetName val="Dot_3"/>
      <sheetName val="KL_Tke"/>
      <sheetName val="Dot_1&gt;4"/>
      <sheetName val="INNOVA"/>
      <sheetName val="ALL"/>
      <sheetName val="QG"/>
      <sheetName val="Don vi"/>
      <sheetName val="PTDM"/>
      <sheetName val="TH khối lượng phải làm"/>
      <sheetName val="Giá VL, NC, M"/>
      <sheetName val="Lương 2135 nhóm I"/>
      <sheetName val="Luong 2050 hà NAm"/>
      <sheetName val="Lương2045 nhóm I"/>
      <sheetName val="May 3 huyện"/>
      <sheetName val="May yên mô"/>
      <sheetName val="Phân tich ĐG"/>
      <sheetName val="PLV mới"/>
      <sheetName val="May TT11(TB)"/>
      <sheetName val="May TT11 (HP)"/>
      <sheetName val="May TT11(NB)"/>
      <sheetName val="May TT11(NĐ)"/>
      <sheetName val="Lương theo TT17(Thái Bình)"/>
      <sheetName val="Lương theo TT17 (HP)"/>
      <sheetName val="Lương theo TT17 (Ninh Bình)"/>
      <sheetName val="Lương theo TT17 (Nam Định)"/>
      <sheetName val="pt10Èn"/>
      <sheetName val="he so dong thoi"/>
      <sheetName val="NPCPP-70-DS-017"/>
      <sheetName val="Input - Facilities"/>
      <sheetName val="Norms"/>
      <sheetName val="BP CAPEX MoD-100% Area 4 USD"/>
      <sheetName val="02. PHAN TICH"/>
      <sheetName val="03. NGAN SACH"/>
      <sheetName val="PU_ITALY_29"/>
      <sheetName val="Tro_giup28"/>
      <sheetName val="TH_DZ3517"/>
      <sheetName val="DON_GIA_CAN_THO17"/>
      <sheetName val="RAB_AR&amp;STR15"/>
      <sheetName val="chi_tiet_TBA15"/>
      <sheetName val="chi_tiet_C15"/>
      <sheetName val="Don_gia_chi_tiet15"/>
      <sheetName val="Don_gia15"/>
      <sheetName val="DON_GIA_TRAM_(3)15"/>
      <sheetName val="S-curve_14"/>
      <sheetName val="Customize_Your_Purchase_Order15"/>
      <sheetName val="CHITIET_VL-NC-TT_-1p15"/>
      <sheetName val="CHITIET_VL-NC-TT-3p14"/>
      <sheetName val="TONG_HOP_VL-NC_TT15"/>
      <sheetName val="KPVC-BD_15"/>
      <sheetName val="HĐ_ngoài14"/>
      <sheetName val="XT_Buoc_314"/>
      <sheetName val="dongia_(2)14"/>
      <sheetName val="Commercial_value14"/>
      <sheetName val="7606_DZ15"/>
      <sheetName val="Ky_Lam_Bridge14"/>
      <sheetName val="Provisional_Sums_Item14"/>
      <sheetName val="Gas_Pressure_Welding14"/>
      <sheetName val="General_Item&amp;General_Requirem14"/>
      <sheetName val="General_Items14"/>
      <sheetName val="Regenral_Requirements14"/>
      <sheetName val="TONG_HOP_VL-NC14"/>
      <sheetName val="So_doi_chieu_LC14"/>
      <sheetName val="project_management14"/>
      <sheetName val="Adix_A14"/>
      <sheetName val="MAIN_GATE_HOUSE14"/>
      <sheetName val="REINF_14"/>
      <sheetName val="Rates_200914"/>
      <sheetName val="Đầu_vào13"/>
      <sheetName val="MH_RATE14"/>
      <sheetName val="A1_CN13"/>
      <sheetName val="Data_Input14"/>
      <sheetName val="Du_toan14"/>
      <sheetName val="chiet_tinh14"/>
      <sheetName val="Ng_hàng_xà+bulong14"/>
      <sheetName val="Bang_KL14"/>
      <sheetName val="DM_606114"/>
      <sheetName val="Equip_13"/>
      <sheetName val="DG_thep_ma_kem14"/>
      <sheetName val="Lcau_-_Lxuc14"/>
      <sheetName val="Chi_tiet_XD_TBA13"/>
      <sheetName val="EIRR&gt;_213"/>
      <sheetName val="TONG_HOP_T5_199813"/>
      <sheetName val="CT_vat_lieu14"/>
      <sheetName val="Trạm_biến_áp13"/>
      <sheetName val="Đơn_Giá_13"/>
      <sheetName val="Chenh_lech_vat_tu13"/>
      <sheetName val="Diện_tích13"/>
      <sheetName val="1_Khái_toán13"/>
      <sheetName val="13-Cốt_thép_(10mm&lt;D≤18mm)_FO112"/>
      <sheetName val="6787CWFASE2CASE2_00_xls13"/>
      <sheetName val="CT-0_4KV13"/>
      <sheetName val="rate_material13"/>
      <sheetName val="4_PTDG13"/>
      <sheetName val="DG_DZ14"/>
      <sheetName val="DG_TBA14"/>
      <sheetName val="Chi_tiet_KL13"/>
      <sheetName val="Tổng_hợp_KL13"/>
      <sheetName val="KL_Chi_tiết_Xây_tô13"/>
      <sheetName val="07Base_Cost13"/>
      <sheetName val="Bill_1_Quy_dinh_chung13"/>
      <sheetName val="1_R18_BF13"/>
      <sheetName val="6_External_works-R1813"/>
      <sheetName val="Phan_khai_KLuong13"/>
      <sheetName val="04_-_XUONG_DET_B13"/>
      <sheetName val="Area_Cal13"/>
      <sheetName val="_0313"/>
      <sheetName val="chieu_day_san13"/>
      <sheetName val="Podium_Concrete_Works13"/>
      <sheetName val="KLCT-_TOWER13"/>
      <sheetName val="KLCT-_PODIUM13"/>
      <sheetName val="Xay_lapduongR313"/>
      <sheetName val="Gia_thanh_chuoi_su13"/>
      <sheetName val="Tiep_dia13"/>
      <sheetName val="Don_gia_vung_III-Can_Tho13"/>
      <sheetName val="Loại_Vật_tư13"/>
      <sheetName val="Measure_130613"/>
      <sheetName val="gia_cong_tac13"/>
      <sheetName val="Isolasi_Luar_Dalam13"/>
      <sheetName val="Isolasi_Luar13"/>
      <sheetName val="Analisa_Gabungan13"/>
      <sheetName val="GV1-D13_(Casement_door)13"/>
      <sheetName val="Project_Data13"/>
      <sheetName val="Elect_(3)13"/>
      <sheetName val="plan&amp;section_of_foundation13"/>
      <sheetName val="design_criteria13"/>
      <sheetName val="Bond_수수료_계산_포맷13"/>
      <sheetName val="ITB_COST13"/>
      <sheetName val="PAGE_113"/>
      <sheetName val="6PILE__(돌출)13"/>
      <sheetName val="HÐ_ngoài14"/>
      <sheetName val="DM_6713"/>
      <sheetName val="Đầu_tư13"/>
      <sheetName val="Chenh_lech_ca_may13"/>
      <sheetName val="TLg_CN&amp;Laixe13"/>
      <sheetName val="TLg_CN&amp;Laixe_(2)13"/>
      <sheetName val="TLg_Laitau13"/>
      <sheetName val="TLg_Laitau_(2)13"/>
      <sheetName val="ESTI_13"/>
      <sheetName val="KL_san_lap13"/>
      <sheetName val="Bill_01_-_CTN13"/>
      <sheetName val="Bill_2_2_Villa_2_beds13"/>
      <sheetName val="DETAIL_13"/>
      <sheetName val="dg_tphcm13"/>
      <sheetName val="T_KÊ_K_CẤU13"/>
      <sheetName val="A1,_May13"/>
      <sheetName val="Vat_lieu13"/>
      <sheetName val="Door_and_window7"/>
      <sheetName val="Harga_ME_13"/>
      <sheetName val="_Bill_5-Earthing_2_-_Add_Work13"/>
      <sheetName val="Bill_02_-_Xay_gach-Pou_13"/>
      <sheetName val="Bill_03-Chống_thấm-Pou13"/>
      <sheetName val="Bill_04-Kim_loại-Pou13"/>
      <sheetName val="Bill_05_-_Hoan_thien-Pou_13"/>
      <sheetName val="Bill_02_-_Xay_gach-Tower13"/>
      <sheetName val="Bill_03-Chống_thấm-Tower13"/>
      <sheetName val="Bill_04-Kim_loại-Tower13"/>
      <sheetName val="Bill_05_-_Hoan_thien-Tower13"/>
      <sheetName val="KL-_KHAC13"/>
      <sheetName val="BILL_3_-_KẾT_CẤU_HẦM13"/>
      <sheetName val="PTĐG_LTBT13"/>
      <sheetName val="CTG-PRECHEx1_413"/>
      <sheetName val="CTG-AB_(2)13"/>
      <sheetName val="CTG-AB_(3)13"/>
      <sheetName val="CTG-PLP-1_0813"/>
      <sheetName val="Pre_Đội_nhóm13"/>
      <sheetName val="Vat_tu_XD13"/>
      <sheetName val="CẤP_THOÁT_NƯỚC13"/>
      <sheetName val="Cước_VC_+_ĐM_CP_Tư_vấn13"/>
      <sheetName val="Hệ_số13"/>
      <sheetName val="THDT_goi_thau_TB13"/>
      <sheetName val="Tien_do_TV13"/>
      <sheetName val="Tower_-_Concrete_Works13"/>
      <sheetName val="Bill-04_ket_cau_thap-_UNI13"/>
      <sheetName val="TH_Vat_tu13"/>
      <sheetName val="Bang_trong_luong_rieng_thep13"/>
      <sheetName val="final_list_200529"/>
      <sheetName val="LV_data13"/>
      <sheetName val="Gia_vat_tu13"/>
      <sheetName val="TH_MTC13"/>
      <sheetName val="TH_N_Cong13"/>
      <sheetName val="Equipment_list_(PAC)13"/>
      <sheetName val="TINH_KHOI_LUONG13"/>
      <sheetName val="DATA_BASE13"/>
      <sheetName val="bridge_#_113"/>
      <sheetName val="Bang_3_Chi_tiet_phan_Dz13"/>
      <sheetName val="KHOI_LUONG13"/>
      <sheetName val="HVAC_BLOCK_B413"/>
      <sheetName val="subcon_sched13"/>
      <sheetName val="Chi_tiet13"/>
      <sheetName val="Buy_vs__Lease_Car13"/>
      <sheetName val="BẢNG_KHỐI_LƯỢNG_TỔNG_HỢP12"/>
      <sheetName val="CTKL_KTX_HT12"/>
      <sheetName val="CP_Khac_cuoc_VC12"/>
      <sheetName val="Budget_Code12"/>
      <sheetName val="2_Chiet_tinh12"/>
      <sheetName val="du_lieu_du_toan12"/>
      <sheetName val="PRE_(E)13"/>
      <sheetName val="Luong_NII12"/>
      <sheetName val="DINH_MUC_THI_NGHIEM12"/>
      <sheetName val="Luong_NI12"/>
      <sheetName val="NHÀ_NHẬP_LIỆU12"/>
      <sheetName val="MÓNG_SILO12"/>
      <sheetName val="BOQ_THAN12"/>
      <sheetName val="Tong_du_toan12"/>
      <sheetName val="Bill_2_-_ketcau12"/>
      <sheetName val="D_&amp;_W_sizes12"/>
      <sheetName val="DL_ĐẦU_VÀO12"/>
      <sheetName val="Chi_tiet_lan_can12"/>
      <sheetName val="Analisa_&amp;_Upah12"/>
      <sheetName val="Purchase_Order12"/>
      <sheetName val="Du_lieu13"/>
      <sheetName val="Phan_tich12"/>
      <sheetName val="CT_Thang_Mo12"/>
      <sheetName val="CT__PL12"/>
      <sheetName val="dongia__2_12"/>
      <sheetName val="Thép_CKN12"/>
      <sheetName val="GOC-KO_IN12"/>
      <sheetName val="MAU_8A12"/>
      <sheetName val="MAU_8B12"/>
      <sheetName val="MAU_912"/>
      <sheetName val="MAU_1012"/>
      <sheetName val="cash_budget12"/>
      <sheetName val="sochitiettaikhoan_12"/>
      <sheetName val="Share_price_data12"/>
      <sheetName val="19_312"/>
      <sheetName val="20_312"/>
      <sheetName val="Chieu_4_312"/>
      <sheetName val="Cow_req12"/>
      <sheetName val="TỔNG_HỢP12"/>
      <sheetName val="14-LẦN_3-CHIỀU12"/>
      <sheetName val="14-LẦN_1-SÁNG12"/>
      <sheetName val="14-LẦN_2-TRƯA12"/>
      <sheetName val="1_3+1_4-TOTAL_-_Ko_IN12"/>
      <sheetName val="2_1-LẦN_3-CHIỀU12"/>
      <sheetName val="2_1-LẦN_1-SÁNG12"/>
      <sheetName val="2_1-LẦN_2-TRƯA12"/>
      <sheetName val="2_1-TOTAL-Ko_IN12"/>
      <sheetName val="1_3(TMR_4)12"/>
      <sheetName val="CHO_DE12"/>
      <sheetName val="1_1+1_2+2_2+2_3(TMR_3)12"/>
      <sheetName val="CK1+CK2_(VS_SAN_CHOI_23)12"/>
      <sheetName val="CK1+CK2_(2)12"/>
      <sheetName val="12-16_THÁNG12"/>
      <sheetName val="CAN_SỮA12"/>
      <sheetName val="54+55+56(SAU_CAI_SỮA-6)12"/>
      <sheetName val="BÊ_71-90_NGÀY12"/>
      <sheetName val="BÊ_12-16_tháng12"/>
      <sheetName val="BÊ_6-1212"/>
      <sheetName val="BÊ_1-312"/>
      <sheetName val="F01-BC_KHAU_PHAN_SANG_20_312"/>
      <sheetName val="F01-BC_KHAU_PHAN_CHIEU_19_312"/>
      <sheetName val="dinh_mưc_cty12"/>
      <sheetName val="Giá_thành12"/>
      <sheetName val="Thong_ke12"/>
      <sheetName val="Energy_for_milk_prod12"/>
      <sheetName val="DE_NGHI_XUAT_12"/>
      <sheetName val="phieu_xuat_mau12"/>
      <sheetName val="PHIEU_XUAT_CHIEU12"/>
      <sheetName val="11_rai_them_cỏ12"/>
      <sheetName val="PHU_LUC_02-_HDSD_CAC_BIEU_MAU12"/>
      <sheetName val="PhU_LUC_01-_MA_CAC_NHOM_BO12"/>
      <sheetName val="F03-BC_THUC_TRON_SANG_20_312"/>
      <sheetName val="F03-BC_THUC_TRON_CHIEU_19_312"/>
      <sheetName val="F02-BC_THEO_DOI_THUC_AN_DU12"/>
      <sheetName val="Tham_khao-_Bao_cao_xuat_thuc_12"/>
      <sheetName val="Nhap_VT_oto10"/>
      <sheetName val="dm_36610"/>
      <sheetName val="DM_606010"/>
      <sheetName val="Dự_thầu10"/>
      <sheetName val="DK1_Don_gia12"/>
      <sheetName val="Dlieu_dau_vao12"/>
      <sheetName val="BANCO_(2)12"/>
      <sheetName val="MT_DPin_(2)12"/>
      <sheetName val="02__PTDG12"/>
      <sheetName val="Chiết_tính12"/>
      <sheetName val="Income_Statement12"/>
      <sheetName val="Shareholders'_Equity12"/>
      <sheetName val="VC_xd10"/>
      <sheetName val="Gia_VLTB10"/>
      <sheetName val="B_Luong10"/>
      <sheetName val="C_May10"/>
      <sheetName val="Don_gia_chi_tiet_DIEN_29"/>
      <sheetName val="Dự_toán10"/>
      <sheetName val="Đơn_Giá_TH10"/>
      <sheetName val="Nhân_công10"/>
      <sheetName val="Phân_tích10"/>
      <sheetName val="C_P_Thiết_bị10"/>
      <sheetName val="T_H_Kinh_phí10"/>
      <sheetName val="Vật_tư10"/>
      <sheetName val="Trang_bìa10"/>
      <sheetName val="DG_14269"/>
      <sheetName val="Don_gia_(khong_in)12"/>
      <sheetName val="1_MONG_1-212"/>
      <sheetName val="AG_Pipe_Qty_Analysis10"/>
      <sheetName val="TB_NẶNG10"/>
      <sheetName val="Du_tru_CP-Bieu_0110"/>
      <sheetName val="wk_prgs10"/>
      <sheetName val="đọc_số10"/>
      <sheetName val="Bill_No_3_-_Prov__Sum_(Ph2&amp;3)10"/>
      <sheetName val="TH_TN10"/>
      <sheetName val="HỆ_THỐNG_PHÒNG_CHÁY_CHỮA_CHÁY10"/>
      <sheetName val="HỆ_THỐNG_CẤP_THOÁT_NƯỚC10"/>
      <sheetName val="HỆ_THỐNG_ĐHKK10"/>
      <sheetName val="MÁY_PHÁT_ĐIỆN10"/>
      <sheetName val="HỆ_THỐNG_ĐIỆN10"/>
      <sheetName val="Thiết_bị_chính10"/>
      <sheetName val="TK_chi_tiet10"/>
      <sheetName val="Bill_2-Road_HR210"/>
      <sheetName val="Bill_3_-_Softscape_HR210"/>
      <sheetName val="Ma_don_vi10"/>
      <sheetName val="bang_cc10"/>
      <sheetName val="Ｎｏ_1310"/>
      <sheetName val="DGchitiet_10"/>
      <sheetName val="2_1Warehouse_110"/>
      <sheetName val="Hao_phí10"/>
      <sheetName val="Structure_data10"/>
      <sheetName val="Main_Bldg-Rev0210"/>
      <sheetName val="D&amp;W_def_10"/>
      <sheetName val="Nhan_cong10"/>
      <sheetName val="Thiet_bi10"/>
      <sheetName val="Vat_tu10"/>
      <sheetName val="DM_ChiPhi10"/>
      <sheetName val="May_TC10"/>
      <sheetName val="TH_Kinh_phi10"/>
      <sheetName val="THCP_Lap_dat10"/>
      <sheetName val="THCP_xay_dung10"/>
      <sheetName val="Ptvl_10"/>
      <sheetName val="1_2_Staff_Schedule9"/>
      <sheetName val="Data_Wall10"/>
      <sheetName val="THEP_TAM10"/>
      <sheetName val="THEP_HÌNH10"/>
      <sheetName val="THEP_HINH10"/>
      <sheetName val="XA_GO10"/>
      <sheetName val="BANG_TRA10"/>
      <sheetName val="CP_HMC10"/>
      <sheetName val="CĂN_HỘ_T16-17_10"/>
      <sheetName val="TRỤC_ĐỨNG_THOÁT_BẨN_T15-1710"/>
      <sheetName val="TRỤC_ĐỨNG_TM_T15-1710"/>
      <sheetName val="CP_Du_phong10"/>
      <sheetName val="Tong_hop_kinh_phi10"/>
      <sheetName val="CHI_PHI10"/>
      <sheetName val="gui_BKCT9"/>
      <sheetName val="Tổng_GT10"/>
      <sheetName val="Chi_tiết_KL10"/>
      <sheetName val="khấu_trừ_phạt10"/>
      <sheetName val="GT__KHAU_TRU10"/>
      <sheetName val="HAO_HUT_VAT_TU_(2)10"/>
      <sheetName val="cao_độ10"/>
      <sheetName val="Chi_tiet_cong_no10"/>
      <sheetName val="PHÁT_SINH_TẦNG_1_10"/>
      <sheetName val="PHÁT_SINH_TẦNG_210"/>
      <sheetName val="Hầm_chuyển_psinh10"/>
      <sheetName val="Ống_thẳng10"/>
      <sheetName val="Côn_thu10"/>
      <sheetName val="Vuông_tròn10"/>
      <sheetName val="Chân_rẽ10"/>
      <sheetName val="Chạc_ba10"/>
      <sheetName val="Chi_tiet_-tong_9_thang9"/>
      <sheetName val="Móng,_nền_10"/>
      <sheetName val="1_Requisition(E)10"/>
      <sheetName val="Theo_doi_Doanh_thu_20179"/>
      <sheetName val="TONG_HOP10"/>
      <sheetName val="phan_tic_chi_tiet10"/>
      <sheetName val="0__Input9"/>
      <sheetName val="BẢNG_ÁP_GIÁ_(in)9"/>
      <sheetName val="NT_(KL)_IN9"/>
      <sheetName val="DOM_D29"/>
      <sheetName val="nhà_ăn9"/>
      <sheetName val="Công_nhật9"/>
      <sheetName val="btkt_cột9"/>
      <sheetName val="Bill_Prelim-CDT9"/>
      <sheetName val="Bill_BPTC-CDT9"/>
      <sheetName val="Chi_tiết_BPTC9"/>
      <sheetName val="Bill_BPTC-CDT_(PA_MCT_CDT)9"/>
      <sheetName val="Chi_tiết_BPTC_(PA_MCT_CDT)9"/>
      <sheetName val="KHOI_LUONG15-49"/>
      <sheetName val="TH_các_CC9"/>
      <sheetName val="Tổng_hợp_KPHM8"/>
      <sheetName val="DM_336cai_tao9"/>
      <sheetName val="3__CNT9"/>
      <sheetName val="unit_price_list(M)9"/>
      <sheetName val="Gia_vat_lieu9"/>
      <sheetName val="Precios_unitarios_AXH9"/>
      <sheetName val="KL_THEP__GIAM_DO_DUNG_COUPLER9"/>
      <sheetName val="01_KL_THÉP_NHẬP_VỀ9"/>
      <sheetName val="2__NT_VLDV9"/>
      <sheetName val="GHI_CHU9"/>
      <sheetName val="1_BB_LMHT9"/>
      <sheetName val="Bê_tông_bảo_vệ9"/>
      <sheetName val="01__Data9"/>
      <sheetName val="Neo,_nối_cốt_thép_dầm,_cột9"/>
      <sheetName val="Uốn_móc_cốt_thép9"/>
      <sheetName val="Tiêu_chuẩn_cốt_thép9"/>
      <sheetName val="So_lieu_chung9"/>
      <sheetName val="TH_VL,_NC,_DDHT_Thanhphuoc9"/>
      <sheetName val="1__Office9"/>
      <sheetName val="Doi_so9"/>
      <sheetName val="DANH_MỤC_HỒ_SƠ9"/>
      <sheetName val="GT_PHÁT_SINH_NGOÀI_HĐ9"/>
      <sheetName val="KL_PHÁT_SINH_9"/>
      <sheetName val="PS_NGOÀI_HĐ9"/>
      <sheetName val="GT_PHÁT_SINH_VƯỢT_HĐ9"/>
      <sheetName val="PS_TĂNG_GIẢM_TRONG_HĐ9"/>
      <sheetName val="DGCT_PHÁT_SINH9"/>
      <sheetName val="DGCT_TRẦN_NLV9"/>
      <sheetName val="DGKL_chi_tiết_NLV9"/>
      <sheetName val="DGKL_chi_tiết_NHN,NK9"/>
      <sheetName val="TG_KL9"/>
      <sheetName val="DGCT_SƠN_BẢ_TƯỜNG_NLV9"/>
      <sheetName val="DGKL_TRẦN_NHN9"/>
      <sheetName val="MTO_REV_2(ARMOR)9"/>
      <sheetName val="KL_thep_lam_sat9"/>
      <sheetName val="DM-VNT_ko_sd9"/>
      <sheetName val="B3A_-_TOWER_A9"/>
      <sheetName val="Annex_B9"/>
      <sheetName val="Cotthep_NPT9"/>
      <sheetName val="vl_nc_mtc9"/>
      <sheetName val="1_Civil_(Org)9"/>
      <sheetName val="Tien_Thuong9"/>
      <sheetName val="NC_XL_6T_cuoi_01_CTy9"/>
      <sheetName val="Data_-6T_dau9"/>
      <sheetName val="Cong_6T9"/>
      <sheetName val="Bảng_đo_bóc_KL_OLK-099"/>
      <sheetName val="6_3_CHI_TIET_OLK-099"/>
      <sheetName val="Dot_49"/>
      <sheetName val="Chi_phi_van_chuyen9"/>
      <sheetName val="Tong_hop_vat_tu9"/>
      <sheetName val="1_San_9"/>
      <sheetName val="DT_hợp_đồng8"/>
      <sheetName val="Bảng_KL_đợt_18"/>
      <sheetName val="Dgia_vat_tu9"/>
      <sheetName val="Don_gia_III9"/>
      <sheetName val="D÷_liÖu9"/>
      <sheetName val="TLG_Type9"/>
      <sheetName val="Thop_Ksat9"/>
      <sheetName val="Thu_hoi_9"/>
      <sheetName val="HM_chung9"/>
      <sheetName val="CP_xd-thiet_bi9"/>
      <sheetName val="TH-TN_LD_TB9"/>
      <sheetName val="CP_xaydung9"/>
      <sheetName val="Thao_ha_phu_kien9"/>
      <sheetName val="VL-NC-MTC_ket_cau9"/>
      <sheetName val="KHOI_LUONG_TONG9"/>
      <sheetName val="TK_22KV9"/>
      <sheetName val="DM_366-17779"/>
      <sheetName val="Thi_nhiem9"/>
      <sheetName val="Gia_goc_VT-TB9"/>
      <sheetName val="Gia_vc_den_chan_CT9"/>
      <sheetName val="culy_229"/>
      <sheetName val="Luong_20509"/>
      <sheetName val="ca_may_QN9"/>
      <sheetName val="TNHC1246_9"/>
      <sheetName val="Ca_may_TT06_20109"/>
      <sheetName val="Don_gia_VLXD_dia_phuong9"/>
      <sheetName val="Bang_luong_SCL9"/>
      <sheetName val="Dinh_muc_TN14269"/>
      <sheetName val="HRG_BHN9"/>
      <sheetName val="CĂN_ĐH9"/>
      <sheetName val="Div26_-_Elect9"/>
      <sheetName val="Q_A01_2-Sh9"/>
      <sheetName val="2_CDPS9"/>
      <sheetName val="4_CĂN9"/>
      <sheetName val="Bieu_gia_HD8"/>
      <sheetName val="Danh_mục8"/>
      <sheetName val="7_Khau_tru_9"/>
      <sheetName val="Summary_Sheet8"/>
      <sheetName val="Finishing-Tower_A8"/>
      <sheetName val="Finishing-Tower_B8"/>
      <sheetName val="Finishing-Tower_C8"/>
      <sheetName val="Finishing-Tower_D8"/>
      <sheetName val="MEP-Tower_A8"/>
      <sheetName val="MEP-Tower_B8"/>
      <sheetName val="MEP-Tower_C8"/>
      <sheetName val="MEP-Tower_D8"/>
      <sheetName val="Cost_Report_Sum8"/>
      <sheetName val="Detail_Cost_Sum8"/>
      <sheetName val="RVO-VO_Sum8"/>
      <sheetName val="Potential_VOs_Sum8"/>
      <sheetName val="Cash_Flow_Sum8"/>
      <sheetName val="Heso_DZ9"/>
      <sheetName val="DG_BINH_THUAN9"/>
      <sheetName val="BTK-Dai_Hoc_Kien_Giang8"/>
      <sheetName val="PV_Graph_Data8"/>
      <sheetName val="doanh_thu8"/>
      <sheetName val="Dutoan_KL8"/>
      <sheetName val="B-2__(DPP)9"/>
      <sheetName val="Don_gia_NC9"/>
      <sheetName val="gia_vt,nc,may8"/>
      <sheetName val="Huong_dan8"/>
      <sheetName val="Financ__Overview8"/>
      <sheetName val="TINH_GIA_-_SAN_XUAT_Vertico8"/>
      <sheetName val="Dinh_muc8"/>
      <sheetName val="CAP_NUOC8"/>
      <sheetName val="cấp_nước_trục_nhà_vs8"/>
      <sheetName val="THOAT_NUOC8"/>
      <sheetName val="THOAT_MUA8"/>
      <sheetName val="Cáp_phòng8"/>
      <sheetName val="TMC_ĐIỆN_Phi8"/>
      <sheetName val="TMC_Tổng8"/>
      <sheetName val="TH_Đèn_Phòng_L18"/>
      <sheetName val="TH_Đèn_Hầm_L18"/>
      <sheetName val="TỦ_MODULE_T18"/>
      <sheetName val="13_BANG_CT8"/>
      <sheetName val="14_MMUS_GIUA_NHIP8"/>
      <sheetName val="4_HSPBngang8"/>
      <sheetName val="6_Tinh_tai8"/>
      <sheetName val="2_NSl8"/>
      <sheetName val="17_US_CHU_tho_a_b8"/>
      <sheetName val="15_MMUS_GOI8"/>
      <sheetName val="DZ_22KV8"/>
      <sheetName val="5_2_1_Đo_bóc_KL_OLK-068"/>
      <sheetName val="Kê_0,48"/>
      <sheetName val="TH_0,48"/>
      <sheetName val="Kê_228"/>
      <sheetName val="TH_228"/>
      <sheetName val="TBA_CAI_TAO8"/>
      <sheetName val="TBA_XDM8"/>
      <sheetName val="TONG_HOP_DU_TOAN8"/>
      <sheetName val="Thop_XAY_DUNG8"/>
      <sheetName val="CP_HANG_MUC_CHUNG8"/>
      <sheetName val="CHI_PHI_XD8"/>
      <sheetName val="CHI_PHI_THI_NGHIEM8"/>
      <sheetName val="VLDIEN_228"/>
      <sheetName val="Dao_dat8"/>
      <sheetName val="TH_Denbu8"/>
      <sheetName val="Do_ve_DC8"/>
      <sheetName val="TH_Bommin8"/>
      <sheetName val="CHI_PHI_THI_NGHIEM-LD_thiet_bi8"/>
      <sheetName val="Luong_TT018"/>
      <sheetName val="Camay_QB8"/>
      <sheetName val="gia_ca_may_BXD8"/>
      <sheetName val="BANG_LUONG_KY_SU8"/>
      <sheetName val="Bang_luong_NHOM_I8"/>
      <sheetName val="Bangluong_NHOM_II_8"/>
      <sheetName val="09-GIA_nhien_lieu-ko_in8"/>
      <sheetName val="Tinh_V_cot_chiem_cho8"/>
      <sheetName val="ĐM_13548"/>
      <sheetName val="KHOAN_MAU8"/>
      <sheetName val="ĐO_ĐỊA_VẬT_LÝ8"/>
      <sheetName val="khoan_tiep_dia8"/>
      <sheetName val="GIÁ_DỰ_THẦU_30_CĂN8"/>
      <sheetName val="KS_tuyen8"/>
      <sheetName val="Bang_chiet_tinh_TBA8"/>
      <sheetName val="MB_DT_028"/>
      <sheetName val="4_2_1_Đo_bóc_KL_OLK-068"/>
      <sheetName val="4_1_1_CHI_TIET_OLK-068"/>
      <sheetName val="DG_Chi_tiet8"/>
      <sheetName val="_1710_HOINGHINLD8"/>
      <sheetName val="99_(2)8"/>
      <sheetName val="134_8"/>
      <sheetName val="DG_49708"/>
      <sheetName val="Electrical_Works8"/>
      <sheetName val="H_T__INCOMING_SYSTEM8"/>
      <sheetName val="EQUIP_LIST8"/>
      <sheetName val="So_sanh8"/>
      <sheetName val="THONG_SO8"/>
      <sheetName val="Đơn_giá_chi_tiết_TN_398"/>
      <sheetName val="HERD_MOVEMENTFARM110"/>
      <sheetName val="HERD_MOVEMENTFARM210"/>
      <sheetName val="CALVES_2-410"/>
      <sheetName val="Cavles_2-410"/>
      <sheetName val="CALVES_4-710"/>
      <sheetName val="HEIFER_7-12m10"/>
      <sheetName val="HEIFER_12+10"/>
      <sheetName val="FRESH_COW_2017-1810"/>
      <sheetName val="HP_COW_201810"/>
      <sheetName val="LP_COW_2017-1810"/>
      <sheetName val="DRY_COW10"/>
      <sheetName val="FIELD_CROPS10"/>
      <sheetName val="Gia_VT-TB8"/>
      <sheetName val="noi_suy_xa8"/>
      <sheetName val="noi_suy_xa_thu_hoi8"/>
      <sheetName val="BU_LONG8"/>
      <sheetName val="Thuyết_minh8"/>
      <sheetName val="Đơn_giá_máy8"/>
      <sheetName val="Tính_giá_NC8"/>
      <sheetName val="SL_cước8"/>
      <sheetName val="DT__NHA_XUONG8"/>
      <sheetName val="Tiên_lượng8"/>
      <sheetName val="Tong_DT7"/>
      <sheetName val="phan_tich_don_gia7"/>
      <sheetName val="¥_8"/>
      <sheetName val="Bù_giá_CM7"/>
      <sheetName val="Luong_BN7"/>
      <sheetName val="Luong_TB7"/>
      <sheetName val="Ca_may_TB7"/>
      <sheetName val="Ca_máy_BN7"/>
      <sheetName val="Vật_liệu7"/>
      <sheetName val="LX_-TT057"/>
      <sheetName val="NC_Moi_TT057"/>
      <sheetName val="Cash_Flow8"/>
      <sheetName val="Bill_No_1_68"/>
      <sheetName val="Bill_No_1_108"/>
      <sheetName val="Bill_No_3_38"/>
      <sheetName val="Bill_No_1_48"/>
      <sheetName val="Bill_No_1_78"/>
      <sheetName val="Summary_Bill_No__38"/>
      <sheetName val="Tien_Luong7"/>
      <sheetName val="Bán_đợt_1_trang7"/>
      <sheetName val="Unit_price7"/>
      <sheetName val="Khai_toan2"/>
      <sheetName val="Phu_luc_01_1_EPC_P11-142"/>
      <sheetName val="TDT_P11-P142"/>
      <sheetName val="Chi_phi_khac_2"/>
      <sheetName val="Hang_muc_Chung2"/>
      <sheetName val="Bia_Phu_Luc2"/>
      <sheetName val="DATA_1_CHUNG2"/>
      <sheetName val="Muc_luc2"/>
      <sheetName val="Tra_cuu_9572"/>
      <sheetName val="CHITIET_VL-NCHT1_(2)7"/>
      <sheetName val="Chu_dau_tu3"/>
      <sheetName val="3__KC_-_PODIUM7"/>
      <sheetName val="Breakdown_(B)7"/>
      <sheetName val="U_P_Breakdown7"/>
      <sheetName val="CTDZ6kv_(gd1)_7"/>
      <sheetName val="CTDZ_0_4+cto_(GD1)7"/>
      <sheetName val="CTTBA_(gd1)7"/>
      <sheetName val="03_Detailed7"/>
      <sheetName val="01_Bid_Price_summary7"/>
      <sheetName val="Home_Office_Manhours7"/>
      <sheetName val="Field_SPV_Barchart7"/>
      <sheetName val="Unit_price(Updateting)7"/>
      <sheetName val="Chiet_tinh_dz357"/>
      <sheetName val="Cost_List7"/>
      <sheetName val="Detail_Cost7"/>
      <sheetName val="IC_Price_New7"/>
      <sheetName val="Summary_Table7"/>
      <sheetName val="Sales_Person7"/>
      <sheetName val="Bidding_Entity7"/>
      <sheetName val="IMF_Code7"/>
      <sheetName val="Subsidiary_Calculation7"/>
      <sheetName val="Cau_tao_gia_xay_to3"/>
      <sheetName val="SGC_RATE2"/>
      <sheetName val="don_gia_14267"/>
      <sheetName val="DT_san_XD-So_lieu_cu7"/>
      <sheetName val="Bia_lot7"/>
      <sheetName val="5_2_1_Đo_bóc_KL_OLK-107"/>
      <sheetName val="Tru_TT2"/>
      <sheetName val="Thg_042"/>
      <sheetName val="Thg_052"/>
      <sheetName val="Thg_062"/>
      <sheetName val="Thg_072"/>
      <sheetName val="Thg_082"/>
      <sheetName val="Thg_092"/>
      <sheetName val="Thg_102"/>
      <sheetName val="Thg_112"/>
      <sheetName val="Thg_122"/>
      <sheetName val="FF-2_(1)7"/>
      <sheetName val="Labour_Summary20"/>
      <sheetName val="YTD_12'20037"/>
      <sheetName val="YTD_06'20037"/>
      <sheetName val="YTD_03'20037"/>
      <sheetName val="YTD_09'20037"/>
      <sheetName val="deferred_taxes7"/>
      <sheetName val="Eqpmnt_Plng7"/>
      <sheetName val="TRIAL_BALANCE7"/>
      <sheetName val="DPR_31st_march7"/>
      <sheetName val="current_month7"/>
      <sheetName val="Blng__Vs_Coll_7"/>
      <sheetName val="Dashboard_-_BQL_-_VHL2"/>
      <sheetName val="Phu_Bai_Bridge7"/>
      <sheetName val="BẢNG_DIỄN_GIẢI_KL_(7)7"/>
      <sheetName val="DM_DU_AN2"/>
      <sheetName val="DM_TP_2"/>
      <sheetName val="File_Chi_tiet2"/>
      <sheetName val="THÔNG_TIN3"/>
      <sheetName val="THPDMoi__(2)3"/>
      <sheetName val="t-h_HA_THE3"/>
      <sheetName val="TH_XL3"/>
      <sheetName val="CHITIET_VL-NC3"/>
      <sheetName val="Luong_(TP_Việt_Trì)"/>
      <sheetName val="w't_table2"/>
      <sheetName val="Danh_mục_khối2"/>
      <sheetName val="Danh_mục_đơn_vị_-phòng_chức_nă2"/>
      <sheetName val="Probbl_-_Production2"/>
      <sheetName val="KEILA_TP_2020-072"/>
      <sheetName val="Currency_Rate2"/>
      <sheetName val="CHI_PHÍ_NHÔM2"/>
      <sheetName val="BILL_34Āᐁë2"/>
      <sheetName val="2__BBNT_KLHT2"/>
      <sheetName val="CFA_(ME)2"/>
      <sheetName val="MEP_Building2"/>
      <sheetName val="CHITIET_VL-NC-TT1p2"/>
      <sheetName val="BOM-13_11-Other(PS1+PS2)2"/>
      <sheetName val="Dinh_Muc_Vat_Tu2"/>
      <sheetName val="mã_2"/>
      <sheetName val="DG_"/>
      <sheetName val="Nhập_liệu"/>
      <sheetName val="LUONG_SCL2"/>
      <sheetName val="DO_AM_DT"/>
      <sheetName val="01__Nha_xuong"/>
      <sheetName val="Boc_KL_DAT+CAT+BT"/>
      <sheetName val="Boc_KL_thép"/>
      <sheetName val="Bieu_do_nhan_luc"/>
      <sheetName val="TH_khoi_luong2"/>
      <sheetName val="Chi_tiet_khoi_luong2"/>
      <sheetName val="TK_thep2"/>
      <sheetName val="CT_THOÁT_WC_VP2"/>
      <sheetName val="CT_CẤP_WC_VP2"/>
      <sheetName val="CT_THOÁT_MƯA_VP_TRỤC_LỚN2"/>
      <sheetName val="CT_THOÁT_MƯA_VP_TRỤC_NHỎ2"/>
      <sheetName val="Chênh_lệch_máy_thi_công1"/>
      <sheetName val="Chênh_lệch_nhân_công1"/>
      <sheetName val="Chênh_lệch_vật_liệu1"/>
      <sheetName val="NHOM_KINH1"/>
      <sheetName val="Chao_gia_T12_RE1"/>
      <sheetName val="DSV6_Summ"/>
      <sheetName val="Don_gia_XD1"/>
      <sheetName val="Share_Price_20021"/>
      <sheetName val="Aging_Sept1"/>
      <sheetName val="0_Data"/>
      <sheetName val="0_Data_new"/>
      <sheetName val="Service_Cost_1"/>
      <sheetName val="Don_gia_Tay_Ninh1"/>
      <sheetName val="Don_gia_Dak_Lak1"/>
      <sheetName val="streeta_and_cacth_pit1"/>
      <sheetName val="Daf_11"/>
      <sheetName val="Gia_NC_theo_TT05"/>
      <sheetName val="Auto_Monthly_Inputs_"/>
      <sheetName val="Input_-_Facilities"/>
      <sheetName val="BP_CAPEX_MoD-100%_Area_4_USD"/>
      <sheetName val="Committed_Items"/>
      <sheetName val="Corner_Arch"/>
      <sheetName val="End_Arch"/>
      <sheetName val="Intermediate_Arch"/>
      <sheetName val="reinforcement_675"/>
      <sheetName val="ext_wall_fin_qty"/>
      <sheetName val="SL_Plum_"/>
      <sheetName val="Physical_Schedule_3D"/>
      <sheetName val="Tabel_Berat"/>
      <sheetName val="Data_Umum_Penawaran"/>
      <sheetName val="Real_Cost"/>
      <sheetName val="bill_qty"/>
      <sheetName val="REKAP_ARSITEKTUR_"/>
      <sheetName val="RAB_ADMINISTRASI_PUSAT_(1)"/>
      <sheetName val="Hrg_Readymix"/>
      <sheetName val="Land_Dev't__Ph-1"/>
      <sheetName val="Hac_Lots"/>
      <sheetName val="4-Lane_bridge"/>
      <sheetName val="Res_Lots"/>
      <sheetName val="Spine_Road"/>
      <sheetName val="PHẦN_KIẾN_TRÚC"/>
      <sheetName val="DGKL_TRỤC_NGOAI_NHA"/>
      <sheetName val="Sum_ELE__CAP_S1-4__"/>
      <sheetName val="5_2_1_Đo_bóc_KL_OLK-07"/>
      <sheetName val="Elemental_Breakdown+20%"/>
      <sheetName val="Bank_Rev"/>
      <sheetName val="Merit_&amp;_Market_Grid"/>
      <sheetName val="BP_DECLINE_IT"/>
      <sheetName val="Input_List"/>
      <sheetName val="Valid_data_revised"/>
      <sheetName val="DETAIL_MIX_%_REPORT"/>
      <sheetName val="Fill_this_out_first___"/>
      <sheetName val="BC_chi_tiết_TT"/>
      <sheetName val="Bill_2"/>
      <sheetName val="Bill_3"/>
      <sheetName val="Bill_4a_-_1A"/>
      <sheetName val="Bill_4a_(Fiber)_-_1A"/>
      <sheetName val="Bill_4b"/>
      <sheetName val="Bill_4c"/>
      <sheetName val="Bill_5"/>
      <sheetName val="Bill_4a_-_1B"/>
      <sheetName val="Bill_4a_(Fiber)_-_1B"/>
      <sheetName val="242_3_summaryOPC"/>
      <sheetName val="1_1General"/>
      <sheetName val="CONSOIDATE_4"/>
      <sheetName val="CONSOIDATE_2"/>
      <sheetName val="Cước_CG"/>
      <sheetName val="02__PHAN_TICH"/>
      <sheetName val="03__NGAN_SACH"/>
      <sheetName val="Dai_tu"/>
      <sheetName val="6__Scope_of_work_"/>
      <sheetName val="4_6_Phân_tích_nhân_sự_"/>
      <sheetName val="4_5_Mức_độ_tham_gia_dự_án"/>
      <sheetName val="So_sanh_gia"/>
      <sheetName val="Luong_2622EVN"/>
      <sheetName val="Cuoc_"/>
      <sheetName val="gia_chao"/>
      <sheetName val="Vat_lieu_BTN"/>
      <sheetName val="Define_finishing"/>
      <sheetName val="NC_CU"/>
      <sheetName val="0,SO_LIEU_DAU_VAO"/>
      <sheetName val="Da_xay_dung"/>
      <sheetName val="MTO_REV_0"/>
      <sheetName val="DMKH"/>
      <sheetName val="Dynamic Ranges"/>
      <sheetName val="THCP thiet bi"/>
      <sheetName val="Cal"/>
      <sheetName val="ADJ 2011"/>
      <sheetName val="NOVA MEDIC"/>
      <sheetName val="DGKL MEDIC"/>
      <sheetName val="B15"/>
      <sheetName val="B16"/>
      <sheetName val="B17"/>
      <sheetName val="B4-D3"/>
      <sheetName val="B8"/>
      <sheetName val="CSDL"/>
      <sheetName val="THONG SO KICH THUOC"/>
      <sheetName val="MD"/>
      <sheetName val="CT -THVLNC"/>
      <sheetName val="Hs_TMDT"/>
      <sheetName val="TMDT"/>
      <sheetName val="DWA"/>
      <sheetName val="Pile-RT2B"/>
      <sheetName val="ippd1B_old"/>
      <sheetName val="plywood"/>
      <sheetName val="Listes Caractéristiques"/>
      <sheetName val="Liste Référentiel"/>
      <sheetName val="STF-SDL"/>
      <sheetName val="GI"/>
      <sheetName val="salary"/>
      <sheetName val="Bond"/>
      <sheetName val="Exchange"/>
      <sheetName val="Column"/>
      <sheetName val="Bill 4_1a___"/>
      <sheetName val="XL4Poppy (2)"/>
      <sheetName val="XL4Poppy_(2)"/>
      <sheetName val="Bldg Brkdown"/>
      <sheetName val="Price"/>
      <sheetName val="Thang 01"/>
      <sheetName val="Thống kê"/>
      <sheetName val="BAN IN"/>
      <sheetName val="NKCT"/>
      <sheetName val="Data (2)"/>
      <sheetName val="Char"/>
      <sheetName val="Book 1 Summary"/>
      <sheetName val="BCC_4054-05"/>
      <sheetName val="Tra1"/>
      <sheetName val="SLTh.ke"/>
      <sheetName val="토목주소"/>
      <sheetName val="프랜트면허"/>
      <sheetName val="4)유동표"/>
      <sheetName val="Product"/>
      <sheetName val="DIEN TICH"/>
      <sheetName val="1.설계조건"/>
      <sheetName val="Wood Mckenzie"/>
      <sheetName val="Đầu ra sản phẩm"/>
      <sheetName val="Tổng quan và Input"/>
      <sheetName val="Đầu vào sản xuất"/>
      <sheetName val="Tính toán doanh thu"/>
      <sheetName val="Phân tích độ nhạy"/>
      <sheetName val="Khấu hao TSCĐ"/>
      <sheetName val="Nguồn vốn"/>
      <sheetName val="Giải ngân nguồn vốn"/>
      <sheetName val="Tính toán thuế"/>
      <sheetName val="Tính toán chi phí SX"/>
      <sheetName val="TH ĐƠN GIÁ"/>
      <sheetName val="ca_máy6"/>
      <sheetName val="KL T16 BÀN GIAO 19.4"/>
      <sheetName val="proj"/>
      <sheetName val="5.Gia"/>
      <sheetName val="ThiNghiemDZ04"/>
      <sheetName val="OVER VIEW"/>
      <sheetName val="比率"/>
      <sheetName val="数据库"/>
      <sheetName val="SCOPE OF WORK"/>
      <sheetName val="THDT_goi_thauџTB2"/>
      <sheetName val="dsnt"/>
      <sheetName val="dat"/>
      <sheetName val="TonDau"/>
      <sheetName val="CBR"/>
      <sheetName val="NHOM KINH "/>
      <sheetName val="KL CHI TIẾT (2)"/>
      <sheetName val="Loại cọc P2"/>
      <sheetName val="TT04"/>
      <sheetName val="Shape"/>
      <sheetName val="Danh sach KV2"/>
      <sheetName val="Danh sach doan KT"/>
      <sheetName val="CP NC-MTC XD"/>
      <sheetName val="SDDK"/>
      <sheetName val="DNTT"/>
      <sheetName val="List of Staff"/>
      <sheetName val="_ QUOTATION.xlsx"/>
      <sheetName val="2.5.Ducts (2)"/>
      <sheetName val="S N"/>
      <sheetName val="H.Satuan"/>
      <sheetName val="4.3 Scope of work "/>
      <sheetName val="List Danh mục nghiệm thu"/>
      <sheetName val="Request"/>
      <sheetName val="struktur"/>
      <sheetName val="THÁNG 05"/>
      <sheetName val="DMTL"/>
      <sheetName val="Piano Montaggio PO-02 bozza2"/>
      <sheetName val="Work-Condition"/>
      <sheetName val="PTcphoi"/>
      <sheetName val="Giahientruong"/>
      <sheetName val="Ten"/>
      <sheetName val="GIA NC, CM"/>
      <sheetName val="GIA VL"/>
      <sheetName val="13.Luong"/>
      <sheetName val="Luong TT05"/>
      <sheetName val="Gia HĐ"/>
      <sheetName val="도로경계단위"/>
      <sheetName val="2. Tổng hợp"/>
      <sheetName val="List Equip"/>
      <sheetName val="LabCost"/>
      <sheetName val="MatCost"/>
      <sheetName val="Concrete"/>
      <sheetName val="Process C (1-166)"/>
      <sheetName val="CF -Update 31Jul06"/>
      <sheetName val="Executive Summary"/>
      <sheetName val="mahang"/>
      <sheetName val="MAHANG BHLD"/>
      <sheetName val="LUONGKHOAN"/>
      <sheetName val="CHITIETHOADON.TT"/>
      <sheetName val="mahang chinh sua moi nhat"/>
      <sheetName val="Technal"/>
      <sheetName val="Noise insl"/>
      <sheetName val="Hot-Piping"/>
      <sheetName val="DG_1"/>
      <sheetName val="Ca may"/>
      <sheetName val="DS Cty"/>
      <sheetName val="Civil"/>
      <sheetName val="1-Backfilling"/>
      <sheetName val="공문"/>
      <sheetName val="Eq. Mobilization"/>
      <sheetName val="Link HG"/>
      <sheetName val="DINH_MUCџTHI_NGHIEM3"/>
      <sheetName val="chi tiet TS theo so lieu ktoan"/>
      <sheetName val="LinerWt"/>
      <sheetName val="CẤP_THO_x0000__x0000__x0000__x0000__x0000__x0000__x0000_"/>
      <sheetName val="unit weight"/>
      <sheetName val="TTL"/>
      <sheetName val="02. THONG_TIN_CHUNG"/>
      <sheetName val="07. DINH_MUC HBC"/>
      <sheetName val="TK SX"/>
      <sheetName val="ma-pt"/>
      <sheetName val="TT35"/>
      <sheetName val="Temp"/>
      <sheetName val="VL-NC-M"/>
      <sheetName val="May Goc (QD2436)"/>
      <sheetName val="VC theo cuoc tinh"/>
      <sheetName val="BCVC ."/>
      <sheetName val="PTCT"/>
      <sheetName val="bang 1 NCXD"/>
      <sheetName val="bang 1 NCXD (V.I)"/>
      <sheetName val="DG-VLIEU"/>
      <sheetName val="DG THIET BI"/>
      <sheetName val="DG vat lieu"/>
      <sheetName val="model"/>
      <sheetName val="Loại 2"/>
      <sheetName val="Don gia III"/>
      <sheetName val="Don gia CT"/>
      <sheetName val="Tu dien"/>
      <sheetName val="T.kê"/>
      <sheetName val="sat"/>
      <sheetName val="dm7606tba"/>
      <sheetName val="Chi tiet VL-NC-MTC"/>
      <sheetName val="Dongia7606_8001_4167"/>
      <sheetName val="ĐM4970_2016(lapdatĐZ)"/>
      <sheetName val="ĐM4970_2016(Lap dat TBA)"/>
      <sheetName val="Gia Nhan công"/>
      <sheetName val="Đon gia 228 sua chua"/>
      <sheetName val="ĐM01_2000(thinghiem ĐZTTĐL)"/>
      <sheetName val="ĐM1781_2007(T.N đien ĐZ&amp;TBA)"/>
      <sheetName val="Cuoc van chuyen"/>
      <sheetName val="DSCTEMP"/>
      <sheetName val="3.공통공사대비"/>
      <sheetName val="Rate Analysis"/>
      <sheetName val="입찰내역 발주처 양식"/>
      <sheetName val="SPS"/>
      <sheetName val="sht1"/>
      <sheetName val="sht2"/>
      <sheetName val="sht3"/>
      <sheetName val="bar nor"/>
      <sheetName val="table1"/>
      <sheetName val="conc nor"/>
      <sheetName val="conc frus"/>
      <sheetName val="conc trap"/>
      <sheetName val="bar frus"/>
      <sheetName val="bar trap"/>
      <sheetName val="DPVT"/>
      <sheetName val="TLR"/>
      <sheetName val="CDSPS"/>
      <sheetName val="NH-KY"/>
      <sheetName val="SLA cost distr FEB 2020"/>
      <sheetName val="Legal entities details"/>
      <sheetName val="Invoice base FEB 2020"/>
      <sheetName val="Le317 into 8050"/>
      <sheetName val="Changelog"/>
      <sheetName val="Basic principles to the distr."/>
      <sheetName val="Cost elements"/>
      <sheetName val="Ref rate change"/>
      <sheetName val="Synergi life credit"/>
      <sheetName val="Change in NH"/>
      <sheetName val="NPS to O&amp;G"/>
      <sheetName val="Adj entries "/>
      <sheetName val="Annexure 1"/>
      <sheetName val="Annexure 2"/>
      <sheetName val="Updated 2018 COA"/>
      <sheetName val="IC Listing"/>
      <sheetName val="Vadislines"/>
      <sheetName val="Other"/>
      <sheetName val="Vendor"/>
      <sheetName val="2. Summary-cash"/>
      <sheetName val="토공분석표"/>
      <sheetName val="PNT-QUOT-#3"/>
      <sheetName val="Tonghop theo Vendor"/>
      <sheetName val="Du thau dau noi"/>
      <sheetName val="Du Thau"/>
      <sheetName val="Du thau PSBS"/>
      <sheetName val="DG theo HD PSBS"/>
      <sheetName val="Du thau TC11"/>
      <sheetName val="TongHopKL"/>
      <sheetName val="Don gia vung III"/>
      <sheetName val="Tra_bang"/>
      <sheetName val="DanhSach11"/>
      <sheetName val="Danhsach 12"/>
      <sheetName val="VL+NC+M"/>
      <sheetName val="VL.NC.M"/>
      <sheetName val="BK04"/>
      <sheetName val="BQD"/>
      <sheetName val="luong"/>
      <sheetName val="DP TRUOT GIA"/>
      <sheetName val="VL-NC-M."/>
      <sheetName val="Chuong I"/>
      <sheetName val="Be tong"/>
      <sheetName val="BILL 34Āᐁë_x0000__x0000__x0001_"/>
      <sheetName val="Assignment Schedule"/>
      <sheetName val="共機計算"/>
      <sheetName val="共機J"/>
      <sheetName val="H11-01-change"/>
      <sheetName val="H11-02"/>
      <sheetName val="H11-03-change"/>
      <sheetName val="H12-01"/>
      <sheetName val="H12-02"/>
      <sheetName val="H12-03-change"/>
      <sheetName val="H12-04"/>
      <sheetName val="H13-01-change"/>
      <sheetName val="H13-02"/>
      <sheetName val="H13-03"/>
      <sheetName val="H13-04"/>
      <sheetName val="PLHD doi cot ham 0101-04"/>
      <sheetName val="dg_tonghop"/>
      <sheetName val="Dgia_vat_tŵ7"/>
      <sheetName val="U0030S03"/>
      <sheetName val="EQFRM2"/>
      <sheetName val="Beam reinfocement schedule"/>
      <sheetName val="Thong so dam"/>
      <sheetName val="Wall Block C"/>
      <sheetName val="General Schedule"/>
      <sheetName val="금액내역서"/>
      <sheetName val="Factor F Data"/>
      <sheetName val="M"/>
      <sheetName val="NC HY"/>
      <sheetName val="NC HN"/>
      <sheetName val="Chung"/>
      <sheetName val="cPanel"/>
      <sheetName val="GC"/>
      <sheetName val="HG_Info"/>
      <sheetName val="Nghỉ lễ"/>
      <sheetName val="Mác"/>
      <sheetName val="QC"/>
      <sheetName val="CO"/>
      <sheetName val="6.9 DM CTP"/>
      <sheetName val="DA01.HD-List"/>
      <sheetName val="DM01.CDT"/>
      <sheetName val="DM02.NT"/>
      <sheetName val="NT01.HD-List"/>
      <sheetName val="MTP"/>
      <sheetName val="Bearing Capacity"/>
      <sheetName val="Bảng dung trọng"/>
      <sheetName val="Giacuoc"/>
      <sheetName val="TTTram"/>
      <sheetName val="TTPTai"/>
      <sheetName val="_SYSTEM_CODE"/>
      <sheetName val="Project Info."/>
      <sheetName val="_COST_DATA_LOOKUP"/>
      <sheetName val="Cost Summary"/>
      <sheetName val="Cost Summary - USD"/>
      <sheetName val="_DISCOUNT_DATA_LOOKUP"/>
      <sheetName val="Price Summary - Offshore"/>
      <sheetName val="Factory &amp; Import Material"/>
      <sheetName val="_FOREX"/>
      <sheetName val="Labour Hours Upload"/>
      <sheetName val="_LEEGOO_COST"/>
      <sheetName val="_LEEGOO_TECH_SPEC"/>
      <sheetName val="_OC_SETTINGS"/>
      <sheetName val="_SHAPE_SALES_COST"/>
      <sheetName val="_SHAPE_SALES_TECH_SPEC"/>
      <sheetName val="_SYSTEM_COST_LOOKUP"/>
      <sheetName val="_TECH_DATA_LOOKUP"/>
      <sheetName val="Technical Info."/>
      <sheetName val="PM Cost"/>
      <sheetName val="_UPLOAD_TABLE"/>
      <sheetName val="SED INPUT"/>
      <sheetName val="Du lieu ban dau"/>
      <sheetName val="GZ.TP"/>
      <sheetName val="GZ.VT"/>
      <sheetName val="DLC DIEN AP"/>
      <sheetName val="SL dau tien"/>
      <sheetName val="HSKVUC"/>
      <sheetName val="Kien truc"/>
      <sheetName val="Chiet tinh dz22"/>
      <sheetName val="GOC"/>
      <sheetName val="DZ 35"/>
      <sheetName val="Cto"/>
      <sheetName val="KL Chi tiết BV dự thầu"/>
      <sheetName val="KL chi tiết BV thi công"/>
      <sheetName val="3.NGAN_SACH"/>
      <sheetName val="2.PHAN_TICH"/>
      <sheetName val="1651-2008"/>
      <sheetName val="PTCM"/>
      <sheetName val="A1.8"/>
      <sheetName val="VH"/>
      <sheetName val="PHÁT_SINH_TẦNG_290"/>
      <sheetName val="TOT"/>
      <sheetName val="Tra Cứu"/>
      <sheetName val="IV.1.Lkdt"/>
      <sheetName val="III.2.dah"/>
      <sheetName val="II.2.dn"/>
      <sheetName val="IV.2.Lkdd"/>
      <sheetName val="III.1.tai"/>
      <sheetName val="TÍNH TOÁN KHỐI LƯỢNG P6"/>
      <sheetName val="INDEX HẠ TẦNG"/>
      <sheetName val="CTG HẠ TẦNG"/>
      <sheetName val="DGG HẠ TẦNG"/>
      <sheetName val="DGG_LB CỌC"/>
      <sheetName val="DGG_MT CỌC"/>
      <sheetName val="INFO CỌC"/>
      <sheetName val="INDEX CỌC"/>
      <sheetName val="Ntt_Form"/>
      <sheetName val="DTCT -XL.4"/>
      <sheetName val="DGChung"/>
      <sheetName val="TT 16-2019"/>
      <sheetName val="DVao"/>
      <sheetName val="dssoi_dieutra"/>
      <sheetName val="Ban Qua do"/>
      <sheetName val="Dự kiến SL-NT 2013"/>
      <sheetName val="SL.HM-T1.2014"/>
      <sheetName val="DG CANTHO"/>
      <sheetName val="dulieu cot"/>
      <sheetName val="Đường dây"/>
      <sheetName val="Vị trí"/>
      <sheetName val="DM_1781"/>
      <sheetName val="DM_228"/>
      <sheetName val="datamong"/>
      <sheetName val="DG_VL_KS"/>
      <sheetName val="GIA_NC,_CM"/>
      <sheetName val="GIA_VL"/>
      <sheetName val="13_Luong"/>
      <sheetName val="MVT"/>
      <sheetName val="MTL__INTER"/>
      <sheetName val="Kich thuoc mo M1-nam lay"/>
      <sheetName val="MayTC"/>
      <sheetName val="Xuly Data"/>
      <sheetName val="DAH-2"/>
      <sheetName val="Cst Pkg-Eden"/>
      <sheetName val="Gen"/>
      <sheetName val="Thong tin"/>
      <sheetName val="BTDC B360"/>
      <sheetName val="HN"/>
      <sheetName val="Danh muc LIST"/>
      <sheetName val="TTC"/>
      <sheetName val="KTV"/>
      <sheetName val="BS_IN"/>
      <sheetName val="PL_IN"/>
      <sheetName val="LCGT"/>
      <sheetName val="CF (DR)_IN"/>
      <sheetName val="CSKT"/>
      <sheetName val="TM01-TM"/>
      <sheetName val="Vay"/>
      <sheetName val="PL 02 - Vay"/>
      <sheetName val="PL 03 - Von"/>
      <sheetName val="BS_B341"/>
      <sheetName val="CP yếu tố"/>
      <sheetName val="BS_A510"/>
      <sheetName val="PL_A510"/>
      <sheetName val="RT_A510"/>
      <sheetName val="PL_B342"/>
      <sheetName val="BTKDC_B370"/>
      <sheetName val="TB_B350"/>
      <sheetName val="00000000"/>
      <sheetName val="BS 420"/>
      <sheetName val="PL 420"/>
      <sheetName val="RT 420"/>
      <sheetName val="A710"/>
      <sheetName val="BTDC_B360 "/>
      <sheetName val="Table of contents"/>
      <sheetName val="BOD"/>
      <sheetName val="11. Loans"/>
      <sheetName val="413-Vay"/>
      <sheetName val="Khaibao"/>
      <sheetName val="DIV INC"/>
      <sheetName val="DropZone"/>
      <sheetName val="A1 - Income Statement"/>
      <sheetName val="s"/>
      <sheetName val="SCB - Annexure A"/>
      <sheetName val="PL6-Revenue Bridge"/>
      <sheetName val="APR-MAR-03-04"/>
      <sheetName val="KEYFIG"/>
      <sheetName val="Inventory data"/>
      <sheetName val="sales_current_month"/>
      <sheetName val="View_Variance"/>
      <sheetName val="Inventory_data"/>
      <sheetName val="sales_current_month1"/>
      <sheetName val="View_Variance1"/>
      <sheetName val="Inventory_data1"/>
      <sheetName val="F-200"/>
      <sheetName val="F-300"/>
      <sheetName val="FORECAST x FAMILIA"/>
      <sheetName val="RIMEAbyBU"/>
      <sheetName val="sales_current_month2"/>
      <sheetName val="View_Variance2"/>
      <sheetName val="Inventory_data2"/>
      <sheetName val="Space Analysis"/>
      <sheetName val="sales_current_month3"/>
      <sheetName val="View_Variance3"/>
      <sheetName val="Inventory_data3"/>
      <sheetName val="FORECAST_x_FAMILIA"/>
      <sheetName val="Space_Analysis"/>
      <sheetName val="sales_current_month4"/>
      <sheetName val="View_Variance4"/>
      <sheetName val="Inventory_data4"/>
      <sheetName val="FORECAST_x_FAMILIA1"/>
      <sheetName val="Space_Analysis1"/>
      <sheetName val="sales_current_month5"/>
      <sheetName val="View_Variance5"/>
      <sheetName val="Inventory_data5"/>
      <sheetName val="FORECAST_x_FAMILIA2"/>
      <sheetName val="Space_Analysis2"/>
      <sheetName val="sales_current_month6"/>
      <sheetName val="View_Variance6"/>
      <sheetName val="Inventory_data6"/>
      <sheetName val="FORECAST_x_FAMILIA3"/>
      <sheetName val="Space_Analysis3"/>
      <sheetName val="sales_current_month7"/>
      <sheetName val="View_Variance7"/>
      <sheetName val="Inventory_data7"/>
      <sheetName val="FORECAST_x_FAMILIA4"/>
      <sheetName val="Space_Analysis4"/>
      <sheetName val="sales_current_month8"/>
      <sheetName val="View_Variance8"/>
      <sheetName val="Inventory_data8"/>
      <sheetName val="FORECAST_x_FAMILIA5"/>
      <sheetName val="Space_Analysis5"/>
      <sheetName val="sales_current_month9"/>
      <sheetName val="View_Variance9"/>
      <sheetName val="Inventory_data9"/>
      <sheetName val="FORECAST_x_FAMILIA6"/>
      <sheetName val="Space_Analysis6"/>
      <sheetName val="sales_current_month11"/>
      <sheetName val="View_Variance11"/>
      <sheetName val="Inventory_data11"/>
      <sheetName val="FORECAST_x_FAMILIA8"/>
      <sheetName val="Space_Analysis8"/>
      <sheetName val="sales_current_month10"/>
      <sheetName val="View_Variance10"/>
      <sheetName val="Inventory_data10"/>
      <sheetName val="FORECAST_x_FAMILIA7"/>
      <sheetName val="Space_Analysis7"/>
      <sheetName val="sales_current_month12"/>
      <sheetName val="View_Variance12"/>
      <sheetName val="Inventory_data12"/>
      <sheetName val="FORECAST_x_FAMILIA9"/>
      <sheetName val="Space_Analysis9"/>
      <sheetName val="sales_current_month13"/>
      <sheetName val="View_Variance13"/>
      <sheetName val="Inventory_data13"/>
      <sheetName val="FORECAST_x_FAMILIA10"/>
      <sheetName val="Space_Analysis10"/>
      <sheetName val="sales_current_month14"/>
      <sheetName val="View_Variance14"/>
      <sheetName val="Inventory_data14"/>
      <sheetName val="FORECAST_x_FAMILIA11"/>
      <sheetName val="Space_Analysis11"/>
      <sheetName val="sales_current_month15"/>
      <sheetName val="View_Variance15"/>
      <sheetName val="Inventory_data15"/>
      <sheetName val="FORECAST_x_FAMILIA12"/>
      <sheetName val="Space_Analysis12"/>
      <sheetName val="sales_current_month16"/>
      <sheetName val="View_Variance16"/>
      <sheetName val="Inventory_data16"/>
      <sheetName val="FORECAST_x_FAMILIA13"/>
      <sheetName val="Space_Analysis13"/>
      <sheetName val="sales_current_month17"/>
      <sheetName val="View_Variance17"/>
      <sheetName val="Inventory_data17"/>
      <sheetName val="FORECAST_x_FAMILIA14"/>
      <sheetName val="Space_Analysis14"/>
      <sheetName val="A-16"/>
      <sheetName val="A-15"/>
      <sheetName val="sales_current_month18"/>
      <sheetName val="View_Variance18"/>
      <sheetName val="Inventory_data18"/>
      <sheetName val="FORECAST_x_FAMILIA15"/>
      <sheetName val="Space_Analysis15"/>
      <sheetName val="sales_current_month19"/>
      <sheetName val="View_Variance19"/>
      <sheetName val="Inventory_data19"/>
      <sheetName val="FORECAST_x_FAMILIA16"/>
      <sheetName val="Space_Analysis16"/>
      <sheetName val="sales_current_month20"/>
      <sheetName val="View_Variance20"/>
      <sheetName val="Inventory_data20"/>
      <sheetName val="FORECAST_x_FAMILIA17"/>
      <sheetName val="Space_Analysis17"/>
      <sheetName val="sales_current_month21"/>
      <sheetName val="View_Variance21"/>
      <sheetName val="Inventory_data21"/>
      <sheetName val="FORECAST_x_FAMILIA18"/>
      <sheetName val="Space_Analysis18"/>
      <sheetName val="sales_current_month22"/>
      <sheetName val="View_Variance22"/>
      <sheetName val="Inventory_data22"/>
      <sheetName val="FORECAST_x_FAMILIA19"/>
      <sheetName val="Space_Analysis19"/>
      <sheetName val="sales_current_month23"/>
      <sheetName val="View_Variance23"/>
      <sheetName val="Inventory_data23"/>
      <sheetName val="FORECAST_x_FAMILIA20"/>
      <sheetName val="Space_Analysis20"/>
      <sheetName val="sales_current_month24"/>
      <sheetName val="View_Variance24"/>
      <sheetName val="Inventory_data24"/>
      <sheetName val="FORECAST_x_FAMILIA21"/>
      <sheetName val="Space_Analysis21"/>
      <sheetName val="Dropdown"/>
      <sheetName val="Family"/>
      <sheetName val="CADE DETAIL"/>
      <sheetName val="sales_current_month25"/>
      <sheetName val="View_Variance25"/>
      <sheetName val="Inventory_data25"/>
      <sheetName val="FORECAST_x_FAMILIA22"/>
      <sheetName val="Space_Analysis22"/>
      <sheetName val="sales_current_month26"/>
      <sheetName val="View_Variance26"/>
      <sheetName val="Inventory_data26"/>
      <sheetName val="FORECAST_x_FAMILIA23"/>
      <sheetName val="Space_Analysis23"/>
      <sheetName val="Validation"/>
      <sheetName val="유통망계획"/>
      <sheetName val="OC5-Push Diag"/>
      <sheetName val="Franchise Input"/>
      <sheetName val="Results"/>
      <sheetName val="PLGroupings"/>
      <sheetName val="Project ODC_NDEU"/>
      <sheetName val="Opening"/>
      <sheetName val="DepRate"/>
      <sheetName val="Quote-ExtMG-Y1"/>
      <sheetName val="Inter connect Revenue"/>
      <sheetName val="Process"/>
      <sheetName val="2020 RFS Summary"/>
      <sheetName val="Well Construction Summary"/>
      <sheetName val="Subsurface"/>
      <sheetName val="Offshore"/>
      <sheetName val="Logistics"/>
      <sheetName val="RFS 2020 - Details and Notes"/>
      <sheetName val="FORM-16"/>
      <sheetName val="CONSTANTES"/>
      <sheetName val="Scraps"/>
      <sheetName val="Mth-Vana"/>
      <sheetName val="DUMP"/>
      <sheetName val="AN 2000"/>
      <sheetName val="Utilization"/>
      <sheetName val="PREV_RICAVI"/>
      <sheetName val="Ban QD"/>
      <sheetName val="SPL4"/>
      <sheetName val="COG"/>
      <sheetName val="D.Trong"/>
      <sheetName val="PPT"/>
      <sheetName val="Du lieu TKT"/>
      <sheetName val="merger"/>
      <sheetName val="27850"/>
      <sheetName val="CDPS SAU KC"/>
      <sheetName val="VINYL"/>
      <sheetName val="Đơn trọng"/>
      <sheetName val="Gia "/>
      <sheetName val="ADJ - RATE"/>
      <sheetName val="sales_current_month27"/>
      <sheetName val="View_Variance27"/>
      <sheetName val="Inventory_data27"/>
      <sheetName val="FORECAST_x_FAMILIA24"/>
      <sheetName val="Space_Analysis24"/>
      <sheetName val="CADE_DETAIL"/>
      <sheetName val="sales_current_month28"/>
      <sheetName val="View_Variance28"/>
      <sheetName val="Inventory_data28"/>
      <sheetName val="FORECAST_x_FAMILIA25"/>
      <sheetName val="Space_Analysis25"/>
      <sheetName val="CADE_DETAIL1"/>
      <sheetName val="PRB Expense Q4 2013"/>
      <sheetName val="sales_current_month29"/>
      <sheetName val="View_Variance29"/>
      <sheetName val="Inventory_data29"/>
      <sheetName val="FORECAST_x_FAMILIA26"/>
      <sheetName val="Space_Analysis26"/>
      <sheetName val="CADE_DETAIL2"/>
      <sheetName val="PU_ITALY_30"/>
      <sheetName val="sales_current_month30"/>
      <sheetName val="View_Variance30"/>
      <sheetName val="Inventory_data30"/>
      <sheetName val="FORECAST_x_FAMILIA27"/>
      <sheetName val="Space_Analysis27"/>
      <sheetName val="CADE_DETAIL3"/>
      <sheetName val="PRB_Expense_Q4_2013"/>
      <sheetName val="PU_ITALY_32"/>
      <sheetName val="sales_current_month32"/>
      <sheetName val="View_Variance32"/>
      <sheetName val="Inventory_data32"/>
      <sheetName val="FORECAST_x_FAMILIA29"/>
      <sheetName val="Space_Analysis29"/>
      <sheetName val="CADE_DETAIL5"/>
      <sheetName val="PRB_Expense_Q4_20132"/>
      <sheetName val="PU_ITALY_31"/>
      <sheetName val="sales_current_month31"/>
      <sheetName val="View_Variance31"/>
      <sheetName val="Inventory_data31"/>
      <sheetName val="FORECAST_x_FAMILIA28"/>
      <sheetName val="Space_Analysis28"/>
      <sheetName val="CADE_DETAIL4"/>
      <sheetName val="PRB_Expense_Q4_20131"/>
      <sheetName val="PU_ITALY_33"/>
      <sheetName val="sales_current_month33"/>
      <sheetName val="View_Variance33"/>
      <sheetName val="Inventory_data33"/>
      <sheetName val="FORECAST_x_FAMILIA30"/>
      <sheetName val="Space_Analysis30"/>
      <sheetName val="CADE_DETAIL6"/>
      <sheetName val="PRB_Expense_Q4_20133"/>
      <sheetName val="PU_ITALY_34"/>
      <sheetName val="sales_current_month34"/>
      <sheetName val="View_Variance34"/>
      <sheetName val="Inventory_data34"/>
      <sheetName val="FORECAST_x_FAMILIA31"/>
      <sheetName val="Space_Analysis31"/>
      <sheetName val="CADE_DETAIL7"/>
      <sheetName val="PRB_Expense_Q4_20134"/>
      <sheetName val="PU_ITALY_35"/>
      <sheetName val="sales_current_month35"/>
      <sheetName val="View_Variance35"/>
      <sheetName val="Inventory_data35"/>
      <sheetName val="FORECAST_x_FAMILIA32"/>
      <sheetName val="Space_Analysis32"/>
      <sheetName val="CADE_DETAIL8"/>
      <sheetName val="PRB_Expense_Q4_20135"/>
      <sheetName val="PU_ITALY_36"/>
      <sheetName val="sales_current_month36"/>
      <sheetName val="View_Variance36"/>
      <sheetName val="Inventory_data36"/>
      <sheetName val="FORECAST_x_FAMILIA33"/>
      <sheetName val="Space_Analysis33"/>
      <sheetName val="CADE_DETAIL9"/>
      <sheetName val="PRB_Expense_Q4_20136"/>
      <sheetName val="PU_ITALY_37"/>
      <sheetName val="sales_current_month37"/>
      <sheetName val="View_Variance37"/>
      <sheetName val="Inventory_data37"/>
      <sheetName val="FORECAST_x_FAMILIA34"/>
      <sheetName val="Space_Analysis34"/>
      <sheetName val="CADE_DETAIL10"/>
      <sheetName val="PRB_Expense_Q4_20137"/>
      <sheetName val="PU_ITALY_38"/>
      <sheetName val="sales_current_month38"/>
      <sheetName val="View_Variance38"/>
      <sheetName val="Inventory_data38"/>
      <sheetName val="FORECAST_x_FAMILIA35"/>
      <sheetName val="Space_Analysis35"/>
      <sheetName val="CADE_DETAIL11"/>
      <sheetName val="PRB_Expense_Q4_20138"/>
      <sheetName val="PU_ITALY_39"/>
      <sheetName val="sales_current_month39"/>
      <sheetName val="View_Variance39"/>
      <sheetName val="Inventory_data39"/>
      <sheetName val="FORECAST_x_FAMILIA36"/>
      <sheetName val="Space_Analysis36"/>
      <sheetName val="CADE_DETAIL12"/>
      <sheetName val="PRB_Expense_Q4_20139"/>
      <sheetName val="PU_ITALY_40"/>
      <sheetName val="sales_current_month40"/>
      <sheetName val="View_Variance40"/>
      <sheetName val="Inventory_data40"/>
      <sheetName val="FORECAST_x_FAMILIA37"/>
      <sheetName val="Space_Analysis37"/>
      <sheetName val="CADE_DETAIL13"/>
      <sheetName val="PRB_Expense_Q4_201310"/>
      <sheetName val="PU_ITALY_41"/>
      <sheetName val="sales_current_month41"/>
      <sheetName val="View_Variance41"/>
      <sheetName val="Inventory_data41"/>
      <sheetName val="FORECAST_x_FAMILIA38"/>
      <sheetName val="Space_Analysis38"/>
      <sheetName val="CADE_DETAIL14"/>
      <sheetName val="PRB_Expense_Q4_201311"/>
      <sheetName val="XPRODUCT"/>
      <sheetName val="REVENUE_405C"/>
      <sheetName val="MTD_DSD"/>
      <sheetName val="QTD_DSD"/>
      <sheetName val="CentralAreaCategories"/>
      <sheetName val="PU_ITALY_42"/>
      <sheetName val="sales_current_month42"/>
      <sheetName val="View_Variance42"/>
      <sheetName val="Inventory_data42"/>
      <sheetName val="FORECAST_x_FAMILIA39"/>
      <sheetName val="Space_Analysis39"/>
      <sheetName val="CADE_DETAIL15"/>
      <sheetName val="PRB_Expense_Q4_201312"/>
      <sheetName val="P&amp;L by Month"/>
      <sheetName val="PU_ITALY_43"/>
      <sheetName val="sales_current_month43"/>
      <sheetName val="View_Variance43"/>
      <sheetName val="Inventory_data43"/>
      <sheetName val="FORECAST_x_FAMILIA40"/>
      <sheetName val="Space_Analysis40"/>
      <sheetName val="CADE_DETAIL16"/>
      <sheetName val="PRB_Expense_Q4_201313"/>
      <sheetName val="PU_ITALY_44"/>
      <sheetName val="sales_current_month44"/>
      <sheetName val="View_Variance44"/>
      <sheetName val="Inventory_data44"/>
      <sheetName val="FORECAST_x_FAMILIA41"/>
      <sheetName val="Space_Analysis41"/>
      <sheetName val="CADE_DETAIL17"/>
      <sheetName val="PRB_Expense_Q4_201314"/>
      <sheetName val="PU_ITALY_45"/>
      <sheetName val="sales_current_month45"/>
      <sheetName val="View_Variance45"/>
      <sheetName val="Inventory_data45"/>
      <sheetName val="FORECAST_x_FAMILIA42"/>
      <sheetName val="Space_Analysis42"/>
      <sheetName val="CADE_DETAIL18"/>
      <sheetName val="PRB_Expense_Q4_201315"/>
      <sheetName val="P&amp;L_by_Month"/>
      <sheetName val="synthese"/>
      <sheetName val="DistiSwamp"/>
      <sheetName val="Total"/>
      <sheetName val="Bangtrachieudaicoc"/>
      <sheetName val="Bar"/>
      <sheetName val="간접비 총괄표"/>
      <sheetName val="Summary - Budget"/>
      <sheetName val="HidePriceList"/>
      <sheetName val="Norm"/>
      <sheetName val="Bang khoi luong"/>
      <sheetName val="Cognos_Office_Connection_Cache"/>
      <sheetName val="RENCERT"/>
      <sheetName val="RC Revenue"/>
      <sheetName val="AOP 2020"/>
      <sheetName val="START"/>
      <sheetName val="LE0030"/>
      <sheetName val="LE1000"/>
      <sheetName val="LE8530"/>
      <sheetName val="LE1330"/>
      <sheetName val="LE2030"/>
      <sheetName val="LE8030+8050"/>
      <sheetName val="LE6610"/>
      <sheetName val="LE8680"/>
      <sheetName val="LE5090"/>
      <sheetName val="LE2130"/>
      <sheetName val="END"/>
      <sheetName val="DATA LE"/>
      <sheetName val="DATA LE (LY)"/>
      <sheetName val="DATA RC"/>
      <sheetName val="DATA RC (LY)"/>
      <sheetName val="LE Test"/>
      <sheetName val="DATA (RC ORG)"/>
      <sheetName val="DATA (TESTING 1)"/>
      <sheetName val="DATA (TESTING CHRSPR)"/>
      <sheetName val="LE0041"/>
      <sheetName val="2018 VADIS"/>
      <sheetName val="Division"/>
      <sheetName val="Criteri"/>
      <sheetName val="Income Statement1"/>
      <sheetName val="FINANCIAL (FLR)"/>
      <sheetName val="Tong Luong Thep"/>
      <sheetName val="D"/>
      <sheetName val="Du thau 03xd"/>
      <sheetName val="mep"/>
      <sheetName val="CTG (GIAM)"/>
      <sheetName val="Phan tich don gia de xuat - cau"/>
      <sheetName val="1.INPUT"/>
      <sheetName val="Phan tich vat tu"/>
      <sheetName val="Ap"/>
      <sheetName val="Code HT CB -OT"/>
      <sheetName val="Code HT CB - PO"/>
      <sheetName val="DOOR A (4-roof)"/>
      <sheetName val="Door HT"/>
      <sheetName val="DOOR B1 (4-roof)"/>
      <sheetName val="DOOR B2 (4-roof)"/>
      <sheetName val="Door-Podium"/>
      <sheetName val="rate code"/>
      <sheetName val="Xuất DL AP"/>
      <sheetName val="Xuất DL OT"/>
      <sheetName val="Xuat DL PO"/>
      <sheetName val="Window Door schedule"/>
      <sheetName val="을"/>
      <sheetName val="bang tien luong"/>
      <sheetName val="nhat ky "/>
      <sheetName val="cot_xa"/>
      <sheetName val="BASE GRAPHE"/>
      <sheetName val="DL1"/>
      <sheetName val="DL2"/>
      <sheetName val="MHSCT"/>
      <sheetName val="Tabel_Berat1"/>
      <sheetName val="Real_Cost1"/>
      <sheetName val="bill_qty1"/>
      <sheetName val="REKAP_ARSITEKTUR_1"/>
      <sheetName val="RAB_ADMINISTRASI_PUSAT_(1)1"/>
      <sheetName val="Data_Umum_Penawaran1"/>
      <sheetName val="EE-PROP"/>
      <sheetName val="PaintBreak"/>
      <sheetName val="INSSUBCON"/>
      <sheetName val="DWTables"/>
      <sheetName val="PCV"/>
      <sheetName val="Eng_Hrs"/>
      <sheetName val="B.1 Engineering"/>
      <sheetName val="29"/>
      <sheetName val="RAB"/>
      <sheetName val="Mobilisasi &amp; Demob"/>
      <sheetName val="B.2.5 Proc &amp; Constr Civil1"/>
      <sheetName val="B.2.3 Proc &amp; Constr Electrical"/>
      <sheetName val="B.2.4 Proc &amp; Constr Instru"/>
      <sheetName val="B.2.1 Proc &amp; Constr Mech "/>
      <sheetName val="B.2.2 Proc &amp; Constr Pipe "/>
      <sheetName val="Work Permit"/>
      <sheetName val="Agregat Halus &amp; Kasar"/>
      <sheetName val="Data Tower"/>
      <sheetName val="물량표(신)"/>
      <sheetName val="BANG TONGHOP"/>
      <sheetName val="Check C"/>
      <sheetName val="CPTNo"/>
      <sheetName val="V.c noi bo"/>
      <sheetName val="Tổng kê"/>
      <sheetName val="Thông tin chung"/>
      <sheetName val="Vat lieu cat song rac"/>
      <sheetName val="Summary of My Chanh Bridge"/>
      <sheetName val="My Chanh Bridge"/>
      <sheetName val="Summary of Phu Bai Bridge"/>
      <sheetName val="Summary of Nong Bridge"/>
      <sheetName val="Nong Bridge"/>
      <sheetName val="Summary of Phong Le Bridge"/>
      <sheetName val="Phong Le Bridge"/>
      <sheetName val="Summary of Ky Lam Bridge"/>
      <sheetName val="B1.CN"/>
      <sheetName val="Analysis"/>
      <sheetName val="C-C"/>
      <sheetName val="D-D"/>
      <sheetName val="M 67"/>
      <sheetName val="Formula_Code"/>
      <sheetName val="UnitWeight"/>
      <sheetName val="NKSC"/>
      <sheetName val="10.PL1 "/>
      <sheetName val="15.PL1  "/>
      <sheetName val="20,PL1   "/>
      <sheetName val="25.PL1"/>
      <sheetName val="24,PL1"/>
      <sheetName val="35.PL1"/>
      <sheetName val="Du lieu bang phang"/>
      <sheetName val="Bang ngay thang"/>
      <sheetName val="KL1"/>
      <sheetName val="KL10"/>
      <sheetName val="KL2"/>
      <sheetName val="KL3"/>
      <sheetName val="KL4"/>
      <sheetName val="KL5"/>
      <sheetName val="KL6"/>
      <sheetName val="KL7"/>
      <sheetName val="KL8"/>
      <sheetName val="KL9"/>
      <sheetName val="Tong KL lop"/>
      <sheetName val="FD"/>
      <sheetName val="EE (3)"/>
      <sheetName val="PAVEMENT"/>
      <sheetName val="TRAFFIC"/>
      <sheetName val="Beam _2_"/>
      <sheetName val="TS_Rep"/>
      <sheetName val="CMS"/>
      <sheetName val="CuttingList"/>
      <sheetName val="Expediting"/>
      <sheetName val="INVENTORY"/>
      <sheetName val="MIR"/>
      <sheetName val="MIRStatus"/>
      <sheetName val="REM"/>
      <sheetName val="RevLog"/>
      <sheetName val="SUM_MIR"/>
      <sheetName val="Dau vào"/>
      <sheetName val="Main Model"/>
      <sheetName val="新᐀"/>
      <sheetName val="Đơn giá-NC"/>
      <sheetName val="Đơn giá-VL-CM"/>
      <sheetName val="MD4970"/>
      <sheetName val="Tke"/>
      <sheetName val="DB FEE"/>
      <sheetName val="BHYT Tự Nguyện - Vinschool-Mau "/>
      <sheetName val="Bank Bal. Dec 22"/>
      <sheetName val="Competitors"/>
      <sheetName val="MES"/>
      <sheetName val="CAN DOI - KET QUA"/>
      <sheetName val="Duties"/>
      <sheetName val="GSR"/>
      <sheetName val="GR"/>
      <sheetName val="Pivot Financials"/>
      <sheetName val="Instructions"/>
      <sheetName val="Review 2015"/>
      <sheetName val="Content"/>
      <sheetName val="ScoreCard"/>
      <sheetName val="People "/>
      <sheetName val="Production volumes"/>
      <sheetName val="KPIs"/>
      <sheetName val="Salary increase budget assump."/>
      <sheetName val="Production initiative"/>
      <sheetName val="Quality"/>
      <sheetName val="Prod. KPI - OEE%"/>
      <sheetName val="B&amp;P.KPI"/>
      <sheetName val="Customer SC"/>
      <sheetName val="Production KPIs"/>
      <sheetName val="Total losses"/>
      <sheetName val="Savings overview"/>
      <sheetName val="Prod FTE Dev."/>
      <sheetName val="Log FTE Dev."/>
      <sheetName val="Loss tree"/>
      <sheetName val="Inventory development"/>
      <sheetName val="DPO"/>
      <sheetName val="CAPEX"/>
      <sheetName val="Capex Phasing"/>
      <sheetName val="Std to Std MC only"/>
      <sheetName val="Top 20 BOM"/>
      <sheetName val="MC Development OLD"/>
      <sheetName val="PVM"/>
      <sheetName val="NMC &amp; Log Ass."/>
      <sheetName val=" Material Ass."/>
      <sheetName val="GtN"/>
      <sheetName val="COGS Dev."/>
      <sheetName val="MC Dev."/>
      <sheetName val="NMC Dev."/>
      <sheetName val="NMC Development OLD"/>
      <sheetName val="Log Dev."/>
      <sheetName val="Prod. capex overview"/>
      <sheetName val="Production - Risks &amp; Opport."/>
      <sheetName val="AOCM Overview"/>
      <sheetName val="AOCM Cost Group Summary"/>
      <sheetName val="Sievo Saving"/>
      <sheetName val="AOCM Sub-group"/>
      <sheetName val="Quality RFT"/>
      <sheetName val="Back-up "/>
      <sheetName val="Absorption Phasing"/>
      <sheetName val="One off"/>
      <sheetName val="Reporting changes"/>
      <sheetName val="Prod. KPI - OEE% by line"/>
      <sheetName val="Key dependencies"/>
      <sheetName val="Orgex and restructuring"/>
      <sheetName val="OCM"/>
      <sheetName val="ROIC"/>
      <sheetName val="COGS movement"/>
      <sheetName val="Back-up HR"/>
      <sheetName val="2016 FTE Variability"/>
      <sheetName val="Tables"/>
      <sheetName val="2.Sievo saving recon. vs bridge"/>
      <sheetName val="1. PPV recon. T04 vs bridges"/>
      <sheetName val="INPUT &amp; Guidance"/>
      <sheetName val="data for deck, thinkcell"/>
      <sheetName val="Flash call deck"/>
      <sheetName val="Supply chain bridge"/>
      <sheetName val="COS bridge"/>
      <sheetName val="3.Gross &amp; Net efficiency report"/>
      <sheetName val="PVM report"/>
      <sheetName val="Capex comments"/>
      <sheetName val="Log bridge"/>
      <sheetName val="One pager"/>
      <sheetName val="Option 1,Data(from HFM) "/>
      <sheetName val="Option 2, Data( Manual Input)"/>
      <sheetName val="FX &amp; HIERARCHY"/>
      <sheetName val="CAN_DOI_-_KET_QUA"/>
      <sheetName val="Bihar Plant FAR"/>
      <sheetName val="Verification Report"/>
      <sheetName val="SETUP1"/>
      <sheetName val="Sch2 - BalSht Summary"/>
      <sheetName val="Sch1 - P&amp;L Summary"/>
      <sheetName val="Cost of DM Water"/>
      <sheetName val="Imports-dataload"/>
      <sheetName val="Other assumptions"/>
      <sheetName val="Names"/>
      <sheetName val="Field Lists"/>
      <sheetName val="CUSTOMER GROUP WISE"/>
      <sheetName val="Other_assumptions"/>
      <sheetName val="Field_Lists"/>
      <sheetName val="Control_Panel"/>
      <sheetName val="Q4 2009 History"/>
      <sheetName val="Dashboard"/>
      <sheetName val="repeatative_rejection"/>
      <sheetName val="General_Info"/>
      <sheetName val="Full_PBD"/>
      <sheetName val="Non-Statistical_Sampling"/>
      <sheetName val="98FORECAST_(1)"/>
      <sheetName val="Fixed_asset_register"/>
      <sheetName val="Merit_&amp;_Market_Grid1"/>
      <sheetName val="OC5-Push_Diag"/>
      <sheetName val="Franchise_Input"/>
      <sheetName val="DIV_INC"/>
      <sheetName val="A1_-_Income_Statement"/>
      <sheetName val="SCB_-_Annexure_A"/>
      <sheetName val="PL6-Revenue_Bridge"/>
      <sheetName val="2020_RFS_Summary"/>
      <sheetName val="Well_Construction_Summary"/>
      <sheetName val="RFS_2020_-_Details_and_Notes"/>
      <sheetName val=" Final Balance Sheet"/>
      <sheetName val="summery-FINAL"/>
      <sheetName val="APR'02BS"/>
      <sheetName val="monthly"/>
      <sheetName val="FLASH"/>
      <sheetName val="Interest on WC"/>
      <sheetName val="Grouping"/>
      <sheetName val="Segment"/>
      <sheetName val="Month"/>
      <sheetName val="Giai trinh"/>
      <sheetName val="Sch_18_Bank"/>
      <sheetName val="Stock_details"/>
      <sheetName val="Part_A_General"/>
      <sheetName val="_"/>
      <sheetName val="Project_ODC_NDEU"/>
      <sheetName val="Inter_connect_Revenue"/>
      <sheetName val="AN_2000"/>
      <sheetName val="CAN_DOI_-_KET_QUA1"/>
      <sheetName val="Pivot_Financials"/>
      <sheetName val="Review_2015"/>
      <sheetName val="People_"/>
      <sheetName val="Production_volumes"/>
      <sheetName val="Salary_increase_budget_assump_"/>
      <sheetName val="Production_initiative"/>
      <sheetName val="Prod__KPI_-_OEE%"/>
      <sheetName val="B&amp;P_KPI"/>
      <sheetName val="Customer_SC"/>
      <sheetName val="Production_KPIs"/>
      <sheetName val="Total_losses"/>
      <sheetName val="Savings_overview"/>
      <sheetName val="Prod_FTE_Dev_"/>
      <sheetName val="Log_FTE_Dev_"/>
      <sheetName val="Loss_tree"/>
      <sheetName val="Inventory_development"/>
      <sheetName val="Capex_Phasing"/>
      <sheetName val="Std_to_Std_MC_only"/>
      <sheetName val="Top_20_BOM"/>
      <sheetName val="MC_Development_OLD"/>
      <sheetName val="NMC_&amp;_Log_Ass_"/>
      <sheetName val="_Material_Ass_"/>
      <sheetName val="COGS_Dev_"/>
      <sheetName val="MC_Dev_"/>
      <sheetName val="NMC_Dev_"/>
      <sheetName val="NMC_Development_OLD"/>
      <sheetName val="Log_Dev_"/>
      <sheetName val="Prod__capex_overview"/>
      <sheetName val="Production_-_Risks_&amp;_Opport_"/>
      <sheetName val="AOCM_Overview"/>
      <sheetName val="AOCM_Cost_Group_Summary"/>
      <sheetName val="Sievo_Saving"/>
      <sheetName val="AOCM_Sub-group"/>
      <sheetName val="Quality_RFT"/>
      <sheetName val="Back-up_"/>
      <sheetName val="Absorption_Phasing"/>
      <sheetName val="One_off"/>
      <sheetName val="Reporting_changes"/>
      <sheetName val="Prod__KPI_-_OEE%_by_line"/>
      <sheetName val="Key_dependencies"/>
      <sheetName val="Orgex_and_restructuring"/>
      <sheetName val="COGS_movement"/>
      <sheetName val="Back-up_HR"/>
      <sheetName val="2016_FTE_Variability"/>
      <sheetName val="2_Sievo_saving_recon__vs_bridge"/>
      <sheetName val="1__PPV_recon__T04_vs_bridges"/>
      <sheetName val="INPUT_&amp;_Guidance"/>
      <sheetName val="data_for_deck,_thinkcell"/>
      <sheetName val="Flash_call_deck"/>
      <sheetName val="Supply_chain_bridge"/>
      <sheetName val="COS_bridge"/>
      <sheetName val="3_Gross_&amp;_Net_efficiency_report"/>
      <sheetName val="PVM_report"/>
      <sheetName val="Capex_comments"/>
      <sheetName val="Log_bridge"/>
      <sheetName val="One_pager"/>
      <sheetName val="Option_1,Data(from_HFM)_"/>
      <sheetName val="Option_2,_Data(_Manual_Input)"/>
      <sheetName val="FX_&amp;_HIERARCHY"/>
      <sheetName val="Rebate"/>
      <sheetName val="项目计划表"/>
      <sheetName val="零购计划表"/>
      <sheetName val="KLR-GAS"/>
      <sheetName val="DG4970"/>
      <sheetName val="4. Đo bóc KL"/>
      <sheetName val="TBGIA"/>
      <sheetName val="01-BM"/>
      <sheetName val="NK"/>
      <sheetName val="SLTh_ke"/>
      <sheetName val="he_so_dong_thoi"/>
      <sheetName val="Thang_01"/>
      <sheetName val="Thống_kê"/>
      <sheetName val="BAN_IN"/>
      <sheetName val="Khoi_luong_kenh_dan"/>
      <sheetName val="Thep_Be_TN(tai_C10)"/>
      <sheetName val="Gia_giao_VL_den_HT"/>
      <sheetName val="THONG_SO_KICH_THUOC"/>
      <sheetName val="Varible"/>
      <sheetName val="DETAIL PROGRESS CLAIM"/>
      <sheetName val="finishing"/>
      <sheetName val="KL CHI TIET"/>
      <sheetName val="INPUT1_THONG_TIN_HD"/>
      <sheetName val="DATA_WBS"/>
      <sheetName val="CTDG"/>
      <sheetName val="HDLD"/>
      <sheetName val="bdm"/>
      <sheetName val="TraBienbao"/>
      <sheetName val="Totals"/>
      <sheetName val="FInput"/>
      <sheetName val="extruder"/>
      <sheetName val="Sheet10"/>
      <sheetName val="Sheet19"/>
      <sheetName val="Sheet16"/>
      <sheetName val="Sheet6"/>
      <sheetName val="Sheet5"/>
      <sheetName val="Sheet11"/>
      <sheetName val="Sheet12"/>
      <sheetName val="Sheet1 (2)"/>
      <sheetName val="Chi Thao"/>
      <sheetName val="Bang phan tich"/>
      <sheetName val="dgctqn"/>
      <sheetName val="1111"/>
      <sheetName val="AnalisaSIPIL RIIL"/>
      <sheetName val="XZLC003_PART1"/>
      <sheetName val="B-B"/>
      <sheetName val="Ctiet Cthe"/>
      <sheetName val="khongin"/>
      <sheetName val="TK22kV"/>
      <sheetName val="RAB_AR&amp;STR16"/>
      <sheetName val="chi_tiet_TBA16"/>
      <sheetName val="chi_tiet_C16"/>
      <sheetName val="Tro_giup29"/>
      <sheetName val="TH_DZ3518"/>
      <sheetName val="Customize_Your_Purchase_Order16"/>
      <sheetName val="CHITIET_VL-NC-TT_-1p16"/>
      <sheetName val="CHITIET_VL-NC-TT-3p15"/>
      <sheetName val="TONG_HOP_VL-NC_TT16"/>
      <sheetName val="KPVC-BD_16"/>
      <sheetName val="Don_gia16"/>
      <sheetName val="DON_GIA_TRAM_(3)16"/>
      <sheetName val="DON_GIA_CAN_THO18"/>
      <sheetName val="7606_DZ16"/>
      <sheetName val="Adix_A15"/>
      <sheetName val="S-curve_15"/>
      <sheetName val="Don_gia_chi_tiet16"/>
      <sheetName val="HĐ_ngoài15"/>
      <sheetName val="XT_Buoc_315"/>
      <sheetName val="dongia_(2)15"/>
      <sheetName val="project_management15"/>
      <sheetName val="Commercial_value15"/>
      <sheetName val="Ky_Lam_Bridge15"/>
      <sheetName val="Provisional_Sums_Item15"/>
      <sheetName val="Gas_Pressure_Welding15"/>
      <sheetName val="General_Item&amp;General_Requirem15"/>
      <sheetName val="General_Items15"/>
      <sheetName val="Regenral_Requirements15"/>
      <sheetName val="TONG_HOP_VL-NC15"/>
      <sheetName val="Rates_200915"/>
      <sheetName val="REINF_15"/>
      <sheetName val="MH_RATE15"/>
      <sheetName val="So_doi_chieu_LC15"/>
      <sheetName val="MAIN_GATE_HOUSE15"/>
      <sheetName val="Du_toan15"/>
      <sheetName val="chiet_tinh15"/>
      <sheetName val="Ng_hàng_xà+bulong15"/>
      <sheetName val="Bang_KL15"/>
      <sheetName val="DM_606115"/>
      <sheetName val="DG_thep_ma_kem15"/>
      <sheetName val="Lcau_-_Lxuc15"/>
      <sheetName val="CT_vat_lieu15"/>
      <sheetName val="Equip_14"/>
      <sheetName val="A1_CN14"/>
      <sheetName val="Đầu_vào14"/>
      <sheetName val="Chi_tiet_XD_TBA14"/>
      <sheetName val="Trạm_biến_áp14"/>
      <sheetName val="Đơn_Giá_14"/>
      <sheetName val="CT-0_4KV14"/>
      <sheetName val="Chenh_lech_vat_tu14"/>
      <sheetName val="Diện_tích14"/>
      <sheetName val="1_Khái_toán14"/>
      <sheetName val="TONG_HOP_T5_199814"/>
      <sheetName val="KL_Chi_tiết_Xây_tô14"/>
      <sheetName val="DG_DZ15"/>
      <sheetName val="DG_TBA15"/>
      <sheetName val="07Base_Cost14"/>
      <sheetName val="rate_material14"/>
      <sheetName val="Chi_tiet_KL14"/>
      <sheetName val="Tổng_hợp_KL14"/>
      <sheetName val="Xay_lapduongR314"/>
      <sheetName val="04_-_XUONG_DET_B14"/>
      <sheetName val="Bill_1_Quy_dinh_chung14"/>
      <sheetName val="1_R18_BF14"/>
      <sheetName val="6_External_works-R1814"/>
      <sheetName val="Phan_khai_KLuong14"/>
      <sheetName val="_0314"/>
      <sheetName val="chieu_day_san14"/>
      <sheetName val="Podium_Concrete_Works14"/>
      <sheetName val="KLCT-_TOWER14"/>
      <sheetName val="KLCT-_PODIUM14"/>
      <sheetName val="Gia_thanh_chuoi_su14"/>
      <sheetName val="Tiep_dia14"/>
      <sheetName val="Don_gia_vung_III-Can_Tho14"/>
      <sheetName val="Area_Cal14"/>
      <sheetName val="Elect_(3)14"/>
      <sheetName val="plan&amp;section_of_foundation14"/>
      <sheetName val="design_criteria14"/>
      <sheetName val="Bond_수수료_계산_포맷14"/>
      <sheetName val="ITB_COST14"/>
      <sheetName val="PAGE_114"/>
      <sheetName val="EIRR&gt;_214"/>
      <sheetName val="DM_6714"/>
      <sheetName val="Đầu_tư14"/>
      <sheetName val="Project_Data14"/>
      <sheetName val="Data_Input15"/>
      <sheetName val="6787CWFASE2CASE2_00_xls14"/>
      <sheetName val="Bill_02_-_Xay_gach-Pou_14"/>
      <sheetName val="Bill_03-Chống_thấm-Pou14"/>
      <sheetName val="Bill_04-Kim_loại-Pou14"/>
      <sheetName val="Bill_05_-_Hoan_thien-Pou_14"/>
      <sheetName val="Bill_02_-_Xay_gach-Tower14"/>
      <sheetName val="Bill_03-Chống_thấm-Tower14"/>
      <sheetName val="Bill_04-Kim_loại-Tower14"/>
      <sheetName val="Bill_05_-_Hoan_thien-Tower14"/>
      <sheetName val="KL-_KHAC14"/>
      <sheetName val="BILL_3_-_KẾT_CẤU_HẦM14"/>
      <sheetName val="PTĐG_LTBT14"/>
      <sheetName val="CTG-PRECHEx1_414"/>
      <sheetName val="CTG-AB_(2)14"/>
      <sheetName val="CTG-AB_(3)14"/>
      <sheetName val="CTG-PLP-1_0814"/>
      <sheetName val="Pre_Đội_nhóm14"/>
      <sheetName val="Vat_tu_XD14"/>
      <sheetName val="Tower_-_Concrete_Works14"/>
      <sheetName val="Bill-04_ket_cau_thap-_UNI14"/>
      <sheetName val="Loại_Vật_tư14"/>
      <sheetName val="TH_Vat_tu14"/>
      <sheetName val="dg_tphcm14"/>
      <sheetName val="T_KÊ_K_CẤU14"/>
      <sheetName val="Bill_01_-_CTN14"/>
      <sheetName val="Bill_2_2_Villa_2_beds14"/>
      <sheetName val="4_PTDG14"/>
      <sheetName val="A1,_May14"/>
      <sheetName val="Vat_lieu14"/>
      <sheetName val="Bang_trong_luong_rieng_thep14"/>
      <sheetName val="6PILE__(돌출)14"/>
      <sheetName val="HÐ_ngoài15"/>
      <sheetName val="gia_cong_tac14"/>
      <sheetName val="Measure_130614"/>
      <sheetName val="Cước_VC_+_ĐM_CP_Tư_vấn14"/>
      <sheetName val="Hệ_số14"/>
      <sheetName val="DETAIL_14"/>
      <sheetName val="GV1-D13_(Casement_door)14"/>
      <sheetName val="final_list_200530"/>
      <sheetName val="LV_data14"/>
      <sheetName val="ESTI_14"/>
      <sheetName val="Gia_vat_tu14"/>
      <sheetName val="CẤP_THOÁT_NƯỚC14"/>
      <sheetName val="TH_MTC14"/>
      <sheetName val="TH_N_Cong14"/>
      <sheetName val="THDT_goi_thau_TB14"/>
      <sheetName val="Tien_do_TV14"/>
      <sheetName val="Harga_ME_14"/>
      <sheetName val="Analisa_Gabungan14"/>
      <sheetName val="_Bill_5-Earthing_2_-_Add_Work14"/>
      <sheetName val="bridge_#_114"/>
      <sheetName val="Isolasi_Luar_Dalam14"/>
      <sheetName val="Isolasi_Luar14"/>
      <sheetName val="Chenh_lech_ca_may14"/>
      <sheetName val="TLg_CN&amp;Laixe14"/>
      <sheetName val="TLg_CN&amp;Laixe_(2)14"/>
      <sheetName val="TLg_Laitau14"/>
      <sheetName val="TLg_Laitau_(2)14"/>
      <sheetName val="KL_san_lap14"/>
      <sheetName val="Chi_tiet14"/>
      <sheetName val="2_Chiet_tinh13"/>
      <sheetName val="Bang_3_Chi_tiet_phan_Dz14"/>
      <sheetName val="KHOI_LUONG14"/>
      <sheetName val="Equipment_list_(PAC)14"/>
      <sheetName val="TINH_KHOI_LUONG14"/>
      <sheetName val="DATA_BASE14"/>
      <sheetName val="BẢNG_KHỐI_LƯỢNG_TỔNG_HỢP13"/>
      <sheetName val="Buy_vs__Lease_Car14"/>
      <sheetName val="CP_Khac_cuoc_VC13"/>
      <sheetName val="Budget_Code13"/>
      <sheetName val="CTKL_KTX_HT13"/>
      <sheetName val="subcon_sched14"/>
      <sheetName val="HVAC_BLOCK_B414"/>
      <sheetName val="NHÀ_NHẬP_LIỆU13"/>
      <sheetName val="MÓNG_SILO13"/>
      <sheetName val="PRE_(E)14"/>
      <sheetName val="Tong_du_toan13"/>
      <sheetName val="Bill_2_-_ketcau13"/>
      <sheetName val="13-Cốt_thép_(10mm&lt;D≤18mm)_FO113"/>
      <sheetName val="du_lieu_du_toan13"/>
      <sheetName val="Chi_tiet_lan_can13"/>
      <sheetName val="Luong_NII13"/>
      <sheetName val="BOQ_THAN13"/>
      <sheetName val="DL_ĐẦU_VÀO13"/>
      <sheetName val="D_&amp;_W_sizes13"/>
      <sheetName val="Analisa_&amp;_Upah13"/>
      <sheetName val="Purchase_Order13"/>
      <sheetName val="Du_lieu14"/>
      <sheetName val="Phan_tich13"/>
      <sheetName val="DINH_MUC_THI_NGHIEM13"/>
      <sheetName val="Luong_NI13"/>
      <sheetName val="CT_Thang_Mo13"/>
      <sheetName val="CT__PL13"/>
      <sheetName val="dongia__2_13"/>
      <sheetName val="Thép_CKN13"/>
      <sheetName val="GOC-KO_IN13"/>
      <sheetName val="MAU_8A13"/>
      <sheetName val="MAU_8B13"/>
      <sheetName val="MAU_913"/>
      <sheetName val="MAU_1013"/>
      <sheetName val="cash_budget13"/>
      <sheetName val="sochitiettaikhoan_13"/>
      <sheetName val="Share_price_data13"/>
      <sheetName val="19_313"/>
      <sheetName val="20_313"/>
      <sheetName val="Chieu_4_313"/>
      <sheetName val="Cow_req13"/>
      <sheetName val="TỔNG_HỢP13"/>
      <sheetName val="14-LẦN_3-CHIỀU13"/>
      <sheetName val="14-LẦN_1-SÁNG13"/>
      <sheetName val="14-LẦN_2-TRƯA13"/>
      <sheetName val="1_3+1_4-TOTAL_-_Ko_IN13"/>
      <sheetName val="2_1-LẦN_3-CHIỀU13"/>
      <sheetName val="2_1-LẦN_1-SÁNG13"/>
      <sheetName val="2_1-LẦN_2-TRƯA13"/>
      <sheetName val="2_1-TOTAL-Ko_IN13"/>
      <sheetName val="1_3(TMR_4)13"/>
      <sheetName val="CHO_DE13"/>
      <sheetName val="1_1+1_2+2_2+2_3(TMR_3)13"/>
      <sheetName val="CK1+CK2_(VS_SAN_CHOI_23)13"/>
      <sheetName val="CK1+CK2_(2)13"/>
      <sheetName val="12-16_THÁNG13"/>
      <sheetName val="CAN_SỮA13"/>
      <sheetName val="54+55+56(SAU_CAI_SỮA-6)13"/>
      <sheetName val="BÊ_71-90_NGÀY13"/>
      <sheetName val="BÊ_12-16_tháng13"/>
      <sheetName val="BÊ_6-1213"/>
      <sheetName val="BÊ_1-313"/>
      <sheetName val="F01-BC_KHAU_PHAN_SANG_20_313"/>
      <sheetName val="F01-BC_KHAU_PHAN_CHIEU_19_313"/>
      <sheetName val="dinh_mưc_cty13"/>
      <sheetName val="Giá_thành13"/>
      <sheetName val="Thong_ke13"/>
      <sheetName val="Energy_for_milk_prod13"/>
      <sheetName val="DE_NGHI_XUAT_13"/>
      <sheetName val="phieu_xuat_mau13"/>
      <sheetName val="PHIEU_XUAT_CHIEU13"/>
      <sheetName val="11_rai_them_cỏ13"/>
      <sheetName val="PHU_LUC_02-_HDSD_CAC_BIEU_MAU13"/>
      <sheetName val="PhU_LUC_01-_MA_CAC_NHOM_BO13"/>
      <sheetName val="F03-BC_THUC_TRON_SANG_20_313"/>
      <sheetName val="F03-BC_THUC_TRON_CHIEU_19_313"/>
      <sheetName val="F02-BC_THEO_DOI_THUC_AN_DU13"/>
      <sheetName val="Tham_khao-_Bao_cao_xuat_thuc_13"/>
      <sheetName val="Dlieu_dau_vao13"/>
      <sheetName val="BANCO_(2)13"/>
      <sheetName val="MT_DPin_(2)13"/>
      <sheetName val="02__PTDG13"/>
      <sheetName val="DK1_Don_gia13"/>
      <sheetName val="Chiết_tính13"/>
      <sheetName val="Don_gia_(khong_in)13"/>
      <sheetName val="Income_Statement13"/>
      <sheetName val="Shareholders'_Equity13"/>
      <sheetName val="VC_xd11"/>
      <sheetName val="Gia_VLTB11"/>
      <sheetName val="B_Luong11"/>
      <sheetName val="C_May11"/>
      <sheetName val="TB_NẶNG11"/>
      <sheetName val="Du_tru_CP-Bieu_0111"/>
      <sheetName val="1_MONG_1-213"/>
      <sheetName val="wk_prgs11"/>
      <sheetName val="TH_TN11"/>
      <sheetName val="dm_36611"/>
      <sheetName val="DM_606011"/>
      <sheetName val="Bill_No_3_-_Prov__Sum_(Ph2&amp;3)11"/>
      <sheetName val="Ma_don_vi11"/>
      <sheetName val="bang_cc11"/>
      <sheetName val="2_1Warehouse_111"/>
      <sheetName val="đọc_số11"/>
      <sheetName val="HỆ_THỐNG_PHÒNG_CHÁY_CHỮA_CHÁY11"/>
      <sheetName val="HỆ_THỐNG_CẤP_THOÁT_NƯỚC11"/>
      <sheetName val="HỆ_THỐNG_ĐHKK11"/>
      <sheetName val="MÁY_PHÁT_ĐIỆN11"/>
      <sheetName val="HỆ_THỐNG_ĐIỆN11"/>
      <sheetName val="Thiết_bị_chính11"/>
      <sheetName val="Dự_thầu11"/>
      <sheetName val="Nhap_VT_oto11"/>
      <sheetName val="TK_chi_tiet11"/>
      <sheetName val="Bill_2-Road_HR211"/>
      <sheetName val="Bill_3_-_Softscape_HR211"/>
      <sheetName val="Hao_phí11"/>
      <sheetName val="Structure_data11"/>
      <sheetName val="THEP_TAM11"/>
      <sheetName val="THEP_HÌNH11"/>
      <sheetName val="THEP_HINH11"/>
      <sheetName val="XA_GO11"/>
      <sheetName val="BANG_TRA11"/>
      <sheetName val="AG_Pipe_Qty_Analysis11"/>
      <sheetName val="CP_Du_phong11"/>
      <sheetName val="THCP_Lap_dat11"/>
      <sheetName val="THCP_xay_dung11"/>
      <sheetName val="Tong_hop_kinh_phi11"/>
      <sheetName val="CP_HMC11"/>
      <sheetName val="Ｎｏ_1311"/>
      <sheetName val="DGchitiet_11"/>
      <sheetName val="CHI_PHI11"/>
      <sheetName val="Data_Wall11"/>
      <sheetName val="CĂN_HỘ_T16-17_11"/>
      <sheetName val="TRỤC_ĐỨNG_THOÁT_BẨN_T15-1711"/>
      <sheetName val="TRỤC_ĐỨNG_TM_T15-1711"/>
      <sheetName val="Móng,_nền_11"/>
      <sheetName val="Main_Bldg-Rev0211"/>
      <sheetName val="D&amp;W_def_11"/>
      <sheetName val="Nhan_cong11"/>
      <sheetName val="Thiet_bi11"/>
      <sheetName val="Vat_tu11"/>
      <sheetName val="DM_ChiPhi11"/>
      <sheetName val="May_TC11"/>
      <sheetName val="TH_Kinh_phi11"/>
      <sheetName val="Ptvl_11"/>
      <sheetName val="1_Requisition(E)11"/>
      <sheetName val="DG_142610"/>
      <sheetName val="Tổng_GT11"/>
      <sheetName val="Chi_tiết_KL11"/>
      <sheetName val="ca_máy7"/>
      <sheetName val="khấu_trừ_phạt11"/>
      <sheetName val="GT__KHAU_TRU11"/>
      <sheetName val="HAO_HUT_VAT_TU_(2)11"/>
      <sheetName val="cao_độ11"/>
      <sheetName val="TONG_HOP11"/>
      <sheetName val="Dự_toán11"/>
      <sheetName val="Đơn_Giá_TH11"/>
      <sheetName val="Nhân_công11"/>
      <sheetName val="Phân_tích11"/>
      <sheetName val="C_P_Thiết_bị11"/>
      <sheetName val="T_H_Kinh_phí11"/>
      <sheetName val="Vật_tư11"/>
      <sheetName val="Trang_bìa11"/>
      <sheetName val="phan_tic_chi_tiet11"/>
      <sheetName val="gui_BKCT10"/>
      <sheetName val="Theo_doi_Doanh_thu_201710"/>
      <sheetName val="Don_gia_chi_tiet_DIEN_210"/>
      <sheetName val="Chi_tiet_cong_no11"/>
      <sheetName val="PHÁT_SINH_TẦNG_1_11"/>
      <sheetName val="PHÁT_SINH_TẦNG_211"/>
      <sheetName val="Hầm_chuyển_psinh11"/>
      <sheetName val="Ống_thẳng11"/>
      <sheetName val="Côn_thu11"/>
      <sheetName val="Vuông_tròn11"/>
      <sheetName val="Chân_rẽ11"/>
      <sheetName val="Chạc_ba11"/>
      <sheetName val="Chi_tiet_-tong_9_thang10"/>
      <sheetName val="KL_THEP__GIAM_DO_DUNG_COUPLER10"/>
      <sheetName val="01_KL_THÉP_NHẬP_VỀ10"/>
      <sheetName val="2__NT_VLDV10"/>
      <sheetName val="GHI_CHU10"/>
      <sheetName val="1_BB_LMHT10"/>
      <sheetName val="Gia_vat_lieu10"/>
      <sheetName val="Precios_unitarios_AXH10"/>
      <sheetName val="0__Input10"/>
      <sheetName val="3__CNT10"/>
      <sheetName val="unit_price_list(M)10"/>
      <sheetName val="B3A_-_TOWER_A10"/>
      <sheetName val="Annex_B10"/>
      <sheetName val="1_2_Staff_Schedule10"/>
      <sheetName val="BẢNG_ÁP_GIÁ_(in)10"/>
      <sheetName val="NT_(KL)_IN10"/>
      <sheetName val="DOM_D210"/>
      <sheetName val="nhà_ăn10"/>
      <sheetName val="Công_nhật10"/>
      <sheetName val="btkt_cột10"/>
      <sheetName val="Dgia_vat_tu10"/>
      <sheetName val="Don_gia_III10"/>
      <sheetName val="D÷_liÖu10"/>
      <sheetName val="TH_VL,_NC,_DDHT_Thanhphuoc10"/>
      <sheetName val="So_lieu_chung10"/>
      <sheetName val="1_San_10"/>
      <sheetName val="Doi_so10"/>
      <sheetName val="MTO_REV_2(ARMOR)10"/>
      <sheetName val="DANH_MỤC_HỒ_SƠ10"/>
      <sheetName val="GT_PHÁT_SINH_NGOÀI_HĐ10"/>
      <sheetName val="KL_PHÁT_SINH_10"/>
      <sheetName val="PS_NGOÀI_HĐ10"/>
      <sheetName val="GT_PHÁT_SINH_VƯỢT_HĐ10"/>
      <sheetName val="PS_TĂNG_GIẢM_TRONG_HĐ10"/>
      <sheetName val="DGCT_PHÁT_SINH10"/>
      <sheetName val="DGCT_TRẦN_NLV10"/>
      <sheetName val="DGKL_chi_tiết_NLV10"/>
      <sheetName val="DGKL_chi_tiết_NHN,NK10"/>
      <sheetName val="TG_KL10"/>
      <sheetName val="DGCT_SƠN_BẢ_TƯỜNG_NLV10"/>
      <sheetName val="DGKL_TRẦN_NHN10"/>
      <sheetName val="Bill_Prelim-CDT10"/>
      <sheetName val="Bill_BPTC-CDT10"/>
      <sheetName val="Chi_tiết_BPTC10"/>
      <sheetName val="Bill_BPTC-CDT_(PA_MCT_CDT)10"/>
      <sheetName val="Chi_tiết_BPTC_(PA_MCT_CDT)10"/>
      <sheetName val="Tong_hop_vat_tu10"/>
      <sheetName val="DM-VNT_ko_sd10"/>
      <sheetName val="Bảng_đo_bóc_KL_OLK-0910"/>
      <sheetName val="6_3_CHI_TIET_OLK-0910"/>
      <sheetName val="1__Office10"/>
      <sheetName val="Cotthep_NPT10"/>
      <sheetName val="vl_nc_mtc10"/>
      <sheetName val="1_Civil_(Org)10"/>
      <sheetName val="Bê_tông_bảo_vệ10"/>
      <sheetName val="01__Data10"/>
      <sheetName val="Neo,_nối_cốt_thép_dầm,_cột10"/>
      <sheetName val="Uốn_móc_cốt_thép10"/>
      <sheetName val="Tiêu_chuẩn_cốt_thép10"/>
      <sheetName val="KL_thep_lam_sat10"/>
      <sheetName val="Tien_Thuong10"/>
      <sheetName val="NC_XL_6T_cuoi_01_CTy10"/>
      <sheetName val="Data_-6T_dau10"/>
      <sheetName val="Cong_6T10"/>
      <sheetName val="KHOI_LUONG15-410"/>
      <sheetName val="Dot_410"/>
      <sheetName val="TLG_Type10"/>
      <sheetName val="Thop_Ksat10"/>
      <sheetName val="Thu_hoi_10"/>
      <sheetName val="HM_chung10"/>
      <sheetName val="CP_xd-thiet_bi10"/>
      <sheetName val="TH-TN_LD_TB10"/>
      <sheetName val="CP_xaydung10"/>
      <sheetName val="Thao_ha_phu_kien10"/>
      <sheetName val="VL-NC-MTC_ket_cau10"/>
      <sheetName val="KHOI_LUONG_TONG10"/>
      <sheetName val="TK_22KV10"/>
      <sheetName val="DM_366-177710"/>
      <sheetName val="Thi_nhiem10"/>
      <sheetName val="Gia_goc_VT-TB10"/>
      <sheetName val="Gia_vc_den_chan_CT10"/>
      <sheetName val="culy_2210"/>
      <sheetName val="Luong_205010"/>
      <sheetName val="ca_may_QN10"/>
      <sheetName val="TNHC1246_10"/>
      <sheetName val="Ca_may_TT06_201010"/>
      <sheetName val="Don_gia_VLXD_dia_phuong10"/>
      <sheetName val="Bang_luong_SCL10"/>
      <sheetName val="Dinh_muc_TN142610"/>
      <sheetName val="Chi_phi_van_chuyen10"/>
      <sheetName val="Div26_-_Elect10"/>
      <sheetName val="TH_các_CC10"/>
      <sheetName val="DT_hợp_đồng9"/>
      <sheetName val="Bảng_KL_đợt_19"/>
      <sheetName val="2_CDPS10"/>
      <sheetName val="Danh_mục9"/>
      <sheetName val="Q_A01_2-Sh10"/>
      <sheetName val="DM_336cai_tao10"/>
      <sheetName val="HRG_BHN10"/>
      <sheetName val="CĂN_ĐH10"/>
      <sheetName val="7_Khau_tru_10"/>
      <sheetName val="4_CĂN10"/>
      <sheetName val="Heso_DZ10"/>
      <sheetName val="CAP_NUOC9"/>
      <sheetName val="cấp_nước_trục_nhà_vs9"/>
      <sheetName val="THOAT_NUOC9"/>
      <sheetName val="THOAT_MUA9"/>
      <sheetName val="Cáp_phòng9"/>
      <sheetName val="TMC_ĐIỆN_Phi9"/>
      <sheetName val="TMC_Tổng9"/>
      <sheetName val="TH_Đèn_Phòng_L19"/>
      <sheetName val="TH_Đèn_Hầm_L19"/>
      <sheetName val="TỦ_MODULE_T19"/>
      <sheetName val="DG_BINH_THUAN10"/>
      <sheetName val="Don_gia_NC10"/>
      <sheetName val="B-2__(DPP)10"/>
      <sheetName val="Summary_Sheet9"/>
      <sheetName val="Finishing-Tower_A9"/>
      <sheetName val="Finishing-Tower_B9"/>
      <sheetName val="Finishing-Tower_C9"/>
      <sheetName val="Finishing-Tower_D9"/>
      <sheetName val="MEP-Tower_A9"/>
      <sheetName val="MEP-Tower_B9"/>
      <sheetName val="MEP-Tower_C9"/>
      <sheetName val="MEP-Tower_D9"/>
      <sheetName val="Cost_Report_Sum9"/>
      <sheetName val="Detail_Cost_Sum9"/>
      <sheetName val="RVO-VO_Sum9"/>
      <sheetName val="Potential_VOs_Sum9"/>
      <sheetName val="Cash_Flow_Sum9"/>
      <sheetName val="Financ__Overview9"/>
      <sheetName val="Bieu_gia_HD9"/>
      <sheetName val="TINH_GIA_-_SAN_XUAT_Vertico9"/>
      <sheetName val="Huong_dan9"/>
      <sheetName val="gia_vt,nc,may9"/>
      <sheetName val="13_BANG_CT9"/>
      <sheetName val="14_MMUS_GIUA_NHIP9"/>
      <sheetName val="4_HSPBngang9"/>
      <sheetName val="6_Tinh_tai9"/>
      <sheetName val="2_NSl9"/>
      <sheetName val="17_US_CHU_tho_a_b9"/>
      <sheetName val="15_MMUS_GOI9"/>
      <sheetName val="KS_tuyen9"/>
      <sheetName val="Bang_chiet_tinh_TBA9"/>
      <sheetName val="Gia_VT-TB9"/>
      <sheetName val="noi_suy_xa9"/>
      <sheetName val="noi_suy_xa_thu_hoi9"/>
      <sheetName val="5_2_1_Đo_bóc_KL_OLK-069"/>
      <sheetName val="DZ_22KV9"/>
      <sheetName val="BTK-Dai_Hoc_Kien_Giang9"/>
      <sheetName val="PV_Graph_Data9"/>
      <sheetName val="doanh_thu9"/>
      <sheetName val="Dutoan_KL9"/>
      <sheetName val="Kê_0,49"/>
      <sheetName val="TH_0,49"/>
      <sheetName val="Kê_229"/>
      <sheetName val="TH_229"/>
      <sheetName val="TBA_CAI_TAO9"/>
      <sheetName val="TBA_XDM9"/>
      <sheetName val="TONG_HOP_DU_TOAN9"/>
      <sheetName val="Thop_XAY_DUNG9"/>
      <sheetName val="CP_HANG_MUC_CHUNG9"/>
      <sheetName val="CHI_PHI_XD9"/>
      <sheetName val="CHI_PHI_THI_NGHIEM9"/>
      <sheetName val="VLDIEN_229"/>
      <sheetName val="Dao_dat9"/>
      <sheetName val="TH_Denbu9"/>
      <sheetName val="Do_ve_DC9"/>
      <sheetName val="TH_Bommin9"/>
      <sheetName val="CHI_PHI_THI_NGHIEM-LD_thiet_bi9"/>
      <sheetName val="Luong_TT019"/>
      <sheetName val="Camay_QB9"/>
      <sheetName val="gia_ca_may_BXD9"/>
      <sheetName val="BANG_LUONG_KY_SU9"/>
      <sheetName val="Bang_luong_NHOM_I9"/>
      <sheetName val="Bangluong_NHOM_II_9"/>
      <sheetName val="09-GIA_nhien_lieu-ko_in9"/>
      <sheetName val="Tinh_V_cot_chiem_cho9"/>
      <sheetName val="ĐM_13549"/>
      <sheetName val="KHOAN_MAU9"/>
      <sheetName val="ĐO_ĐỊA_VẬT_LÝ9"/>
      <sheetName val="khoan_tiep_dia9"/>
      <sheetName val="Tổng_hợp_KPHM9"/>
      <sheetName val="Dinh_muc9"/>
      <sheetName val="GIÁ_DỰ_THẦU_30_CĂN9"/>
      <sheetName val="MB_DT_029"/>
      <sheetName val="Electrical_Works9"/>
      <sheetName val="H_T__INCOMING_SYSTEM9"/>
      <sheetName val="BU_LONG9"/>
      <sheetName val="HERD_MOVEMENTFARM111"/>
      <sheetName val="HERD_MOVEMENTFARM211"/>
      <sheetName val="CALVES_2-411"/>
      <sheetName val="Cavles_2-411"/>
      <sheetName val="CALVES_4-711"/>
      <sheetName val="HEIFER_7-12m11"/>
      <sheetName val="HEIFER_12+11"/>
      <sheetName val="FRESH_COW_2017-1811"/>
      <sheetName val="HP_COW_201811"/>
      <sheetName val="LP_COW_2017-1811"/>
      <sheetName val="DRY_COW11"/>
      <sheetName val="FIELD_CROPS11"/>
      <sheetName val="So_sanh9"/>
      <sheetName val="DT__NHA_XUONG9"/>
      <sheetName val="THONG_SO9"/>
      <sheetName val="Đơn_giá_chi_tiết_TN_399"/>
      <sheetName val="Tính_giá_NC9"/>
      <sheetName val="Tiên_lượng9"/>
      <sheetName val="SL_cước9"/>
      <sheetName val="¥_9"/>
      <sheetName val="EQUIP_LIST9"/>
      <sheetName val="DG_Chi_tiet9"/>
      <sheetName val="_1710_HOINGHINLD9"/>
      <sheetName val="99_(2)9"/>
      <sheetName val="134_9"/>
      <sheetName val="DG_49709"/>
      <sheetName val="4_2_1_Đo_bóc_KL_OLK-069"/>
      <sheetName val="4_1_1_CHI_TIET_OLK-069"/>
      <sheetName val="Thuyết_minh9"/>
      <sheetName val="Đơn_giá_máy9"/>
      <sheetName val="Bán_đợt_1_trang8"/>
      <sheetName val="Cash_Flow9"/>
      <sheetName val="Tong_DT8"/>
      <sheetName val="phan_tich_don_gia8"/>
      <sheetName val="Bill_No_1_69"/>
      <sheetName val="Bill_No_1_109"/>
      <sheetName val="Bill_No_3_39"/>
      <sheetName val="Bill_No_1_49"/>
      <sheetName val="Bill_No_1_79"/>
      <sheetName val="Summary_Bill_No__39"/>
      <sheetName val="Unit_price8"/>
      <sheetName val="3__KC_-_PODIUM8"/>
      <sheetName val="Unit_price(Updateting)8"/>
      <sheetName val="IMF_Code8"/>
      <sheetName val="Chiet_tinh_dz358"/>
      <sheetName val="Tien_Luong8"/>
      <sheetName val="Bù_giá_CM8"/>
      <sheetName val="Cost_List8"/>
      <sheetName val="Detail_Cost8"/>
      <sheetName val="IC_Price_New8"/>
      <sheetName val="Summary_Table8"/>
      <sheetName val="Sales_Person8"/>
      <sheetName val="Bidding_Entity8"/>
      <sheetName val="Breakdown_(B)8"/>
      <sheetName val="U_P_Breakdown8"/>
      <sheetName val="CHITIET_VL-NCHT1_(2)8"/>
      <sheetName val="CTDZ6kv_(gd1)_8"/>
      <sheetName val="CTDZ_0_4+cto_(GD1)8"/>
      <sheetName val="CTTBA_(gd1)8"/>
      <sheetName val="03_Detailed8"/>
      <sheetName val="01_Bid_Price_summary8"/>
      <sheetName val="Home_Office_Manhours8"/>
      <sheetName val="Field_SPV_Barchart8"/>
      <sheetName val="Luong_BN8"/>
      <sheetName val="Luong_TB8"/>
      <sheetName val="Ca_may_TB8"/>
      <sheetName val="Ca_máy_BN8"/>
      <sheetName val="Vật_liệu8"/>
      <sheetName val="LX_-TT058"/>
      <sheetName val="NC_Moi_TT058"/>
      <sheetName val="THPDMoi__(2)4"/>
      <sheetName val="t-h_HA_THE4"/>
      <sheetName val="TH_XL4"/>
      <sheetName val="CHITIET_VL-NC4"/>
      <sheetName val="Subsidiary_Calculation8"/>
      <sheetName val="5_2_1_Đo_bóc_KL_OLK-108"/>
      <sheetName val="Chu_dau_tu4"/>
      <sheetName val="Bia_lot8"/>
      <sheetName val="DT_san_XD-So_lieu_cu8"/>
      <sheetName val="Cau_tao_gia_xay_to4"/>
      <sheetName val="don_gia_14268"/>
      <sheetName val="Phu_Bai_Bridge8"/>
      <sheetName val="FF-2_(1)8"/>
      <sheetName val="Labour_Summary21"/>
      <sheetName val="YTD_12'20038"/>
      <sheetName val="YTD_06'20038"/>
      <sheetName val="YTD_03'20038"/>
      <sheetName val="YTD_09'20038"/>
      <sheetName val="deferred_taxes8"/>
      <sheetName val="Eqpmnt_Plng8"/>
      <sheetName val="TRIAL_BALANCE8"/>
      <sheetName val="DPR_31st_march8"/>
      <sheetName val="current_month8"/>
      <sheetName val="Blng__Vs_Coll_8"/>
      <sheetName val="BẢNG_DIỄN_GIẢI_KL_(7)8"/>
      <sheetName val="THÔNG_TIN4"/>
      <sheetName val="DG_2"/>
      <sheetName val="CT_-THVLNC"/>
      <sheetName val="ADJ_2011"/>
      <sheetName val="NOVA_MEDIC"/>
      <sheetName val="DGKL_MEDIC"/>
      <sheetName val="cable,_lighting,_switch"/>
      <sheetName val="ĐỢT_1"/>
      <sheetName val="TCVN_1651-2008"/>
      <sheetName val="Listes_Caractéristiques"/>
      <sheetName val="Liste_Référentiel"/>
      <sheetName val="Bill_4_1a___"/>
      <sheetName val="XL4Poppy_(2)1"/>
      <sheetName val="OVER_VIEW"/>
      <sheetName val="1_설계조건"/>
      <sheetName val="Wood_Mckenzie"/>
      <sheetName val="Đầu_ra_sản_phẩm"/>
      <sheetName val="Tổng_quan_và_Input"/>
      <sheetName val="Đầu_vào_sản_xuất"/>
      <sheetName val="Tính_toán_doanh_thu"/>
      <sheetName val="Phân_tích_độ_nhạy"/>
      <sheetName val="Khấu_hao_TSCĐ"/>
      <sheetName val="Nguồn_vốn"/>
      <sheetName val="Giải_ngân_nguồn_vốn"/>
      <sheetName val="Tính_toán_thuế"/>
      <sheetName val="Tính_toán_chi_phí_SX"/>
      <sheetName val="TH_ĐƠN_GIÁ"/>
      <sheetName val="02__THONG_TIN_CHUNG"/>
      <sheetName val="07__DINH_MUC_HBC"/>
      <sheetName val="Dynamic_Ranges"/>
      <sheetName val="NHOM_KINH_"/>
      <sheetName val="DS_Cty"/>
      <sheetName val="Bldg_Brkdown"/>
      <sheetName val="MAHANG_BHLD"/>
      <sheetName val="CHITIETHOADON_TT"/>
      <sheetName val="mahang_chinh_sua_moi_nhat"/>
      <sheetName val="KL_T16_BÀN_GIAO_19_4"/>
      <sheetName val="DTXL(_270)"/>
      <sheetName val="SCOPE_OF_WORK"/>
      <sheetName val="Data_(2)"/>
      <sheetName val="Book_1_Summary"/>
      <sheetName val="THÁNG_05"/>
      <sheetName val="TONGKE3p_"/>
      <sheetName val="List_of_Staff"/>
      <sheetName val="__QUOTATION_xlsx"/>
      <sheetName val="chi_tiet_TS_theo_so_lieu_ktoan"/>
      <sheetName val="2_5_Ducts_(2)"/>
      <sheetName val="S_N"/>
      <sheetName val="CF_-Update_31Jul06"/>
      <sheetName val="Executive_Summary"/>
      <sheetName val="Rate_Analysis"/>
      <sheetName val="Noise_insl"/>
      <sheetName val="DIEN_TICH"/>
      <sheetName val="H_Satuan"/>
      <sheetName val="4_3_Scope_of_work_"/>
      <sheetName val="THCP_thiet_bi"/>
      <sheetName val="Be_tong"/>
      <sheetName val="Eq__Mobilization"/>
      <sheetName val="2__Tổng_hợp"/>
      <sheetName val="List_Equip"/>
      <sheetName val="Process_C_(1-166)"/>
      <sheetName val="Link_HG"/>
      <sheetName val="TK_SX"/>
      <sheetName val="EQ_an"/>
      <sheetName val="TinhToan"/>
      <sheetName val="Data-SỔ KHO"/>
      <sheetName val="SỔ KHO"/>
      <sheetName val="p2-1"/>
      <sheetName val="DGCT_TRẦN_NLW7"/>
      <sheetName val="Girder"/>
      <sheetName val="CSG SXD"/>
      <sheetName val="CTDZ0,4"/>
      <sheetName val="DGVT"/>
      <sheetName val="DG vua BT 269"/>
      <sheetName val="ctdz35"/>
      <sheetName val="DGXDCB_DD"/>
      <sheetName val="Gia_GC_Satthep"/>
      <sheetName val="btraR,f"/>
      <sheetName val="Loading"/>
      <sheetName val="DT "/>
      <sheetName val="SELISIH HARGA"/>
      <sheetName val="BBM-03"/>
      <sheetName val="(40)G&amp;A"/>
      <sheetName val="Assumption"/>
      <sheetName val="Chart"/>
      <sheetName val="SNMOI"/>
      <sheetName val="NDK16X20"/>
      <sheetName val="OPY"/>
      <sheetName val="PT-OPY"/>
      <sheetName val="TAIKHOAN"/>
      <sheetName val="GIA THEP"/>
      <sheetName val="Hoi gia"/>
      <sheetName val="SUMMARY QUANTITIES"/>
      <sheetName val="BUSPLAN"/>
      <sheetName val="NP"/>
      <sheetName val="대비표"/>
      <sheetName val="PNT"/>
      <sheetName val="Progress measurement Procedure"/>
      <sheetName val="STAF"/>
      <sheetName val="rekapan"/>
      <sheetName val="DataTeknis"/>
      <sheetName val="AC"/>
      <sheetName val="Bahan "/>
      <sheetName val="Aggr"/>
      <sheetName val="4_MVAC"/>
      <sheetName val="bhn FINAL"/>
      <sheetName val="Ana. PU"/>
      <sheetName val="AHSP"/>
      <sheetName val="B - Norelec"/>
      <sheetName val="Total-Mem"/>
      <sheetName val="BM DATA SHEET"/>
      <sheetName val="Agg Halus &amp; Kasar"/>
      <sheetName val="Cashflow Analysis"/>
      <sheetName val="R2564AHDTS"/>
      <sheetName val="Labor Sum"/>
      <sheetName val="石炭性状"/>
      <sheetName val="2.1 NonVessel"/>
      <sheetName val="Modification Cost"/>
      <sheetName val="Fuel"/>
      <sheetName val="1 Max Base - Cost_rep_base"/>
      <sheetName val="Rates2011"/>
      <sheetName val="2 NonVessel"/>
      <sheetName val="MWBSpread"/>
      <sheetName val="Cable Data"/>
      <sheetName val="CBL01"/>
      <sheetName val="Thong tin DA"/>
      <sheetName val="Wall Pier"/>
      <sheetName val="BSD (2)"/>
      <sheetName val="AUTOMATIC SELECT"/>
      <sheetName val="U.P List"/>
      <sheetName val="단면가정"/>
      <sheetName val="accom cash"/>
      <sheetName val="Du toan XD"/>
      <sheetName val="정부노임단가"/>
      <sheetName val="General_Item&amp;General_Requireme@"/>
      <sheetName val="6. Pig walk way (have roof GOC)"/>
      <sheetName val="Cốt thép"/>
      <sheetName val="MBW"/>
      <sheetName val="Description of Beam"/>
      <sheetName val="KL11"/>
      <sheetName val="KL12"/>
      <sheetName val="Gia khoan chi tiet"/>
      <sheetName val="1,TMĐT "/>
      <sheetName val="DmChitiet"/>
      <sheetName val="Cost center"/>
      <sheetName val="DSR"/>
      <sheetName val="FX"/>
      <sheetName val="Details Sales (local)"/>
      <sheetName val="Details_Sales_(local)"/>
      <sheetName val="ReservePayout"/>
      <sheetName val="Ã«ÀûÂÊ·ÖÎö±í"/>
      <sheetName val="JUly97"/>
      <sheetName val="P301"/>
      <sheetName val="R"/>
      <sheetName val="FA list"/>
      <sheetName val="Enc 3A"/>
      <sheetName val="ING"/>
      <sheetName val="DPT-PW"/>
      <sheetName val="712"/>
      <sheetName val="Resort1"/>
      <sheetName val="Anx-IV"/>
      <sheetName val="Fixed Prof Fees"/>
      <sheetName val="PDN"/>
      <sheetName val="BS, PL, Sch 5 to 9"/>
      <sheetName val="301 RTI"/>
      <sheetName val="1. Questionnaire"/>
      <sheetName val="YOEMAGUM"/>
      <sheetName val="MAT"/>
      <sheetName val="DataValidation"/>
      <sheetName val="Excise on RM"/>
      <sheetName val=" Payroll Empl (Wkng)"/>
      <sheetName val="Insight 28-6-00"/>
      <sheetName val="DL codes"/>
      <sheetName val="Simulator Detail"/>
      <sheetName val="Trnf to Reimb."/>
      <sheetName val="Power &amp; Fuel (S)"/>
      <sheetName val="43B"/>
      <sheetName val="Book details"/>
      <sheetName val="July 06-Mar 07"/>
      <sheetName val="DCF"/>
      <sheetName val="drs"/>
      <sheetName val="RscList"/>
      <sheetName val="inputs"/>
      <sheetName val="NC2"/>
      <sheetName val="DLCoso"/>
      <sheetName val="06b-Cau_Lap_Thach-_DGTH"/>
      <sheetName val="Lương nhân công"/>
      <sheetName val="Quotation"/>
      <sheetName val="List NT"/>
      <sheetName val="home"/>
      <sheetName val="Traituyen"/>
      <sheetName val="THPT"/>
      <sheetName val="K30-K31"/>
      <sheetName val="K31-K32"/>
      <sheetName val="K32-K33"/>
      <sheetName val="K33-K34"/>
      <sheetName val="K34-K35"/>
      <sheetName val="K35-K36"/>
      <sheetName val="K36-K37"/>
      <sheetName val="K37-K38"/>
      <sheetName val="K38-K39"/>
      <sheetName val="K39-K40"/>
      <sheetName val="K40-K41"/>
      <sheetName val="CIM"/>
      <sheetName val="4.0 unit cost-ko in"/>
      <sheetName val="4.DGCT"/>
      <sheetName val="PL08"/>
      <sheetName val="HG"/>
      <sheetName val="Jobs"/>
      <sheetName val="Mốc"/>
      <sheetName val="Weather"/>
      <sheetName val="KLdon vi"/>
      <sheetName val="template"/>
      <sheetName val="FUC-01"/>
      <sheetName val="KB"/>
      <sheetName val="DZ 0.4"/>
      <sheetName val="Ngay"/>
      <sheetName val="NC THEO QĐ 1396 QĐ-SXD"/>
      <sheetName val="PU_ITALY_46"/>
      <sheetName val="Door_and_window8"/>
      <sheetName val="Luong_(TP_Việt_Trì)1"/>
      <sheetName val="Khai_toan3"/>
      <sheetName val="Phu_luc_01_1_EPC_P11-143"/>
      <sheetName val="TDT_P11-P143"/>
      <sheetName val="Chi_phi_khac_3"/>
      <sheetName val="Hang_muc_Chung3"/>
      <sheetName val="Bia_Phu_Luc3"/>
      <sheetName val="DATA_1_CHUNG3"/>
      <sheetName val="Muc_luc3"/>
      <sheetName val="Tra_cuu_9573"/>
      <sheetName val="SGC_RATE3"/>
      <sheetName val="DM_DU_AN3"/>
      <sheetName val="DM_TP_3"/>
      <sheetName val="File_Chi_tiet3"/>
      <sheetName val="NC_CU1"/>
      <sheetName val="Da_xay_dung1"/>
      <sheetName val="Cuoc_1"/>
      <sheetName val="gia_chao1"/>
      <sheetName val="Vat_lieu_BTN1"/>
      <sheetName val="Tru_TT3"/>
      <sheetName val="Thg_043"/>
      <sheetName val="Thg_053"/>
      <sheetName val="Thg_063"/>
      <sheetName val="Thg_073"/>
      <sheetName val="Thg_083"/>
      <sheetName val="Thg_093"/>
      <sheetName val="Thg_103"/>
      <sheetName val="Thg_113"/>
      <sheetName val="Thg_123"/>
      <sheetName val="Dashboard_-_BQL_-_VHL3"/>
      <sheetName val="MTO_REV_01"/>
      <sheetName val="TH_khoi_luong3"/>
      <sheetName val="Chi_tiet_khoi_luong3"/>
      <sheetName val="TK_thep3"/>
      <sheetName val="CT_THOÁT_WC_VP3"/>
      <sheetName val="CT_CẤP_WC_VP3"/>
      <sheetName val="CT_THOÁT_MƯA_VP_TRỤC_LỚN3"/>
      <sheetName val="CT_THOÁT_MƯA_VP_TRỤC_NHỎ3"/>
      <sheetName val="Chênh_lệch_máy_thi_công2"/>
      <sheetName val="Chênh_lệch_nhân_công2"/>
      <sheetName val="Chênh_lệch_vật_liệu2"/>
      <sheetName val="DO_AM_DT1"/>
      <sheetName val="Probbl_-_Production3"/>
      <sheetName val="CHI_PHÍ_NHÔM3"/>
      <sheetName val="w't_table3"/>
      <sheetName val="Danh_mục_khối3"/>
      <sheetName val="Danh_mục_đơn_vị_-phòng_chức_nă3"/>
      <sheetName val="Currency_Rate3"/>
      <sheetName val="KEILA_TP_2020-073"/>
      <sheetName val="BILL_34Āᐁë3"/>
      <sheetName val="CFA_(ME)3"/>
      <sheetName val="MEP_Building3"/>
      <sheetName val="2__BBNT_KLHT3"/>
      <sheetName val="CHITIET_VL-NC-TT1p3"/>
      <sheetName val="NHOM_KINH2"/>
      <sheetName val="Share_Price_20022"/>
      <sheetName val="LUONG_SCL3"/>
      <sheetName val="Auto_Monthly_Inputs_1"/>
      <sheetName val="BOM-13_11-Other(PS1+PS2)3"/>
      <sheetName val="01__Nha_xuong1"/>
      <sheetName val="Nhập_liệu1"/>
      <sheetName val="Dinh_Muc_Vat_Tu3"/>
      <sheetName val="mã_3"/>
      <sheetName val="Service_Cost_2"/>
      <sheetName val="Don_gia_Tay_Ninh2"/>
      <sheetName val="Don_gia_Dak_Lak2"/>
      <sheetName val="streeta_and_cacth_pit2"/>
      <sheetName val="Daf_12"/>
      <sheetName val="Luong_2622EVN1"/>
      <sheetName val="Don_gia_XD2"/>
      <sheetName val="Gia_NC_theo_TT051"/>
      <sheetName val="Land_Dev't__Ph-11"/>
      <sheetName val="Hac_Lots1"/>
      <sheetName val="4-Lane_bridge1"/>
      <sheetName val="Res_Lots1"/>
      <sheetName val="Spine_Road1"/>
      <sheetName val="Chao_gia_T12_RE2"/>
      <sheetName val="DSV6_Summ1"/>
      <sheetName val="Sum_ELE__CAP_S1-4__1"/>
      <sheetName val="Boc_KL_DAT+CAT+BT1"/>
      <sheetName val="Boc_KL_thép1"/>
      <sheetName val="Bieu_do_nhan_luc1"/>
      <sheetName val="Elemental_Breakdown+20%1"/>
      <sheetName val="DGKL_TRỤC_NGOAI_NHA1"/>
      <sheetName val="PHẦN_KIẾN_TRÚC1"/>
      <sheetName val="0,SO_LIEU_DAU_VAO1"/>
      <sheetName val="So_sanh_gia1"/>
      <sheetName val="Bill_21"/>
      <sheetName val="Bill_31"/>
      <sheetName val="Bill_4a_-_1A1"/>
      <sheetName val="Bill_4a_(Fiber)_-_1A1"/>
      <sheetName val="Bill_4b1"/>
      <sheetName val="Bill_4c1"/>
      <sheetName val="Bill_51"/>
      <sheetName val="Bill_4a_-_1B1"/>
      <sheetName val="Bill_4a_(Fiber)_-_1B1"/>
      <sheetName val="5_2_1_Đo_bóc_KL_OLK-071"/>
      <sheetName val="Committed_Items1"/>
      <sheetName val="Corner_Arch1"/>
      <sheetName val="End_Arch1"/>
      <sheetName val="Intermediate_Arch1"/>
      <sheetName val="reinforcement_6751"/>
      <sheetName val="ext_wall_fin_qty1"/>
      <sheetName val="SL_Plum_1"/>
      <sheetName val="Physical_Schedule_3D1"/>
      <sheetName val="Tabel_Berat2"/>
      <sheetName val="Data_Umum_Penawaran2"/>
      <sheetName val="Real_Cost2"/>
      <sheetName val="bill_qty2"/>
      <sheetName val="REKAP_ARSITEKTUR_2"/>
      <sheetName val="RAB_ADMINISTRASI_PUSAT_(1)2"/>
      <sheetName val="Hrg_Readymix1"/>
      <sheetName val="Bill_rekap"/>
      <sheetName val="Cash_Flow_bulanan"/>
      <sheetName val="Dai_tu1"/>
      <sheetName val="Aging_Sept2"/>
      <sheetName val="0_Data1"/>
      <sheetName val="0_Data_new1"/>
      <sheetName val="Define_finishing1"/>
      <sheetName val="CươcVC_tinh"/>
      <sheetName val="Bank_Rev1"/>
      <sheetName val="Merit_&amp;_Market_Grid2"/>
      <sheetName val="BP_DECLINE_IT1"/>
      <sheetName val="Input_List1"/>
      <sheetName val="Valid_data_revised1"/>
      <sheetName val="DETAIL_MIX_%_REPORT1"/>
      <sheetName val="Fill_this_out_first___1"/>
      <sheetName val="BC_chi_tiết_TT1"/>
      <sheetName val="Cước_CG1"/>
      <sheetName val="242_3_summaryOPC1"/>
      <sheetName val="1_1General1"/>
      <sheetName val="sales_current_month46"/>
      <sheetName val="View_Variance46"/>
      <sheetName val="Fixed_asset_register1"/>
      <sheetName val="repeatative_rejection1"/>
      <sheetName val="General_Info1"/>
      <sheetName val="Full_PBD1"/>
      <sheetName val="Non-Statistical_Sampling1"/>
      <sheetName val="98FORECAST_(1)1"/>
      <sheetName val="Sch_18_Bank1"/>
      <sheetName val="Stock_details1"/>
      <sheetName val="Part_A_General1"/>
      <sheetName val="_1"/>
      <sheetName val="6__Scope_of_work_1"/>
      <sheetName val="4_6_Phân_tích_nhân_sự_1"/>
      <sheetName val="4_5_Mức_độ_tham_gia_dự_án1"/>
      <sheetName val="CONSOIDATE_41"/>
      <sheetName val="CONSOIDATE_21"/>
      <sheetName val="TH_khối_lượng_phải_làm"/>
      <sheetName val="Giá_VL,_NC,_M"/>
      <sheetName val="Lương_2135_nhóm_I"/>
      <sheetName val="Luong_2050_hà_NAm"/>
      <sheetName val="Lương2045_nhóm_I"/>
      <sheetName val="May_3_huyện"/>
      <sheetName val="May_yên_mô"/>
      <sheetName val="Phân_tich_ĐG"/>
      <sheetName val="PLV_mới"/>
      <sheetName val="May_TT11(TB)"/>
      <sheetName val="May_TT11_(HP)"/>
      <sheetName val="May_TT11(NB)"/>
      <sheetName val="May_TT11(NĐ)"/>
      <sheetName val="Lương_theo_TT17(Thái_Bình)"/>
      <sheetName val="Lương_theo_TT17_(HP)"/>
      <sheetName val="Lương_theo_TT17_(Ninh_Bình)"/>
      <sheetName val="Lương_theo_TT17_(Nam_Định)"/>
      <sheetName val="Don_vi"/>
      <sheetName val="Input_-_Facilities1"/>
      <sheetName val="BP_CAPEX_MoD-100%_Area_4_USD1"/>
      <sheetName val="02__PHAN_TICH1"/>
      <sheetName val="03__NGAN_SACH1"/>
      <sheetName val="KL_CHI_TIẾT_(2)"/>
      <sheetName val="5_Gia"/>
      <sheetName val="Danh_sach_KV2"/>
      <sheetName val="Danh_sach_doan_KT"/>
      <sheetName val="CP_NC-MTC_XD"/>
      <sheetName val="Loại_cọc_P2"/>
      <sheetName val="Luong_TT05"/>
      <sheetName val="unit_weight"/>
      <sheetName val="Gia_HĐ"/>
      <sheetName val="Ca_may"/>
      <sheetName val="Piano_Montaggio_PO-02_bozza2"/>
      <sheetName val="List_Danh_mục_nghiệm_thu"/>
      <sheetName val="May_Goc_(QD2436)"/>
      <sheetName val="VC_theo_cuoc_tinh"/>
      <sheetName val="BCVC__"/>
      <sheetName val="Chuong_I"/>
      <sheetName val="PLHD_doi_cot_ham_0101-04"/>
      <sheetName val="Don_gia_vung_III"/>
      <sheetName val="Don_gia_III11"/>
      <sheetName val="Don_gia_CT"/>
      <sheetName val="Danhsach_12"/>
      <sheetName val="Kien_truc"/>
      <sheetName val="NC_HY"/>
      <sheetName val="NC_HN"/>
      <sheetName val="DZ_35"/>
      <sheetName val="bang_1_NCXD"/>
      <sheetName val="bang_1_NCXD_(V_I)"/>
      <sheetName val="Chiet_tinh_dz22"/>
      <sheetName val="ĐM4970_2016(Lap_dat_TBA)"/>
      <sheetName val="Gia_Nhan_công"/>
      <sheetName val="Đon_gia_228_sua_chua"/>
      <sheetName val="ĐM01_2000(thinghiem_ĐZTTĐL)"/>
      <sheetName val="ĐM1781_2007(T_N_đien_ĐZ&amp;TBA)"/>
      <sheetName val="Cuoc_van_chuyen"/>
      <sheetName val="3_공통공사대비"/>
      <sheetName val="입찰내역_발주처_양식"/>
      <sheetName val="bar_nor"/>
      <sheetName val="conc_nor"/>
      <sheetName val="conc_frus"/>
      <sheetName val="conc_trap"/>
      <sheetName val="bar_frus"/>
      <sheetName val="bar_trap"/>
      <sheetName val="SLA_cost_distr_FEB_2020"/>
      <sheetName val="Legal_entities_details"/>
      <sheetName val="Invoice_base_FEB_2020"/>
      <sheetName val="Le317_into_8050"/>
      <sheetName val="Basic_principles_to_the_distr_"/>
      <sheetName val="Cost_elements"/>
      <sheetName val="Ref_rate_change"/>
      <sheetName val="Synergi_life_credit"/>
      <sheetName val="Change_in_NH"/>
      <sheetName val="NPS_to_O&amp;G"/>
      <sheetName val="Adj_entries_"/>
      <sheetName val="Annexure_1"/>
      <sheetName val="Annexure_2"/>
      <sheetName val="Updated_2018_COA"/>
      <sheetName val="IC_Listing"/>
      <sheetName val="2__Summary-cash"/>
      <sheetName val="DG_THIET_BI"/>
      <sheetName val="DG_vat_lieu"/>
      <sheetName val="Loại_2"/>
      <sheetName val="Tu_dien"/>
      <sheetName val="T_kê"/>
      <sheetName val="Chi_tiet_VL-NC-MTC"/>
      <sheetName val="Project_Info_"/>
      <sheetName val="Cost_Summary"/>
      <sheetName val="Cost_Summary_-_USD"/>
      <sheetName val="Price_Summary_-_Offshore"/>
      <sheetName val="Factory_&amp;_Import_Material"/>
      <sheetName val="Labour_Hours_Upload"/>
      <sheetName val="Technical_Info_"/>
      <sheetName val="PM_Cost"/>
      <sheetName val="SED_INPUT"/>
      <sheetName val="TÍNH_TOÁN_KHỐI_LƯỢNG_P6"/>
      <sheetName val="INDEX_HẠ_TẦNG"/>
      <sheetName val="CTG_HẠ_TẦNG"/>
      <sheetName val="DGG_HẠ_TẦNG"/>
      <sheetName val="DGG_LB_CỌC"/>
      <sheetName val="DGG_MT_CỌC"/>
      <sheetName val="INFO_CỌC"/>
      <sheetName val="INDEX_CỌC"/>
      <sheetName val="A1_8"/>
      <sheetName val="DLC_DIEN_AP"/>
      <sheetName val="SL_dau_tien"/>
      <sheetName val="Bảng_dung_trọng"/>
      <sheetName val="Tra_Cứu"/>
      <sheetName val="DP_TRUOT_GIA"/>
      <sheetName val="VL-NC-M_"/>
      <sheetName val="Assignment_Schedule"/>
      <sheetName val="DTCT_-XL_4"/>
      <sheetName val="Tonghop_theo_Vendor"/>
      <sheetName val="Du_thau_dau_noi"/>
      <sheetName val="Du_Thau"/>
      <sheetName val="Du_thau_PSBS"/>
      <sheetName val="DG_theo_HD_PSBS"/>
      <sheetName val="Du_thau_TC11"/>
      <sheetName val="VL_NC_M"/>
      <sheetName val="TT_16-2019"/>
      <sheetName val="Du_lieu_ban_dau"/>
      <sheetName val="GZ_TP"/>
      <sheetName val="GZ_VT"/>
      <sheetName val="Đơn_trọng"/>
      <sheetName val="6_9_DM_CTP"/>
      <sheetName val="ADJ_-_RATE"/>
      <sheetName val="Inventory_data46"/>
      <sheetName val="FORECAST_x_FAMILIA43"/>
      <sheetName val="Space_Analysis43"/>
      <sheetName val="CADE_DETAIL19"/>
      <sheetName val="PRB_Expense_Q4_201316"/>
      <sheetName val="P&amp;L_by_Month1"/>
      <sheetName val="DIV_INC1"/>
      <sheetName val="A1_-_Income_Statement1"/>
      <sheetName val="SCB_-_Annexure_A1"/>
      <sheetName val="PL6-Revenue_Bridge1"/>
      <sheetName val="OC5-Push_Diag1"/>
      <sheetName val="Franchise_Input1"/>
      <sheetName val="Project_ODC_NDEU1"/>
      <sheetName val="Inter_connect_Revenue1"/>
      <sheetName val="2020_RFS_Summary1"/>
      <sheetName val="Well_Construction_Summary1"/>
      <sheetName val="RFS_2020_-_Details_and_Notes1"/>
      <sheetName val="AN_20001"/>
      <sheetName val="Thong_tin"/>
      <sheetName val="BTDC_B360"/>
      <sheetName val="Danh_muc_LIST"/>
      <sheetName val="CF_(DR)_IN"/>
      <sheetName val="PL_02_-_Vay"/>
      <sheetName val="PL_03_-_Von"/>
      <sheetName val="CP_yếu_tố"/>
      <sheetName val="BS_420"/>
      <sheetName val="PL_420"/>
      <sheetName val="RT_420"/>
      <sheetName val="BTDC_B360_"/>
      <sheetName val="Table_of_contents"/>
      <sheetName val="11__Loans"/>
      <sheetName val="BASE_GRAPHE"/>
      <sheetName val="Beam_reinfocement_schedule"/>
      <sheetName val="Thong_so_dam"/>
      <sheetName val="Wall_Block_C"/>
      <sheetName val="General_Schedule"/>
      <sheetName val="KL_Chi_tiết_BV_dự_thầu"/>
      <sheetName val="KL_chi_tiết_BV_thi_công"/>
      <sheetName val="3_NGAN_SACH"/>
      <sheetName val="2_PHAN_TICH"/>
      <sheetName val="D_Trong"/>
      <sheetName val="Factor_F_Data"/>
      <sheetName val="B_1_Engineering"/>
      <sheetName val="Mobilisasi_&amp;_Demob"/>
      <sheetName val="B_2_5_Proc_&amp;_Constr_Civil1"/>
      <sheetName val="B_2_3_Proc_&amp;_Constr_Electrical"/>
      <sheetName val="B_2_4_Proc_&amp;_Constr_Instru"/>
      <sheetName val="B_2_1_Proc_&amp;_Constr_Mech_"/>
      <sheetName val="B_2_2_Proc_&amp;_Constr_Pipe_"/>
      <sheetName val="Work_Permit"/>
      <sheetName val="Agregat_Halus_&amp;_Kasar"/>
      <sheetName val="Data_Tower"/>
      <sheetName val="CTG_(GIAM)"/>
      <sheetName val="IV_1_Lkdt"/>
      <sheetName val="III_2_dah"/>
      <sheetName val="II_2_dn"/>
      <sheetName val="IV_2_Lkdd"/>
      <sheetName val="III_1_tai"/>
      <sheetName val="Summary_-_Budget"/>
      <sheetName val="Gia_"/>
      <sheetName val="Bearing_Capacity"/>
      <sheetName val="CDPS_SAU_KC"/>
      <sheetName val="RC_Revenue"/>
      <sheetName val="AOP_2020"/>
      <sheetName val="DATA_LE"/>
      <sheetName val="DATA_LE_(LY)"/>
      <sheetName val="DATA_RC"/>
      <sheetName val="DATA_RC_(LY)"/>
      <sheetName val="LE_Test"/>
      <sheetName val="DATA_(RC_ORG)"/>
      <sheetName val="DATA_(TESTING_1)"/>
      <sheetName val="DATA_(TESTING_CHRSPR)"/>
      <sheetName val="2018_VADIS"/>
      <sheetName val="Income_Statement14"/>
      <sheetName val="DB_FEE"/>
      <sheetName val="BHYT_Tự_Nguyện_-_Vinschool-Mau_"/>
      <sheetName val="dulieu_cot"/>
      <sheetName val="Bank_Bal__Dec_22"/>
      <sheetName val="CAN_DOI_-_KET_QUA2"/>
      <sheetName val="Pivot_Financials1"/>
      <sheetName val="Review_20151"/>
      <sheetName val="People_1"/>
      <sheetName val="Production_volumes1"/>
      <sheetName val="Salary_increase_budget_assump_1"/>
      <sheetName val="Production_initiative1"/>
      <sheetName val="Prod__KPI_-_OEE%1"/>
      <sheetName val="B&amp;P_KPI1"/>
      <sheetName val="Customer_SC1"/>
      <sheetName val="Production_KPIs1"/>
      <sheetName val="Total_losses1"/>
      <sheetName val="Savings_overview1"/>
      <sheetName val="Prod_FTE_Dev_1"/>
      <sheetName val="Log_FTE_Dev_1"/>
      <sheetName val="Loss_tree1"/>
      <sheetName val="Inventory_development1"/>
      <sheetName val="Capex_Phasing1"/>
      <sheetName val="Std_to_Std_MC_only1"/>
      <sheetName val="Top_20_BOM1"/>
      <sheetName val="MC_Development_OLD1"/>
      <sheetName val="NMC_&amp;_Log_Ass_1"/>
      <sheetName val="_Material_Ass_1"/>
      <sheetName val="COGS_Dev_1"/>
      <sheetName val="MC_Dev_1"/>
      <sheetName val="NMC_Dev_1"/>
      <sheetName val="NMC_Development_OLD1"/>
      <sheetName val="Log_Dev_1"/>
      <sheetName val="Prod__capex_overview1"/>
      <sheetName val="Production_-_Risks_&amp;_Opport_1"/>
      <sheetName val="AOCM_Overview1"/>
      <sheetName val="AOCM_Cost_Group_Summary1"/>
      <sheetName val="Sievo_Saving1"/>
      <sheetName val="AOCM_Sub-group1"/>
      <sheetName val="Quality_RFT1"/>
      <sheetName val="Back-up_1"/>
      <sheetName val="Absorption_Phasing1"/>
      <sheetName val="One_off1"/>
      <sheetName val="Reporting_changes1"/>
      <sheetName val="Prod__KPI_-_OEE%_by_line1"/>
      <sheetName val="Key_dependencies1"/>
      <sheetName val="Orgex_and_restructuring1"/>
      <sheetName val="COGS_movement1"/>
      <sheetName val="Back-up_HR1"/>
      <sheetName val="2016_FTE_Variability1"/>
      <sheetName val="2_Sievo_saving_recon__vs_bridg1"/>
      <sheetName val="1__PPV_recon__T04_vs_bridges1"/>
      <sheetName val="INPUT_&amp;_Guidance1"/>
      <sheetName val="data_for_deck,_thinkcell1"/>
      <sheetName val="Flash_call_deck1"/>
      <sheetName val="Supply_chain_bridge1"/>
      <sheetName val="COS_bridge1"/>
      <sheetName val="3_Gross_&amp;_Net_efficiency_repor1"/>
      <sheetName val="PVM_report1"/>
      <sheetName val="Capex_comments1"/>
      <sheetName val="Log_bridge1"/>
      <sheetName val="One_pager1"/>
      <sheetName val="Option_1,Data(from_HFM)_1"/>
      <sheetName val="Option_2,_Data(_Manual_Input)1"/>
      <sheetName val="FX_&amp;_HIERARCHY1"/>
      <sheetName val="Bihar_Plant_FAR"/>
      <sheetName val="Verification_Report"/>
      <sheetName val="Sch2_-_BalSht_Summary"/>
      <sheetName val="Sch1_-_P&amp;L_Summary"/>
      <sheetName val="Cost_of_DM_Water"/>
      <sheetName val="Other_assumptions1"/>
      <sheetName val="Vat_lieu_cat_song_rac"/>
      <sheetName val="Field_Lists1"/>
      <sheetName val="CUSTOMER_GROUP_WISE"/>
      <sheetName val="Q4_2009_History"/>
      <sheetName val="_Final_Balance_Sheet"/>
      <sheetName val="Interest_on_WC"/>
      <sheetName val="Giai_trinh"/>
      <sheetName val="PU_ITALY_47"/>
      <sheetName val="TH_DZ3519"/>
      <sheetName val="Tro_giup30"/>
      <sheetName val="DON_GIA_CAN_THO19"/>
      <sheetName val="Don_gia_chi_tiet17"/>
      <sheetName val="RAB_AR&amp;STR17"/>
      <sheetName val="chi_tiet_TBA17"/>
      <sheetName val="chi_tiet_C17"/>
      <sheetName val="Don_gia17"/>
      <sheetName val="S-curve_16"/>
      <sheetName val="HĐ_ngoài16"/>
      <sheetName val="XT_Buoc_316"/>
      <sheetName val="Commercial_value16"/>
      <sheetName val="DON_GIA_TRAM_(3)17"/>
      <sheetName val="Customize_Your_Purchase_Order17"/>
      <sheetName val="Ky_Lam_Bridge16"/>
      <sheetName val="Provisional_Sums_Item16"/>
      <sheetName val="Gas_Pressure_Welding16"/>
      <sheetName val="General_Item&amp;General_Requirem16"/>
      <sheetName val="General_Items16"/>
      <sheetName val="Regenral_Requirements16"/>
      <sheetName val="7606_DZ17"/>
      <sheetName val="TONG_HOP_VL-NC_TT17"/>
      <sheetName val="CHITIET_VL-NC-TT_-1p17"/>
      <sheetName val="KPVC-BD_17"/>
      <sheetName val="CHITIET_VL-NC-TT-3p16"/>
      <sheetName val="Adix_A16"/>
      <sheetName val="TONG_HOP_VL-NC16"/>
      <sheetName val="Đầu_vào15"/>
      <sheetName val="dongia_(2)16"/>
      <sheetName val="So_doi_chieu_LC16"/>
      <sheetName val="CT-0_4KV15"/>
      <sheetName val="A1_CN15"/>
      <sheetName val="Equip_15"/>
      <sheetName val="project_management16"/>
      <sheetName val="DG_thep_ma_kem16"/>
      <sheetName val="EIRR&gt;_215"/>
      <sheetName val="MAIN_GATE_HOUSE16"/>
      <sheetName val="REINF_16"/>
      <sheetName val="Rates_200916"/>
      <sheetName val="Du_toan16"/>
      <sheetName val="chiet_tinh16"/>
      <sheetName val="Ng_hàng_xà+bulong16"/>
      <sheetName val="Bang_KL16"/>
      <sheetName val="MH_RATE16"/>
      <sheetName val="Lcau_-_Lxuc16"/>
      <sheetName val="CT_vat_lieu16"/>
      <sheetName val="DM_606116"/>
      <sheetName val="Trạm_biến_áp15"/>
      <sheetName val="Đơn_Giá_15"/>
      <sheetName val="Chi_tiet_XD_TBA15"/>
      <sheetName val="Chenh_lech_vat_tu15"/>
      <sheetName val="Diện_tích15"/>
      <sheetName val="1_Khái_toán15"/>
      <sheetName val="TONG_HOP_T5_199815"/>
      <sheetName val="4_PTDG15"/>
      <sheetName val="rate_material15"/>
      <sheetName val="DG_DZ16"/>
      <sheetName val="DG_TBA16"/>
      <sheetName val="KL_Chi_tiết_Xây_tô15"/>
      <sheetName val="GV1-D13_(Casement_door)15"/>
      <sheetName val="07Base_Cost15"/>
      <sheetName val="Bill_1_Quy_dinh_chung15"/>
      <sheetName val="1_R18_BF15"/>
      <sheetName val="6_External_works-R1815"/>
      <sheetName val="Phan_khai_KLuong15"/>
      <sheetName val="Chi_tiet_KL15"/>
      <sheetName val="Tổng_hợp_KL15"/>
      <sheetName val="A1,_May15"/>
      <sheetName val="Vat_lieu15"/>
      <sheetName val="Gia_vat_tu15"/>
      <sheetName val="Data_Input16"/>
      <sheetName val="DM_6715"/>
      <sheetName val="Luong_NII14"/>
      <sheetName val="DINH_MUC_THI_NGHIEM14"/>
      <sheetName val="Luong_NI14"/>
      <sheetName val="04_-_XUONG_DET_B15"/>
      <sheetName val="Area_Cal15"/>
      <sheetName val="_0315"/>
      <sheetName val="chieu_day_san15"/>
      <sheetName val="Podium_Concrete_Works15"/>
      <sheetName val="KLCT-_TOWER15"/>
      <sheetName val="KLCT-_PODIUM15"/>
      <sheetName val="Gia_thanh_chuoi_su15"/>
      <sheetName val="Tiep_dia15"/>
      <sheetName val="Don_gia_vung_III-Can_Tho15"/>
      <sheetName val="Elect_(3)15"/>
      <sheetName val="plan&amp;section_of_foundation15"/>
      <sheetName val="design_criteria15"/>
      <sheetName val="Bond_수수료_계산_포맷15"/>
      <sheetName val="ITB_COST15"/>
      <sheetName val="PAGE_115"/>
      <sheetName val="Đầu_tư15"/>
      <sheetName val="Loại_Vật_tư15"/>
      <sheetName val="dg_tphcm15"/>
      <sheetName val="T_KÊ_K_CẤU15"/>
      <sheetName val="Xay_lapduongR315"/>
      <sheetName val="6787CWFASE2CASE2_00_xls15"/>
      <sheetName val="Measure_130615"/>
      <sheetName val="Project_Data15"/>
      <sheetName val="gia_cong_tac15"/>
      <sheetName val="Bill_02_-_Xay_gach-Pou_15"/>
      <sheetName val="Bill_03-Chống_thấm-Pou15"/>
      <sheetName val="Bill_04-Kim_loại-Pou15"/>
      <sheetName val="Bill_05_-_Hoan_thien-Pou_15"/>
      <sheetName val="Bill_02_-_Xay_gach-Tower15"/>
      <sheetName val="Bill_03-Chống_thấm-Tower15"/>
      <sheetName val="Bill_04-Kim_loại-Tower15"/>
      <sheetName val="Bill_05_-_Hoan_thien-Tower15"/>
      <sheetName val="KL-_KHAC15"/>
      <sheetName val="BILL_3_-_KẾT_CẤU_HẦM15"/>
      <sheetName val="PTĐG_LTBT15"/>
      <sheetName val="CTG-PRECHEx1_415"/>
      <sheetName val="CTG-AB_(2)15"/>
      <sheetName val="CTG-AB_(3)15"/>
      <sheetName val="CTG-PLP-1_0815"/>
      <sheetName val="Pre_Đội_nhóm15"/>
      <sheetName val="Vat_tu_XD15"/>
      <sheetName val="Tower_-_Concrete_Works15"/>
      <sheetName val="Bill-04_ket_cau_thap-_UNI15"/>
      <sheetName val="Door_and_window9"/>
      <sheetName val="HÐ_ngoài16"/>
      <sheetName val="6PILE__(돌출)15"/>
      <sheetName val="DETAIL_15"/>
      <sheetName val="Bill_01_-_CTN15"/>
      <sheetName val="Bill_2_2_Villa_2_beds15"/>
      <sheetName val="Harga_ME_15"/>
      <sheetName val="Analisa_Gabungan15"/>
      <sheetName val="Chi_tiet15"/>
      <sheetName val="BANCO_(2)14"/>
      <sheetName val="MT_DPin_(2)14"/>
      <sheetName val="Isolasi_Luar_Dalam15"/>
      <sheetName val="Isolasi_Luar15"/>
      <sheetName val="Cước_VC_+_ĐM_CP_Tư_vấn15"/>
      <sheetName val="Dự_toán12"/>
      <sheetName val="Đơn_Giá_TH12"/>
      <sheetName val="Nhân_công12"/>
      <sheetName val="Phân_tích12"/>
      <sheetName val="Hệ_số15"/>
      <sheetName val="C_P_Thiết_bị12"/>
      <sheetName val="T_H_Kinh_phí12"/>
      <sheetName val="Vật_tư12"/>
      <sheetName val="Trang_bìa12"/>
      <sheetName val="Don_gia_chi_tiet_DIEN_211"/>
      <sheetName val="Dlieu_dau_vao14"/>
      <sheetName val="Income_Statement15"/>
      <sheetName val="Shareholders'_Equity14"/>
      <sheetName val="Chenh_lech_ca_may15"/>
      <sheetName val="TLg_CN&amp;Laixe15"/>
      <sheetName val="TLg_CN&amp;Laixe_(2)15"/>
      <sheetName val="TLg_Laitau15"/>
      <sheetName val="TLg_Laitau_(2)15"/>
      <sheetName val="Equipment_list_(PAC)15"/>
      <sheetName val="TINH_KHOI_LUONG15"/>
      <sheetName val="DATA_BASE15"/>
      <sheetName val="_Bill_5-Earthing_2_-_Add_Work15"/>
      <sheetName val="TH_Vat_tu15"/>
      <sheetName val="Bang_trong_luong_rieng_thep15"/>
      <sheetName val="final_list_200531"/>
      <sheetName val="LV_data15"/>
      <sheetName val="ESTI_15"/>
      <sheetName val="CẤP_THOÁT_NƯỚC15"/>
      <sheetName val="TH_MTC15"/>
      <sheetName val="TH_N_Cong15"/>
      <sheetName val="THDT_goi_thau_TB15"/>
      <sheetName val="Tien_do_TV15"/>
      <sheetName val="KHOI_LUONG15"/>
      <sheetName val="bridge_#_115"/>
      <sheetName val="KL_san_lap15"/>
      <sheetName val="Bang_3_Chi_tiet_phan_Dz15"/>
      <sheetName val="HVAC_BLOCK_B415"/>
      <sheetName val="subcon_sched15"/>
      <sheetName val="Buy_vs__Lease_Car15"/>
      <sheetName val="BẢNG_KHỐI_LƯỢNG_TỔNG_HỢP14"/>
      <sheetName val="CP_Khac_cuoc_VC14"/>
      <sheetName val="Budget_Code14"/>
      <sheetName val="CTKL_KTX_HT14"/>
      <sheetName val="PRE_(E)15"/>
      <sheetName val="2_Chiet_tinh14"/>
      <sheetName val="NHÀ_NHẬP_LIỆU14"/>
      <sheetName val="MÓNG_SILO14"/>
      <sheetName val="Tong_du_toan14"/>
      <sheetName val="Bill_2_-_ketcau14"/>
      <sheetName val="13-Cốt_thép_(10mm&lt;D≤18mm)_FO114"/>
      <sheetName val="du_lieu_du_toan14"/>
      <sheetName val="Chi_tiet_lan_can14"/>
      <sheetName val="VC_xd12"/>
      <sheetName val="Gia_VLTB12"/>
      <sheetName val="B_Luong12"/>
      <sheetName val="C_May12"/>
      <sheetName val="DG_142611"/>
      <sheetName val="dm_36612"/>
      <sheetName val="DM_606012"/>
      <sheetName val="Chi_tiet_-tong_9_thang11"/>
      <sheetName val="Analisa_&amp;_Upah14"/>
      <sheetName val="Theo_doi_Doanh_thu_201711"/>
      <sheetName val="Phan_tich14"/>
      <sheetName val="DL_ĐẦU_VÀO14"/>
      <sheetName val="BOQ_THAN14"/>
      <sheetName val="Purchase_Order14"/>
      <sheetName val="D_&amp;_W_sizes14"/>
      <sheetName val="Du_lieu15"/>
      <sheetName val="CT_Thang_Mo14"/>
      <sheetName val="CT__PL14"/>
      <sheetName val="cash_budget14"/>
      <sheetName val="DK1_Don_gia14"/>
      <sheetName val="dongia__2_14"/>
      <sheetName val="Thép_CKN14"/>
      <sheetName val="GOC-KO_IN14"/>
      <sheetName val="MAU_8A14"/>
      <sheetName val="MAU_8B14"/>
      <sheetName val="MAU_914"/>
      <sheetName val="MAU_1014"/>
      <sheetName val="sochitiettaikhoan_14"/>
      <sheetName val="Share_price_data14"/>
      <sheetName val="19_314"/>
      <sheetName val="20_314"/>
      <sheetName val="Chieu_4_314"/>
      <sheetName val="Cow_req14"/>
      <sheetName val="TỔNG_HỢP14"/>
      <sheetName val="14-LẦN_3-CHIỀU14"/>
      <sheetName val="14-LẦN_1-SÁNG14"/>
      <sheetName val="14-LẦN_2-TRƯA14"/>
      <sheetName val="1_3+1_4-TOTAL_-_Ko_IN14"/>
      <sheetName val="2_1-LẦN_3-CHIỀU14"/>
      <sheetName val="2_1-LẦN_1-SÁNG14"/>
      <sheetName val="2_1-LẦN_2-TRƯA14"/>
      <sheetName val="2_1-TOTAL-Ko_IN14"/>
      <sheetName val="1_3(TMR_4)14"/>
      <sheetName val="CHO_DE14"/>
      <sheetName val="1_1+1_2+2_2+2_3(TMR_3)14"/>
      <sheetName val="CK1+CK2_(VS_SAN_CHOI_23)14"/>
      <sheetName val="CK1+CK2_(2)14"/>
      <sheetName val="12-16_THÁNG14"/>
      <sheetName val="CAN_SỮA14"/>
      <sheetName val="54+55+56(SAU_CAI_SỮA-6)14"/>
      <sheetName val="BÊ_71-90_NGÀY14"/>
      <sheetName val="BÊ_12-16_tháng14"/>
      <sheetName val="BÊ_6-1214"/>
      <sheetName val="BÊ_1-314"/>
      <sheetName val="F01-BC_KHAU_PHAN_SANG_20_314"/>
      <sheetName val="F01-BC_KHAU_PHAN_CHIEU_19_314"/>
      <sheetName val="dinh_mưc_cty14"/>
      <sheetName val="Giá_thành14"/>
      <sheetName val="Thong_ke14"/>
      <sheetName val="Energy_for_milk_prod14"/>
      <sheetName val="DE_NGHI_XUAT_14"/>
      <sheetName val="phieu_xuat_mau14"/>
      <sheetName val="PHIEU_XUAT_CHIEU14"/>
      <sheetName val="11_rai_them_cỏ14"/>
      <sheetName val="PHU_LUC_02-_HDSD_CAC_BIEU_MAU14"/>
      <sheetName val="PhU_LUC_01-_MA_CAC_NHOM_BO14"/>
      <sheetName val="F03-BC_THUC_TRON_SANG_20_314"/>
      <sheetName val="F03-BC_THUC_TRON_CHIEU_19_314"/>
      <sheetName val="F02-BC_THEO_DOI_THUC_AN_DU14"/>
      <sheetName val="Tham_khao-_Bao_cao_xuat_thuc_14"/>
      <sheetName val="Don_gia_(khong_in)14"/>
      <sheetName val="1_MONG_1-214"/>
      <sheetName val="02__PTDG14"/>
      <sheetName val="Chiết_tính14"/>
      <sheetName val="wk_prgs12"/>
      <sheetName val="TB_NẶNG12"/>
      <sheetName val="Du_tru_CP-Bieu_0112"/>
      <sheetName val="Dự_thầu12"/>
      <sheetName val="Nhap_VT_oto12"/>
      <sheetName val="Hao_phí12"/>
      <sheetName val="Structure_data12"/>
      <sheetName val="Data_Wall12"/>
      <sheetName val="Chi_tiet_cong_no12"/>
      <sheetName val="PHÁT_SINH_TẦNG_1_12"/>
      <sheetName val="PHÁT_SINH_TẦNG_212"/>
      <sheetName val="Hầm_chuyển_psinh12"/>
      <sheetName val="Ống_thẳng12"/>
      <sheetName val="Côn_thu12"/>
      <sheetName val="Vuông_tròn12"/>
      <sheetName val="Chân_rẽ12"/>
      <sheetName val="Chạc_ba12"/>
      <sheetName val="Ma_don_vi12"/>
      <sheetName val="bang_cc12"/>
      <sheetName val="KHOI_LUONG15-411"/>
      <sheetName val="Bill_2-Road_HR212"/>
      <sheetName val="Bill_3_-_Softscape_HR212"/>
      <sheetName val="Ｎｏ_1312"/>
      <sheetName val="DGchitiet_12"/>
      <sheetName val="Bill_No_3_-_Prov__Sum_(Ph2&amp;3)12"/>
      <sheetName val="TH_TN12"/>
      <sheetName val="TK_chi_tiet12"/>
      <sheetName val="đọc_số12"/>
      <sheetName val="HỆ_THỐNG_PHÒNG_CHÁY_CHỮA_CHÁY12"/>
      <sheetName val="HỆ_THỐNG_CẤP_THOÁT_NƯỚC12"/>
      <sheetName val="HỆ_THỐNG_ĐHKK12"/>
      <sheetName val="MÁY_PHÁT_ĐIỆN12"/>
      <sheetName val="HỆ_THỐNG_ĐIỆN12"/>
      <sheetName val="Thiết_bị_chính12"/>
      <sheetName val="gui_BKCT11"/>
      <sheetName val="AG_Pipe_Qty_Analysis12"/>
      <sheetName val="Tổng_GT12"/>
      <sheetName val="Chi_tiết_KL12"/>
      <sheetName val="khấu_trừ_phạt12"/>
      <sheetName val="GT__KHAU_TRU12"/>
      <sheetName val="HAO_HUT_VAT_TU_(2)12"/>
      <sheetName val="cao_độ12"/>
      <sheetName val="CP_HMC12"/>
      <sheetName val="2_1Warehouse_112"/>
      <sheetName val="THEP_TAM12"/>
      <sheetName val="THEP_HÌNH12"/>
      <sheetName val="THEP_HINH12"/>
      <sheetName val="XA_GO12"/>
      <sheetName val="BANG_TRA12"/>
      <sheetName val="CĂN_HỘ_T16-17_12"/>
      <sheetName val="TRỤC_ĐỨNG_THOÁT_BẨN_T15-1712"/>
      <sheetName val="TRỤC_ĐỨNG_TM_T15-1712"/>
      <sheetName val="CP_Du_phong12"/>
      <sheetName val="THCP_Lap_dat12"/>
      <sheetName val="THCP_xay_dung12"/>
      <sheetName val="Tong_hop_kinh_phi12"/>
      <sheetName val="CHI_PHI12"/>
      <sheetName val="1_Requisition(E)12"/>
      <sheetName val="Móng,_nền_12"/>
      <sheetName val="Main_Bldg-Rev0212"/>
      <sheetName val="D&amp;W_def_12"/>
      <sheetName val="Nhan_cong12"/>
      <sheetName val="Thiet_bi12"/>
      <sheetName val="Vat_tu12"/>
      <sheetName val="DM_ChiPhi12"/>
      <sheetName val="May_TC12"/>
      <sheetName val="TH_Kinh_phi12"/>
      <sheetName val="Ptvl_12"/>
      <sheetName val="DM_336cai_tao11"/>
      <sheetName val="phan_tic_chi_tiet12"/>
      <sheetName val="Tổng_hợp_KPHM10"/>
      <sheetName val="Cotthep_NPT11"/>
      <sheetName val="vl_nc_mtc11"/>
      <sheetName val="Heso_DZ11"/>
      <sheetName val="DG_BINH_THUAN11"/>
      <sheetName val="3__CNT11"/>
      <sheetName val="unit_price_list(M)11"/>
      <sheetName val="TONG_HOP12"/>
      <sheetName val="Gia_vat_lieu11"/>
      <sheetName val="Precios_unitarios_AXH11"/>
      <sheetName val="TH_VL,_NC,_DDHT_Thanhphuoc11"/>
      <sheetName val="So_lieu_chung11"/>
      <sheetName val="BẢNG_ÁP_GIÁ_(in)11"/>
      <sheetName val="NT_(KL)_IN11"/>
      <sheetName val="DOM_D211"/>
      <sheetName val="nhà_ăn11"/>
      <sheetName val="Công_nhật11"/>
      <sheetName val="btkt_cột11"/>
      <sheetName val="0__Input11"/>
      <sheetName val="1_2_Staff_Schedule11"/>
      <sheetName val="Bill_Prelim-CDT11"/>
      <sheetName val="Bill_BPTC-CDT11"/>
      <sheetName val="Chi_tiết_BPTC11"/>
      <sheetName val="Bill_BPTC-CDT_(PA_MCT_CDT)11"/>
      <sheetName val="Chi_tiết_BPTC_(PA_MCT_CDT)11"/>
      <sheetName val="TH_các_CC11"/>
      <sheetName val="KL_THEP__GIAM_DO_DUNG_COUPLER11"/>
      <sheetName val="01_KL_THÉP_NHẬP_VỀ11"/>
      <sheetName val="2__NT_VLDV11"/>
      <sheetName val="GHI_CHU11"/>
      <sheetName val="1_BB_LMHT11"/>
      <sheetName val="Bê_tông_bảo_vệ11"/>
      <sheetName val="01__Data11"/>
      <sheetName val="Neo,_nối_cốt_thép_dầm,_cột11"/>
      <sheetName val="Uốn_móc_cốt_thép11"/>
      <sheetName val="Tiêu_chuẩn_cốt_thép11"/>
      <sheetName val="1__Office11"/>
      <sheetName val="Doi_so11"/>
      <sheetName val="DANH_MỤC_HỒ_SƠ11"/>
      <sheetName val="GT_PHÁT_SINH_NGOÀI_HĐ11"/>
      <sheetName val="KL_PHÁT_SINH_11"/>
      <sheetName val="PS_NGOÀI_HĐ11"/>
      <sheetName val="GT_PHÁT_SINH_VƯỢT_HĐ11"/>
      <sheetName val="PS_TĂNG_GIẢM_TRONG_HĐ11"/>
      <sheetName val="DGCT_PHÁT_SINH11"/>
      <sheetName val="DGCT_TRẦN_NLV11"/>
      <sheetName val="DGKL_chi_tiết_NLV11"/>
      <sheetName val="DGKL_chi_tiết_NHN,NK11"/>
      <sheetName val="TG_KL11"/>
      <sheetName val="DGCT_SƠN_BẢ_TƯỜNG_NLV11"/>
      <sheetName val="DGKL_TRẦN_NHN11"/>
      <sheetName val="MTO_REV_2(ARMOR)11"/>
      <sheetName val="1_Civil_(Org)11"/>
      <sheetName val="KL_thep_lam_sat11"/>
      <sheetName val="Tien_Thuong11"/>
      <sheetName val="NC_XL_6T_cuoi_01_CTy11"/>
      <sheetName val="Data_-6T_dau11"/>
      <sheetName val="Cong_6T11"/>
      <sheetName val="DM-VNT_ko_sd11"/>
      <sheetName val="Bảng_đo_bóc_KL_OLK-0911"/>
      <sheetName val="6_3_CHI_TIET_OLK-0911"/>
      <sheetName val="B3A_-_TOWER_A11"/>
      <sheetName val="Annex_B11"/>
      <sheetName val="TLG_Type11"/>
      <sheetName val="1_San_11"/>
      <sheetName val="Tong_hop_vat_tu11"/>
      <sheetName val="Dot_411"/>
      <sheetName val="Chi_phi_van_chuyen11"/>
      <sheetName val="DT_hợp_đồng10"/>
      <sheetName val="Bảng_KL_đợt_110"/>
      <sheetName val="Dgia_vat_tu11"/>
      <sheetName val="Don_gia_III12"/>
      <sheetName val="D÷_liÖu11"/>
      <sheetName val="Thop_Ksat11"/>
      <sheetName val="Thu_hoi_11"/>
      <sheetName val="HM_chung11"/>
      <sheetName val="CP_xd-thiet_bi11"/>
      <sheetName val="TH-TN_LD_TB11"/>
      <sheetName val="CP_xaydung11"/>
      <sheetName val="Thao_ha_phu_kien11"/>
      <sheetName val="VL-NC-MTC_ket_cau11"/>
      <sheetName val="KHOI_LUONG_TONG11"/>
      <sheetName val="TK_22KV11"/>
      <sheetName val="DM_366-177711"/>
      <sheetName val="Thi_nhiem11"/>
      <sheetName val="Gia_goc_VT-TB11"/>
      <sheetName val="Gia_vc_den_chan_CT11"/>
      <sheetName val="culy_2211"/>
      <sheetName val="Luong_205011"/>
      <sheetName val="ca_may_QN11"/>
      <sheetName val="TNHC1246_11"/>
      <sheetName val="Ca_may_TT06_201011"/>
      <sheetName val="Don_gia_VLXD_dia_phuong11"/>
      <sheetName val="Bang_luong_SCL11"/>
      <sheetName val="Dinh_muc_TN142611"/>
      <sheetName val="HRG_BHN11"/>
      <sheetName val="CĂN_ĐH11"/>
      <sheetName val="Div26_-_Elect11"/>
      <sheetName val="Bù_giá_CM9"/>
      <sheetName val="Luong_BN9"/>
      <sheetName val="Luong_TB9"/>
      <sheetName val="Ca_may_TB9"/>
      <sheetName val="Ca_máy_BN9"/>
      <sheetName val="Vật_liệu9"/>
      <sheetName val="7_Khau_tru_11"/>
      <sheetName val="gia_vt,nc,may10"/>
      <sheetName val="2_CDPS11"/>
      <sheetName val="Q_A01_2-Sh11"/>
      <sheetName val="4_CĂN11"/>
      <sheetName val="Danh_mục10"/>
      <sheetName val="Financ__Overview10"/>
      <sheetName val="LX_-TT059"/>
      <sheetName val="NC_Moi_TT059"/>
      <sheetName val="Bia_lot9"/>
      <sheetName val="MB_DT_0210"/>
      <sheetName val="PV_Graph_Data10"/>
      <sheetName val="5_2_1_Đo_bóc_KL_OLK-0610"/>
      <sheetName val="Don_gia_NC11"/>
      <sheetName val="B-2__(DPP)11"/>
      <sheetName val="CAP_NUOC10"/>
      <sheetName val="cấp_nước_trục_nhà_vs10"/>
      <sheetName val="THOAT_NUOC10"/>
      <sheetName val="THOAT_MUA10"/>
      <sheetName val="Cáp_phòng10"/>
      <sheetName val="TMC_ĐIỆN_Phi10"/>
      <sheetName val="TMC_Tổng10"/>
      <sheetName val="TH_Đèn_Phòng_L110"/>
      <sheetName val="TH_Đèn_Hầm_L110"/>
      <sheetName val="TỦ_MODULE_T110"/>
      <sheetName val="Summary_Sheet10"/>
      <sheetName val="Finishing-Tower_A10"/>
      <sheetName val="Finishing-Tower_B10"/>
      <sheetName val="Finishing-Tower_C10"/>
      <sheetName val="Finishing-Tower_D10"/>
      <sheetName val="MEP-Tower_A10"/>
      <sheetName val="MEP-Tower_B10"/>
      <sheetName val="MEP-Tower_C10"/>
      <sheetName val="MEP-Tower_D10"/>
      <sheetName val="Cost_Report_Sum10"/>
      <sheetName val="Detail_Cost_Sum10"/>
      <sheetName val="RVO-VO_Sum10"/>
      <sheetName val="Potential_VOs_Sum10"/>
      <sheetName val="Cash_Flow_Sum10"/>
      <sheetName val="TINH_GIA_-_SAN_XUAT_Vertico10"/>
      <sheetName val="Huong_dan10"/>
      <sheetName val="13_BANG_CT10"/>
      <sheetName val="14_MMUS_GIUA_NHIP10"/>
      <sheetName val="4_HSPBngang10"/>
      <sheetName val="6_Tinh_tai10"/>
      <sheetName val="2_NSl10"/>
      <sheetName val="17_US_CHU_tho_a_b10"/>
      <sheetName val="15_MMUS_GOI10"/>
      <sheetName val="Bieu_gia_HD10"/>
      <sheetName val="DZ_22KV10"/>
      <sheetName val="BTK-Dai_Hoc_Kien_Giang10"/>
      <sheetName val="doanh_thu10"/>
      <sheetName val="Dutoan_KL10"/>
      <sheetName val="Kê_0,410"/>
      <sheetName val="TH_0,410"/>
      <sheetName val="Kê_2210"/>
      <sheetName val="TH_2210"/>
      <sheetName val="TBA_CAI_TAO10"/>
      <sheetName val="TBA_XDM10"/>
      <sheetName val="TONG_HOP_DU_TOAN10"/>
      <sheetName val="Thop_XAY_DUNG10"/>
      <sheetName val="CP_HANG_MUC_CHUNG10"/>
      <sheetName val="CHI_PHI_XD10"/>
      <sheetName val="CHI_PHI_THI_NGHIEM10"/>
      <sheetName val="VLDIEN_2210"/>
      <sheetName val="Dao_dat10"/>
      <sheetName val="TH_Denbu10"/>
      <sheetName val="Do_ve_DC10"/>
      <sheetName val="TH_Bommin10"/>
      <sheetName val="CHI_PHI_THI_NGHIEM-LD_thiet_b10"/>
      <sheetName val="Luong_TT0110"/>
      <sheetName val="Camay_QB10"/>
      <sheetName val="gia_ca_may_BXD10"/>
      <sheetName val="BANG_LUONG_KY_SU10"/>
      <sheetName val="Bang_luong_NHOM_I10"/>
      <sheetName val="Bangluong_NHOM_II_10"/>
      <sheetName val="09-GIA_nhien_lieu-ko_in10"/>
      <sheetName val="Tinh_V_cot_chiem_cho10"/>
      <sheetName val="ĐM_135410"/>
      <sheetName val="KHOAN_MAU10"/>
      <sheetName val="ĐO_ĐỊA_VẬT_LÝ10"/>
      <sheetName val="khoan_tiep_dia10"/>
      <sheetName val="Tính_giá_NC10"/>
      <sheetName val="Tiên_lượng10"/>
      <sheetName val="SL_cước10"/>
      <sheetName val="Dinh_muc10"/>
      <sheetName val="DT_san_XD-So_lieu_cu9"/>
      <sheetName val="GIÁ_DỰ_THẦU_30_CĂN10"/>
      <sheetName val="DG_Chi_tiet10"/>
      <sheetName val="_1710_HOINGHINLD10"/>
      <sheetName val="99_(2)10"/>
      <sheetName val="134_10"/>
      <sheetName val="DG_497010"/>
      <sheetName val="THONG_SO10"/>
      <sheetName val="Đơn_giá_chi_tiết_TN_3910"/>
      <sheetName val="KS_tuyen10"/>
      <sheetName val="Bang_chiet_tinh_TBA10"/>
      <sheetName val="4_2_1_Đo_bóc_KL_OLK-0610"/>
      <sheetName val="4_1_1_CHI_TIET_OLK-0610"/>
      <sheetName val="Electrical_Works10"/>
      <sheetName val="H_T__INCOMING_SYSTEM10"/>
      <sheetName val="EQUIP_LIST10"/>
      <sheetName val="So_sanh10"/>
      <sheetName val="HERD_MOVEMENTFARM112"/>
      <sheetName val="HERD_MOVEMENTFARM212"/>
      <sheetName val="CALVES_2-412"/>
      <sheetName val="Cavles_2-412"/>
      <sheetName val="CALVES_4-712"/>
      <sheetName val="HEIFER_7-12m12"/>
      <sheetName val="HEIFER_12+12"/>
      <sheetName val="FRESH_COW_2017-1812"/>
      <sheetName val="HP_COW_201812"/>
      <sheetName val="LP_COW_2017-1812"/>
      <sheetName val="DRY_COW12"/>
      <sheetName val="FIELD_CROPS12"/>
      <sheetName val="Gia_VT-TB10"/>
      <sheetName val="noi_suy_xa10"/>
      <sheetName val="noi_suy_xa_thu_hoi10"/>
      <sheetName val="BU_LONG10"/>
      <sheetName val="Thuyết_minh10"/>
      <sheetName val="Đơn_giá_máy10"/>
      <sheetName val="DT__NHA_XUONG10"/>
      <sheetName val="Tong_DT9"/>
      <sheetName val="phan_tich_don_gia9"/>
      <sheetName val="¥_10"/>
      <sheetName val="Chu_dau_tu5"/>
      <sheetName val="Cash_Flow10"/>
      <sheetName val="Bill_No_1_610"/>
      <sheetName val="Bill_No_1_1010"/>
      <sheetName val="Bill_No_3_310"/>
      <sheetName val="Bill_No_1_410"/>
      <sheetName val="Bill_No_1_710"/>
      <sheetName val="Summary_Bill_No__310"/>
      <sheetName val="Unit_price9"/>
      <sheetName val="Bán_đợt_1_trang9"/>
      <sheetName val="3__KC_-_PODIUM9"/>
      <sheetName val="Chiet_tinh_dz359"/>
      <sheetName val="Tien_Luong9"/>
      <sheetName val="Breakdown_(B)9"/>
      <sheetName val="U_P_Breakdown9"/>
      <sheetName val="DG_3"/>
      <sheetName val="Unit_price(Updateting)9"/>
      <sheetName val="Cost_List9"/>
      <sheetName val="Detail_Cost9"/>
      <sheetName val="IC_Price_New9"/>
      <sheetName val="Summary_Table9"/>
      <sheetName val="Sales_Person9"/>
      <sheetName val="Bidding_Entity9"/>
      <sheetName val="CTDZ6kv_(gd1)_9"/>
      <sheetName val="CTDZ_0_4+cto_(GD1)9"/>
      <sheetName val="CTTBA_(gd1)9"/>
      <sheetName val="03_Detailed9"/>
      <sheetName val="01_Bid_Price_summary9"/>
      <sheetName val="Home_Office_Manhours9"/>
      <sheetName val="Field_SPV_Barchart9"/>
      <sheetName val="don_gia_14269"/>
      <sheetName val="Luong_(TP_Việt_Trì)2"/>
      <sheetName val="Khai_toan4"/>
      <sheetName val="Phu_luc_01_1_EPC_P11-144"/>
      <sheetName val="TDT_P11-P144"/>
      <sheetName val="Chi_phi_khac_4"/>
      <sheetName val="Hang_muc_Chung4"/>
      <sheetName val="Bia_Phu_Luc4"/>
      <sheetName val="DATA_1_CHUNG4"/>
      <sheetName val="Muc_luc4"/>
      <sheetName val="Tra_cuu_9574"/>
      <sheetName val="CHITIET_VL-NCHT1_(2)9"/>
      <sheetName val="IMF_Code9"/>
      <sheetName val="Subsidiary_Calculation9"/>
      <sheetName val="5_2_1_Đo_bóc_KL_OLK-109"/>
      <sheetName val="FF-2_(1)9"/>
      <sheetName val="Labour_Summary22"/>
      <sheetName val="YTD_12'20039"/>
      <sheetName val="YTD_06'20039"/>
      <sheetName val="YTD_03'20039"/>
      <sheetName val="YTD_09'20039"/>
      <sheetName val="deferred_taxes9"/>
      <sheetName val="Eqpmnt_Plng9"/>
      <sheetName val="TRIAL_BALANCE9"/>
      <sheetName val="DPR_31st_march9"/>
      <sheetName val="current_month9"/>
      <sheetName val="Blng__Vs_Coll_9"/>
      <sheetName val="THÔNG_TIN5"/>
      <sheetName val="SGC_RATE4"/>
      <sheetName val="DM_DU_AN4"/>
      <sheetName val="DM_TP_4"/>
      <sheetName val="File_Chi_tiet4"/>
      <sheetName val="Cau_tao_gia_xay_to5"/>
      <sheetName val="Phu_Bai_Bridge9"/>
      <sheetName val="Cuoc_2"/>
      <sheetName val="gia_chao2"/>
      <sheetName val="Vat_lieu_BTN2"/>
      <sheetName val="NC_CU2"/>
      <sheetName val="Da_xay_dung2"/>
      <sheetName val="Tru_TT4"/>
      <sheetName val="Thg_044"/>
      <sheetName val="Thg_054"/>
      <sheetName val="Thg_064"/>
      <sheetName val="Thg_074"/>
      <sheetName val="Thg_084"/>
      <sheetName val="Thg_094"/>
      <sheetName val="Thg_104"/>
      <sheetName val="Thg_114"/>
      <sheetName val="Thg_124"/>
      <sheetName val="Dashboard_-_BQL_-_VHL4"/>
      <sheetName val="BẢNG_DIỄN_GIẢI_KL_(7)9"/>
      <sheetName val="THPDMoi__(2)5"/>
      <sheetName val="t-h_HA_THE5"/>
      <sheetName val="TH_XL5"/>
      <sheetName val="CHITIET_VL-NC5"/>
      <sheetName val="MTO_REV_02"/>
      <sheetName val="TH_khoi_luong4"/>
      <sheetName val="Chi_tiet_khoi_luong4"/>
      <sheetName val="TK_thep4"/>
      <sheetName val="CT_THOÁT_WC_VP4"/>
      <sheetName val="CT_CẤP_WC_VP4"/>
      <sheetName val="CT_THOÁT_MƯA_VP_TRỤC_LỚN4"/>
      <sheetName val="CT_THOÁT_MƯA_VP_TRỤC_NHỎ4"/>
      <sheetName val="Chênh_lệch_máy_thi_công3"/>
      <sheetName val="Chênh_lệch_nhân_công3"/>
      <sheetName val="Chênh_lệch_vật_liệu3"/>
      <sheetName val="DO_AM_DT2"/>
      <sheetName val="TCVN_1651-20081"/>
      <sheetName val="w't_table4"/>
      <sheetName val="Probbl_-_Production4"/>
      <sheetName val="Danh_mục_khối4"/>
      <sheetName val="Danh_mục_đơn_vị_-phòng_chức_nă4"/>
      <sheetName val="Currency_Rate4"/>
      <sheetName val="KEILA_TP_2020-074"/>
      <sheetName val="CHI_PHÍ_NHÔM4"/>
      <sheetName val="BILL_34Āᐁë4"/>
      <sheetName val="CFA_(ME)4"/>
      <sheetName val="MEP_Building4"/>
      <sheetName val="2__BBNT_KLHT4"/>
      <sheetName val="CHITIET_VL-NC-TT1p4"/>
      <sheetName val="NHOM_KINH3"/>
      <sheetName val="Share_Price_20023"/>
      <sheetName val="LUONG_SCL4"/>
      <sheetName val="Auto_Monthly_Inputs_2"/>
      <sheetName val="BOM-13_11-Other(PS1+PS2)4"/>
      <sheetName val="01__Nha_xuong2"/>
      <sheetName val="Nhập_liệu2"/>
      <sheetName val="Service_Cost_3"/>
      <sheetName val="Don_gia_Tay_Ninh3"/>
      <sheetName val="Don_gia_Dak_Lak3"/>
      <sheetName val="streeta_and_cacth_pit3"/>
      <sheetName val="Daf_13"/>
      <sheetName val="Luong_2622EVN2"/>
      <sheetName val="Dinh_Muc_Vat_Tu4"/>
      <sheetName val="mã_4"/>
      <sheetName val="Don_gia_XD3"/>
      <sheetName val="Gia_NC_theo_TT052"/>
      <sheetName val="Land_Dev't__Ph-12"/>
      <sheetName val="Hac_Lots2"/>
      <sheetName val="4-Lane_bridge2"/>
      <sheetName val="Res_Lots2"/>
      <sheetName val="Spine_Road2"/>
      <sheetName val="Chao_gia_T12_RE3"/>
      <sheetName val="DSV6_Summ2"/>
      <sheetName val="Sum_ELE__CAP_S1-4__2"/>
      <sheetName val="Boc_KL_DAT+CAT+BT2"/>
      <sheetName val="Boc_KL_thép2"/>
      <sheetName val="Bieu_do_nhan_luc2"/>
      <sheetName val="Elemental_Breakdown+20%2"/>
      <sheetName val="DGKL_TRỤC_NGOAI_NHA2"/>
      <sheetName val="PHẦN_KIẾN_TRÚC2"/>
      <sheetName val="0,SO_LIEU_DAU_VAO2"/>
      <sheetName val="So_sanh_gia2"/>
      <sheetName val="Bill_22"/>
      <sheetName val="Bill_32"/>
      <sheetName val="Bill_4a_-_1A2"/>
      <sheetName val="Bill_4a_(Fiber)_-_1A2"/>
      <sheetName val="Bill_4b2"/>
      <sheetName val="Bill_4c2"/>
      <sheetName val="Bill_52"/>
      <sheetName val="Bill_4a_-_1B2"/>
      <sheetName val="Bill_4a_(Fiber)_-_1B2"/>
      <sheetName val="5_2_1_Đo_bóc_KL_OLK-072"/>
      <sheetName val="Committed_Items2"/>
      <sheetName val="Corner_Arch2"/>
      <sheetName val="End_Arch2"/>
      <sheetName val="Intermediate_Arch2"/>
      <sheetName val="reinforcement_6752"/>
      <sheetName val="ext_wall_fin_qty2"/>
      <sheetName val="SL_Plum_2"/>
      <sheetName val="Physical_Schedule_3D2"/>
      <sheetName val="Tabel_Berat3"/>
      <sheetName val="Data_Umum_Penawaran3"/>
      <sheetName val="Real_Cost3"/>
      <sheetName val="bill_qty3"/>
      <sheetName val="REKAP_ARSITEKTUR_3"/>
      <sheetName val="RAB_ADMINISTRASI_PUSAT_(1)3"/>
      <sheetName val="Hrg_Readymix2"/>
      <sheetName val="TONGKE3p_1"/>
      <sheetName val="Bill_rekap1"/>
      <sheetName val="Cash_Flow_bulanan1"/>
      <sheetName val="DG_VL_KS1"/>
      <sheetName val="DTXL(_270)1"/>
      <sheetName val="cable,_lighting,_switch1"/>
      <sheetName val="ĐỢT_11"/>
      <sheetName val="Dai_tu2"/>
      <sheetName val="Aging_Sept3"/>
      <sheetName val="0_Data2"/>
      <sheetName val="0_Data_new2"/>
      <sheetName val="Define_finishing2"/>
      <sheetName val="CươcVC_tinh1"/>
      <sheetName val="Bank_Rev2"/>
      <sheetName val="Merit_&amp;_Market_Grid3"/>
      <sheetName val="BP_DECLINE_IT2"/>
      <sheetName val="Input_List2"/>
      <sheetName val="Valid_data_revised2"/>
      <sheetName val="DETAIL_MIX_%_REPORT2"/>
      <sheetName val="Fill_this_out_first___2"/>
      <sheetName val="sales_current_month47"/>
      <sheetName val="View_Variance47"/>
      <sheetName val="CONSOIDATE_42"/>
      <sheetName val="CONSOIDATE_22"/>
      <sheetName val="BC_chi_tiết_TT2"/>
      <sheetName val="Cước_CG2"/>
      <sheetName val="Fixed_asset_register2"/>
      <sheetName val="repeatative_rejection2"/>
      <sheetName val="General_Info2"/>
      <sheetName val="Full_PBD2"/>
      <sheetName val="Non-Statistical_Sampling2"/>
      <sheetName val="98FORECAST_(1)2"/>
      <sheetName val="Sch_18_Bank2"/>
      <sheetName val="Stock_details2"/>
      <sheetName val="Part_A_General2"/>
      <sheetName val="_2"/>
      <sheetName val="242_3_summaryOPC2"/>
      <sheetName val="1_1General2"/>
      <sheetName val="Gia_giao_VL_den_HT1"/>
      <sheetName val="KL_CHI_TIẾT_(2)1"/>
      <sheetName val="6__Scope_of_work_2"/>
      <sheetName val="4_6_Phân_tích_nhân_sự_2"/>
      <sheetName val="4_5_Mức_độ_tham_gia_dự_án2"/>
      <sheetName val="Khoi_luong_kenh_dan1"/>
      <sheetName val="Thep_Be_TN(tai_C10)1"/>
      <sheetName val="Don_vi1"/>
      <sheetName val="TH_khối_lượng_phải_làm1"/>
      <sheetName val="Giá_VL,_NC,_M1"/>
      <sheetName val="Lương_2135_nhóm_I1"/>
      <sheetName val="Luong_2050_hà_NAm1"/>
      <sheetName val="Lương2045_nhóm_I1"/>
      <sheetName val="May_3_huyện1"/>
      <sheetName val="May_yên_mô1"/>
      <sheetName val="Phân_tich_ĐG1"/>
      <sheetName val="PLV_mới1"/>
      <sheetName val="May_TT11(TB)1"/>
      <sheetName val="May_TT11_(HP)1"/>
      <sheetName val="May_TT11(NB)1"/>
      <sheetName val="May_TT11(NĐ)1"/>
      <sheetName val="Lương_theo_TT17(Thái_Bình)1"/>
      <sheetName val="Lương_theo_TT17_(HP)1"/>
      <sheetName val="Lương_theo_TT17_(Ninh_Bình)1"/>
      <sheetName val="Lương_theo_TT17_(Nam_Định)1"/>
      <sheetName val="he_so_dong_thoi1"/>
      <sheetName val="Input_-_Facilities2"/>
      <sheetName val="BP_CAPEX_MoD-100%_Area_4_USD2"/>
      <sheetName val="02__PHAN_TICH2"/>
      <sheetName val="03__NGAN_SACH2"/>
      <sheetName val="Dynamic_Ranges1"/>
      <sheetName val="THCP_thiet_bi1"/>
      <sheetName val="ADJ_20111"/>
      <sheetName val="NOVA_MEDIC1"/>
      <sheetName val="DGKL_MEDIC1"/>
      <sheetName val="THONG_SO_KICH_THUOC1"/>
      <sheetName val="CT_-THVLNC1"/>
      <sheetName val="Listes_Caractéristiques1"/>
      <sheetName val="Liste_Référentiel1"/>
      <sheetName val="Bill_4_1a___1"/>
      <sheetName val="XL4Poppy_(2)2"/>
      <sheetName val="Bldg_Brkdown1"/>
      <sheetName val="Thang_011"/>
      <sheetName val="Thống_kê1"/>
      <sheetName val="BAN_IN1"/>
      <sheetName val="Data_(2)1"/>
      <sheetName val="Book_1_Summary1"/>
      <sheetName val="SLTh_ke1"/>
      <sheetName val="DIEN_TICH1"/>
      <sheetName val="1_설계조건1"/>
      <sheetName val="Wood_Mckenzie1"/>
      <sheetName val="Đầu_ra_sản_phẩm1"/>
      <sheetName val="Tổng_quan_và_Input1"/>
      <sheetName val="Đầu_vào_sản_xuất1"/>
      <sheetName val="Tính_toán_doanh_thu1"/>
      <sheetName val="Phân_tích_độ_nhạy1"/>
      <sheetName val="Khấu_hao_TSCĐ1"/>
      <sheetName val="Nguồn_vốn1"/>
      <sheetName val="Giải_ngân_nguồn_vốn1"/>
      <sheetName val="Tính_toán_thuế1"/>
      <sheetName val="Tính_toán_chi_phí_SX1"/>
      <sheetName val="TH_ĐƠN_GIÁ1"/>
      <sheetName val="KL_T16_BÀN_GIAO_19_41"/>
      <sheetName val="5_Gia1"/>
      <sheetName val="Loại_cọc_P21"/>
      <sheetName val="Danh_sach_KV21"/>
      <sheetName val="Danh_sach_doan_KT1"/>
      <sheetName val="CP_NC-MTC_XD1"/>
      <sheetName val="bang_1_NCXD1"/>
      <sheetName val="bang_1_NCXD_(V_I)1"/>
      <sheetName val="List_of_Staff1"/>
      <sheetName val="__QUOTATION_xlsx1"/>
      <sheetName val="2_5_Ducts_(2)1"/>
      <sheetName val="S_N1"/>
      <sheetName val="H_Satuan1"/>
      <sheetName val="4_3_Scope_of_work_1"/>
      <sheetName val="OVER_VIEW1"/>
      <sheetName val="GIA_NC,_CM1"/>
      <sheetName val="GIA_VL1"/>
      <sheetName val="13_Luong1"/>
      <sheetName val="Luong_TT051"/>
      <sheetName val="Gia_HĐ1"/>
      <sheetName val="Ca_may1"/>
      <sheetName val="unit_weight1"/>
      <sheetName val="NHOM_KINH_1"/>
      <sheetName val="2__Tổng_hợp1"/>
      <sheetName val="List_Equip1"/>
      <sheetName val="Process_C_(1-166)1"/>
      <sheetName val="THÁNG_051"/>
      <sheetName val="CF_-Update_31Jul061"/>
      <sheetName val="Executive_Summary1"/>
      <sheetName val="MAHANG_BHLD1"/>
      <sheetName val="CHITIETHOADON_TT1"/>
      <sheetName val="mahang_chinh_sua_moi_nhat1"/>
      <sheetName val="Noise_insl1"/>
      <sheetName val="SCOPE_OF_WORK1"/>
      <sheetName val="DS_Cty1"/>
      <sheetName val="Eq__Mobilization1"/>
      <sheetName val="Link_HG1"/>
      <sheetName val="chi_tiet_TS_theo_so_lieu_ktoan1"/>
      <sheetName val="Piano_Montaggio_PO-02_bozza21"/>
      <sheetName val="List_Danh_mục_nghiệm_thu1"/>
      <sheetName val="May_Goc_(QD2436)1"/>
      <sheetName val="VC_theo_cuoc_tinh1"/>
      <sheetName val="BCVC__1"/>
      <sheetName val="ĐM4970_2016(Lap_dat_TBA)1"/>
      <sheetName val="Gia_Nhan_công1"/>
      <sheetName val="Đon_gia_228_sua_chua1"/>
      <sheetName val="ĐM01_2000(thinghiem_ĐZTTĐL)1"/>
      <sheetName val="ĐM1781_2007(T_N_đien_ĐZ&amp;TBA)1"/>
      <sheetName val="Cuoc_van_chuyen1"/>
      <sheetName val="02__THONG_TIN_CHUNG1"/>
      <sheetName val="07__DINH_MUC_HBC1"/>
      <sheetName val="3_공통공사대비1"/>
      <sheetName val="Rate_Analysis1"/>
      <sheetName val="입찰내역_발주처_양식1"/>
      <sheetName val="bar_nor1"/>
      <sheetName val="conc_nor1"/>
      <sheetName val="conc_frus1"/>
      <sheetName val="conc_trap1"/>
      <sheetName val="bar_frus1"/>
      <sheetName val="bar_trap1"/>
      <sheetName val="SLA_cost_distr_FEB_20201"/>
      <sheetName val="Legal_entities_details1"/>
      <sheetName val="Invoice_base_FEB_20201"/>
      <sheetName val="Le317_into_80501"/>
      <sheetName val="Basic_principles_to_the_distr_1"/>
      <sheetName val="Cost_elements1"/>
      <sheetName val="Ref_rate_change1"/>
      <sheetName val="Synergi_life_credit1"/>
      <sheetName val="Change_in_NH1"/>
      <sheetName val="NPS_to_O&amp;G1"/>
      <sheetName val="Adj_entries_1"/>
      <sheetName val="Annexure_11"/>
      <sheetName val="Annexure_21"/>
      <sheetName val="Updated_2018_COA1"/>
      <sheetName val="IC_Listing1"/>
      <sheetName val="2__Summary-cash1"/>
      <sheetName val="DG_THIET_BI1"/>
      <sheetName val="DG_vat_lieu1"/>
      <sheetName val="Loại_21"/>
      <sheetName val="Don_gia_III13"/>
      <sheetName val="Don_gia_CT1"/>
      <sheetName val="Tu_dien1"/>
      <sheetName val="T_kê1"/>
      <sheetName val="Chi_tiet_VL-NC-MTC1"/>
      <sheetName val="Kien_truc1"/>
      <sheetName val="Chiet_tinh_dz221"/>
      <sheetName val="Chuong_I1"/>
      <sheetName val="TK_SX1"/>
      <sheetName val="DLC_DIEN_AP1"/>
      <sheetName val="SL_dau_tien1"/>
      <sheetName val="Danhsach_121"/>
      <sheetName val="NC_HY1"/>
      <sheetName val="NC_HN1"/>
      <sheetName val="A1_81"/>
      <sheetName val="PLHD_doi_cot_ham_0101-041"/>
      <sheetName val="VL_NC_M1"/>
      <sheetName val="Don_gia_vung_III1"/>
      <sheetName val="DZ_351"/>
      <sheetName val="Tonghop_theo_Vendor1"/>
      <sheetName val="Du_thau_dau_noi1"/>
      <sheetName val="Du_Thau1"/>
      <sheetName val="Du_thau_PSBS1"/>
      <sheetName val="DG_theo_HD_PSBS1"/>
      <sheetName val="Du_thau_TC111"/>
      <sheetName val="Beam_reinfocement_schedule1"/>
      <sheetName val="Thong_so_dam1"/>
      <sheetName val="Wall_Block_C1"/>
      <sheetName val="General_Schedule1"/>
      <sheetName val="Factor_F_Data1"/>
      <sheetName val="Tra_Cứu1"/>
      <sheetName val="IV_1_Lkdt1"/>
      <sheetName val="III_2_dah1"/>
      <sheetName val="II_2_dn1"/>
      <sheetName val="IV_2_Lkdd1"/>
      <sheetName val="III_1_tai1"/>
      <sheetName val="DP_TRUOT_GIA1"/>
      <sheetName val="VL-NC-M_1"/>
      <sheetName val="Project_Info_1"/>
      <sheetName val="Cost_Summary1"/>
      <sheetName val="Cost_Summary_-_USD1"/>
      <sheetName val="Price_Summary_-_Offshore1"/>
      <sheetName val="Factory_&amp;_Import_Material1"/>
      <sheetName val="Labour_Hours_Upload1"/>
      <sheetName val="Technical_Info_1"/>
      <sheetName val="PM_Cost1"/>
      <sheetName val="SED_INPUT1"/>
      <sheetName val="Be_tong1"/>
      <sheetName val="TÍNH_TOÁN_KHỐI_LƯỢNG_P61"/>
      <sheetName val="INDEX_HẠ_TẦNG1"/>
      <sheetName val="CTG_HẠ_TẦNG1"/>
      <sheetName val="DGG_HẠ_TẦNG1"/>
      <sheetName val="DGG_LB_CỌC1"/>
      <sheetName val="DGG_MT_CỌC1"/>
      <sheetName val="INFO_CỌC1"/>
      <sheetName val="INDEX_CỌC1"/>
      <sheetName val="Bảng_dung_trọng1"/>
      <sheetName val="Summary_-_Budget1"/>
      <sheetName val="Gia_1"/>
      <sheetName val="DIV_INC2"/>
      <sheetName val="A1_-_Income_Statement2"/>
      <sheetName val="SCB_-_Annexure_A2"/>
      <sheetName val="PL6-Revenue_Bridge2"/>
      <sheetName val="Inventory_data47"/>
      <sheetName val="FORECAST_x_FAMILIA44"/>
      <sheetName val="Space_Analysis44"/>
      <sheetName val="CADE_DETAIL20"/>
      <sheetName val="OC5-Push_Diag2"/>
      <sheetName val="Franchise_Input2"/>
      <sheetName val="Project_ODC_NDEU2"/>
      <sheetName val="Inter_connect_Revenue2"/>
      <sheetName val="2020_RFS_Summary2"/>
      <sheetName val="Well_Construction_Summary2"/>
      <sheetName val="RFS_2020_-_Details_and_Notes2"/>
      <sheetName val="AN_20002"/>
      <sheetName val="Du_lieu_ban_dau1"/>
      <sheetName val="GZ_TP1"/>
      <sheetName val="GZ_VT1"/>
      <sheetName val="Bearing_Capacity1"/>
      <sheetName val="Thong_tin1"/>
      <sheetName val="BTDC_B3601"/>
      <sheetName val="Danh_muc_LIST1"/>
      <sheetName val="CF_(DR)_IN1"/>
      <sheetName val="PL_02_-_Vay1"/>
      <sheetName val="PL_03_-_Von1"/>
      <sheetName val="CP_yếu_tố1"/>
      <sheetName val="BS_4201"/>
      <sheetName val="PL_4201"/>
      <sheetName val="RT_4201"/>
      <sheetName val="BTDC_B360_1"/>
      <sheetName val="Table_of_contents1"/>
      <sheetName val="11__Loans1"/>
      <sheetName val="6_9_DM_CTP1"/>
      <sheetName val="ADJ_-_RATE1"/>
      <sheetName val="CDPS_SAU_KC1"/>
      <sheetName val="RC_Revenue1"/>
      <sheetName val="AOP_20201"/>
      <sheetName val="DATA_LE1"/>
      <sheetName val="DATA_LE_(LY)1"/>
      <sheetName val="DATA_RC1"/>
      <sheetName val="DATA_RC_(LY)1"/>
      <sheetName val="LE_Test1"/>
      <sheetName val="DATA_(RC_ORG)1"/>
      <sheetName val="DATA_(TESTING_1)1"/>
      <sheetName val="DATA_(TESTING_CHRSPR)1"/>
      <sheetName val="2018_VADIS1"/>
      <sheetName val="Income_Statement16"/>
      <sheetName val="DB_FEE1"/>
      <sheetName val="BHYT_Tự_Nguyện_-_Vinschool-Mau1"/>
      <sheetName val="dulieu_cot1"/>
      <sheetName val="PRB_Expense_Q4_201317"/>
      <sheetName val="P&amp;L_by_Month2"/>
      <sheetName val="Bank_Bal__Dec_221"/>
      <sheetName val="CAN_DOI_-_KET_QUA3"/>
      <sheetName val="Pivot_Financials2"/>
      <sheetName val="Review_20152"/>
      <sheetName val="People_2"/>
      <sheetName val="Production_volumes2"/>
      <sheetName val="Salary_increase_budget_assump_2"/>
      <sheetName val="Production_initiative2"/>
      <sheetName val="Prod__KPI_-_OEE%2"/>
      <sheetName val="B&amp;P_KPI2"/>
      <sheetName val="Customer_SC2"/>
      <sheetName val="Production_KPIs2"/>
      <sheetName val="Total_losses2"/>
      <sheetName val="Savings_overview2"/>
      <sheetName val="Prod_FTE_Dev_2"/>
      <sheetName val="Log_FTE_Dev_2"/>
      <sheetName val="Loss_tree2"/>
      <sheetName val="Inventory_development2"/>
      <sheetName val="Capex_Phasing2"/>
      <sheetName val="Std_to_Std_MC_only2"/>
      <sheetName val="Top_20_BOM2"/>
      <sheetName val="MC_Development_OLD2"/>
      <sheetName val="NMC_&amp;_Log_Ass_2"/>
      <sheetName val="_Material_Ass_2"/>
      <sheetName val="COGS_Dev_2"/>
      <sheetName val="MC_Dev_2"/>
      <sheetName val="NMC_Dev_2"/>
      <sheetName val="NMC_Development_OLD2"/>
      <sheetName val="Log_Dev_2"/>
      <sheetName val="Prod__capex_overview2"/>
      <sheetName val="Production_-_Risks_&amp;_Opport_2"/>
      <sheetName val="AOCM_Overview2"/>
      <sheetName val="AOCM_Cost_Group_Summary2"/>
      <sheetName val="Sievo_Saving2"/>
      <sheetName val="AOCM_Sub-group2"/>
      <sheetName val="Quality_RFT2"/>
      <sheetName val="Back-up_2"/>
      <sheetName val="Absorption_Phasing2"/>
      <sheetName val="One_off2"/>
      <sheetName val="Reporting_changes2"/>
      <sheetName val="Prod__KPI_-_OEE%_by_line2"/>
      <sheetName val="Key_dependencies2"/>
      <sheetName val="Orgex_and_restructuring2"/>
      <sheetName val="COGS_movement2"/>
      <sheetName val="Back-up_HR2"/>
      <sheetName val="2016_FTE_Variability2"/>
      <sheetName val="2_Sievo_saving_recon__vs_bridg2"/>
      <sheetName val="1__PPV_recon__T04_vs_bridges2"/>
      <sheetName val="INPUT_&amp;_Guidance2"/>
      <sheetName val="data_for_deck,_thinkcell2"/>
      <sheetName val="Flash_call_deck2"/>
      <sheetName val="Supply_chain_bridge2"/>
      <sheetName val="COS_bridge2"/>
      <sheetName val="3_Gross_&amp;_Net_efficiency_repor2"/>
      <sheetName val="PVM_report2"/>
      <sheetName val="Capex_comments2"/>
      <sheetName val="Log_bridge2"/>
      <sheetName val="One_pager2"/>
      <sheetName val="Option_1,Data(from_HFM)_2"/>
      <sheetName val="Option_2,_Data(_Manual_Input)2"/>
      <sheetName val="FX_&amp;_HIERARCHY2"/>
      <sheetName val="Bihar_Plant_FAR1"/>
      <sheetName val="Verification_Report1"/>
      <sheetName val="Sch2_-_BalSht_Summary1"/>
      <sheetName val="Sch1_-_P&amp;L_Summary1"/>
      <sheetName val="Cost_of_DM_Water1"/>
      <sheetName val="Other_assumptions2"/>
      <sheetName val="Vat_lieu_cat_song_rac1"/>
      <sheetName val="Field_Lists2"/>
      <sheetName val="CUSTOMER_GROUP_WISE1"/>
      <sheetName val="Q4_2009_History1"/>
      <sheetName val="_Final_Balance_Sheet1"/>
      <sheetName val="Interest_on_WC1"/>
      <sheetName val="Giai_trinh1"/>
      <sheetName val="BASE_GRAPHE1"/>
      <sheetName val="Assignment_Schedule1"/>
      <sheetName val="DTCT_-XL_41"/>
      <sheetName val="KL_CHI_TIET"/>
      <sheetName val="Phan_tich_don_gia_de_xuat_-_cau"/>
      <sheetName val="FINANCIAL_(FLR)"/>
      <sheetName val="CTG_(GIAM)1"/>
      <sheetName val="Beam__2_"/>
      <sheetName val="Du_thau_03xd"/>
      <sheetName val="TT_16-20191"/>
      <sheetName val="Đơn_trọng1"/>
      <sheetName val="KL_Chi_tiết_BV_dự_thầu1"/>
      <sheetName val="KL_chi_tiết_BV_thi_công1"/>
      <sheetName val="3_NGAN_SACH1"/>
      <sheetName val="2_PHAN_TICH1"/>
      <sheetName val="D_Trong1"/>
      <sheetName val="B_1_Engineering1"/>
      <sheetName val="Mobilisasi_&amp;_Demob1"/>
      <sheetName val="B_2_5_Proc_&amp;_Constr_Civil11"/>
      <sheetName val="B_2_3_Proc_&amp;_Constr_Electrical1"/>
      <sheetName val="B_2_4_Proc_&amp;_Constr_Instru1"/>
      <sheetName val="B_2_1_Proc_&amp;_Constr_Mech_1"/>
      <sheetName val="B_2_2_Proc_&amp;_Constr_Pipe_1"/>
      <sheetName val="Work_Permit1"/>
      <sheetName val="Agregat_Halus_&amp;_Kasar1"/>
      <sheetName val="Data_Tower1"/>
      <sheetName val="BANG_TONGHOP"/>
      <sheetName val="bang_tien_luong"/>
      <sheetName val="Thông_tin_chung"/>
      <sheetName val="1_INPUT"/>
      <sheetName val="Phan_tich_vat_tu"/>
      <sheetName val="Tong_Luong_Thep"/>
      <sheetName val="Đường_dây"/>
      <sheetName val="Vị_trí"/>
      <sheetName val="V_c_noi_bo"/>
      <sheetName val="Tổng_kê"/>
      <sheetName val="Main_Model"/>
      <sheetName val="Đơn_giá-NC"/>
      <sheetName val="Đơn_giá-VL-CM"/>
      <sheetName val="Dau_vào"/>
      <sheetName val="Summary_of_My_Chanh_Bridge"/>
      <sheetName val="My_Chanh_Bridge"/>
      <sheetName val="Summary_of_Phu_Bai_Bridge"/>
      <sheetName val="Summary_of_Nong_Bridge"/>
      <sheetName val="Nong_Bridge"/>
      <sheetName val="Summary_of_Phong_Le_Bridge"/>
      <sheetName val="Phong_Le_Bridge"/>
      <sheetName val="Summary_of_Ky_Lam_Bridge"/>
      <sheetName val="Ban_Qua_do"/>
      <sheetName val="Dự_kiến_SL-NT_2013"/>
      <sheetName val="SL_HM-T1_2014"/>
      <sheetName val="Du_lieu_TKT"/>
      <sheetName val="간접비_총괄표"/>
      <sheetName val="Nghỉ_lễ"/>
      <sheetName val="Check_C"/>
      <sheetName val="Kich_thuoc_mo_M1-nam_lay"/>
      <sheetName val="Gia_khoan_chi_tiet"/>
      <sheetName val="DA01_HD-List"/>
      <sheetName val="DM01_CDT"/>
      <sheetName val="DM02_NT"/>
      <sheetName val="NT01_HD-List"/>
      <sheetName val="1,TMĐT_"/>
      <sheetName val="DG_CANTHO"/>
      <sheetName val="ĐBGT"/>
      <sheetName val="PTKS"/>
      <sheetName val="Bảng GCM (TT13) HD"/>
      <sheetName val="May Goc (QD2438)"/>
      <sheetName val="Bảng lương M"/>
      <sheetName val="KL-HoThu"/>
      <sheetName val="Phân khai"/>
      <sheetName val="Luong-BT"/>
      <sheetName val="Luong-NT"/>
      <sheetName val="CẤP_THO"/>
      <sheetName val="BILL 34Āᐁë_x0001_ HẦM"/>
      <sheetName val="BILL 34Āᐁë_x0001_"/>
      <sheetName val="NC3"/>
      <sheetName val="Breech_Duct"/>
      <sheetName val="DGKL L2 THÉP MÓNG"/>
      <sheetName val="Bieu chi tiet gia du thau"/>
      <sheetName val="Gia vat lieu trong gia du thau"/>
      <sheetName val="Bang phan tich don gia du thau"/>
      <sheetName val="00.List"/>
      <sheetName val="HDTU"/>
      <sheetName val="KTTX"/>
      <sheetName val="工程量清单表"/>
      <sheetName val="FoW"/>
      <sheetName val="电气费用"/>
      <sheetName val="CuadroIyII"/>
      <sheetName val="Hoja1"/>
      <sheetName val="Costos Alt2"/>
      <sheetName val="AnexoVI"/>
      <sheetName val="B-10 otros activos 2003"/>
      <sheetName val="B-10 otros activos 2004"/>
      <sheetName val="Condicion"/>
      <sheetName val="GSChartLabels"/>
      <sheetName val="WELCOME"/>
      <sheetName val="liste ANDI"/>
      <sheetName val="Daily Forwards"/>
      <sheetName val="Unadjusted"/>
      <sheetName val="LTM"/>
      <sheetName val="CREDIT STATS"/>
      <sheetName val="basic inputs"/>
      <sheetName val="公式代码"/>
      <sheetName val="报价说明"/>
      <sheetName val="INSTRUCTION_Read me"/>
      <sheetName val="LIMA-CANTA"/>
      <sheetName val="EVAL"/>
      <sheetName val="EPC"/>
      <sheetName val="TechInputs"/>
      <sheetName val="附表1"/>
      <sheetName val="附表2"/>
      <sheetName val="DATOS DE CAMPO"/>
      <sheetName val="机械台时"/>
      <sheetName val="材料基价"/>
      <sheetName val="取费系数表"/>
      <sheetName val="分组报价组成表"/>
      <sheetName val="基价库"/>
      <sheetName val="General"/>
      <sheetName val="Basic Data Inputs"/>
      <sheetName val="CG02"/>
      <sheetName val="Du lieu dau vao"/>
      <sheetName val="DG1426NEW"/>
      <sheetName val="Đắp đất K95"/>
      <sheetName val="T.Tinh"/>
      <sheetName val="Lç khoan LK1"/>
      <sheetName val="MMTB"/>
      <sheetName val="DGNC"/>
      <sheetName val="F04-CPNC"/>
      <sheetName val="F05-CFVT"/>
      <sheetName val="VLP"/>
      <sheetName val="DAO DAP CONG"/>
      <sheetName val="KL-CHITIET"/>
      <sheetName val="son ke duong"/>
      <sheetName val="DGKL_L2_THÉP_MÓNG"/>
      <sheetName val="Bieu_chi_tiet_gia_du_thau"/>
      <sheetName val="Gia_vat_lieu_trong_gia_du_thau"/>
      <sheetName val="Bang_phan_tich_don_gia_du_thau"/>
      <sheetName val="May Hue"/>
      <sheetName val="DM TN"/>
      <sheetName val="Danh muc"/>
      <sheetName val="DGIAVLXD"/>
      <sheetName val="DM6060TBA"/>
      <sheetName val="DM6061DZ"/>
      <sheetName val="CTdongia"/>
      <sheetName val="for Summary"/>
      <sheetName val="Trường Sơn"/>
      <sheetName val="CT bê tông"/>
      <sheetName val="CT trát. láng. sơn bả"/>
      <sheetName val="CT Ván khuôn, cốt thép"/>
      <sheetName val="Dinh Muc VT"/>
      <sheetName val="consilidate"/>
      <sheetName val="Building"/>
      <sheetName val="Floor area"/>
      <sheetName val="Bang gia 2011.10.12"/>
      <sheetName val="COST"/>
      <sheetName val="Equipment List Guideline"/>
      <sheetName val="Model List"/>
      <sheetName val="Anx 10"/>
      <sheetName val="concil"/>
      <sheetName val="Full 2012"/>
      <sheetName val="PL"/>
      <sheetName val="SL.DT 2011so sanh"/>
      <sheetName val="DMUC"/>
      <sheetName val="客户(基本资料)"/>
      <sheetName val="银行(基本资料)"/>
      <sheetName val="Summary Page_VDF"/>
      <sheetName val="Invested capital_VDF"/>
      <sheetName val="BB(ACT08)"/>
      <sheetName val="BB Contribution by store_T  "/>
      <sheetName val="BB(ACT09)"/>
      <sheetName val="AU_BS"/>
      <sheetName val="PetroConsultants"/>
      <sheetName val="SPC-OC"/>
      <sheetName val="DSQL"/>
      <sheetName val="DG SUA CHUA"/>
      <sheetName val="DGTBA"/>
      <sheetName val="TAM TINH"/>
      <sheetName val="080 (2)"/>
      <sheetName val="080_(2)"/>
      <sheetName val="BTO Dept."/>
      <sheetName val="minors"/>
      <sheetName val="Input &amp; Instruct"/>
      <sheetName val="Controls"/>
      <sheetName val="Signings"/>
      <sheetName val="Departments"/>
      <sheetName val="Inputs-Tables"/>
      <sheetName val="Purchase Calc."/>
      <sheetName val="Break-Even"/>
      <sheetName val="Balance Sheet"/>
      <sheetName val="Report Summary"/>
      <sheetName val="Monthly Notes"/>
      <sheetName val="EurotoolsXRates"/>
      <sheetName val="Purchase_Calc_"/>
      <sheetName val="Balance_Sheet"/>
      <sheetName val="Report_Summary"/>
      <sheetName val="Monthly_Notes"/>
      <sheetName val="Trial Bal"/>
      <sheetName val="CC Inventory Assumption"/>
      <sheetName val="entitlements"/>
      <sheetName val="33002001"/>
      <sheetName val="A91_97"/>
      <sheetName val="外勤汇总表3"/>
      <sheetName val="Director"/>
      <sheetName val="AC_CODE99"/>
      <sheetName val="BTO_Dept_"/>
      <sheetName val="Input_&amp;_Instruct"/>
      <sheetName val="BTO_Dept_1"/>
      <sheetName val="Input_&amp;_Instruct1"/>
      <sheetName val="Validation and Lookup tables"/>
      <sheetName val="Dec. 08 RDD"/>
      <sheetName val="Int Others"/>
      <sheetName val="Sub Lead"/>
      <sheetName val="Deposits"/>
      <sheetName val="KeyMultInputs"/>
      <sheetName val="O1"/>
      <sheetName val="M1"/>
      <sheetName val="H1"/>
      <sheetName val="DM 1781"/>
      <sheetName val="DM203"/>
      <sheetName val="Giá đến hiện trường"/>
      <sheetName val="DG 285"/>
      <sheetName val="DG  286"/>
      <sheetName val="DG 85"/>
      <sheetName val="DG 89"/>
      <sheetName val="DGVCTC 285"/>
      <sheetName val="M6A-208 Steering dust"/>
      <sheetName val="JT3.0견적-구1"/>
      <sheetName val="CPKS_TK"/>
      <sheetName val="PhÇnCK"/>
      <sheetName val="PL3a dot1"/>
      <sheetName val="KL thanh toan-Xuan Dao"/>
      <sheetName val="Gia tri vat tu"/>
      <sheetName val="Don gia LD"/>
      <sheetName val="BB 00"/>
      <sheetName val="Lương_nhân_công"/>
      <sheetName val="DETAIL_PROGRESS_CLAIM"/>
      <sheetName val="SELISIH_HARGA"/>
      <sheetName val="B1_CN"/>
      <sheetName val="M_67"/>
      <sheetName val="Bang_khoi_luong"/>
      <sheetName val="EE_(3)"/>
      <sheetName val="Code_HT_CB_-OT"/>
      <sheetName val="Code_HT_CB_-_PO"/>
      <sheetName val="DOOR_A_(4-roof)"/>
      <sheetName val="Door_HT"/>
      <sheetName val="DOOR_B1_(4-roof)"/>
      <sheetName val="DOOR_B2_(4-roof)"/>
      <sheetName val="rate_code"/>
      <sheetName val="Xuất_DL_AP"/>
      <sheetName val="Xuất_DL_OT"/>
      <sheetName val="Xuat_DL_PO"/>
      <sheetName val="Ctiet_Cthe"/>
      <sheetName val="Data-SỔ_KHO"/>
      <sheetName val="SỔ_KHO"/>
      <sheetName val="Window_Door_schedule"/>
      <sheetName val="Ban_QD"/>
      <sheetName val="Xuly_Data"/>
      <sheetName val="Cst_Pkg-Eden"/>
      <sheetName val="4__Đo_bóc_KL"/>
      <sheetName val="List_NT"/>
      <sheetName val="SUMMARY_QUANTITIES"/>
      <sheetName val="Phân_khai"/>
      <sheetName val="Đắp_đất_K95"/>
      <sheetName val="DM_TN"/>
      <sheetName val="Danh_muc"/>
      <sheetName val="nhat_ky_"/>
      <sheetName val="T_Tinh"/>
      <sheetName val="Lç_khoan_LK1"/>
      <sheetName val="Costos_Alt2"/>
      <sheetName val="B-10_otros_activos_2003"/>
      <sheetName val="B-10_otros_activos_2004"/>
      <sheetName val="liste_ANDI"/>
      <sheetName val="Daily_Forwards"/>
      <sheetName val="CREDIT_STATS"/>
      <sheetName val="basic_inputs"/>
      <sheetName val="INSTRUCTION_Read_me"/>
      <sheetName val="DATOS_DE_CAMPO"/>
      <sheetName val="Basic_Data_Inputs"/>
      <sheetName val="Du_lieu_dau_vao"/>
      <sheetName val="DAO_DAP_CONG"/>
      <sheetName val="son_ke_duong"/>
      <sheetName val="DGTH (3 cau"/>
      <sheetName val="M+MC"/>
      <sheetName val="UP1"/>
      <sheetName val="97 사업추정(WEKI)"/>
      <sheetName val="Data NT"/>
      <sheetName val="F01-BC_KHAU_PHAN_SANG_2_x0000__31"/>
      <sheetName val="Bill_05_-_Hoan_thien-To_x0003_er3"/>
      <sheetName val="Bang gia tong hop"/>
      <sheetName val="XÁC  NHẬN THANH TOÁN"/>
      <sheetName val="XÁC NHẬN GIÁ TRỊ"/>
      <sheetName val="XÁC NHẬN KL"/>
      <sheetName val="HAO_HUP_VAT_TU_(2)5"/>
      <sheetName val="BM.07.DCCCVT"/>
      <sheetName val="TN_M"/>
      <sheetName val="Nhân_cô_x0000_g6"/>
      <sheetName val="DG vat tu"/>
      <sheetName val="Nhân_cô"/>
      <sheetName val="hinhhoc"/>
      <sheetName val="EstData"/>
      <sheetName val="DW ok"/>
      <sheetName val="calc_menu_déroulant"/>
      <sheetName val="DS"/>
      <sheetName val="Record CR"/>
      <sheetName val="Binderies"/>
      <sheetName val="Risk Assessment"/>
      <sheetName val="Exhibit 2"/>
      <sheetName val="FINALPHP"/>
      <sheetName val="CY17"/>
      <sheetName val="Risk_Assessment"/>
      <sheetName val="foumula"/>
      <sheetName val="Form 23"/>
      <sheetName val="Mapping"/>
      <sheetName val="Fx Rates"/>
      <sheetName val="Data 6,7,9"/>
      <sheetName val="Data 8"/>
      <sheetName val="Risk_Assessment1"/>
      <sheetName val="Exhibit_2"/>
      <sheetName val="Form_23"/>
      <sheetName val="Fx_Rates"/>
      <sheetName val="NOVCOS"/>
      <sheetName val="PU_ITALY_48"/>
      <sheetName val="sales_current_month48"/>
      <sheetName val="View_Variance48"/>
      <sheetName val="Inventory_data48"/>
      <sheetName val="FORECAST_x_FAMILIA45"/>
      <sheetName val="Space_Analysis45"/>
      <sheetName val="CADE_DETAIL21"/>
      <sheetName val="PRB_Expense_Q4_201318"/>
      <sheetName val="P&amp;L_by_Month3"/>
      <sheetName val="Committed_Items3"/>
      <sheetName val="Risk_Assessment2"/>
      <sheetName val="Exhibit_21"/>
      <sheetName val="Form_231"/>
      <sheetName val="Fx_Rates1"/>
      <sheetName val="Data_6,7,9"/>
      <sheetName val="Data_8"/>
      <sheetName val="PU_ITALY_49"/>
      <sheetName val="sales_current_month49"/>
      <sheetName val="View_Variance49"/>
      <sheetName val="Inventory_data49"/>
      <sheetName val="FORECAST_x_FAMILIA46"/>
      <sheetName val="Space_Analysis46"/>
      <sheetName val="final_list_200532"/>
      <sheetName val="Tro_giup31"/>
      <sheetName val="Labour_Summary23"/>
      <sheetName val="CADE_DETAIL22"/>
      <sheetName val="PRB_Expense_Q4_201319"/>
      <sheetName val="P&amp;L_by_Month4"/>
      <sheetName val="Committed_Items4"/>
      <sheetName val="Risk_Assessment3"/>
      <sheetName val="Exhibit_22"/>
      <sheetName val="Form_232"/>
      <sheetName val="Fx_Rates2"/>
      <sheetName val="Data_6,7,91"/>
      <sheetName val="Data_81"/>
      <sheetName val="PU_ITALY_50"/>
      <sheetName val="sales_current_month50"/>
      <sheetName val="View_Variance50"/>
      <sheetName val="Inventory_data50"/>
      <sheetName val="FORECAST_x_FAMILIA47"/>
      <sheetName val="Space_Analysis47"/>
      <sheetName val="final_list_200533"/>
      <sheetName val="Tro_giup32"/>
      <sheetName val="Labour_Summary24"/>
      <sheetName val="CADE_DETAIL23"/>
      <sheetName val="PRB_Expense_Q4_201320"/>
      <sheetName val="P&amp;L_by_Month5"/>
      <sheetName val="Committed_Items5"/>
      <sheetName val="Risk_Assessment4"/>
      <sheetName val="Exhibit_23"/>
      <sheetName val="Form_233"/>
      <sheetName val="Fx_Rates3"/>
      <sheetName val="Data_6,7,92"/>
      <sheetName val="Data_82"/>
      <sheetName val="ListSource"/>
      <sheetName val="PU_ITALY_51"/>
      <sheetName val="sales_current_month51"/>
      <sheetName val="View_Variance51"/>
      <sheetName val="Inventory_data51"/>
      <sheetName val="FORECAST_x_FAMILIA48"/>
      <sheetName val="Space_Analysis48"/>
      <sheetName val="final_list_200534"/>
      <sheetName val="Tro_giup33"/>
      <sheetName val="Labour_Summary25"/>
      <sheetName val="CADE_DETAIL24"/>
      <sheetName val="PRB_Expense_Q4_201321"/>
      <sheetName val="P&amp;L_by_Month6"/>
      <sheetName val="Committed_Items6"/>
      <sheetName val="Risk_Assessment5"/>
      <sheetName val="Exhibit_24"/>
      <sheetName val="Share_Price_20024"/>
      <sheetName val="Form_234"/>
      <sheetName val="Fx_Rates4"/>
      <sheetName val="Data_6,7,93"/>
      <sheetName val="Data_83"/>
      <sheetName val="PU_ITALY_52"/>
      <sheetName val="sales_current_month52"/>
      <sheetName val="View_Variance52"/>
      <sheetName val="Inventory_data52"/>
      <sheetName val="FORECAST_x_FAMILIA49"/>
      <sheetName val="Space_Analysis49"/>
      <sheetName val="final_list_200535"/>
      <sheetName val="Tro_giup34"/>
      <sheetName val="Labour_Summary26"/>
      <sheetName val="CADE_DETAIL25"/>
      <sheetName val="PRB_Expense_Q4_201322"/>
      <sheetName val="P&amp;L_by_Month7"/>
      <sheetName val="Committed_Items7"/>
      <sheetName val="Risk_Assessment6"/>
      <sheetName val="Exhibit_25"/>
      <sheetName val="Share_Price_20025"/>
      <sheetName val="Form_235"/>
      <sheetName val="Fx_Rates5"/>
      <sheetName val="Data_6,7,94"/>
      <sheetName val="Data_84"/>
      <sheetName val="ProdType"/>
      <sheetName val="View BS"/>
      <sheetName val="View IS"/>
      <sheetName val="USAllexclNatlCenterSumm"/>
      <sheetName val="Company"/>
      <sheetName val="1.Staffing"/>
      <sheetName val="TEST1"/>
      <sheetName val="실행기성 갑지"/>
      <sheetName val="242-3 summaryOPC"/>
      <sheetName val="Bang luong"/>
      <sheetName val="Sheet1_(2)"/>
      <sheetName val="Chi_Thao"/>
      <sheetName val="Bang_luong"/>
      <sheetName val="TB Worksheet"/>
      <sheetName val="營業額"/>
      <sheetName val="factory area"/>
      <sheetName val="주주명부&lt;끝&gt;"/>
      <sheetName val="GDLQ"/>
      <sheetName val="2. A&amp;C Database"/>
      <sheetName val="CMT retrive"/>
      <sheetName val="TOWN"/>
      <sheetName val="Floor area "/>
      <sheetName val="CDPS"/>
      <sheetName val="Tổng hợp Z"/>
      <sheetName val="HDnhap"/>
      <sheetName val="Currency Codes"/>
      <sheetName val="Scoping"/>
      <sheetName val="Expectation"/>
      <sheetName val="Variance threshold"/>
      <sheetName val="VIKAR"/>
      <sheetName val="S - Sugar production"/>
      <sheetName val="KWK"/>
      <sheetName val="pile cap"/>
      <sheetName val="FA-LISTING"/>
      <sheetName val="T&amp;P-Exist"/>
      <sheetName val="4B2 "/>
      <sheetName val="RT2-A"/>
      <sheetName val="FLOOR FINISH-B"/>
      <sheetName val="Rate ( RC )"/>
      <sheetName val="Fnl-Smry"/>
      <sheetName val="CERT"/>
      <sheetName val="Référentiel"/>
      <sheetName val="Smry Wk _P I_"/>
      <sheetName val="RFF"/>
      <sheetName val="RT2S-F"/>
      <sheetName val="M &amp; E"/>
      <sheetName val="MP"/>
      <sheetName val="CMQS"/>
      <sheetName val="Out"/>
      <sheetName val="NT VK ckds"/>
      <sheetName val="PYC"/>
      <sheetName val="ﾄﾞﾊﾞｲFUEL GAS追見"/>
      <sheetName val="분양가표"/>
      <sheetName val="valeurs de base"/>
      <sheetName val="Categories"/>
      <sheetName val="Ctinh 10kV"/>
      <sheetName val="TCS"/>
      <sheetName val="khung ten TD"/>
      <sheetName val="DGSR"/>
      <sheetName val="HOLE PILE"/>
      <sheetName val="L45M"/>
      <sheetName val="L50M"/>
      <sheetName val="T,L45M"/>
      <sheetName val="T,L50M"/>
      <sheetName val="분석"/>
      <sheetName val="wall"/>
      <sheetName val="BLUONG_DANCU"/>
      <sheetName val="BLUONG_CU"/>
      <sheetName val="BLUONG_MOI"/>
      <sheetName val="kich thuoc chung"/>
      <sheetName val="KL13"/>
      <sheetName val="KL14"/>
      <sheetName val="KL15"/>
      <sheetName val="Tong hop1"/>
      <sheetName val="KLTK"/>
      <sheetName val="LISTNT"/>
      <sheetName val="TKLT"/>
      <sheetName val="TONG"/>
      <sheetName val="BILL 34Āᐁë??_x0001_??? HẦM"/>
      <sheetName val="Tinh toan"/>
      <sheetName val="bo tri ngày"/>
      <sheetName val="khoiphong"/>
      <sheetName val="PHU_LUC"/>
      <sheetName val="TONGHOPCHIPHIXAYLAP"/>
      <sheetName val="FF"/>
      <sheetName val="Sales Seasonality by Month"/>
      <sheetName val="THAM CHIẾU"/>
      <sheetName val="2012"/>
      <sheetName val="B30"/>
      <sheetName val="Areas"/>
      <sheetName val="M02 TH SP XKGC"/>
      <sheetName val="dgia2"/>
      <sheetName val="Bang TH"/>
      <sheetName val="O3 VL-NC-MTC - ĐLPC"/>
      <sheetName val="124+090"/>
      <sheetName val="BC.124+090"/>
      <sheetName val="DATA 124+090"/>
      <sheetName val="124+425"/>
      <sheetName val="BC.124+425"/>
      <sheetName val="DATA 124+425"/>
      <sheetName val="124+500"/>
      <sheetName val="BC.124+500"/>
      <sheetName val="SL.124+500"/>
      <sheetName val="124+600"/>
      <sheetName val="BC.124+600"/>
      <sheetName val="SL.124+600"/>
      <sheetName val="124+700 "/>
      <sheetName val="BC.124+700 "/>
      <sheetName val="SL.124+700 "/>
      <sheetName val="Km124+783.5"/>
      <sheetName val="BC.Km124+783.5"/>
      <sheetName val="SL.Km124+783.5"/>
      <sheetName val="124+900 "/>
      <sheetName val="BC.124+900 "/>
      <sheetName val="SL.124+900 "/>
      <sheetName val="125+000"/>
      <sheetName val="BC.125+000"/>
      <sheetName val="SL.125+000"/>
      <sheetName val="125+100"/>
      <sheetName val="BC.125+100"/>
      <sheetName val="SL.125+100"/>
      <sheetName val="125+200"/>
      <sheetName val="BC.125+200"/>
      <sheetName val="SL.125+200"/>
      <sheetName val="125+300"/>
      <sheetName val="BC.125+300 "/>
      <sheetName val="SL.125+300"/>
      <sheetName val="125+400"/>
      <sheetName val="BC.125+400 "/>
      <sheetName val="SL.125+400"/>
      <sheetName val="125+500"/>
      <sheetName val="BC.125+500"/>
      <sheetName val="SL.125+500 "/>
      <sheetName val="125+565"/>
      <sheetName val="BC.125+565"/>
      <sheetName val="SL.125+565"/>
      <sheetName val="125+645"/>
      <sheetName val="BC.125+645"/>
      <sheetName val="SL.125+645"/>
      <sheetName val="125+660"/>
      <sheetName val="BC.125+660"/>
      <sheetName val="SL.125+660"/>
      <sheetName val="125+740"/>
      <sheetName val="BC.125+740"/>
      <sheetName val="SL.125+740"/>
      <sheetName val="125+840 "/>
      <sheetName val="BC.125+840 "/>
      <sheetName val="SL.125+840 "/>
      <sheetName val="125+890 "/>
      <sheetName val="BC.125+890  "/>
      <sheetName val="SL.125+890 "/>
      <sheetName val="126+040 "/>
      <sheetName val="BC.126+040  "/>
      <sheetName val="SL.126+040  "/>
      <sheetName val="126+140  "/>
      <sheetName val="BC.126+140   "/>
      <sheetName val="SL.126+140 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>
        <row r="9">
          <cell r="A9" t="str">
            <v>A</v>
          </cell>
        </row>
      </sheetData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 refreshError="1"/>
      <sheetData sheetId="5825" refreshError="1"/>
      <sheetData sheetId="5826" refreshError="1"/>
      <sheetData sheetId="5827" refreshError="1"/>
      <sheetData sheetId="5828" refreshError="1"/>
      <sheetData sheetId="5829" refreshError="1"/>
      <sheetData sheetId="5830" refreshError="1"/>
      <sheetData sheetId="5831" refreshError="1"/>
      <sheetData sheetId="5832" refreshError="1"/>
      <sheetData sheetId="5833" refreshError="1"/>
      <sheetData sheetId="5834" refreshError="1"/>
      <sheetData sheetId="5835" refreshError="1"/>
      <sheetData sheetId="5836" refreshError="1"/>
      <sheetData sheetId="5837" refreshError="1"/>
      <sheetData sheetId="5838" refreshError="1"/>
      <sheetData sheetId="5839" refreshError="1"/>
      <sheetData sheetId="5840" refreshError="1"/>
      <sheetData sheetId="5841" refreshError="1"/>
      <sheetData sheetId="5842" refreshError="1"/>
      <sheetData sheetId="5843" refreshError="1"/>
      <sheetData sheetId="5844" refreshError="1"/>
      <sheetData sheetId="5845" refreshError="1"/>
      <sheetData sheetId="5846" refreshError="1"/>
      <sheetData sheetId="5847" refreshError="1"/>
      <sheetData sheetId="5848" refreshError="1"/>
      <sheetData sheetId="5849" refreshError="1"/>
      <sheetData sheetId="5850" refreshError="1"/>
      <sheetData sheetId="5851" refreshError="1"/>
      <sheetData sheetId="5852" refreshError="1"/>
      <sheetData sheetId="5853" refreshError="1"/>
      <sheetData sheetId="5854" refreshError="1"/>
      <sheetData sheetId="5855" refreshError="1"/>
      <sheetData sheetId="5856" refreshError="1"/>
      <sheetData sheetId="5857" refreshError="1"/>
      <sheetData sheetId="5858" refreshError="1"/>
      <sheetData sheetId="5859" refreshError="1"/>
      <sheetData sheetId="5860" refreshError="1"/>
      <sheetData sheetId="5861" refreshError="1"/>
      <sheetData sheetId="5862" refreshError="1"/>
      <sheetData sheetId="5863" refreshError="1"/>
      <sheetData sheetId="5864" refreshError="1"/>
      <sheetData sheetId="5865" refreshError="1"/>
      <sheetData sheetId="5866" refreshError="1"/>
      <sheetData sheetId="5867" refreshError="1"/>
      <sheetData sheetId="5868" refreshError="1"/>
      <sheetData sheetId="5869" refreshError="1"/>
      <sheetData sheetId="5870" refreshError="1"/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 refreshError="1"/>
      <sheetData sheetId="5881" refreshError="1"/>
      <sheetData sheetId="5882" refreshError="1"/>
      <sheetData sheetId="5883" refreshError="1"/>
      <sheetData sheetId="5884" refreshError="1"/>
      <sheetData sheetId="5885" refreshError="1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 refreshError="1"/>
      <sheetData sheetId="5893" refreshError="1"/>
      <sheetData sheetId="5894" refreshError="1"/>
      <sheetData sheetId="5895" refreshError="1"/>
      <sheetData sheetId="5896" refreshError="1"/>
      <sheetData sheetId="5897" refreshError="1"/>
      <sheetData sheetId="5898" refreshError="1"/>
      <sheetData sheetId="5899" refreshError="1"/>
      <sheetData sheetId="5900" refreshError="1"/>
      <sheetData sheetId="5901" refreshError="1"/>
      <sheetData sheetId="5902" refreshError="1"/>
      <sheetData sheetId="5903" refreshError="1"/>
      <sheetData sheetId="5904" refreshError="1"/>
      <sheetData sheetId="5905" refreshError="1"/>
      <sheetData sheetId="5906" refreshError="1"/>
      <sheetData sheetId="5907" refreshError="1"/>
      <sheetData sheetId="5908" refreshError="1"/>
      <sheetData sheetId="5909" refreshError="1"/>
      <sheetData sheetId="5910" refreshError="1"/>
      <sheetData sheetId="5911" refreshError="1"/>
      <sheetData sheetId="5912" refreshError="1"/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 refreshError="1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 refreshError="1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 refreshError="1"/>
      <sheetData sheetId="6103" refreshError="1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 refreshError="1"/>
      <sheetData sheetId="6132" refreshError="1"/>
      <sheetData sheetId="6133" refreshError="1"/>
      <sheetData sheetId="6134" refreshError="1"/>
      <sheetData sheetId="6135" refreshError="1"/>
      <sheetData sheetId="6136" refreshError="1"/>
      <sheetData sheetId="6137" refreshError="1"/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 refreshError="1"/>
      <sheetData sheetId="6145" refreshError="1"/>
      <sheetData sheetId="6146" refreshError="1"/>
      <sheetData sheetId="6147" refreshError="1"/>
      <sheetData sheetId="6148" refreshError="1"/>
      <sheetData sheetId="6149" refreshError="1"/>
      <sheetData sheetId="6150" refreshError="1"/>
      <sheetData sheetId="6151" refreshError="1"/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 refreshError="1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 refreshError="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 refreshError="1"/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 refreshError="1"/>
      <sheetData sheetId="6308" refreshError="1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 refreshError="1"/>
      <sheetData sheetId="6331" refreshError="1"/>
      <sheetData sheetId="6332" refreshError="1"/>
      <sheetData sheetId="6333" refreshError="1"/>
      <sheetData sheetId="6334" refreshError="1"/>
      <sheetData sheetId="6335" refreshError="1"/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 refreshError="1"/>
      <sheetData sheetId="6342" refreshError="1"/>
      <sheetData sheetId="6343" refreshError="1"/>
      <sheetData sheetId="6344" refreshError="1"/>
      <sheetData sheetId="6345" refreshError="1"/>
      <sheetData sheetId="6346" refreshError="1"/>
      <sheetData sheetId="6347" refreshError="1"/>
      <sheetData sheetId="6348" refreshError="1"/>
      <sheetData sheetId="6349" refreshError="1"/>
      <sheetData sheetId="6350" refreshError="1"/>
      <sheetData sheetId="6351" refreshError="1"/>
      <sheetData sheetId="6352" refreshError="1"/>
      <sheetData sheetId="6353" refreshError="1"/>
      <sheetData sheetId="6354" refreshError="1"/>
      <sheetData sheetId="6355" refreshError="1"/>
      <sheetData sheetId="6356" refreshError="1"/>
      <sheetData sheetId="6357" refreshError="1"/>
      <sheetData sheetId="6358" refreshError="1"/>
      <sheetData sheetId="6359" refreshError="1"/>
      <sheetData sheetId="6360" refreshError="1"/>
      <sheetData sheetId="6361" refreshError="1"/>
      <sheetData sheetId="6362" refreshError="1"/>
      <sheetData sheetId="6363" refreshError="1"/>
      <sheetData sheetId="6364" refreshError="1"/>
      <sheetData sheetId="6365" refreshError="1"/>
      <sheetData sheetId="6366" refreshError="1"/>
      <sheetData sheetId="6367" refreshError="1"/>
      <sheetData sheetId="6368" refreshError="1"/>
      <sheetData sheetId="6369" refreshError="1"/>
      <sheetData sheetId="6370" refreshError="1"/>
      <sheetData sheetId="6371" refreshError="1"/>
      <sheetData sheetId="6372" refreshError="1"/>
      <sheetData sheetId="6373" refreshError="1"/>
      <sheetData sheetId="6374" refreshError="1"/>
      <sheetData sheetId="6375" refreshError="1"/>
      <sheetData sheetId="6376" refreshError="1"/>
      <sheetData sheetId="6377" refreshError="1"/>
      <sheetData sheetId="6378" refreshError="1"/>
      <sheetData sheetId="6379" refreshError="1"/>
      <sheetData sheetId="6380" refreshError="1"/>
      <sheetData sheetId="6381" refreshError="1"/>
      <sheetData sheetId="6382" refreshError="1"/>
      <sheetData sheetId="6383" refreshError="1"/>
      <sheetData sheetId="6384" refreshError="1"/>
      <sheetData sheetId="6385" refreshError="1"/>
      <sheetData sheetId="6386" refreshError="1"/>
      <sheetData sheetId="6387" refreshError="1"/>
      <sheetData sheetId="6388" refreshError="1"/>
      <sheetData sheetId="6389" refreshError="1"/>
      <sheetData sheetId="6390" refreshError="1"/>
      <sheetData sheetId="6391" refreshError="1"/>
      <sheetData sheetId="6392" refreshError="1"/>
      <sheetData sheetId="6393" refreshError="1"/>
      <sheetData sheetId="6394" refreshError="1"/>
      <sheetData sheetId="6395" refreshError="1"/>
      <sheetData sheetId="6396" refreshError="1"/>
      <sheetData sheetId="6397" refreshError="1"/>
      <sheetData sheetId="6398" refreshError="1"/>
      <sheetData sheetId="6399" refreshError="1"/>
      <sheetData sheetId="6400" refreshError="1"/>
      <sheetData sheetId="6401" refreshError="1"/>
      <sheetData sheetId="6402" refreshError="1"/>
      <sheetData sheetId="6403" refreshError="1"/>
      <sheetData sheetId="6404" refreshError="1"/>
      <sheetData sheetId="6405" refreshError="1"/>
      <sheetData sheetId="6406" refreshError="1"/>
      <sheetData sheetId="6407" refreshError="1"/>
      <sheetData sheetId="6408" refreshError="1"/>
      <sheetData sheetId="6409" refreshError="1"/>
      <sheetData sheetId="6410" refreshError="1"/>
      <sheetData sheetId="6411" refreshError="1"/>
      <sheetData sheetId="6412" refreshError="1"/>
      <sheetData sheetId="6413" refreshError="1"/>
      <sheetData sheetId="6414" refreshError="1"/>
      <sheetData sheetId="6415" refreshError="1"/>
      <sheetData sheetId="6416" refreshError="1"/>
      <sheetData sheetId="6417" refreshError="1"/>
      <sheetData sheetId="6418" refreshError="1"/>
      <sheetData sheetId="6419" refreshError="1"/>
      <sheetData sheetId="6420" refreshError="1"/>
      <sheetData sheetId="6421" refreshError="1"/>
      <sheetData sheetId="6422" refreshError="1"/>
      <sheetData sheetId="6423" refreshError="1"/>
      <sheetData sheetId="6424" refreshError="1"/>
      <sheetData sheetId="6425" refreshError="1"/>
      <sheetData sheetId="6426" refreshError="1"/>
      <sheetData sheetId="6427" refreshError="1"/>
      <sheetData sheetId="6428" refreshError="1"/>
      <sheetData sheetId="6429" refreshError="1"/>
      <sheetData sheetId="6430" refreshError="1"/>
      <sheetData sheetId="6431" refreshError="1"/>
      <sheetData sheetId="6432" refreshError="1"/>
      <sheetData sheetId="6433" refreshError="1"/>
      <sheetData sheetId="6434" refreshError="1"/>
      <sheetData sheetId="6435" refreshError="1"/>
      <sheetData sheetId="6436" refreshError="1"/>
      <sheetData sheetId="6437" refreshError="1"/>
      <sheetData sheetId="6438" refreshError="1"/>
      <sheetData sheetId="6439" refreshError="1"/>
      <sheetData sheetId="6440" refreshError="1"/>
      <sheetData sheetId="6441" refreshError="1"/>
      <sheetData sheetId="6442" refreshError="1"/>
      <sheetData sheetId="6443" refreshError="1"/>
      <sheetData sheetId="6444" refreshError="1"/>
      <sheetData sheetId="6445" refreshError="1"/>
      <sheetData sheetId="6446" refreshError="1"/>
      <sheetData sheetId="6447" refreshError="1"/>
      <sheetData sheetId="6448" refreshError="1"/>
      <sheetData sheetId="6449" refreshError="1"/>
      <sheetData sheetId="6450" refreshError="1"/>
      <sheetData sheetId="6451" refreshError="1"/>
      <sheetData sheetId="6452" refreshError="1"/>
      <sheetData sheetId="6453" refreshError="1"/>
      <sheetData sheetId="6454" refreshError="1"/>
      <sheetData sheetId="6455" refreshError="1"/>
      <sheetData sheetId="6456" refreshError="1"/>
      <sheetData sheetId="6457" refreshError="1"/>
      <sheetData sheetId="6458" refreshError="1"/>
      <sheetData sheetId="6459" refreshError="1"/>
      <sheetData sheetId="6460" refreshError="1"/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 refreshError="1"/>
      <sheetData sheetId="6475" refreshError="1"/>
      <sheetData sheetId="6476" refreshError="1"/>
      <sheetData sheetId="6477" refreshError="1"/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  <sheetData sheetId="6683" refreshError="1"/>
      <sheetData sheetId="6684" refreshError="1"/>
      <sheetData sheetId="6685" refreshError="1"/>
      <sheetData sheetId="6686" refreshError="1"/>
      <sheetData sheetId="6687" refreshError="1"/>
      <sheetData sheetId="6688" refreshError="1"/>
      <sheetData sheetId="6689" refreshError="1"/>
      <sheetData sheetId="6690" refreshError="1"/>
      <sheetData sheetId="6691" refreshError="1"/>
      <sheetData sheetId="6692" refreshError="1"/>
      <sheetData sheetId="6693" refreshError="1"/>
      <sheetData sheetId="6694" refreshError="1"/>
      <sheetData sheetId="6695" refreshError="1"/>
      <sheetData sheetId="6696" refreshError="1"/>
      <sheetData sheetId="6697" refreshError="1"/>
      <sheetData sheetId="6698" refreshError="1"/>
      <sheetData sheetId="6699" refreshError="1"/>
      <sheetData sheetId="6700" refreshError="1"/>
      <sheetData sheetId="6701" refreshError="1"/>
      <sheetData sheetId="6702" refreshError="1"/>
      <sheetData sheetId="6703" refreshError="1"/>
      <sheetData sheetId="6704" refreshError="1"/>
      <sheetData sheetId="6705" refreshError="1"/>
      <sheetData sheetId="6706" refreshError="1"/>
      <sheetData sheetId="6707" refreshError="1"/>
      <sheetData sheetId="6708" refreshError="1"/>
      <sheetData sheetId="6709" refreshError="1"/>
      <sheetData sheetId="6710" refreshError="1"/>
      <sheetData sheetId="6711" refreshError="1"/>
      <sheetData sheetId="6712" refreshError="1"/>
      <sheetData sheetId="6713" refreshError="1"/>
      <sheetData sheetId="6714" refreshError="1"/>
      <sheetData sheetId="6715" refreshError="1"/>
      <sheetData sheetId="6716" refreshError="1"/>
      <sheetData sheetId="6717" refreshError="1"/>
      <sheetData sheetId="6718" refreshError="1"/>
      <sheetData sheetId="6719" refreshError="1"/>
      <sheetData sheetId="6720" refreshError="1"/>
      <sheetData sheetId="6721" refreshError="1"/>
      <sheetData sheetId="6722" refreshError="1"/>
      <sheetData sheetId="6723" refreshError="1"/>
      <sheetData sheetId="6724" refreshError="1"/>
      <sheetData sheetId="6725" refreshError="1"/>
      <sheetData sheetId="6726" refreshError="1"/>
      <sheetData sheetId="6727" refreshError="1"/>
      <sheetData sheetId="6728" refreshError="1"/>
      <sheetData sheetId="6729" refreshError="1"/>
      <sheetData sheetId="6730" refreshError="1"/>
      <sheetData sheetId="6731" refreshError="1"/>
      <sheetData sheetId="6732" refreshError="1"/>
      <sheetData sheetId="6733" refreshError="1"/>
      <sheetData sheetId="6734" refreshError="1"/>
      <sheetData sheetId="6735" refreshError="1"/>
      <sheetData sheetId="6736" refreshError="1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 refreshError="1"/>
      <sheetData sheetId="7182" refreshError="1"/>
      <sheetData sheetId="7183" refreshError="1"/>
      <sheetData sheetId="7184" refreshError="1"/>
      <sheetData sheetId="7185" refreshError="1"/>
      <sheetData sheetId="7186" refreshError="1"/>
      <sheetData sheetId="7187" refreshError="1"/>
      <sheetData sheetId="7188" refreshError="1"/>
      <sheetData sheetId="7189" refreshError="1"/>
      <sheetData sheetId="7190" refreshError="1"/>
      <sheetData sheetId="7191" refreshError="1"/>
      <sheetData sheetId="7192" refreshError="1"/>
      <sheetData sheetId="7193" refreshError="1"/>
      <sheetData sheetId="7194" refreshError="1"/>
      <sheetData sheetId="7195" refreshError="1"/>
      <sheetData sheetId="7196" refreshError="1"/>
      <sheetData sheetId="7197" refreshError="1"/>
      <sheetData sheetId="7198" refreshError="1"/>
      <sheetData sheetId="7199" refreshError="1"/>
      <sheetData sheetId="7200" refreshError="1"/>
      <sheetData sheetId="7201" refreshError="1"/>
      <sheetData sheetId="7202" refreshError="1"/>
      <sheetData sheetId="7203" refreshError="1"/>
      <sheetData sheetId="7204" refreshError="1"/>
      <sheetData sheetId="7205" refreshError="1"/>
      <sheetData sheetId="7206" refreshError="1"/>
      <sheetData sheetId="7207" refreshError="1"/>
      <sheetData sheetId="7208" refreshError="1"/>
      <sheetData sheetId="7209" refreshError="1"/>
      <sheetData sheetId="7210" refreshError="1"/>
      <sheetData sheetId="7211" refreshError="1"/>
      <sheetData sheetId="7212" refreshError="1"/>
      <sheetData sheetId="7213" refreshError="1"/>
      <sheetData sheetId="7214" refreshError="1"/>
      <sheetData sheetId="7215" refreshError="1"/>
      <sheetData sheetId="7216" refreshError="1"/>
      <sheetData sheetId="7217" refreshError="1"/>
      <sheetData sheetId="7218" refreshError="1"/>
      <sheetData sheetId="7219" refreshError="1"/>
      <sheetData sheetId="7220" refreshError="1"/>
      <sheetData sheetId="7221" refreshError="1"/>
      <sheetData sheetId="7222" refreshError="1"/>
      <sheetData sheetId="7223" refreshError="1"/>
      <sheetData sheetId="7224" refreshError="1"/>
      <sheetData sheetId="7225" refreshError="1"/>
      <sheetData sheetId="7226" refreshError="1"/>
      <sheetData sheetId="7227" refreshError="1"/>
      <sheetData sheetId="7228" refreshError="1"/>
      <sheetData sheetId="7229" refreshError="1"/>
      <sheetData sheetId="7230" refreshError="1"/>
      <sheetData sheetId="7231" refreshError="1"/>
      <sheetData sheetId="7232" refreshError="1"/>
      <sheetData sheetId="7233" refreshError="1"/>
      <sheetData sheetId="7234" refreshError="1"/>
      <sheetData sheetId="7235" refreshError="1"/>
      <sheetData sheetId="7236" refreshError="1"/>
      <sheetData sheetId="7237" refreshError="1"/>
      <sheetData sheetId="7238" refreshError="1"/>
      <sheetData sheetId="7239" refreshError="1"/>
      <sheetData sheetId="7240" refreshError="1"/>
      <sheetData sheetId="7241" refreshError="1"/>
      <sheetData sheetId="7242" refreshError="1"/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 refreshError="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 refreshError="1"/>
      <sheetData sheetId="7258" refreshError="1"/>
      <sheetData sheetId="7259" refreshError="1"/>
      <sheetData sheetId="7260" refreshError="1"/>
      <sheetData sheetId="7261" refreshError="1"/>
      <sheetData sheetId="7262" refreshError="1"/>
      <sheetData sheetId="7263" refreshError="1"/>
      <sheetData sheetId="7264" refreshError="1"/>
      <sheetData sheetId="7265" refreshError="1"/>
      <sheetData sheetId="7266" refreshError="1"/>
      <sheetData sheetId="7267" refreshError="1"/>
      <sheetData sheetId="7268" refreshError="1"/>
      <sheetData sheetId="7269" refreshError="1"/>
      <sheetData sheetId="7270" refreshError="1"/>
      <sheetData sheetId="7271" refreshError="1"/>
      <sheetData sheetId="7272" refreshError="1"/>
      <sheetData sheetId="7273" refreshError="1"/>
      <sheetData sheetId="7274" refreshError="1"/>
      <sheetData sheetId="7275" refreshError="1"/>
      <sheetData sheetId="7276" refreshError="1"/>
      <sheetData sheetId="7277" refreshError="1"/>
      <sheetData sheetId="7278" refreshError="1"/>
      <sheetData sheetId="7279" refreshError="1"/>
      <sheetData sheetId="7280" refreshError="1"/>
      <sheetData sheetId="7281" refreshError="1"/>
      <sheetData sheetId="7282" refreshError="1"/>
      <sheetData sheetId="7283" refreshError="1"/>
      <sheetData sheetId="7284" refreshError="1"/>
      <sheetData sheetId="7285" refreshError="1"/>
      <sheetData sheetId="7286" refreshError="1"/>
      <sheetData sheetId="7287" refreshError="1"/>
      <sheetData sheetId="7288" refreshError="1"/>
      <sheetData sheetId="7289" refreshError="1"/>
      <sheetData sheetId="7290" refreshError="1"/>
      <sheetData sheetId="7291" refreshError="1"/>
      <sheetData sheetId="7292" refreshError="1"/>
      <sheetData sheetId="7293" refreshError="1"/>
      <sheetData sheetId="7294" refreshError="1"/>
      <sheetData sheetId="7295" refreshError="1"/>
      <sheetData sheetId="7296" refreshError="1"/>
      <sheetData sheetId="7297" refreshError="1"/>
      <sheetData sheetId="7298" refreshError="1"/>
      <sheetData sheetId="7299" refreshError="1"/>
      <sheetData sheetId="7300" refreshError="1"/>
      <sheetData sheetId="7301" refreshError="1"/>
      <sheetData sheetId="7302" refreshError="1"/>
      <sheetData sheetId="7303" refreshError="1"/>
      <sheetData sheetId="7304" refreshError="1"/>
      <sheetData sheetId="7305" refreshError="1"/>
      <sheetData sheetId="7306" refreshError="1"/>
      <sheetData sheetId="7307" refreshError="1"/>
      <sheetData sheetId="7308" refreshError="1"/>
      <sheetData sheetId="7309" refreshError="1"/>
      <sheetData sheetId="7310" refreshError="1"/>
      <sheetData sheetId="7311" refreshError="1"/>
      <sheetData sheetId="7312" refreshError="1"/>
      <sheetData sheetId="7313" refreshError="1"/>
      <sheetData sheetId="7314" refreshError="1"/>
      <sheetData sheetId="7315" refreshError="1"/>
      <sheetData sheetId="7316" refreshError="1"/>
      <sheetData sheetId="7317" refreshError="1"/>
      <sheetData sheetId="7318" refreshError="1"/>
      <sheetData sheetId="7319" refreshError="1"/>
      <sheetData sheetId="7320" refreshError="1"/>
      <sheetData sheetId="7321" refreshError="1"/>
      <sheetData sheetId="7322" refreshError="1"/>
      <sheetData sheetId="7323" refreshError="1"/>
      <sheetData sheetId="7324" refreshError="1"/>
      <sheetData sheetId="7325" refreshError="1"/>
      <sheetData sheetId="7326" refreshError="1"/>
      <sheetData sheetId="7327" refreshError="1"/>
      <sheetData sheetId="7328" refreshError="1"/>
      <sheetData sheetId="7329" refreshError="1"/>
      <sheetData sheetId="7330" refreshError="1"/>
      <sheetData sheetId="7331" refreshError="1"/>
      <sheetData sheetId="7332" refreshError="1"/>
      <sheetData sheetId="7333" refreshError="1"/>
      <sheetData sheetId="7334" refreshError="1"/>
      <sheetData sheetId="7335" refreshError="1"/>
      <sheetData sheetId="7336" refreshError="1"/>
      <sheetData sheetId="7337" refreshError="1"/>
      <sheetData sheetId="7338" refreshError="1"/>
      <sheetData sheetId="7339" refreshError="1"/>
      <sheetData sheetId="7340" refreshError="1"/>
      <sheetData sheetId="7341" refreshError="1"/>
      <sheetData sheetId="7342" refreshError="1"/>
      <sheetData sheetId="7343" refreshError="1"/>
      <sheetData sheetId="7344" refreshError="1"/>
      <sheetData sheetId="7345" refreshError="1"/>
      <sheetData sheetId="7346" refreshError="1"/>
      <sheetData sheetId="7347" refreshError="1"/>
      <sheetData sheetId="7348" refreshError="1"/>
      <sheetData sheetId="7349" refreshError="1"/>
      <sheetData sheetId="7350" refreshError="1"/>
      <sheetData sheetId="7351" refreshError="1"/>
      <sheetData sheetId="7352" refreshError="1"/>
      <sheetData sheetId="7353" refreshError="1"/>
      <sheetData sheetId="7354" refreshError="1"/>
      <sheetData sheetId="7355" refreshError="1"/>
      <sheetData sheetId="7356" refreshError="1"/>
      <sheetData sheetId="7357" refreshError="1"/>
      <sheetData sheetId="7358" refreshError="1"/>
      <sheetData sheetId="7359" refreshError="1"/>
      <sheetData sheetId="7360" refreshError="1"/>
      <sheetData sheetId="7361" refreshError="1"/>
      <sheetData sheetId="7362" refreshError="1"/>
      <sheetData sheetId="7363" refreshError="1"/>
      <sheetData sheetId="7364" refreshError="1"/>
      <sheetData sheetId="7365" refreshError="1"/>
      <sheetData sheetId="7366" refreshError="1"/>
      <sheetData sheetId="7367" refreshError="1"/>
      <sheetData sheetId="7368" refreshError="1"/>
      <sheetData sheetId="7369" refreshError="1"/>
      <sheetData sheetId="7370" refreshError="1"/>
      <sheetData sheetId="7371" refreshError="1"/>
      <sheetData sheetId="7372" refreshError="1"/>
      <sheetData sheetId="7373" refreshError="1"/>
      <sheetData sheetId="7374" refreshError="1"/>
      <sheetData sheetId="7375" refreshError="1"/>
      <sheetData sheetId="7376" refreshError="1"/>
      <sheetData sheetId="7377" refreshError="1"/>
      <sheetData sheetId="7378" refreshError="1"/>
      <sheetData sheetId="7379" refreshError="1"/>
      <sheetData sheetId="7380" refreshError="1"/>
      <sheetData sheetId="7381" refreshError="1"/>
      <sheetData sheetId="7382" refreshError="1"/>
      <sheetData sheetId="7383" refreshError="1"/>
      <sheetData sheetId="7384" refreshError="1"/>
      <sheetData sheetId="7385" refreshError="1"/>
      <sheetData sheetId="7386" refreshError="1"/>
      <sheetData sheetId="7387" refreshError="1"/>
      <sheetData sheetId="7388" refreshError="1"/>
      <sheetData sheetId="7389" refreshError="1"/>
      <sheetData sheetId="7390" refreshError="1"/>
      <sheetData sheetId="7391" refreshError="1"/>
      <sheetData sheetId="7392" refreshError="1"/>
      <sheetData sheetId="7393" refreshError="1"/>
      <sheetData sheetId="7394" refreshError="1"/>
      <sheetData sheetId="7395" refreshError="1"/>
      <sheetData sheetId="7396" refreshError="1"/>
      <sheetData sheetId="7397" refreshError="1"/>
      <sheetData sheetId="7398" refreshError="1"/>
      <sheetData sheetId="7399" refreshError="1"/>
      <sheetData sheetId="7400" refreshError="1"/>
      <sheetData sheetId="7401" refreshError="1"/>
      <sheetData sheetId="7402" refreshError="1"/>
      <sheetData sheetId="7403" refreshError="1"/>
      <sheetData sheetId="7404" refreshError="1"/>
      <sheetData sheetId="7405" refreshError="1"/>
      <sheetData sheetId="7406" refreshError="1"/>
      <sheetData sheetId="7407" refreshError="1"/>
      <sheetData sheetId="7408" refreshError="1"/>
      <sheetData sheetId="7409" refreshError="1"/>
      <sheetData sheetId="7410" refreshError="1"/>
      <sheetData sheetId="7411" refreshError="1"/>
      <sheetData sheetId="7412" refreshError="1"/>
      <sheetData sheetId="7413" refreshError="1"/>
      <sheetData sheetId="7414" refreshError="1"/>
      <sheetData sheetId="7415" refreshError="1"/>
      <sheetData sheetId="7416" refreshError="1"/>
      <sheetData sheetId="7417" refreshError="1"/>
      <sheetData sheetId="7418" refreshError="1"/>
      <sheetData sheetId="7419" refreshError="1"/>
      <sheetData sheetId="7420" refreshError="1"/>
      <sheetData sheetId="7421" refreshError="1"/>
      <sheetData sheetId="7422" refreshError="1"/>
      <sheetData sheetId="7423" refreshError="1"/>
      <sheetData sheetId="7424" refreshError="1"/>
      <sheetData sheetId="7425" refreshError="1"/>
      <sheetData sheetId="7426" refreshError="1"/>
      <sheetData sheetId="7427" refreshError="1"/>
      <sheetData sheetId="7428" refreshError="1"/>
      <sheetData sheetId="7429" refreshError="1"/>
      <sheetData sheetId="7430" refreshError="1"/>
      <sheetData sheetId="7431" refreshError="1"/>
      <sheetData sheetId="7432" refreshError="1"/>
      <sheetData sheetId="7433" refreshError="1"/>
      <sheetData sheetId="7434" refreshError="1"/>
      <sheetData sheetId="7435" refreshError="1"/>
      <sheetData sheetId="7436" refreshError="1"/>
      <sheetData sheetId="7437" refreshError="1"/>
      <sheetData sheetId="7438" refreshError="1"/>
      <sheetData sheetId="7439" refreshError="1"/>
      <sheetData sheetId="7440" refreshError="1"/>
      <sheetData sheetId="7441" refreshError="1"/>
      <sheetData sheetId="7442" refreshError="1"/>
      <sheetData sheetId="7443" refreshError="1"/>
      <sheetData sheetId="7444" refreshError="1"/>
      <sheetData sheetId="7445" refreshError="1"/>
      <sheetData sheetId="7446" refreshError="1"/>
      <sheetData sheetId="7447" refreshError="1"/>
      <sheetData sheetId="7448" refreshError="1"/>
      <sheetData sheetId="7449" refreshError="1"/>
      <sheetData sheetId="7450" refreshError="1"/>
      <sheetData sheetId="7451" refreshError="1"/>
      <sheetData sheetId="7452" refreshError="1"/>
      <sheetData sheetId="7453" refreshError="1"/>
      <sheetData sheetId="7454" refreshError="1"/>
      <sheetData sheetId="7455" refreshError="1"/>
      <sheetData sheetId="7456" refreshError="1"/>
      <sheetData sheetId="7457" refreshError="1"/>
      <sheetData sheetId="7458" refreshError="1"/>
      <sheetData sheetId="7459" refreshError="1"/>
      <sheetData sheetId="7460" refreshError="1"/>
      <sheetData sheetId="7461" refreshError="1"/>
      <sheetData sheetId="7462" refreshError="1"/>
      <sheetData sheetId="7463" refreshError="1"/>
      <sheetData sheetId="7464" refreshError="1"/>
      <sheetData sheetId="7465" refreshError="1"/>
      <sheetData sheetId="7466" refreshError="1"/>
      <sheetData sheetId="7467" refreshError="1"/>
      <sheetData sheetId="7468" refreshError="1"/>
      <sheetData sheetId="7469" refreshError="1"/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 refreshError="1"/>
      <sheetData sheetId="7486" refreshError="1"/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 refreshError="1"/>
      <sheetData sheetId="7526" refreshError="1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 refreshError="1"/>
      <sheetData sheetId="7538" refreshError="1"/>
      <sheetData sheetId="7539" refreshError="1"/>
      <sheetData sheetId="7540" refreshError="1"/>
      <sheetData sheetId="7541" refreshError="1"/>
      <sheetData sheetId="7542" refreshError="1"/>
      <sheetData sheetId="7543" refreshError="1"/>
      <sheetData sheetId="7544" refreshError="1"/>
      <sheetData sheetId="7545" refreshError="1"/>
      <sheetData sheetId="7546" refreshError="1"/>
      <sheetData sheetId="7547" refreshError="1"/>
      <sheetData sheetId="7548" refreshError="1"/>
      <sheetData sheetId="7549" refreshError="1"/>
      <sheetData sheetId="7550" refreshError="1"/>
      <sheetData sheetId="7551" refreshError="1"/>
      <sheetData sheetId="7552" refreshError="1"/>
      <sheetData sheetId="7553" refreshError="1"/>
      <sheetData sheetId="7554" refreshError="1"/>
      <sheetData sheetId="7555" refreshError="1"/>
      <sheetData sheetId="7556" refreshError="1"/>
      <sheetData sheetId="7557" refreshError="1"/>
      <sheetData sheetId="7558" refreshError="1"/>
      <sheetData sheetId="7559" refreshError="1"/>
      <sheetData sheetId="7560" refreshError="1"/>
      <sheetData sheetId="7561" refreshError="1"/>
      <sheetData sheetId="7562" refreshError="1"/>
      <sheetData sheetId="7563" refreshError="1"/>
      <sheetData sheetId="7564" refreshError="1"/>
      <sheetData sheetId="7565" refreshError="1"/>
      <sheetData sheetId="7566" refreshError="1"/>
      <sheetData sheetId="7567" refreshError="1"/>
      <sheetData sheetId="7568" refreshError="1"/>
      <sheetData sheetId="7569" refreshError="1"/>
      <sheetData sheetId="7570" refreshError="1"/>
      <sheetData sheetId="7571" refreshError="1"/>
      <sheetData sheetId="7572" refreshError="1"/>
      <sheetData sheetId="7573" refreshError="1"/>
      <sheetData sheetId="7574" refreshError="1"/>
      <sheetData sheetId="7575" refreshError="1"/>
      <sheetData sheetId="7576" refreshError="1"/>
      <sheetData sheetId="7577" refreshError="1"/>
      <sheetData sheetId="7578" refreshError="1"/>
      <sheetData sheetId="7579" refreshError="1"/>
      <sheetData sheetId="7580" refreshError="1"/>
      <sheetData sheetId="7581" refreshError="1"/>
      <sheetData sheetId="7582" refreshError="1"/>
      <sheetData sheetId="7583" refreshError="1"/>
      <sheetData sheetId="7584" refreshError="1"/>
      <sheetData sheetId="7585" refreshError="1"/>
      <sheetData sheetId="7586" refreshError="1"/>
      <sheetData sheetId="7587" refreshError="1"/>
      <sheetData sheetId="7588" refreshError="1"/>
      <sheetData sheetId="7589" refreshError="1"/>
      <sheetData sheetId="7590" refreshError="1"/>
      <sheetData sheetId="7591" refreshError="1"/>
      <sheetData sheetId="7592" refreshError="1"/>
      <sheetData sheetId="7593" refreshError="1"/>
      <sheetData sheetId="7594" refreshError="1"/>
      <sheetData sheetId="7595" refreshError="1"/>
      <sheetData sheetId="7596" refreshError="1"/>
      <sheetData sheetId="7597" refreshError="1"/>
      <sheetData sheetId="7598" refreshError="1"/>
      <sheetData sheetId="7599" refreshError="1"/>
      <sheetData sheetId="7600" refreshError="1"/>
      <sheetData sheetId="7601" refreshError="1"/>
      <sheetData sheetId="7602" refreshError="1"/>
      <sheetData sheetId="7603" refreshError="1"/>
      <sheetData sheetId="7604" refreshError="1"/>
      <sheetData sheetId="7605" refreshError="1"/>
      <sheetData sheetId="7606" refreshError="1"/>
      <sheetData sheetId="7607" refreshError="1"/>
      <sheetData sheetId="7608" refreshError="1"/>
      <sheetData sheetId="7609" refreshError="1"/>
      <sheetData sheetId="7610" refreshError="1"/>
      <sheetData sheetId="7611" refreshError="1"/>
      <sheetData sheetId="7612" refreshError="1"/>
      <sheetData sheetId="7613" refreshError="1"/>
      <sheetData sheetId="7614" refreshError="1"/>
      <sheetData sheetId="7615" refreshError="1"/>
      <sheetData sheetId="7616" refreshError="1"/>
      <sheetData sheetId="7617" refreshError="1"/>
      <sheetData sheetId="7618" refreshError="1"/>
      <sheetData sheetId="7619" refreshError="1"/>
      <sheetData sheetId="7620" refreshError="1"/>
      <sheetData sheetId="7621" refreshError="1"/>
      <sheetData sheetId="7622" refreshError="1"/>
      <sheetData sheetId="7623" refreshError="1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 refreshError="1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 refreshError="1"/>
      <sheetData sheetId="7646" refreshError="1"/>
      <sheetData sheetId="7647" refreshError="1"/>
      <sheetData sheetId="7648" refreshError="1"/>
      <sheetData sheetId="7649" refreshError="1"/>
      <sheetData sheetId="7650" refreshError="1"/>
      <sheetData sheetId="7651" refreshError="1"/>
      <sheetData sheetId="7652" refreshError="1"/>
      <sheetData sheetId="7653" refreshError="1"/>
      <sheetData sheetId="7654" refreshError="1"/>
      <sheetData sheetId="7655" refreshError="1"/>
      <sheetData sheetId="7656" refreshError="1"/>
      <sheetData sheetId="7657" refreshError="1"/>
      <sheetData sheetId="7658" refreshError="1"/>
      <sheetData sheetId="7659" refreshError="1"/>
      <sheetData sheetId="7660" refreshError="1"/>
      <sheetData sheetId="7661" refreshError="1"/>
      <sheetData sheetId="7662" refreshError="1"/>
      <sheetData sheetId="7663" refreshError="1"/>
      <sheetData sheetId="7664" refreshError="1"/>
      <sheetData sheetId="7665" refreshError="1"/>
      <sheetData sheetId="7666" refreshError="1"/>
      <sheetData sheetId="7667" refreshError="1"/>
      <sheetData sheetId="7668" refreshError="1"/>
      <sheetData sheetId="7669" refreshError="1"/>
      <sheetData sheetId="7670" refreshError="1"/>
      <sheetData sheetId="7671" refreshError="1"/>
      <sheetData sheetId="7672" refreshError="1"/>
      <sheetData sheetId="7673" refreshError="1"/>
      <sheetData sheetId="7674" refreshError="1"/>
      <sheetData sheetId="7675" refreshError="1"/>
      <sheetData sheetId="7676" refreshError="1"/>
      <sheetData sheetId="7677" refreshError="1"/>
      <sheetData sheetId="7678" refreshError="1"/>
      <sheetData sheetId="7679" refreshError="1"/>
      <sheetData sheetId="7680" refreshError="1"/>
      <sheetData sheetId="7681" refreshError="1"/>
      <sheetData sheetId="7682" refreshError="1"/>
      <sheetData sheetId="7683" refreshError="1"/>
      <sheetData sheetId="7684" refreshError="1"/>
      <sheetData sheetId="7685" refreshError="1"/>
      <sheetData sheetId="7686" refreshError="1"/>
      <sheetData sheetId="7687" refreshError="1"/>
      <sheetData sheetId="7688" refreshError="1"/>
      <sheetData sheetId="7689" refreshError="1"/>
      <sheetData sheetId="7690" refreshError="1"/>
      <sheetData sheetId="7691" refreshError="1"/>
      <sheetData sheetId="7692" refreshError="1"/>
      <sheetData sheetId="7693" refreshError="1"/>
      <sheetData sheetId="7694" refreshError="1"/>
      <sheetData sheetId="7695" refreshError="1"/>
      <sheetData sheetId="7696" refreshError="1"/>
      <sheetData sheetId="7697" refreshError="1"/>
      <sheetData sheetId="7698" refreshError="1"/>
      <sheetData sheetId="7699" refreshError="1"/>
      <sheetData sheetId="7700" refreshError="1"/>
      <sheetData sheetId="7701" refreshError="1"/>
      <sheetData sheetId="7702" refreshError="1"/>
      <sheetData sheetId="7703" refreshError="1"/>
      <sheetData sheetId="7704" refreshError="1"/>
      <sheetData sheetId="7705" refreshError="1"/>
      <sheetData sheetId="7706" refreshError="1"/>
      <sheetData sheetId="7707" refreshError="1"/>
      <sheetData sheetId="7708" refreshError="1"/>
      <sheetData sheetId="7709" refreshError="1"/>
      <sheetData sheetId="7710" refreshError="1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 refreshError="1"/>
      <sheetData sheetId="7718" refreshError="1"/>
      <sheetData sheetId="7719" refreshError="1"/>
      <sheetData sheetId="7720" refreshError="1"/>
      <sheetData sheetId="7721" refreshError="1"/>
      <sheetData sheetId="7722" refreshError="1"/>
      <sheetData sheetId="7723" refreshError="1"/>
      <sheetData sheetId="7724" refreshError="1"/>
      <sheetData sheetId="7725" refreshError="1"/>
      <sheetData sheetId="7726" refreshError="1"/>
      <sheetData sheetId="7727" refreshError="1"/>
      <sheetData sheetId="7728" refreshError="1"/>
      <sheetData sheetId="7729" refreshError="1"/>
      <sheetData sheetId="7730" refreshError="1"/>
      <sheetData sheetId="7731" refreshError="1"/>
      <sheetData sheetId="7732" refreshError="1"/>
      <sheetData sheetId="7733" refreshError="1"/>
      <sheetData sheetId="7734" refreshError="1"/>
      <sheetData sheetId="7735" refreshError="1"/>
      <sheetData sheetId="7736" refreshError="1"/>
      <sheetData sheetId="7737" refreshError="1"/>
      <sheetData sheetId="7738" refreshError="1"/>
      <sheetData sheetId="7739" refreshError="1"/>
      <sheetData sheetId="7740" refreshError="1"/>
      <sheetData sheetId="7741" refreshError="1"/>
      <sheetData sheetId="7742" refreshError="1"/>
      <sheetData sheetId="7743" refreshError="1"/>
      <sheetData sheetId="7744" refreshError="1"/>
      <sheetData sheetId="7745" refreshError="1"/>
      <sheetData sheetId="7746" refreshError="1"/>
      <sheetData sheetId="7747" refreshError="1"/>
      <sheetData sheetId="7748" refreshError="1"/>
      <sheetData sheetId="7749" refreshError="1"/>
      <sheetData sheetId="7750" refreshError="1"/>
      <sheetData sheetId="7751" refreshError="1"/>
      <sheetData sheetId="7752" refreshError="1"/>
      <sheetData sheetId="7753" refreshError="1"/>
      <sheetData sheetId="7754" refreshError="1"/>
      <sheetData sheetId="7755" refreshError="1"/>
      <sheetData sheetId="7756" refreshError="1"/>
      <sheetData sheetId="7757" refreshError="1"/>
      <sheetData sheetId="7758" refreshError="1"/>
      <sheetData sheetId="7759" refreshError="1"/>
      <sheetData sheetId="7760" refreshError="1"/>
      <sheetData sheetId="7761" refreshError="1"/>
      <sheetData sheetId="7762" refreshError="1"/>
      <sheetData sheetId="7763" refreshError="1"/>
      <sheetData sheetId="7764" refreshError="1"/>
      <sheetData sheetId="7765" refreshError="1"/>
      <sheetData sheetId="7766" refreshError="1"/>
      <sheetData sheetId="7767" refreshError="1"/>
      <sheetData sheetId="7768" refreshError="1"/>
      <sheetData sheetId="7769" refreshError="1"/>
      <sheetData sheetId="7770" refreshError="1"/>
      <sheetData sheetId="7771" refreshError="1"/>
      <sheetData sheetId="7772" refreshError="1"/>
      <sheetData sheetId="7773" refreshError="1"/>
      <sheetData sheetId="7774" refreshError="1"/>
      <sheetData sheetId="7775" refreshError="1"/>
      <sheetData sheetId="7776" refreshError="1"/>
      <sheetData sheetId="7777" refreshError="1"/>
      <sheetData sheetId="7778" refreshError="1"/>
      <sheetData sheetId="7779" refreshError="1"/>
      <sheetData sheetId="7780" refreshError="1"/>
      <sheetData sheetId="7781" refreshError="1"/>
      <sheetData sheetId="7782" refreshError="1"/>
      <sheetData sheetId="7783" refreshError="1"/>
      <sheetData sheetId="7784" refreshError="1"/>
      <sheetData sheetId="7785" refreshError="1"/>
      <sheetData sheetId="7786" refreshError="1"/>
      <sheetData sheetId="7787" refreshError="1"/>
      <sheetData sheetId="7788" refreshError="1"/>
      <sheetData sheetId="7789" refreshError="1"/>
      <sheetData sheetId="7790" refreshError="1"/>
      <sheetData sheetId="7791" refreshError="1"/>
      <sheetData sheetId="7792" refreshError="1"/>
      <sheetData sheetId="7793" refreshError="1"/>
      <sheetData sheetId="7794" refreshError="1"/>
      <sheetData sheetId="7795" refreshError="1"/>
      <sheetData sheetId="7796" refreshError="1"/>
      <sheetData sheetId="7797" refreshError="1"/>
      <sheetData sheetId="7798" refreshError="1"/>
      <sheetData sheetId="7799" refreshError="1"/>
      <sheetData sheetId="7800" refreshError="1"/>
      <sheetData sheetId="7801" refreshError="1"/>
      <sheetData sheetId="7802" refreshError="1"/>
      <sheetData sheetId="7803" refreshError="1"/>
      <sheetData sheetId="7804" refreshError="1"/>
      <sheetData sheetId="7805" refreshError="1"/>
      <sheetData sheetId="7806" refreshError="1"/>
      <sheetData sheetId="7807" refreshError="1"/>
      <sheetData sheetId="7808" refreshError="1"/>
      <sheetData sheetId="7809" refreshError="1"/>
      <sheetData sheetId="7810" refreshError="1"/>
      <sheetData sheetId="7811" refreshError="1"/>
      <sheetData sheetId="7812" refreshError="1"/>
      <sheetData sheetId="7813" refreshError="1"/>
      <sheetData sheetId="7814" refreshError="1"/>
      <sheetData sheetId="7815" refreshError="1"/>
      <sheetData sheetId="7816" refreshError="1"/>
      <sheetData sheetId="7817" refreshError="1"/>
      <sheetData sheetId="7818" refreshError="1"/>
      <sheetData sheetId="7819" refreshError="1"/>
      <sheetData sheetId="7820" refreshError="1"/>
      <sheetData sheetId="7821" refreshError="1"/>
      <sheetData sheetId="7822" refreshError="1"/>
      <sheetData sheetId="7823" refreshError="1"/>
      <sheetData sheetId="7824" refreshError="1"/>
      <sheetData sheetId="7825" refreshError="1"/>
      <sheetData sheetId="7826" refreshError="1"/>
      <sheetData sheetId="7827" refreshError="1"/>
      <sheetData sheetId="7828" refreshError="1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 refreshError="1"/>
      <sheetData sheetId="7836" refreshError="1"/>
      <sheetData sheetId="7837" refreshError="1"/>
      <sheetData sheetId="7838" refreshError="1"/>
      <sheetData sheetId="7839" refreshError="1"/>
      <sheetData sheetId="7840" refreshError="1"/>
      <sheetData sheetId="7841" refreshError="1"/>
      <sheetData sheetId="7842" refreshError="1"/>
      <sheetData sheetId="7843" refreshError="1"/>
      <sheetData sheetId="7844" refreshError="1"/>
      <sheetData sheetId="7845" refreshError="1"/>
      <sheetData sheetId="7846" refreshError="1"/>
      <sheetData sheetId="7847" refreshError="1"/>
      <sheetData sheetId="7848" refreshError="1"/>
      <sheetData sheetId="7849" refreshError="1"/>
      <sheetData sheetId="7850" refreshError="1"/>
      <sheetData sheetId="7851" refreshError="1"/>
      <sheetData sheetId="7852" refreshError="1"/>
      <sheetData sheetId="7853" refreshError="1"/>
      <sheetData sheetId="7854" refreshError="1"/>
      <sheetData sheetId="7855" refreshError="1"/>
      <sheetData sheetId="7856" refreshError="1"/>
      <sheetData sheetId="7857" refreshError="1"/>
      <sheetData sheetId="7858" refreshError="1"/>
      <sheetData sheetId="7859" refreshError="1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 refreshError="1"/>
      <sheetData sheetId="7869" refreshError="1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 refreshError="1"/>
      <sheetData sheetId="7899" refreshError="1"/>
      <sheetData sheetId="7900" refreshError="1"/>
      <sheetData sheetId="7901" refreshError="1"/>
      <sheetData sheetId="7902" refreshError="1"/>
      <sheetData sheetId="7903" refreshError="1"/>
      <sheetData sheetId="7904" refreshError="1"/>
      <sheetData sheetId="7905" refreshError="1"/>
      <sheetData sheetId="7906" refreshError="1"/>
      <sheetData sheetId="7907" refreshError="1"/>
      <sheetData sheetId="7908" refreshError="1"/>
      <sheetData sheetId="7909" refreshError="1"/>
      <sheetData sheetId="7910" refreshError="1"/>
      <sheetData sheetId="7911" refreshError="1"/>
      <sheetData sheetId="7912" refreshError="1"/>
      <sheetData sheetId="7913" refreshError="1"/>
      <sheetData sheetId="7914" refreshError="1"/>
      <sheetData sheetId="7915" refreshError="1"/>
      <sheetData sheetId="7916" refreshError="1"/>
      <sheetData sheetId="7917" refreshError="1"/>
      <sheetData sheetId="7918" refreshError="1"/>
      <sheetData sheetId="7919" refreshError="1"/>
      <sheetData sheetId="7920" refreshError="1"/>
      <sheetData sheetId="7921" refreshError="1"/>
      <sheetData sheetId="7922" refreshError="1"/>
      <sheetData sheetId="7923" refreshError="1"/>
      <sheetData sheetId="7924" refreshError="1"/>
      <sheetData sheetId="7925" refreshError="1"/>
      <sheetData sheetId="7926" refreshError="1"/>
      <sheetData sheetId="7927" refreshError="1"/>
      <sheetData sheetId="7928" refreshError="1"/>
      <sheetData sheetId="7929" refreshError="1"/>
      <sheetData sheetId="7930" refreshError="1"/>
      <sheetData sheetId="7931" refreshError="1"/>
      <sheetData sheetId="7932" refreshError="1"/>
      <sheetData sheetId="7933" refreshError="1"/>
      <sheetData sheetId="7934" refreshError="1"/>
      <sheetData sheetId="7935" refreshError="1"/>
      <sheetData sheetId="7936" refreshError="1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 refreshError="1"/>
      <sheetData sheetId="7950" refreshError="1"/>
      <sheetData sheetId="7951" refreshError="1"/>
      <sheetData sheetId="7952" refreshError="1"/>
      <sheetData sheetId="7953" refreshError="1"/>
      <sheetData sheetId="7954" refreshError="1"/>
      <sheetData sheetId="7955" refreshError="1"/>
      <sheetData sheetId="7956" refreshError="1"/>
      <sheetData sheetId="7957" refreshError="1"/>
      <sheetData sheetId="7958" refreshError="1"/>
      <sheetData sheetId="7959" refreshError="1"/>
      <sheetData sheetId="7960" refreshError="1"/>
      <sheetData sheetId="7961" refreshError="1"/>
      <sheetData sheetId="7962" refreshError="1"/>
      <sheetData sheetId="7963" refreshError="1"/>
      <sheetData sheetId="7964" refreshError="1"/>
      <sheetData sheetId="7965" refreshError="1"/>
      <sheetData sheetId="7966" refreshError="1"/>
      <sheetData sheetId="7967" refreshError="1"/>
      <sheetData sheetId="7968" refreshError="1"/>
      <sheetData sheetId="7969" refreshError="1"/>
      <sheetData sheetId="7970" refreshError="1"/>
      <sheetData sheetId="7971" refreshError="1"/>
      <sheetData sheetId="7972" refreshError="1"/>
      <sheetData sheetId="7973" refreshError="1"/>
      <sheetData sheetId="7974" refreshError="1"/>
      <sheetData sheetId="7975" refreshError="1"/>
      <sheetData sheetId="7976" refreshError="1"/>
      <sheetData sheetId="7977" refreshError="1"/>
      <sheetData sheetId="7978" refreshError="1"/>
      <sheetData sheetId="7979" refreshError="1"/>
      <sheetData sheetId="7980" refreshError="1"/>
      <sheetData sheetId="7981" refreshError="1"/>
      <sheetData sheetId="7982" refreshError="1"/>
      <sheetData sheetId="7983" refreshError="1"/>
      <sheetData sheetId="7984" refreshError="1"/>
      <sheetData sheetId="7985" refreshError="1"/>
      <sheetData sheetId="7986" refreshError="1"/>
      <sheetData sheetId="7987" refreshError="1"/>
      <sheetData sheetId="7988" refreshError="1"/>
      <sheetData sheetId="7989" refreshError="1"/>
      <sheetData sheetId="7990" refreshError="1"/>
      <sheetData sheetId="7991" refreshError="1"/>
      <sheetData sheetId="7992" refreshError="1"/>
      <sheetData sheetId="7993" refreshError="1"/>
      <sheetData sheetId="7994" refreshError="1"/>
      <sheetData sheetId="7995" refreshError="1"/>
      <sheetData sheetId="7996" refreshError="1"/>
      <sheetData sheetId="7997" refreshError="1"/>
      <sheetData sheetId="7998" refreshError="1"/>
      <sheetData sheetId="7999" refreshError="1"/>
      <sheetData sheetId="8000" refreshError="1"/>
      <sheetData sheetId="8001" refreshError="1"/>
      <sheetData sheetId="8002" refreshError="1"/>
      <sheetData sheetId="8003" refreshError="1"/>
      <sheetData sheetId="8004" refreshError="1"/>
      <sheetData sheetId="8005" refreshError="1"/>
      <sheetData sheetId="8006" refreshError="1"/>
      <sheetData sheetId="8007" refreshError="1"/>
      <sheetData sheetId="8008" refreshError="1"/>
      <sheetData sheetId="8009" refreshError="1"/>
      <sheetData sheetId="8010" refreshError="1"/>
      <sheetData sheetId="8011" refreshError="1"/>
      <sheetData sheetId="8012" refreshError="1"/>
      <sheetData sheetId="8013" refreshError="1"/>
      <sheetData sheetId="8014" refreshError="1"/>
      <sheetData sheetId="8015" refreshError="1"/>
      <sheetData sheetId="8016" refreshError="1"/>
      <sheetData sheetId="8017" refreshError="1"/>
      <sheetData sheetId="8018" refreshError="1"/>
      <sheetData sheetId="8019" refreshError="1"/>
      <sheetData sheetId="8020" refreshError="1"/>
      <sheetData sheetId="8021" refreshError="1"/>
      <sheetData sheetId="8022" refreshError="1"/>
      <sheetData sheetId="8023" refreshError="1"/>
      <sheetData sheetId="8024" refreshError="1"/>
      <sheetData sheetId="8025" refreshError="1"/>
      <sheetData sheetId="8026" refreshError="1"/>
      <sheetData sheetId="8027" refreshError="1"/>
      <sheetData sheetId="8028" refreshError="1"/>
      <sheetData sheetId="8029" refreshError="1"/>
      <sheetData sheetId="8030" refreshError="1"/>
      <sheetData sheetId="8031" refreshError="1"/>
      <sheetData sheetId="8032" refreshError="1"/>
      <sheetData sheetId="8033" refreshError="1"/>
      <sheetData sheetId="8034" refreshError="1"/>
      <sheetData sheetId="8035" refreshError="1"/>
      <sheetData sheetId="8036" refreshError="1"/>
      <sheetData sheetId="8037" refreshError="1"/>
      <sheetData sheetId="8038" refreshError="1"/>
      <sheetData sheetId="8039" refreshError="1"/>
      <sheetData sheetId="8040" refreshError="1"/>
      <sheetData sheetId="8041" refreshError="1"/>
      <sheetData sheetId="8042" refreshError="1"/>
      <sheetData sheetId="8043" refreshError="1"/>
      <sheetData sheetId="8044" refreshError="1"/>
      <sheetData sheetId="8045" refreshError="1"/>
      <sheetData sheetId="8046" refreshError="1"/>
      <sheetData sheetId="8047" refreshError="1"/>
      <sheetData sheetId="8048" refreshError="1"/>
      <sheetData sheetId="8049" refreshError="1"/>
      <sheetData sheetId="8050" refreshError="1"/>
      <sheetData sheetId="8051" refreshError="1"/>
      <sheetData sheetId="8052" refreshError="1"/>
      <sheetData sheetId="8053" refreshError="1"/>
      <sheetData sheetId="8054" refreshError="1"/>
      <sheetData sheetId="8055" refreshError="1"/>
      <sheetData sheetId="8056" refreshError="1"/>
      <sheetData sheetId="8057" refreshError="1"/>
      <sheetData sheetId="8058" refreshError="1"/>
      <sheetData sheetId="8059" refreshError="1"/>
      <sheetData sheetId="8060" refreshError="1"/>
      <sheetData sheetId="8061" refreshError="1"/>
      <sheetData sheetId="8062" refreshError="1"/>
      <sheetData sheetId="8063" refreshError="1"/>
      <sheetData sheetId="8064" refreshError="1"/>
      <sheetData sheetId="8065" refreshError="1"/>
      <sheetData sheetId="8066" refreshError="1"/>
      <sheetData sheetId="8067" refreshError="1"/>
      <sheetData sheetId="8068" refreshError="1"/>
      <sheetData sheetId="8069" refreshError="1"/>
      <sheetData sheetId="8070" refreshError="1"/>
      <sheetData sheetId="8071" refreshError="1"/>
      <sheetData sheetId="8072" refreshError="1"/>
      <sheetData sheetId="8073" refreshError="1"/>
      <sheetData sheetId="8074" refreshError="1"/>
      <sheetData sheetId="8075" refreshError="1"/>
      <sheetData sheetId="8076" refreshError="1"/>
      <sheetData sheetId="8077" refreshError="1"/>
      <sheetData sheetId="8078" refreshError="1"/>
      <sheetData sheetId="8079" refreshError="1"/>
      <sheetData sheetId="8080" refreshError="1"/>
      <sheetData sheetId="8081" refreshError="1"/>
      <sheetData sheetId="8082" refreshError="1"/>
      <sheetData sheetId="8083" refreshError="1"/>
      <sheetData sheetId="8084" refreshError="1"/>
      <sheetData sheetId="8085" refreshError="1"/>
      <sheetData sheetId="8086" refreshError="1"/>
      <sheetData sheetId="8087" refreshError="1"/>
      <sheetData sheetId="8088" refreshError="1"/>
      <sheetData sheetId="8089" refreshError="1"/>
      <sheetData sheetId="8090" refreshError="1"/>
      <sheetData sheetId="8091" refreshError="1"/>
      <sheetData sheetId="8092" refreshError="1"/>
      <sheetData sheetId="8093" refreshError="1"/>
      <sheetData sheetId="8094" refreshError="1"/>
      <sheetData sheetId="8095" refreshError="1"/>
      <sheetData sheetId="8096" refreshError="1"/>
      <sheetData sheetId="8097" refreshError="1"/>
      <sheetData sheetId="8098" refreshError="1"/>
      <sheetData sheetId="8099" refreshError="1"/>
      <sheetData sheetId="8100" refreshError="1"/>
      <sheetData sheetId="8101" refreshError="1"/>
      <sheetData sheetId="8102" refreshError="1"/>
      <sheetData sheetId="8103" refreshError="1"/>
      <sheetData sheetId="8104" refreshError="1"/>
      <sheetData sheetId="8105" refreshError="1"/>
      <sheetData sheetId="8106" refreshError="1"/>
      <sheetData sheetId="8107" refreshError="1"/>
      <sheetData sheetId="8108" refreshError="1"/>
      <sheetData sheetId="8109" refreshError="1"/>
      <sheetData sheetId="8110" refreshError="1"/>
      <sheetData sheetId="8111" refreshError="1"/>
      <sheetData sheetId="8112" refreshError="1"/>
      <sheetData sheetId="8113" refreshError="1"/>
      <sheetData sheetId="8114" refreshError="1"/>
      <sheetData sheetId="8115" refreshError="1"/>
      <sheetData sheetId="8116" refreshError="1"/>
      <sheetData sheetId="8117" refreshError="1"/>
      <sheetData sheetId="8118" refreshError="1"/>
      <sheetData sheetId="8119" refreshError="1"/>
      <sheetData sheetId="8120" refreshError="1"/>
      <sheetData sheetId="8121" refreshError="1"/>
      <sheetData sheetId="8122" refreshError="1"/>
      <sheetData sheetId="8123" refreshError="1"/>
      <sheetData sheetId="8124" refreshError="1"/>
      <sheetData sheetId="8125" refreshError="1"/>
      <sheetData sheetId="8126" refreshError="1"/>
      <sheetData sheetId="8127" refreshError="1"/>
      <sheetData sheetId="8128" refreshError="1"/>
      <sheetData sheetId="8129" refreshError="1"/>
      <sheetData sheetId="8130" refreshError="1"/>
      <sheetData sheetId="8131" refreshError="1"/>
      <sheetData sheetId="8132" refreshError="1"/>
      <sheetData sheetId="8133" refreshError="1"/>
      <sheetData sheetId="8134" refreshError="1"/>
      <sheetData sheetId="8135" refreshError="1"/>
      <sheetData sheetId="8136" refreshError="1"/>
      <sheetData sheetId="8137" refreshError="1"/>
      <sheetData sheetId="8138" refreshError="1"/>
      <sheetData sheetId="8139" refreshError="1"/>
      <sheetData sheetId="8140" refreshError="1"/>
      <sheetData sheetId="8141" refreshError="1"/>
      <sheetData sheetId="8142" refreshError="1"/>
      <sheetData sheetId="8143" refreshError="1"/>
      <sheetData sheetId="8144" refreshError="1"/>
      <sheetData sheetId="8145" refreshError="1"/>
      <sheetData sheetId="8146" refreshError="1"/>
      <sheetData sheetId="8147" refreshError="1"/>
      <sheetData sheetId="8148" refreshError="1"/>
      <sheetData sheetId="8149" refreshError="1"/>
      <sheetData sheetId="8150" refreshError="1"/>
      <sheetData sheetId="8151" refreshError="1"/>
      <sheetData sheetId="8152" refreshError="1"/>
      <sheetData sheetId="8153" refreshError="1"/>
      <sheetData sheetId="8154" refreshError="1"/>
      <sheetData sheetId="8155" refreshError="1"/>
      <sheetData sheetId="8156" refreshError="1"/>
      <sheetData sheetId="8157" refreshError="1"/>
      <sheetData sheetId="8158" refreshError="1"/>
      <sheetData sheetId="8159" refreshError="1"/>
      <sheetData sheetId="8160" refreshError="1"/>
      <sheetData sheetId="8161" refreshError="1"/>
      <sheetData sheetId="8162" refreshError="1"/>
      <sheetData sheetId="8163" refreshError="1"/>
      <sheetData sheetId="8164" refreshError="1"/>
      <sheetData sheetId="8165" refreshError="1"/>
      <sheetData sheetId="8166" refreshError="1"/>
      <sheetData sheetId="8167" refreshError="1"/>
      <sheetData sheetId="8168" refreshError="1"/>
      <sheetData sheetId="8169" refreshError="1"/>
      <sheetData sheetId="8170" refreshError="1"/>
      <sheetData sheetId="8171" refreshError="1"/>
      <sheetData sheetId="8172" refreshError="1"/>
      <sheetData sheetId="8173" refreshError="1"/>
      <sheetData sheetId="8174" refreshError="1"/>
      <sheetData sheetId="8175" refreshError="1"/>
      <sheetData sheetId="8176" refreshError="1"/>
      <sheetData sheetId="8177" refreshError="1"/>
      <sheetData sheetId="8178" refreshError="1"/>
      <sheetData sheetId="8179" refreshError="1"/>
      <sheetData sheetId="8180" refreshError="1"/>
      <sheetData sheetId="8181" refreshError="1"/>
      <sheetData sheetId="8182" refreshError="1"/>
      <sheetData sheetId="8183" refreshError="1"/>
      <sheetData sheetId="8184" refreshError="1"/>
      <sheetData sheetId="8185" refreshError="1"/>
      <sheetData sheetId="8186" refreshError="1"/>
      <sheetData sheetId="8187" refreshError="1"/>
      <sheetData sheetId="8188" refreshError="1"/>
      <sheetData sheetId="8189" refreshError="1"/>
      <sheetData sheetId="8190" refreshError="1"/>
      <sheetData sheetId="8191" refreshError="1"/>
      <sheetData sheetId="8192" refreshError="1"/>
      <sheetData sheetId="8193" refreshError="1"/>
      <sheetData sheetId="8194" refreshError="1"/>
      <sheetData sheetId="8195" refreshError="1"/>
      <sheetData sheetId="8196" refreshError="1"/>
      <sheetData sheetId="8197" refreshError="1"/>
      <sheetData sheetId="8198" refreshError="1"/>
      <sheetData sheetId="8199" refreshError="1"/>
      <sheetData sheetId="8200" refreshError="1"/>
      <sheetData sheetId="8201" refreshError="1"/>
      <sheetData sheetId="8202" refreshError="1"/>
      <sheetData sheetId="8203" refreshError="1"/>
      <sheetData sheetId="8204" refreshError="1"/>
      <sheetData sheetId="8205" refreshError="1"/>
      <sheetData sheetId="8206" refreshError="1"/>
      <sheetData sheetId="8207" refreshError="1"/>
      <sheetData sheetId="8208" refreshError="1"/>
      <sheetData sheetId="8209" refreshError="1"/>
      <sheetData sheetId="8210" refreshError="1"/>
      <sheetData sheetId="8211" refreshError="1"/>
      <sheetData sheetId="8212" refreshError="1"/>
      <sheetData sheetId="8213" refreshError="1"/>
      <sheetData sheetId="8214" refreshError="1"/>
      <sheetData sheetId="8215" refreshError="1"/>
      <sheetData sheetId="8216" refreshError="1"/>
      <sheetData sheetId="8217" refreshError="1"/>
      <sheetData sheetId="8218" refreshError="1"/>
      <sheetData sheetId="8219" refreshError="1"/>
      <sheetData sheetId="8220" refreshError="1"/>
      <sheetData sheetId="8221" refreshError="1"/>
      <sheetData sheetId="8222" refreshError="1"/>
      <sheetData sheetId="8223" refreshError="1"/>
      <sheetData sheetId="8224" refreshError="1"/>
      <sheetData sheetId="8225" refreshError="1"/>
      <sheetData sheetId="8226" refreshError="1"/>
      <sheetData sheetId="8227" refreshError="1"/>
      <sheetData sheetId="8228" refreshError="1"/>
      <sheetData sheetId="8229" refreshError="1"/>
      <sheetData sheetId="8230" refreshError="1"/>
      <sheetData sheetId="8231" refreshError="1"/>
      <sheetData sheetId="8232" refreshError="1"/>
      <sheetData sheetId="8233" refreshError="1"/>
      <sheetData sheetId="8234" refreshError="1"/>
      <sheetData sheetId="8235" refreshError="1"/>
      <sheetData sheetId="8236" refreshError="1"/>
      <sheetData sheetId="8237" refreshError="1"/>
      <sheetData sheetId="8238" refreshError="1"/>
      <sheetData sheetId="8239" refreshError="1"/>
      <sheetData sheetId="8240" refreshError="1"/>
      <sheetData sheetId="8241" refreshError="1"/>
      <sheetData sheetId="8242" refreshError="1"/>
      <sheetData sheetId="8243" refreshError="1"/>
      <sheetData sheetId="8244" refreshError="1"/>
      <sheetData sheetId="8245" refreshError="1"/>
      <sheetData sheetId="8246" refreshError="1"/>
      <sheetData sheetId="8247" refreshError="1"/>
      <sheetData sheetId="8248" refreshError="1"/>
      <sheetData sheetId="8249" refreshError="1"/>
      <sheetData sheetId="8250" refreshError="1"/>
      <sheetData sheetId="8251" refreshError="1"/>
      <sheetData sheetId="8252" refreshError="1"/>
      <sheetData sheetId="8253" refreshError="1"/>
      <sheetData sheetId="8254" refreshError="1"/>
      <sheetData sheetId="8255" refreshError="1"/>
      <sheetData sheetId="8256" refreshError="1"/>
      <sheetData sheetId="8257" refreshError="1"/>
      <sheetData sheetId="8258" refreshError="1"/>
      <sheetData sheetId="8259" refreshError="1"/>
      <sheetData sheetId="8260" refreshError="1"/>
      <sheetData sheetId="8261" refreshError="1"/>
      <sheetData sheetId="8262" refreshError="1"/>
      <sheetData sheetId="8263" refreshError="1"/>
      <sheetData sheetId="8264" refreshError="1"/>
      <sheetData sheetId="8265" refreshError="1"/>
      <sheetData sheetId="8266" refreshError="1"/>
      <sheetData sheetId="8267" refreshError="1"/>
      <sheetData sheetId="8268" refreshError="1"/>
      <sheetData sheetId="8269" refreshError="1"/>
      <sheetData sheetId="8270" refreshError="1"/>
      <sheetData sheetId="8271" refreshError="1"/>
      <sheetData sheetId="8272" refreshError="1"/>
      <sheetData sheetId="8273" refreshError="1"/>
      <sheetData sheetId="8274" refreshError="1"/>
      <sheetData sheetId="8275" refreshError="1"/>
      <sheetData sheetId="8276" refreshError="1"/>
      <sheetData sheetId="8277" refreshError="1"/>
      <sheetData sheetId="8278" refreshError="1"/>
      <sheetData sheetId="8279" refreshError="1"/>
      <sheetData sheetId="8280" refreshError="1"/>
      <sheetData sheetId="8281" refreshError="1"/>
      <sheetData sheetId="8282" refreshError="1"/>
      <sheetData sheetId="8283" refreshError="1"/>
      <sheetData sheetId="8284" refreshError="1"/>
      <sheetData sheetId="8285" refreshError="1"/>
      <sheetData sheetId="8286" refreshError="1"/>
      <sheetData sheetId="8287" refreshError="1"/>
      <sheetData sheetId="8288" refreshError="1"/>
      <sheetData sheetId="8289" refreshError="1"/>
      <sheetData sheetId="8290" refreshError="1"/>
      <sheetData sheetId="8291" refreshError="1"/>
      <sheetData sheetId="8292" refreshError="1"/>
      <sheetData sheetId="8293" refreshError="1"/>
      <sheetData sheetId="8294" refreshError="1"/>
      <sheetData sheetId="8295" refreshError="1"/>
      <sheetData sheetId="8296" refreshError="1"/>
      <sheetData sheetId="8297" refreshError="1"/>
      <sheetData sheetId="8298" refreshError="1"/>
      <sheetData sheetId="8299" refreshError="1"/>
      <sheetData sheetId="8300" refreshError="1"/>
      <sheetData sheetId="8301" refreshError="1"/>
      <sheetData sheetId="8302" refreshError="1"/>
      <sheetData sheetId="8303" refreshError="1"/>
      <sheetData sheetId="8304" refreshError="1"/>
      <sheetData sheetId="8305" refreshError="1"/>
      <sheetData sheetId="8306" refreshError="1"/>
      <sheetData sheetId="8307" refreshError="1"/>
      <sheetData sheetId="8308" refreshError="1"/>
      <sheetData sheetId="8309" refreshError="1"/>
      <sheetData sheetId="8310" refreshError="1"/>
      <sheetData sheetId="8311" refreshError="1"/>
      <sheetData sheetId="8312" refreshError="1"/>
      <sheetData sheetId="8313" refreshError="1"/>
      <sheetData sheetId="8314" refreshError="1"/>
      <sheetData sheetId="8315" refreshError="1"/>
      <sheetData sheetId="8316" refreshError="1"/>
      <sheetData sheetId="8317" refreshError="1"/>
      <sheetData sheetId="8318" refreshError="1"/>
      <sheetData sheetId="8319" refreshError="1"/>
      <sheetData sheetId="8320" refreshError="1"/>
      <sheetData sheetId="8321" refreshError="1"/>
      <sheetData sheetId="8322" refreshError="1"/>
      <sheetData sheetId="8323" refreshError="1"/>
      <sheetData sheetId="8324" refreshError="1"/>
      <sheetData sheetId="8325" refreshError="1"/>
      <sheetData sheetId="8326" refreshError="1"/>
      <sheetData sheetId="8327" refreshError="1"/>
      <sheetData sheetId="8328" refreshError="1"/>
      <sheetData sheetId="8329" refreshError="1"/>
      <sheetData sheetId="8330" refreshError="1"/>
      <sheetData sheetId="8331" refreshError="1"/>
      <sheetData sheetId="8332" refreshError="1"/>
      <sheetData sheetId="8333" refreshError="1"/>
      <sheetData sheetId="8334" refreshError="1"/>
      <sheetData sheetId="8335" refreshError="1"/>
      <sheetData sheetId="8336" refreshError="1"/>
      <sheetData sheetId="8337" refreshError="1"/>
      <sheetData sheetId="8338" refreshError="1"/>
      <sheetData sheetId="8339" refreshError="1"/>
      <sheetData sheetId="8340" refreshError="1"/>
      <sheetData sheetId="8341" refreshError="1"/>
      <sheetData sheetId="8342" refreshError="1"/>
      <sheetData sheetId="8343" refreshError="1"/>
      <sheetData sheetId="8344" refreshError="1"/>
      <sheetData sheetId="8345" refreshError="1"/>
      <sheetData sheetId="8346" refreshError="1"/>
      <sheetData sheetId="8347" refreshError="1"/>
      <sheetData sheetId="8348" refreshError="1"/>
      <sheetData sheetId="8349" refreshError="1"/>
      <sheetData sheetId="8350" refreshError="1"/>
      <sheetData sheetId="8351" refreshError="1"/>
      <sheetData sheetId="8352" refreshError="1"/>
      <sheetData sheetId="8353" refreshError="1"/>
      <sheetData sheetId="8354" refreshError="1"/>
      <sheetData sheetId="8355" refreshError="1"/>
      <sheetData sheetId="8356" refreshError="1"/>
      <sheetData sheetId="8357" refreshError="1"/>
      <sheetData sheetId="8358" refreshError="1"/>
      <sheetData sheetId="8359" refreshError="1"/>
      <sheetData sheetId="8360" refreshError="1"/>
      <sheetData sheetId="8361" refreshError="1"/>
      <sheetData sheetId="8362" refreshError="1"/>
      <sheetData sheetId="8363" refreshError="1"/>
      <sheetData sheetId="8364" refreshError="1"/>
      <sheetData sheetId="8365" refreshError="1"/>
      <sheetData sheetId="8366" refreshError="1"/>
      <sheetData sheetId="8367" refreshError="1"/>
      <sheetData sheetId="8368" refreshError="1"/>
      <sheetData sheetId="8369" refreshError="1"/>
      <sheetData sheetId="8370" refreshError="1"/>
      <sheetData sheetId="8371" refreshError="1"/>
      <sheetData sheetId="8372" refreshError="1"/>
      <sheetData sheetId="8373" refreshError="1"/>
      <sheetData sheetId="8374" refreshError="1"/>
      <sheetData sheetId="8375" refreshError="1"/>
      <sheetData sheetId="8376" refreshError="1"/>
      <sheetData sheetId="8377" refreshError="1"/>
      <sheetData sheetId="8378" refreshError="1"/>
      <sheetData sheetId="8379" refreshError="1"/>
      <sheetData sheetId="8380" refreshError="1"/>
      <sheetData sheetId="8381" refreshError="1"/>
      <sheetData sheetId="8382" refreshError="1"/>
      <sheetData sheetId="8383" refreshError="1"/>
      <sheetData sheetId="8384" refreshError="1"/>
      <sheetData sheetId="8385" refreshError="1"/>
      <sheetData sheetId="8386" refreshError="1"/>
      <sheetData sheetId="8387" refreshError="1"/>
      <sheetData sheetId="8388" refreshError="1"/>
      <sheetData sheetId="8389" refreshError="1"/>
      <sheetData sheetId="8390" refreshError="1"/>
      <sheetData sheetId="8391" refreshError="1"/>
      <sheetData sheetId="8392" refreshError="1"/>
      <sheetData sheetId="8393" refreshError="1"/>
      <sheetData sheetId="8394" refreshError="1"/>
      <sheetData sheetId="8395" refreshError="1"/>
      <sheetData sheetId="8396" refreshError="1"/>
      <sheetData sheetId="8397" refreshError="1"/>
      <sheetData sheetId="8398" refreshError="1"/>
      <sheetData sheetId="8399" refreshError="1"/>
      <sheetData sheetId="8400" refreshError="1"/>
      <sheetData sheetId="8401" refreshError="1"/>
      <sheetData sheetId="8402" refreshError="1"/>
      <sheetData sheetId="8403" refreshError="1"/>
      <sheetData sheetId="8404" refreshError="1"/>
      <sheetData sheetId="8405" refreshError="1"/>
      <sheetData sheetId="8406" refreshError="1"/>
      <sheetData sheetId="8407" refreshError="1"/>
      <sheetData sheetId="8408" refreshError="1"/>
      <sheetData sheetId="8409" refreshError="1"/>
      <sheetData sheetId="8410" refreshError="1"/>
      <sheetData sheetId="8411" refreshError="1"/>
      <sheetData sheetId="8412" refreshError="1"/>
      <sheetData sheetId="8413" refreshError="1"/>
      <sheetData sheetId="8414" refreshError="1"/>
      <sheetData sheetId="8415" refreshError="1"/>
      <sheetData sheetId="8416" refreshError="1"/>
      <sheetData sheetId="8417" refreshError="1"/>
      <sheetData sheetId="8418" refreshError="1"/>
      <sheetData sheetId="8419" refreshError="1"/>
      <sheetData sheetId="8420" refreshError="1"/>
      <sheetData sheetId="8421" refreshError="1"/>
      <sheetData sheetId="8422" refreshError="1"/>
      <sheetData sheetId="8423" refreshError="1"/>
      <sheetData sheetId="8424" refreshError="1"/>
      <sheetData sheetId="8425" refreshError="1"/>
      <sheetData sheetId="8426" refreshError="1"/>
      <sheetData sheetId="8427" refreshError="1"/>
      <sheetData sheetId="8428" refreshError="1"/>
      <sheetData sheetId="8429" refreshError="1"/>
      <sheetData sheetId="8430" refreshError="1"/>
      <sheetData sheetId="8431" refreshError="1"/>
      <sheetData sheetId="8432" refreshError="1"/>
      <sheetData sheetId="8433" refreshError="1"/>
      <sheetData sheetId="8434" refreshError="1"/>
      <sheetData sheetId="8435" refreshError="1"/>
      <sheetData sheetId="8436" refreshError="1"/>
      <sheetData sheetId="8437" refreshError="1"/>
      <sheetData sheetId="8438" refreshError="1"/>
      <sheetData sheetId="8439" refreshError="1"/>
      <sheetData sheetId="8440" refreshError="1"/>
      <sheetData sheetId="8441" refreshError="1"/>
      <sheetData sheetId="8442" refreshError="1"/>
      <sheetData sheetId="8443" refreshError="1"/>
      <sheetData sheetId="8444" refreshError="1"/>
      <sheetData sheetId="8445" refreshError="1"/>
      <sheetData sheetId="8446" refreshError="1"/>
      <sheetData sheetId="8447" refreshError="1"/>
      <sheetData sheetId="8448" refreshError="1"/>
      <sheetData sheetId="8449" refreshError="1"/>
      <sheetData sheetId="8450" refreshError="1"/>
      <sheetData sheetId="8451" refreshError="1"/>
      <sheetData sheetId="8452" refreshError="1"/>
      <sheetData sheetId="8453" refreshError="1"/>
      <sheetData sheetId="8454" refreshError="1"/>
      <sheetData sheetId="8455" refreshError="1"/>
      <sheetData sheetId="8456" refreshError="1"/>
      <sheetData sheetId="8457" refreshError="1"/>
      <sheetData sheetId="8458" refreshError="1"/>
      <sheetData sheetId="8459" refreshError="1"/>
      <sheetData sheetId="8460" refreshError="1"/>
      <sheetData sheetId="8461" refreshError="1"/>
      <sheetData sheetId="8462" refreshError="1"/>
      <sheetData sheetId="8463" refreshError="1"/>
      <sheetData sheetId="8464" refreshError="1"/>
      <sheetData sheetId="8465" refreshError="1"/>
      <sheetData sheetId="8466" refreshError="1"/>
      <sheetData sheetId="8467" refreshError="1"/>
      <sheetData sheetId="8468" refreshError="1"/>
      <sheetData sheetId="8469" refreshError="1"/>
      <sheetData sheetId="8470" refreshError="1"/>
      <sheetData sheetId="8471" refreshError="1"/>
      <sheetData sheetId="8472" refreshError="1"/>
      <sheetData sheetId="8473" refreshError="1"/>
      <sheetData sheetId="8474" refreshError="1"/>
      <sheetData sheetId="8475" refreshError="1"/>
      <sheetData sheetId="8476" refreshError="1"/>
      <sheetData sheetId="8477" refreshError="1"/>
      <sheetData sheetId="8478" refreshError="1"/>
      <sheetData sheetId="8479" refreshError="1"/>
      <sheetData sheetId="8480" refreshError="1"/>
      <sheetData sheetId="8481" refreshError="1"/>
      <sheetData sheetId="8482" refreshError="1"/>
      <sheetData sheetId="8483" refreshError="1"/>
      <sheetData sheetId="8484" refreshError="1"/>
      <sheetData sheetId="8485" refreshError="1"/>
      <sheetData sheetId="8486" refreshError="1"/>
      <sheetData sheetId="8487" refreshError="1"/>
      <sheetData sheetId="8488" refreshError="1"/>
      <sheetData sheetId="8489" refreshError="1"/>
      <sheetData sheetId="8490" refreshError="1"/>
      <sheetData sheetId="8491" refreshError="1"/>
      <sheetData sheetId="8492" refreshError="1"/>
      <sheetData sheetId="8493" refreshError="1"/>
      <sheetData sheetId="8494" refreshError="1"/>
      <sheetData sheetId="8495" refreshError="1"/>
      <sheetData sheetId="8496" refreshError="1"/>
      <sheetData sheetId="8497" refreshError="1"/>
      <sheetData sheetId="8498" refreshError="1"/>
      <sheetData sheetId="8499" refreshError="1"/>
      <sheetData sheetId="8500" refreshError="1"/>
      <sheetData sheetId="8501" refreshError="1"/>
      <sheetData sheetId="8502" refreshError="1"/>
      <sheetData sheetId="8503" refreshError="1"/>
      <sheetData sheetId="8504" refreshError="1"/>
      <sheetData sheetId="8505" refreshError="1"/>
      <sheetData sheetId="8506" refreshError="1"/>
      <sheetData sheetId="8507" refreshError="1"/>
      <sheetData sheetId="8508" refreshError="1"/>
      <sheetData sheetId="8509" refreshError="1"/>
      <sheetData sheetId="8510" refreshError="1"/>
      <sheetData sheetId="8511" refreshError="1"/>
      <sheetData sheetId="8512" refreshError="1"/>
      <sheetData sheetId="8513" refreshError="1"/>
      <sheetData sheetId="8514" refreshError="1"/>
      <sheetData sheetId="8515" refreshError="1"/>
      <sheetData sheetId="8516" refreshError="1"/>
      <sheetData sheetId="8517" refreshError="1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 refreshError="1"/>
      <sheetData sheetId="8527" refreshError="1"/>
      <sheetData sheetId="8528" refreshError="1"/>
      <sheetData sheetId="8529" refreshError="1"/>
      <sheetData sheetId="8530" refreshError="1"/>
      <sheetData sheetId="8531" refreshError="1"/>
      <sheetData sheetId="8532" refreshError="1"/>
      <sheetData sheetId="8533" refreshError="1"/>
      <sheetData sheetId="8534" refreshError="1"/>
      <sheetData sheetId="8535" refreshError="1"/>
      <sheetData sheetId="8536" refreshError="1"/>
      <sheetData sheetId="8537" refreshError="1"/>
      <sheetData sheetId="8538" refreshError="1"/>
      <sheetData sheetId="8539" refreshError="1"/>
      <sheetData sheetId="8540" refreshError="1"/>
      <sheetData sheetId="8541" refreshError="1"/>
      <sheetData sheetId="8542" refreshError="1"/>
      <sheetData sheetId="8543" refreshError="1"/>
      <sheetData sheetId="8544" refreshError="1"/>
      <sheetData sheetId="8545" refreshError="1"/>
      <sheetData sheetId="8546" refreshError="1"/>
      <sheetData sheetId="8547" refreshError="1"/>
      <sheetData sheetId="8548" refreshError="1"/>
      <sheetData sheetId="8549" refreshError="1"/>
      <sheetData sheetId="8550" refreshError="1"/>
      <sheetData sheetId="8551" refreshError="1"/>
      <sheetData sheetId="8552" refreshError="1"/>
      <sheetData sheetId="8553" refreshError="1"/>
      <sheetData sheetId="8554" refreshError="1"/>
      <sheetData sheetId="8555" refreshError="1"/>
      <sheetData sheetId="8556" refreshError="1"/>
      <sheetData sheetId="8557" refreshError="1"/>
      <sheetData sheetId="8558" refreshError="1"/>
      <sheetData sheetId="8559" refreshError="1"/>
      <sheetData sheetId="8560" refreshError="1"/>
      <sheetData sheetId="8561" refreshError="1"/>
      <sheetData sheetId="8562" refreshError="1"/>
      <sheetData sheetId="8563" refreshError="1"/>
      <sheetData sheetId="8564" refreshError="1"/>
      <sheetData sheetId="8565" refreshError="1"/>
      <sheetData sheetId="8566" refreshError="1"/>
      <sheetData sheetId="8567" refreshError="1"/>
      <sheetData sheetId="8568" refreshError="1"/>
      <sheetData sheetId="8569" refreshError="1"/>
      <sheetData sheetId="8570" refreshError="1"/>
      <sheetData sheetId="8571" refreshError="1"/>
      <sheetData sheetId="8572" refreshError="1"/>
      <sheetData sheetId="8573" refreshError="1"/>
      <sheetData sheetId="8574" refreshError="1"/>
      <sheetData sheetId="8575" refreshError="1"/>
      <sheetData sheetId="8576" refreshError="1"/>
      <sheetData sheetId="8577" refreshError="1"/>
      <sheetData sheetId="8578" refreshError="1"/>
      <sheetData sheetId="8579" refreshError="1"/>
      <sheetData sheetId="8580" refreshError="1"/>
      <sheetData sheetId="8581" refreshError="1"/>
      <sheetData sheetId="8582" refreshError="1"/>
      <sheetData sheetId="8583" refreshError="1"/>
      <sheetData sheetId="8584" refreshError="1"/>
      <sheetData sheetId="8585" refreshError="1"/>
      <sheetData sheetId="8586" refreshError="1"/>
      <sheetData sheetId="8587" refreshError="1"/>
      <sheetData sheetId="8588" refreshError="1"/>
      <sheetData sheetId="8589" refreshError="1"/>
      <sheetData sheetId="8590" refreshError="1"/>
      <sheetData sheetId="8591" refreshError="1"/>
      <sheetData sheetId="8592" refreshError="1"/>
      <sheetData sheetId="8593" refreshError="1"/>
      <sheetData sheetId="8594" refreshError="1"/>
      <sheetData sheetId="8595" refreshError="1"/>
      <sheetData sheetId="8596" refreshError="1"/>
      <sheetData sheetId="8597" refreshError="1"/>
      <sheetData sheetId="8598" refreshError="1"/>
      <sheetData sheetId="8599" refreshError="1"/>
      <sheetData sheetId="8600" refreshError="1"/>
      <sheetData sheetId="8601" refreshError="1"/>
      <sheetData sheetId="8602" refreshError="1"/>
      <sheetData sheetId="8603" refreshError="1"/>
      <sheetData sheetId="8604" refreshError="1"/>
      <sheetData sheetId="8605" refreshError="1"/>
      <sheetData sheetId="8606" refreshError="1"/>
      <sheetData sheetId="8607" refreshError="1"/>
      <sheetData sheetId="8608" refreshError="1"/>
      <sheetData sheetId="8609" refreshError="1"/>
      <sheetData sheetId="8610" refreshError="1"/>
      <sheetData sheetId="8611" refreshError="1"/>
      <sheetData sheetId="8612" refreshError="1"/>
      <sheetData sheetId="8613" refreshError="1"/>
      <sheetData sheetId="8614" refreshError="1"/>
      <sheetData sheetId="8615" refreshError="1"/>
      <sheetData sheetId="8616" refreshError="1"/>
      <sheetData sheetId="8617" refreshError="1"/>
      <sheetData sheetId="8618" refreshError="1"/>
      <sheetData sheetId="8619" refreshError="1"/>
      <sheetData sheetId="8620" refreshError="1"/>
      <sheetData sheetId="8621" refreshError="1"/>
      <sheetData sheetId="8622" refreshError="1"/>
      <sheetData sheetId="8623" refreshError="1"/>
      <sheetData sheetId="8624" refreshError="1"/>
      <sheetData sheetId="8625" refreshError="1"/>
      <sheetData sheetId="8626" refreshError="1"/>
      <sheetData sheetId="8627" refreshError="1"/>
      <sheetData sheetId="8628" refreshError="1"/>
      <sheetData sheetId="8629" refreshError="1"/>
      <sheetData sheetId="8630" refreshError="1"/>
      <sheetData sheetId="8631" refreshError="1"/>
      <sheetData sheetId="8632" refreshError="1"/>
      <sheetData sheetId="8633" refreshError="1"/>
      <sheetData sheetId="8634" refreshError="1"/>
      <sheetData sheetId="8635" refreshError="1"/>
      <sheetData sheetId="8636" refreshError="1"/>
      <sheetData sheetId="8637" refreshError="1"/>
      <sheetData sheetId="8638" refreshError="1"/>
      <sheetData sheetId="8639" refreshError="1"/>
      <sheetData sheetId="8640" refreshError="1"/>
      <sheetData sheetId="8641" refreshError="1"/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 refreshError="1"/>
      <sheetData sheetId="8648" refreshError="1"/>
      <sheetData sheetId="8649" refreshError="1"/>
      <sheetData sheetId="8650" refreshError="1"/>
      <sheetData sheetId="8651" refreshError="1"/>
      <sheetData sheetId="8652" refreshError="1"/>
      <sheetData sheetId="8653" refreshError="1"/>
      <sheetData sheetId="8654" refreshError="1"/>
      <sheetData sheetId="8655" refreshError="1"/>
      <sheetData sheetId="8656" refreshError="1"/>
      <sheetData sheetId="8657" refreshError="1"/>
      <sheetData sheetId="8658" refreshError="1"/>
      <sheetData sheetId="8659" refreshError="1"/>
      <sheetData sheetId="8660" refreshError="1"/>
      <sheetData sheetId="8661" refreshError="1"/>
      <sheetData sheetId="8662" refreshError="1"/>
      <sheetData sheetId="8663" refreshError="1"/>
      <sheetData sheetId="8664" refreshError="1"/>
      <sheetData sheetId="8665" refreshError="1"/>
      <sheetData sheetId="8666" refreshError="1"/>
      <sheetData sheetId="8667" refreshError="1"/>
      <sheetData sheetId="8668" refreshError="1"/>
      <sheetData sheetId="8669" refreshError="1"/>
      <sheetData sheetId="8670" refreshError="1"/>
      <sheetData sheetId="8671" refreshError="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 refreshError="1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 refreshError="1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 refreshError="1"/>
      <sheetData sheetId="8872" refreshError="1"/>
      <sheetData sheetId="8873" refreshError="1"/>
      <sheetData sheetId="8874" refreshError="1"/>
      <sheetData sheetId="8875" refreshError="1"/>
      <sheetData sheetId="8876" refreshError="1"/>
      <sheetData sheetId="8877" refreshError="1"/>
      <sheetData sheetId="8878" refreshError="1"/>
      <sheetData sheetId="8879" refreshError="1"/>
      <sheetData sheetId="8880" refreshError="1"/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 refreshError="1"/>
      <sheetData sheetId="8900" refreshError="1"/>
      <sheetData sheetId="8901" refreshError="1"/>
      <sheetData sheetId="8902" refreshError="1"/>
      <sheetData sheetId="8903" refreshError="1"/>
      <sheetData sheetId="8904" refreshError="1"/>
      <sheetData sheetId="8905" refreshError="1"/>
      <sheetData sheetId="8906" refreshError="1"/>
      <sheetData sheetId="8907" refreshError="1"/>
      <sheetData sheetId="8908" refreshError="1"/>
      <sheetData sheetId="8909" refreshError="1"/>
      <sheetData sheetId="8910" refreshError="1"/>
      <sheetData sheetId="8911" refreshError="1"/>
      <sheetData sheetId="8912" refreshError="1"/>
      <sheetData sheetId="8913" refreshError="1"/>
      <sheetData sheetId="8914" refreshError="1"/>
      <sheetData sheetId="8915" refreshError="1"/>
      <sheetData sheetId="8916" refreshError="1"/>
      <sheetData sheetId="8917" refreshError="1"/>
      <sheetData sheetId="8918" refreshError="1"/>
      <sheetData sheetId="8919" refreshError="1"/>
      <sheetData sheetId="8920" refreshError="1"/>
      <sheetData sheetId="8921" refreshError="1"/>
      <sheetData sheetId="8922" refreshError="1"/>
      <sheetData sheetId="8923" refreshError="1"/>
      <sheetData sheetId="8924" refreshError="1"/>
      <sheetData sheetId="8925" refreshError="1"/>
      <sheetData sheetId="8926" refreshError="1"/>
      <sheetData sheetId="8927" refreshError="1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 refreshError="1"/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 refreshError="1"/>
      <sheetData sheetId="8960" refreshError="1"/>
      <sheetData sheetId="8961" refreshError="1"/>
      <sheetData sheetId="8962" refreshError="1"/>
      <sheetData sheetId="8963" refreshError="1"/>
      <sheetData sheetId="8964" refreshError="1"/>
      <sheetData sheetId="8965" refreshError="1"/>
      <sheetData sheetId="8966" refreshError="1"/>
      <sheetData sheetId="8967" refreshError="1"/>
      <sheetData sheetId="8968" refreshError="1"/>
      <sheetData sheetId="8969" refreshError="1"/>
      <sheetData sheetId="8970" refreshError="1"/>
      <sheetData sheetId="8971" refreshError="1"/>
      <sheetData sheetId="8972" refreshError="1"/>
      <sheetData sheetId="8973" refreshError="1"/>
      <sheetData sheetId="8974" refreshError="1"/>
      <sheetData sheetId="8975" refreshError="1"/>
      <sheetData sheetId="8976" refreshError="1"/>
      <sheetData sheetId="8977" refreshError="1"/>
      <sheetData sheetId="8978" refreshError="1"/>
      <sheetData sheetId="8979" refreshError="1"/>
      <sheetData sheetId="8980" refreshError="1"/>
      <sheetData sheetId="8981" refreshError="1"/>
      <sheetData sheetId="8982" refreshError="1"/>
      <sheetData sheetId="8983" refreshError="1"/>
      <sheetData sheetId="8984" refreshError="1"/>
      <sheetData sheetId="8985" refreshError="1"/>
      <sheetData sheetId="8986" refreshError="1"/>
      <sheetData sheetId="8987" refreshError="1"/>
      <sheetData sheetId="8988" refreshError="1"/>
      <sheetData sheetId="8989" refreshError="1"/>
      <sheetData sheetId="8990" refreshError="1"/>
      <sheetData sheetId="8991" refreshError="1"/>
      <sheetData sheetId="8992" refreshError="1"/>
      <sheetData sheetId="8993" refreshError="1"/>
      <sheetData sheetId="8994" refreshError="1"/>
      <sheetData sheetId="8995" refreshError="1"/>
      <sheetData sheetId="8996" refreshError="1"/>
      <sheetData sheetId="8997" refreshError="1"/>
      <sheetData sheetId="8998" refreshError="1"/>
      <sheetData sheetId="8999" refreshError="1"/>
      <sheetData sheetId="9000" refreshError="1"/>
      <sheetData sheetId="9001" refreshError="1"/>
      <sheetData sheetId="9002" refreshError="1"/>
      <sheetData sheetId="9003" refreshError="1"/>
      <sheetData sheetId="9004" refreshError="1"/>
      <sheetData sheetId="9005" refreshError="1"/>
      <sheetData sheetId="9006" refreshError="1"/>
      <sheetData sheetId="9007" refreshError="1"/>
      <sheetData sheetId="9008" refreshError="1"/>
      <sheetData sheetId="9009" refreshError="1"/>
      <sheetData sheetId="9010" refreshError="1"/>
      <sheetData sheetId="9011" refreshError="1"/>
      <sheetData sheetId="9012" refreshError="1"/>
      <sheetData sheetId="9013" refreshError="1"/>
      <sheetData sheetId="9014" refreshError="1"/>
      <sheetData sheetId="9015" refreshError="1"/>
      <sheetData sheetId="9016" refreshError="1"/>
      <sheetData sheetId="9017" refreshError="1"/>
      <sheetData sheetId="9018" refreshError="1"/>
      <sheetData sheetId="9019" refreshError="1"/>
      <sheetData sheetId="9020" refreshError="1"/>
      <sheetData sheetId="9021" refreshError="1"/>
      <sheetData sheetId="9022" refreshError="1"/>
      <sheetData sheetId="9023" refreshError="1"/>
      <sheetData sheetId="9024" refreshError="1"/>
      <sheetData sheetId="9025" refreshError="1"/>
      <sheetData sheetId="9026" refreshError="1"/>
      <sheetData sheetId="9027" refreshError="1"/>
      <sheetData sheetId="9028" refreshError="1"/>
      <sheetData sheetId="9029" refreshError="1"/>
      <sheetData sheetId="9030" refreshError="1"/>
      <sheetData sheetId="9031" refreshError="1"/>
      <sheetData sheetId="9032" refreshError="1"/>
      <sheetData sheetId="9033" refreshError="1"/>
      <sheetData sheetId="9034" refreshError="1"/>
      <sheetData sheetId="9035" refreshError="1"/>
      <sheetData sheetId="9036" refreshError="1"/>
      <sheetData sheetId="9037" refreshError="1"/>
      <sheetData sheetId="9038" refreshError="1"/>
      <sheetData sheetId="9039" refreshError="1"/>
      <sheetData sheetId="9040" refreshError="1"/>
      <sheetData sheetId="9041" refreshError="1"/>
      <sheetData sheetId="9042" refreshError="1"/>
      <sheetData sheetId="9043" refreshError="1"/>
      <sheetData sheetId="9044" refreshError="1"/>
      <sheetData sheetId="9045" refreshError="1"/>
      <sheetData sheetId="9046" refreshError="1"/>
      <sheetData sheetId="9047" refreshError="1"/>
      <sheetData sheetId="9048" refreshError="1"/>
      <sheetData sheetId="9049" refreshError="1"/>
      <sheetData sheetId="9050" refreshError="1"/>
      <sheetData sheetId="9051" refreshError="1"/>
      <sheetData sheetId="9052" refreshError="1"/>
      <sheetData sheetId="9053" refreshError="1"/>
      <sheetData sheetId="9054" refreshError="1"/>
      <sheetData sheetId="9055" refreshError="1"/>
      <sheetData sheetId="9056" refreshError="1"/>
      <sheetData sheetId="9057" refreshError="1"/>
      <sheetData sheetId="9058" refreshError="1"/>
      <sheetData sheetId="9059" refreshError="1"/>
      <sheetData sheetId="9060" refreshError="1"/>
      <sheetData sheetId="9061" refreshError="1"/>
      <sheetData sheetId="9062" refreshError="1"/>
      <sheetData sheetId="9063" refreshError="1"/>
      <sheetData sheetId="9064" refreshError="1"/>
      <sheetData sheetId="9065" refreshError="1"/>
      <sheetData sheetId="9066" refreshError="1"/>
      <sheetData sheetId="9067" refreshError="1"/>
      <sheetData sheetId="9068" refreshError="1"/>
      <sheetData sheetId="9069" refreshError="1"/>
      <sheetData sheetId="9070" refreshError="1"/>
      <sheetData sheetId="9071" refreshError="1"/>
      <sheetData sheetId="9072" refreshError="1"/>
      <sheetData sheetId="9073" refreshError="1"/>
      <sheetData sheetId="9074" refreshError="1"/>
      <sheetData sheetId="9075" refreshError="1"/>
      <sheetData sheetId="9076" refreshError="1"/>
      <sheetData sheetId="9077" refreshError="1"/>
      <sheetData sheetId="9078" refreshError="1"/>
      <sheetData sheetId="9079" refreshError="1"/>
      <sheetData sheetId="9080" refreshError="1"/>
      <sheetData sheetId="9081" refreshError="1"/>
      <sheetData sheetId="9082" refreshError="1"/>
      <sheetData sheetId="9083" refreshError="1"/>
      <sheetData sheetId="9084" refreshError="1"/>
      <sheetData sheetId="9085" refreshError="1"/>
      <sheetData sheetId="9086" refreshError="1"/>
      <sheetData sheetId="9087" refreshError="1"/>
      <sheetData sheetId="9088" refreshError="1"/>
      <sheetData sheetId="9089" refreshError="1"/>
      <sheetData sheetId="9090" refreshError="1"/>
      <sheetData sheetId="9091" refreshError="1"/>
      <sheetData sheetId="9092" refreshError="1"/>
      <sheetData sheetId="9093" refreshError="1"/>
      <sheetData sheetId="9094" refreshError="1"/>
      <sheetData sheetId="9095" refreshError="1"/>
      <sheetData sheetId="9096" refreshError="1"/>
      <sheetData sheetId="9097" refreshError="1"/>
      <sheetData sheetId="9098" refreshError="1"/>
      <sheetData sheetId="9099" refreshError="1"/>
      <sheetData sheetId="9100" refreshError="1"/>
      <sheetData sheetId="9101" refreshError="1"/>
      <sheetData sheetId="9102" refreshError="1"/>
      <sheetData sheetId="9103" refreshError="1"/>
      <sheetData sheetId="9104" refreshError="1"/>
      <sheetData sheetId="9105" refreshError="1"/>
      <sheetData sheetId="9106" refreshError="1"/>
      <sheetData sheetId="9107" refreshError="1"/>
      <sheetData sheetId="9108" refreshError="1"/>
      <sheetData sheetId="9109" refreshError="1"/>
      <sheetData sheetId="9110" refreshError="1"/>
      <sheetData sheetId="9111" refreshError="1"/>
      <sheetData sheetId="9112" refreshError="1"/>
      <sheetData sheetId="9113" refreshError="1"/>
      <sheetData sheetId="9114" refreshError="1"/>
      <sheetData sheetId="9115" refreshError="1"/>
      <sheetData sheetId="9116" refreshError="1"/>
      <sheetData sheetId="9117" refreshError="1"/>
      <sheetData sheetId="9118" refreshError="1"/>
      <sheetData sheetId="9119" refreshError="1"/>
      <sheetData sheetId="9120" refreshError="1"/>
      <sheetData sheetId="9121" refreshError="1"/>
      <sheetData sheetId="9122" refreshError="1"/>
      <sheetData sheetId="9123" refreshError="1"/>
      <sheetData sheetId="9124" refreshError="1"/>
      <sheetData sheetId="9125" refreshError="1"/>
      <sheetData sheetId="9126" refreshError="1"/>
      <sheetData sheetId="9127" refreshError="1"/>
      <sheetData sheetId="9128" refreshError="1"/>
      <sheetData sheetId="9129" refreshError="1"/>
      <sheetData sheetId="9130" refreshError="1"/>
      <sheetData sheetId="9131" refreshError="1"/>
      <sheetData sheetId="9132" refreshError="1"/>
      <sheetData sheetId="9133" refreshError="1"/>
      <sheetData sheetId="9134" refreshError="1"/>
      <sheetData sheetId="9135" refreshError="1"/>
      <sheetData sheetId="9136" refreshError="1"/>
      <sheetData sheetId="9137" refreshError="1"/>
      <sheetData sheetId="9138" refreshError="1"/>
      <sheetData sheetId="9139" refreshError="1"/>
      <sheetData sheetId="9140" refreshError="1"/>
      <sheetData sheetId="9141" refreshError="1"/>
      <sheetData sheetId="9142" refreshError="1"/>
      <sheetData sheetId="9143" refreshError="1"/>
      <sheetData sheetId="9144" refreshError="1"/>
      <sheetData sheetId="9145" refreshError="1"/>
      <sheetData sheetId="9146" refreshError="1"/>
      <sheetData sheetId="9147" refreshError="1"/>
      <sheetData sheetId="9148" refreshError="1"/>
      <sheetData sheetId="9149" refreshError="1"/>
      <sheetData sheetId="9150" refreshError="1"/>
      <sheetData sheetId="9151" refreshError="1"/>
      <sheetData sheetId="9152" refreshError="1"/>
      <sheetData sheetId="9153" refreshError="1"/>
      <sheetData sheetId="9154" refreshError="1"/>
      <sheetData sheetId="9155" refreshError="1"/>
      <sheetData sheetId="9156" refreshError="1"/>
      <sheetData sheetId="9157" refreshError="1"/>
      <sheetData sheetId="9158" refreshError="1"/>
      <sheetData sheetId="9159" refreshError="1"/>
      <sheetData sheetId="9160" refreshError="1"/>
      <sheetData sheetId="9161" refreshError="1"/>
      <sheetData sheetId="9162" refreshError="1"/>
      <sheetData sheetId="9163" refreshError="1"/>
      <sheetData sheetId="9164" refreshError="1"/>
      <sheetData sheetId="9165" refreshError="1"/>
      <sheetData sheetId="9166" refreshError="1"/>
      <sheetData sheetId="9167" refreshError="1"/>
      <sheetData sheetId="9168" refreshError="1"/>
      <sheetData sheetId="9169" refreshError="1"/>
      <sheetData sheetId="9170" refreshError="1"/>
      <sheetData sheetId="9171" refreshError="1"/>
      <sheetData sheetId="9172" refreshError="1"/>
      <sheetData sheetId="9173" refreshError="1"/>
      <sheetData sheetId="9174" refreshError="1"/>
      <sheetData sheetId="9175" refreshError="1"/>
      <sheetData sheetId="9176" refreshError="1"/>
      <sheetData sheetId="9177" refreshError="1"/>
      <sheetData sheetId="9178" refreshError="1"/>
      <sheetData sheetId="9179" refreshError="1"/>
      <sheetData sheetId="9180" refreshError="1"/>
      <sheetData sheetId="9181" refreshError="1"/>
      <sheetData sheetId="9182" refreshError="1"/>
      <sheetData sheetId="9183" refreshError="1"/>
      <sheetData sheetId="9184" refreshError="1"/>
      <sheetData sheetId="9185" refreshError="1"/>
      <sheetData sheetId="9186" refreshError="1"/>
      <sheetData sheetId="9187" refreshError="1"/>
      <sheetData sheetId="9188" refreshError="1"/>
      <sheetData sheetId="9189" refreshError="1"/>
      <sheetData sheetId="9190" refreshError="1"/>
      <sheetData sheetId="9191" refreshError="1"/>
      <sheetData sheetId="9192" refreshError="1"/>
      <sheetData sheetId="9193" refreshError="1"/>
      <sheetData sheetId="9194" refreshError="1"/>
      <sheetData sheetId="9195" refreshError="1"/>
      <sheetData sheetId="9196" refreshError="1"/>
      <sheetData sheetId="9197" refreshError="1"/>
      <sheetData sheetId="9198" refreshError="1"/>
      <sheetData sheetId="9199" refreshError="1"/>
      <sheetData sheetId="9200" refreshError="1"/>
      <sheetData sheetId="9201" refreshError="1"/>
      <sheetData sheetId="9202" refreshError="1"/>
      <sheetData sheetId="9203" refreshError="1"/>
      <sheetData sheetId="9204" refreshError="1"/>
      <sheetData sheetId="9205" refreshError="1"/>
      <sheetData sheetId="9206" refreshError="1"/>
      <sheetData sheetId="9207" refreshError="1"/>
      <sheetData sheetId="9208" refreshError="1"/>
      <sheetData sheetId="9209" refreshError="1"/>
      <sheetData sheetId="9210" refreshError="1"/>
      <sheetData sheetId="9211" refreshError="1"/>
      <sheetData sheetId="9212" refreshError="1"/>
      <sheetData sheetId="9213" refreshError="1"/>
      <sheetData sheetId="9214" refreshError="1"/>
      <sheetData sheetId="9215" refreshError="1"/>
      <sheetData sheetId="9216" refreshError="1"/>
      <sheetData sheetId="9217" refreshError="1"/>
      <sheetData sheetId="9218" refreshError="1"/>
      <sheetData sheetId="9219" refreshError="1"/>
      <sheetData sheetId="9220" refreshError="1"/>
      <sheetData sheetId="9221" refreshError="1"/>
      <sheetData sheetId="9222" refreshError="1"/>
      <sheetData sheetId="9223" refreshError="1"/>
      <sheetData sheetId="9224" refreshError="1"/>
      <sheetData sheetId="9225" refreshError="1"/>
      <sheetData sheetId="9226" refreshError="1"/>
      <sheetData sheetId="9227" refreshError="1"/>
      <sheetData sheetId="9228" refreshError="1"/>
      <sheetData sheetId="9229" refreshError="1"/>
      <sheetData sheetId="9230" refreshError="1"/>
      <sheetData sheetId="9231" refreshError="1"/>
      <sheetData sheetId="9232" refreshError="1"/>
      <sheetData sheetId="9233" refreshError="1"/>
      <sheetData sheetId="9234" refreshError="1"/>
      <sheetData sheetId="9235" refreshError="1"/>
      <sheetData sheetId="9236" refreshError="1"/>
      <sheetData sheetId="9237" refreshError="1"/>
      <sheetData sheetId="9238" refreshError="1"/>
      <sheetData sheetId="9239" refreshError="1"/>
      <sheetData sheetId="9240" refreshError="1"/>
      <sheetData sheetId="9241" refreshError="1"/>
      <sheetData sheetId="9242" refreshError="1"/>
      <sheetData sheetId="9243" refreshError="1"/>
      <sheetData sheetId="9244" refreshError="1"/>
      <sheetData sheetId="9245" refreshError="1"/>
      <sheetData sheetId="9246" refreshError="1"/>
      <sheetData sheetId="9247" refreshError="1"/>
      <sheetData sheetId="9248" refreshError="1"/>
      <sheetData sheetId="9249" refreshError="1"/>
      <sheetData sheetId="9250" refreshError="1"/>
      <sheetData sheetId="9251" refreshError="1"/>
      <sheetData sheetId="9252" refreshError="1"/>
      <sheetData sheetId="9253" refreshError="1"/>
      <sheetData sheetId="9254" refreshError="1"/>
      <sheetData sheetId="9255" refreshError="1"/>
      <sheetData sheetId="9256" refreshError="1"/>
      <sheetData sheetId="9257" refreshError="1"/>
      <sheetData sheetId="9258" refreshError="1"/>
      <sheetData sheetId="9259" refreshError="1"/>
      <sheetData sheetId="9260" refreshError="1"/>
      <sheetData sheetId="9261" refreshError="1"/>
      <sheetData sheetId="9262" refreshError="1"/>
      <sheetData sheetId="9263" refreshError="1"/>
      <sheetData sheetId="9264" refreshError="1"/>
      <sheetData sheetId="9265" refreshError="1"/>
      <sheetData sheetId="9266" refreshError="1"/>
      <sheetData sheetId="9267" refreshError="1"/>
      <sheetData sheetId="9268" refreshError="1"/>
      <sheetData sheetId="9269" refreshError="1"/>
      <sheetData sheetId="9270" refreshError="1"/>
      <sheetData sheetId="9271" refreshError="1"/>
      <sheetData sheetId="9272" refreshError="1"/>
      <sheetData sheetId="9273" refreshError="1"/>
      <sheetData sheetId="9274" refreshError="1"/>
      <sheetData sheetId="9275" refreshError="1"/>
      <sheetData sheetId="9276" refreshError="1"/>
      <sheetData sheetId="9277" refreshError="1"/>
      <sheetData sheetId="9278" refreshError="1"/>
      <sheetData sheetId="9279" refreshError="1"/>
      <sheetData sheetId="9280" refreshError="1"/>
      <sheetData sheetId="9281" refreshError="1"/>
      <sheetData sheetId="9282" refreshError="1"/>
      <sheetData sheetId="9283" refreshError="1"/>
      <sheetData sheetId="9284" refreshError="1"/>
      <sheetData sheetId="9285" refreshError="1"/>
      <sheetData sheetId="9286" refreshError="1"/>
      <sheetData sheetId="9287" refreshError="1"/>
      <sheetData sheetId="9288" refreshError="1"/>
      <sheetData sheetId="9289" refreshError="1"/>
      <sheetData sheetId="9290" refreshError="1"/>
      <sheetData sheetId="9291" refreshError="1"/>
      <sheetData sheetId="9292" refreshError="1"/>
      <sheetData sheetId="9293" refreshError="1"/>
      <sheetData sheetId="9294" refreshError="1"/>
      <sheetData sheetId="9295" refreshError="1"/>
      <sheetData sheetId="9296" refreshError="1"/>
      <sheetData sheetId="9297" refreshError="1"/>
      <sheetData sheetId="9298" refreshError="1"/>
      <sheetData sheetId="9299" refreshError="1"/>
      <sheetData sheetId="9300" refreshError="1"/>
      <sheetData sheetId="9301" refreshError="1"/>
      <sheetData sheetId="9302" refreshError="1"/>
      <sheetData sheetId="9303" refreshError="1"/>
      <sheetData sheetId="9304" refreshError="1"/>
      <sheetData sheetId="9305" refreshError="1"/>
      <sheetData sheetId="9306" refreshError="1"/>
      <sheetData sheetId="9307" refreshError="1"/>
      <sheetData sheetId="9308" refreshError="1"/>
      <sheetData sheetId="9309" refreshError="1"/>
      <sheetData sheetId="9310" refreshError="1"/>
      <sheetData sheetId="9311" refreshError="1"/>
      <sheetData sheetId="9312" refreshError="1"/>
      <sheetData sheetId="9313" refreshError="1"/>
      <sheetData sheetId="9314" refreshError="1"/>
      <sheetData sheetId="9315" refreshError="1"/>
      <sheetData sheetId="9316" refreshError="1"/>
      <sheetData sheetId="9317" refreshError="1"/>
      <sheetData sheetId="9318" refreshError="1"/>
      <sheetData sheetId="9319" refreshError="1"/>
      <sheetData sheetId="9320" refreshError="1"/>
      <sheetData sheetId="9321" refreshError="1"/>
      <sheetData sheetId="9322" refreshError="1"/>
      <sheetData sheetId="9323" refreshError="1"/>
      <sheetData sheetId="9324" refreshError="1"/>
      <sheetData sheetId="9325" refreshError="1"/>
      <sheetData sheetId="9326" refreshError="1"/>
      <sheetData sheetId="9327" refreshError="1"/>
      <sheetData sheetId="9328" refreshError="1"/>
      <sheetData sheetId="9329" refreshError="1"/>
      <sheetData sheetId="9330" refreshError="1"/>
      <sheetData sheetId="9331" refreshError="1"/>
      <sheetData sheetId="9332" refreshError="1"/>
      <sheetData sheetId="9333" refreshError="1"/>
      <sheetData sheetId="9334" refreshError="1"/>
      <sheetData sheetId="9335" refreshError="1"/>
      <sheetData sheetId="9336" refreshError="1"/>
      <sheetData sheetId="9337" refreshError="1"/>
      <sheetData sheetId="9338" refreshError="1"/>
      <sheetData sheetId="9339" refreshError="1"/>
      <sheetData sheetId="9340" refreshError="1"/>
      <sheetData sheetId="9341" refreshError="1"/>
      <sheetData sheetId="9342" refreshError="1"/>
      <sheetData sheetId="9343" refreshError="1"/>
      <sheetData sheetId="9344" refreshError="1"/>
      <sheetData sheetId="9345" refreshError="1"/>
      <sheetData sheetId="9346" refreshError="1"/>
      <sheetData sheetId="9347" refreshError="1"/>
      <sheetData sheetId="9348" refreshError="1"/>
      <sheetData sheetId="9349" refreshError="1"/>
      <sheetData sheetId="9350" refreshError="1"/>
      <sheetData sheetId="9351" refreshError="1"/>
      <sheetData sheetId="9352" refreshError="1"/>
      <sheetData sheetId="9353" refreshError="1"/>
      <sheetData sheetId="9354" refreshError="1"/>
      <sheetData sheetId="9355" refreshError="1"/>
      <sheetData sheetId="9356" refreshError="1"/>
      <sheetData sheetId="9357" refreshError="1"/>
      <sheetData sheetId="9358" refreshError="1"/>
      <sheetData sheetId="9359" refreshError="1"/>
      <sheetData sheetId="9360" refreshError="1"/>
      <sheetData sheetId="9361" refreshError="1"/>
      <sheetData sheetId="9362" refreshError="1"/>
      <sheetData sheetId="9363" refreshError="1"/>
      <sheetData sheetId="9364" refreshError="1"/>
      <sheetData sheetId="9365" refreshError="1"/>
      <sheetData sheetId="9366" refreshError="1"/>
      <sheetData sheetId="9367" refreshError="1"/>
      <sheetData sheetId="9368" refreshError="1"/>
      <sheetData sheetId="9369" refreshError="1"/>
      <sheetData sheetId="9370" refreshError="1"/>
      <sheetData sheetId="9371" refreshError="1"/>
      <sheetData sheetId="9372" refreshError="1"/>
      <sheetData sheetId="9373" refreshError="1"/>
      <sheetData sheetId="9374" refreshError="1"/>
      <sheetData sheetId="9375" refreshError="1"/>
      <sheetData sheetId="9376" refreshError="1"/>
      <sheetData sheetId="9377" refreshError="1"/>
      <sheetData sheetId="9378" refreshError="1"/>
      <sheetData sheetId="9379" refreshError="1"/>
      <sheetData sheetId="9380" refreshError="1"/>
      <sheetData sheetId="9381" refreshError="1"/>
      <sheetData sheetId="9382" refreshError="1"/>
      <sheetData sheetId="9383" refreshError="1"/>
      <sheetData sheetId="9384" refreshError="1"/>
      <sheetData sheetId="9385" refreshError="1"/>
      <sheetData sheetId="9386" refreshError="1"/>
      <sheetData sheetId="9387" refreshError="1"/>
      <sheetData sheetId="9388" refreshError="1"/>
      <sheetData sheetId="9389" refreshError="1"/>
      <sheetData sheetId="9390" refreshError="1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 refreshError="1"/>
      <sheetData sheetId="9410" refreshError="1"/>
      <sheetData sheetId="9411" refreshError="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 refreshError="1"/>
      <sheetData sheetId="9420" refreshError="1"/>
      <sheetData sheetId="9421" refreshError="1"/>
      <sheetData sheetId="9422" refreshError="1"/>
      <sheetData sheetId="9423" refreshError="1"/>
      <sheetData sheetId="9424" refreshError="1"/>
      <sheetData sheetId="9425" refreshError="1"/>
      <sheetData sheetId="9426" refreshError="1"/>
      <sheetData sheetId="9427" refreshError="1"/>
      <sheetData sheetId="9428" refreshError="1"/>
      <sheetData sheetId="9429" refreshError="1"/>
      <sheetData sheetId="9430" refreshError="1"/>
      <sheetData sheetId="9431" refreshError="1"/>
      <sheetData sheetId="9432" refreshError="1"/>
      <sheetData sheetId="9433" refreshError="1"/>
      <sheetData sheetId="9434" refreshError="1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 refreshError="1"/>
      <sheetData sheetId="10251" refreshError="1"/>
      <sheetData sheetId="10252" refreshError="1"/>
      <sheetData sheetId="10253" refreshError="1"/>
      <sheetData sheetId="10254" refreshError="1"/>
      <sheetData sheetId="10255" refreshError="1"/>
      <sheetData sheetId="10256" refreshError="1"/>
      <sheetData sheetId="10257" refreshError="1"/>
      <sheetData sheetId="10258" refreshError="1"/>
      <sheetData sheetId="10259" refreshError="1"/>
      <sheetData sheetId="10260" refreshError="1"/>
      <sheetData sheetId="10261" refreshError="1"/>
      <sheetData sheetId="10262" refreshError="1"/>
      <sheetData sheetId="10263" refreshError="1"/>
      <sheetData sheetId="10264" refreshError="1"/>
      <sheetData sheetId="10265" refreshError="1"/>
      <sheetData sheetId="10266" refreshError="1"/>
      <sheetData sheetId="10267" refreshError="1"/>
      <sheetData sheetId="10268" refreshError="1"/>
      <sheetData sheetId="10269" refreshError="1"/>
      <sheetData sheetId="10270" refreshError="1"/>
      <sheetData sheetId="10271" refreshError="1"/>
      <sheetData sheetId="10272" refreshError="1"/>
      <sheetData sheetId="10273" refreshError="1"/>
      <sheetData sheetId="10274" refreshError="1"/>
      <sheetData sheetId="10275" refreshError="1"/>
      <sheetData sheetId="10276" refreshError="1"/>
      <sheetData sheetId="10277" refreshError="1"/>
      <sheetData sheetId="10278" refreshError="1"/>
      <sheetData sheetId="10279" refreshError="1"/>
      <sheetData sheetId="10280" refreshError="1"/>
      <sheetData sheetId="10281" refreshError="1"/>
      <sheetData sheetId="10282" refreshError="1"/>
      <sheetData sheetId="10283" refreshError="1"/>
      <sheetData sheetId="10284" refreshError="1"/>
      <sheetData sheetId="10285" refreshError="1"/>
      <sheetData sheetId="10286" refreshError="1"/>
      <sheetData sheetId="10287" refreshError="1"/>
      <sheetData sheetId="10288" refreshError="1"/>
      <sheetData sheetId="10289" refreshError="1"/>
      <sheetData sheetId="10290" refreshError="1"/>
      <sheetData sheetId="10291" refreshError="1"/>
      <sheetData sheetId="10292" refreshError="1"/>
      <sheetData sheetId="10293" refreshError="1"/>
      <sheetData sheetId="10294" refreshError="1"/>
      <sheetData sheetId="10295" refreshError="1"/>
      <sheetData sheetId="10296" refreshError="1"/>
      <sheetData sheetId="10297" refreshError="1"/>
      <sheetData sheetId="10298" refreshError="1"/>
      <sheetData sheetId="10299" refreshError="1"/>
      <sheetData sheetId="10300" refreshError="1"/>
      <sheetData sheetId="10301" refreshError="1"/>
      <sheetData sheetId="10302" refreshError="1"/>
      <sheetData sheetId="10303" refreshError="1"/>
      <sheetData sheetId="10304" refreshError="1"/>
      <sheetData sheetId="10305" refreshError="1"/>
      <sheetData sheetId="10306" refreshError="1"/>
      <sheetData sheetId="10307" refreshError="1"/>
      <sheetData sheetId="10308" refreshError="1"/>
      <sheetData sheetId="10309" refreshError="1"/>
      <sheetData sheetId="10310" refreshError="1"/>
      <sheetData sheetId="10311" refreshError="1"/>
      <sheetData sheetId="10312" refreshError="1"/>
      <sheetData sheetId="10313" refreshError="1"/>
      <sheetData sheetId="10314" refreshError="1"/>
      <sheetData sheetId="10315" refreshError="1"/>
      <sheetData sheetId="10316" refreshError="1"/>
      <sheetData sheetId="10317" refreshError="1"/>
      <sheetData sheetId="10318" refreshError="1"/>
      <sheetData sheetId="10319" refreshError="1"/>
      <sheetData sheetId="10320" refreshError="1"/>
      <sheetData sheetId="10321" refreshError="1"/>
      <sheetData sheetId="10322" refreshError="1"/>
      <sheetData sheetId="10323" refreshError="1"/>
      <sheetData sheetId="10324" refreshError="1"/>
      <sheetData sheetId="10325" refreshError="1"/>
      <sheetData sheetId="10326" refreshError="1"/>
      <sheetData sheetId="10327" refreshError="1"/>
      <sheetData sheetId="10328" refreshError="1"/>
      <sheetData sheetId="10329" refreshError="1"/>
      <sheetData sheetId="10330" refreshError="1"/>
      <sheetData sheetId="10331" refreshError="1"/>
      <sheetData sheetId="10332" refreshError="1"/>
      <sheetData sheetId="10333" refreshError="1"/>
      <sheetData sheetId="10334" refreshError="1"/>
      <sheetData sheetId="10335" refreshError="1"/>
      <sheetData sheetId="10336" refreshError="1"/>
      <sheetData sheetId="10337" refreshError="1"/>
      <sheetData sheetId="10338" refreshError="1"/>
      <sheetData sheetId="10339" refreshError="1"/>
      <sheetData sheetId="10340" refreshError="1"/>
      <sheetData sheetId="10341" refreshError="1"/>
      <sheetData sheetId="10342" refreshError="1"/>
      <sheetData sheetId="10343" refreshError="1"/>
      <sheetData sheetId="10344" refreshError="1"/>
      <sheetData sheetId="10345" refreshError="1"/>
      <sheetData sheetId="10346" refreshError="1"/>
      <sheetData sheetId="10347" refreshError="1"/>
      <sheetData sheetId="10348" refreshError="1"/>
      <sheetData sheetId="10349" refreshError="1"/>
      <sheetData sheetId="10350" refreshError="1"/>
      <sheetData sheetId="10351" refreshError="1"/>
      <sheetData sheetId="10352" refreshError="1"/>
      <sheetData sheetId="10353" refreshError="1"/>
      <sheetData sheetId="10354" refreshError="1"/>
      <sheetData sheetId="10355" refreshError="1"/>
      <sheetData sheetId="10356" refreshError="1"/>
      <sheetData sheetId="10357" refreshError="1"/>
      <sheetData sheetId="10358" refreshError="1"/>
      <sheetData sheetId="10359" refreshError="1"/>
      <sheetData sheetId="10360" refreshError="1"/>
      <sheetData sheetId="10361" refreshError="1"/>
      <sheetData sheetId="10362" refreshError="1"/>
      <sheetData sheetId="10363" refreshError="1"/>
      <sheetData sheetId="10364" refreshError="1"/>
      <sheetData sheetId="10365" refreshError="1"/>
      <sheetData sheetId="10366" refreshError="1"/>
      <sheetData sheetId="10367" refreshError="1"/>
      <sheetData sheetId="10368" refreshError="1"/>
      <sheetData sheetId="10369" refreshError="1"/>
      <sheetData sheetId="10370" refreshError="1"/>
      <sheetData sheetId="10371" refreshError="1"/>
      <sheetData sheetId="10372" refreshError="1"/>
      <sheetData sheetId="10373" refreshError="1"/>
      <sheetData sheetId="10374" refreshError="1"/>
      <sheetData sheetId="10375" refreshError="1"/>
      <sheetData sheetId="10376" refreshError="1"/>
      <sheetData sheetId="10377" refreshError="1"/>
      <sheetData sheetId="10378" refreshError="1"/>
      <sheetData sheetId="10379" refreshError="1"/>
      <sheetData sheetId="10380" refreshError="1"/>
      <sheetData sheetId="10381" refreshError="1"/>
      <sheetData sheetId="10382" refreshError="1"/>
      <sheetData sheetId="10383" refreshError="1"/>
      <sheetData sheetId="10384" refreshError="1"/>
      <sheetData sheetId="10385" refreshError="1"/>
      <sheetData sheetId="10386" refreshError="1"/>
      <sheetData sheetId="10387" refreshError="1"/>
      <sheetData sheetId="10388" refreshError="1"/>
      <sheetData sheetId="10389" refreshError="1"/>
      <sheetData sheetId="10390" refreshError="1"/>
      <sheetData sheetId="10391" refreshError="1"/>
      <sheetData sheetId="10392" refreshError="1"/>
      <sheetData sheetId="10393" refreshError="1"/>
      <sheetData sheetId="10394" refreshError="1"/>
      <sheetData sheetId="10395" refreshError="1"/>
      <sheetData sheetId="10396" refreshError="1"/>
      <sheetData sheetId="10397" refreshError="1"/>
      <sheetData sheetId="10398" refreshError="1"/>
      <sheetData sheetId="10399" refreshError="1"/>
      <sheetData sheetId="10400" refreshError="1"/>
      <sheetData sheetId="10401" refreshError="1"/>
      <sheetData sheetId="10402" refreshError="1"/>
      <sheetData sheetId="10403" refreshError="1"/>
      <sheetData sheetId="10404" refreshError="1"/>
      <sheetData sheetId="10405" refreshError="1"/>
      <sheetData sheetId="10406" refreshError="1"/>
      <sheetData sheetId="10407" refreshError="1"/>
      <sheetData sheetId="10408" refreshError="1"/>
      <sheetData sheetId="10409" refreshError="1"/>
      <sheetData sheetId="10410" refreshError="1"/>
      <sheetData sheetId="10411" refreshError="1"/>
      <sheetData sheetId="10412" refreshError="1"/>
      <sheetData sheetId="10413" refreshError="1"/>
      <sheetData sheetId="10414" refreshError="1"/>
      <sheetData sheetId="10415" refreshError="1"/>
      <sheetData sheetId="10416" refreshError="1"/>
      <sheetData sheetId="10417" refreshError="1"/>
      <sheetData sheetId="10418" refreshError="1"/>
      <sheetData sheetId="10419" refreshError="1"/>
      <sheetData sheetId="10420" refreshError="1"/>
      <sheetData sheetId="10421" refreshError="1"/>
      <sheetData sheetId="10422" refreshError="1"/>
      <sheetData sheetId="10423" refreshError="1"/>
      <sheetData sheetId="10424" refreshError="1"/>
      <sheetData sheetId="10425" refreshError="1"/>
      <sheetData sheetId="10426" refreshError="1"/>
      <sheetData sheetId="10427" refreshError="1"/>
      <sheetData sheetId="10428" refreshError="1"/>
      <sheetData sheetId="10429" refreshError="1"/>
      <sheetData sheetId="10430" refreshError="1"/>
      <sheetData sheetId="10431" refreshError="1"/>
      <sheetData sheetId="10432" refreshError="1"/>
      <sheetData sheetId="10433" refreshError="1"/>
      <sheetData sheetId="10434" refreshError="1"/>
      <sheetData sheetId="10435" refreshError="1"/>
      <sheetData sheetId="10436" refreshError="1"/>
      <sheetData sheetId="10437" refreshError="1"/>
      <sheetData sheetId="10438" refreshError="1"/>
      <sheetData sheetId="10439" refreshError="1"/>
      <sheetData sheetId="10440" refreshError="1"/>
      <sheetData sheetId="10441" refreshError="1"/>
      <sheetData sheetId="10442" refreshError="1"/>
      <sheetData sheetId="10443" refreshError="1"/>
      <sheetData sheetId="10444" refreshError="1"/>
      <sheetData sheetId="10445" refreshError="1"/>
      <sheetData sheetId="10446" refreshError="1"/>
      <sheetData sheetId="10447" refreshError="1"/>
      <sheetData sheetId="10448" refreshError="1"/>
      <sheetData sheetId="10449" refreshError="1"/>
      <sheetData sheetId="10450" refreshError="1"/>
      <sheetData sheetId="10451" refreshError="1"/>
      <sheetData sheetId="10452" refreshError="1"/>
      <sheetData sheetId="10453" refreshError="1"/>
      <sheetData sheetId="10454" refreshError="1"/>
      <sheetData sheetId="10455" refreshError="1"/>
      <sheetData sheetId="10456" refreshError="1"/>
      <sheetData sheetId="10457" refreshError="1"/>
      <sheetData sheetId="10458" refreshError="1"/>
      <sheetData sheetId="10459" refreshError="1"/>
      <sheetData sheetId="10460" refreshError="1"/>
      <sheetData sheetId="10461" refreshError="1"/>
      <sheetData sheetId="10462" refreshError="1"/>
      <sheetData sheetId="10463" refreshError="1"/>
      <sheetData sheetId="10464" refreshError="1"/>
      <sheetData sheetId="10465" refreshError="1"/>
      <sheetData sheetId="10466" refreshError="1"/>
      <sheetData sheetId="10467" refreshError="1"/>
      <sheetData sheetId="10468" refreshError="1"/>
      <sheetData sheetId="10469" refreshError="1"/>
      <sheetData sheetId="10470" refreshError="1"/>
      <sheetData sheetId="10471" refreshError="1"/>
      <sheetData sheetId="10472" refreshError="1"/>
      <sheetData sheetId="10473" refreshError="1"/>
      <sheetData sheetId="10474" refreshError="1"/>
      <sheetData sheetId="10475" refreshError="1"/>
      <sheetData sheetId="10476" refreshError="1"/>
      <sheetData sheetId="10477" refreshError="1"/>
      <sheetData sheetId="10478" refreshError="1"/>
      <sheetData sheetId="10479" refreshError="1"/>
      <sheetData sheetId="10480" refreshError="1"/>
      <sheetData sheetId="10481" refreshError="1"/>
      <sheetData sheetId="10482" refreshError="1"/>
      <sheetData sheetId="10483" refreshError="1"/>
      <sheetData sheetId="10484" refreshError="1"/>
      <sheetData sheetId="10485" refreshError="1"/>
      <sheetData sheetId="10486" refreshError="1"/>
      <sheetData sheetId="10487" refreshError="1"/>
      <sheetData sheetId="10488" refreshError="1"/>
      <sheetData sheetId="10489" refreshError="1"/>
      <sheetData sheetId="10490" refreshError="1"/>
      <sheetData sheetId="10491" refreshError="1"/>
      <sheetData sheetId="10492" refreshError="1"/>
      <sheetData sheetId="10493" refreshError="1"/>
      <sheetData sheetId="10494" refreshError="1"/>
      <sheetData sheetId="10495" refreshError="1"/>
      <sheetData sheetId="10496" refreshError="1"/>
      <sheetData sheetId="10497" refreshError="1"/>
      <sheetData sheetId="10498" refreshError="1"/>
      <sheetData sheetId="10499" refreshError="1"/>
      <sheetData sheetId="10500" refreshError="1"/>
      <sheetData sheetId="10501" refreshError="1"/>
      <sheetData sheetId="10502" refreshError="1"/>
      <sheetData sheetId="10503" refreshError="1"/>
      <sheetData sheetId="10504" refreshError="1"/>
      <sheetData sheetId="10505" refreshError="1"/>
      <sheetData sheetId="10506" refreshError="1"/>
      <sheetData sheetId="10507" refreshError="1"/>
      <sheetData sheetId="10508" refreshError="1"/>
      <sheetData sheetId="10509" refreshError="1"/>
      <sheetData sheetId="10510" refreshError="1"/>
      <sheetData sheetId="10511" refreshError="1"/>
      <sheetData sheetId="10512" refreshError="1"/>
      <sheetData sheetId="10513" refreshError="1"/>
      <sheetData sheetId="10514" refreshError="1"/>
      <sheetData sheetId="10515" refreshError="1"/>
      <sheetData sheetId="10516" refreshError="1"/>
      <sheetData sheetId="10517" refreshError="1"/>
      <sheetData sheetId="10518" refreshError="1"/>
      <sheetData sheetId="10519" refreshError="1"/>
      <sheetData sheetId="10520" refreshError="1"/>
      <sheetData sheetId="10521" refreshError="1"/>
      <sheetData sheetId="10522" refreshError="1"/>
      <sheetData sheetId="10523" refreshError="1"/>
      <sheetData sheetId="10524" refreshError="1"/>
      <sheetData sheetId="10525" refreshError="1"/>
      <sheetData sheetId="10526" refreshError="1"/>
      <sheetData sheetId="10527" refreshError="1"/>
      <sheetData sheetId="10528" refreshError="1"/>
      <sheetData sheetId="10529" refreshError="1"/>
      <sheetData sheetId="10530" refreshError="1"/>
      <sheetData sheetId="10531" refreshError="1"/>
      <sheetData sheetId="10532" refreshError="1"/>
      <sheetData sheetId="10533" refreshError="1"/>
      <sheetData sheetId="10534" refreshError="1"/>
      <sheetData sheetId="10535" refreshError="1"/>
      <sheetData sheetId="10536" refreshError="1"/>
      <sheetData sheetId="10537" refreshError="1"/>
      <sheetData sheetId="10538" refreshError="1"/>
      <sheetData sheetId="10539" refreshError="1"/>
      <sheetData sheetId="10540" refreshError="1"/>
      <sheetData sheetId="10541" refreshError="1"/>
      <sheetData sheetId="10542" refreshError="1"/>
      <sheetData sheetId="10543" refreshError="1"/>
      <sheetData sheetId="10544" refreshError="1"/>
      <sheetData sheetId="10545" refreshError="1"/>
      <sheetData sheetId="10546" refreshError="1"/>
      <sheetData sheetId="10547" refreshError="1"/>
      <sheetData sheetId="10548" refreshError="1"/>
      <sheetData sheetId="10549" refreshError="1"/>
      <sheetData sheetId="10550" refreshError="1"/>
      <sheetData sheetId="10551" refreshError="1"/>
      <sheetData sheetId="10552" refreshError="1"/>
      <sheetData sheetId="10553" refreshError="1"/>
      <sheetData sheetId="10554" refreshError="1"/>
      <sheetData sheetId="10555" refreshError="1"/>
      <sheetData sheetId="10556" refreshError="1"/>
      <sheetData sheetId="10557" refreshError="1"/>
      <sheetData sheetId="10558" refreshError="1"/>
      <sheetData sheetId="10559" refreshError="1"/>
      <sheetData sheetId="10560" refreshError="1"/>
      <sheetData sheetId="10561" refreshError="1"/>
      <sheetData sheetId="10562" refreshError="1"/>
      <sheetData sheetId="10563" refreshError="1"/>
      <sheetData sheetId="10564" refreshError="1"/>
      <sheetData sheetId="10565" refreshError="1"/>
      <sheetData sheetId="10566" refreshError="1"/>
      <sheetData sheetId="10567" refreshError="1"/>
      <sheetData sheetId="10568" refreshError="1"/>
      <sheetData sheetId="10569" refreshError="1"/>
      <sheetData sheetId="10570" refreshError="1"/>
      <sheetData sheetId="10571" refreshError="1"/>
      <sheetData sheetId="10572" refreshError="1"/>
      <sheetData sheetId="10573" refreshError="1"/>
      <sheetData sheetId="10574" refreshError="1"/>
      <sheetData sheetId="10575" refreshError="1"/>
      <sheetData sheetId="10576" refreshError="1"/>
      <sheetData sheetId="10577" refreshError="1"/>
      <sheetData sheetId="10578" refreshError="1"/>
      <sheetData sheetId="10579" refreshError="1"/>
      <sheetData sheetId="10580" refreshError="1"/>
      <sheetData sheetId="10581" refreshError="1"/>
      <sheetData sheetId="10582" refreshError="1"/>
      <sheetData sheetId="10583" refreshError="1"/>
      <sheetData sheetId="10584" refreshError="1"/>
      <sheetData sheetId="10585" refreshError="1"/>
      <sheetData sheetId="10586" refreshError="1"/>
      <sheetData sheetId="10587" refreshError="1"/>
      <sheetData sheetId="10588" refreshError="1"/>
      <sheetData sheetId="10589" refreshError="1"/>
      <sheetData sheetId="10590" refreshError="1"/>
      <sheetData sheetId="10591" refreshError="1"/>
      <sheetData sheetId="10592" refreshError="1"/>
      <sheetData sheetId="10593" refreshError="1"/>
      <sheetData sheetId="10594" refreshError="1"/>
      <sheetData sheetId="10595" refreshError="1"/>
      <sheetData sheetId="10596" refreshError="1"/>
      <sheetData sheetId="10597" refreshError="1"/>
      <sheetData sheetId="10598" refreshError="1"/>
      <sheetData sheetId="10599" refreshError="1"/>
      <sheetData sheetId="10600" refreshError="1"/>
      <sheetData sheetId="10601" refreshError="1"/>
      <sheetData sheetId="10602" refreshError="1"/>
      <sheetData sheetId="10603" refreshError="1"/>
      <sheetData sheetId="10604" refreshError="1"/>
      <sheetData sheetId="10605" refreshError="1"/>
      <sheetData sheetId="10606" refreshError="1"/>
      <sheetData sheetId="10607" refreshError="1"/>
      <sheetData sheetId="10608" refreshError="1"/>
      <sheetData sheetId="10609" refreshError="1"/>
      <sheetData sheetId="10610" refreshError="1"/>
      <sheetData sheetId="10611" refreshError="1"/>
      <sheetData sheetId="10612" refreshError="1"/>
      <sheetData sheetId="10613" refreshError="1"/>
      <sheetData sheetId="10614" refreshError="1"/>
      <sheetData sheetId="10615" refreshError="1"/>
      <sheetData sheetId="10616" refreshError="1"/>
      <sheetData sheetId="10617" refreshError="1"/>
      <sheetData sheetId="10618" refreshError="1"/>
      <sheetData sheetId="10619" refreshError="1"/>
      <sheetData sheetId="10620" refreshError="1"/>
      <sheetData sheetId="10621" refreshError="1"/>
      <sheetData sheetId="10622" refreshError="1"/>
      <sheetData sheetId="10623" refreshError="1"/>
      <sheetData sheetId="10624" refreshError="1"/>
      <sheetData sheetId="10625" refreshError="1"/>
      <sheetData sheetId="10626" refreshError="1"/>
      <sheetData sheetId="10627" refreshError="1"/>
      <sheetData sheetId="10628" refreshError="1"/>
      <sheetData sheetId="10629" refreshError="1"/>
      <sheetData sheetId="10630" refreshError="1"/>
      <sheetData sheetId="10631" refreshError="1"/>
      <sheetData sheetId="10632" refreshError="1"/>
      <sheetData sheetId="10633" refreshError="1"/>
      <sheetData sheetId="10634" refreshError="1"/>
      <sheetData sheetId="10635" refreshError="1"/>
      <sheetData sheetId="10636" refreshError="1"/>
      <sheetData sheetId="10637" refreshError="1"/>
      <sheetData sheetId="10638" refreshError="1"/>
      <sheetData sheetId="10639" refreshError="1"/>
      <sheetData sheetId="10640" refreshError="1"/>
      <sheetData sheetId="10641" refreshError="1"/>
      <sheetData sheetId="10642" refreshError="1"/>
      <sheetData sheetId="10643" refreshError="1"/>
      <sheetData sheetId="10644" refreshError="1"/>
      <sheetData sheetId="10645" refreshError="1"/>
      <sheetData sheetId="10646" refreshError="1"/>
      <sheetData sheetId="10647" refreshError="1"/>
      <sheetData sheetId="10648" refreshError="1"/>
      <sheetData sheetId="10649" refreshError="1"/>
      <sheetData sheetId="10650" refreshError="1"/>
      <sheetData sheetId="10651" refreshError="1"/>
      <sheetData sheetId="10652" refreshError="1"/>
      <sheetData sheetId="10653" refreshError="1"/>
      <sheetData sheetId="10654" refreshError="1"/>
      <sheetData sheetId="10655" refreshError="1"/>
      <sheetData sheetId="10656" refreshError="1"/>
      <sheetData sheetId="10657" refreshError="1"/>
      <sheetData sheetId="10658" refreshError="1"/>
      <sheetData sheetId="10659" refreshError="1"/>
      <sheetData sheetId="10660" refreshError="1"/>
      <sheetData sheetId="10661" refreshError="1"/>
      <sheetData sheetId="10662" refreshError="1"/>
      <sheetData sheetId="10663" refreshError="1"/>
      <sheetData sheetId="10664" refreshError="1"/>
      <sheetData sheetId="10665" refreshError="1"/>
      <sheetData sheetId="10666" refreshError="1"/>
      <sheetData sheetId="10667" refreshError="1"/>
      <sheetData sheetId="10668" refreshError="1"/>
      <sheetData sheetId="10669" refreshError="1"/>
      <sheetData sheetId="10670" refreshError="1"/>
      <sheetData sheetId="10671" refreshError="1"/>
      <sheetData sheetId="10672" refreshError="1"/>
      <sheetData sheetId="10673" refreshError="1"/>
      <sheetData sheetId="10674" refreshError="1"/>
      <sheetData sheetId="10675" refreshError="1"/>
      <sheetData sheetId="10676" refreshError="1"/>
      <sheetData sheetId="10677" refreshError="1"/>
      <sheetData sheetId="10678" refreshError="1"/>
      <sheetData sheetId="10679" refreshError="1"/>
      <sheetData sheetId="10680" refreshError="1"/>
      <sheetData sheetId="10681" refreshError="1"/>
      <sheetData sheetId="10682" refreshError="1"/>
      <sheetData sheetId="10683" refreshError="1"/>
      <sheetData sheetId="10684" refreshError="1"/>
      <sheetData sheetId="10685" refreshError="1"/>
      <sheetData sheetId="10686" refreshError="1"/>
      <sheetData sheetId="10687" refreshError="1"/>
      <sheetData sheetId="10688" refreshError="1"/>
      <sheetData sheetId="10689" refreshError="1"/>
      <sheetData sheetId="10690" refreshError="1"/>
      <sheetData sheetId="10691" refreshError="1"/>
      <sheetData sheetId="10692" refreshError="1"/>
      <sheetData sheetId="10693" refreshError="1"/>
      <sheetData sheetId="10694" refreshError="1"/>
      <sheetData sheetId="10695" refreshError="1"/>
      <sheetData sheetId="10696" refreshError="1"/>
      <sheetData sheetId="10697" refreshError="1"/>
      <sheetData sheetId="10698" refreshError="1"/>
      <sheetData sheetId="10699" refreshError="1"/>
      <sheetData sheetId="10700" refreshError="1"/>
      <sheetData sheetId="10701" refreshError="1"/>
      <sheetData sheetId="10702" refreshError="1"/>
      <sheetData sheetId="10703" refreshError="1"/>
      <sheetData sheetId="10704" refreshError="1"/>
      <sheetData sheetId="10705" refreshError="1"/>
      <sheetData sheetId="10706" refreshError="1"/>
      <sheetData sheetId="10707" refreshError="1"/>
      <sheetData sheetId="10708" refreshError="1"/>
      <sheetData sheetId="10709" refreshError="1"/>
      <sheetData sheetId="10710" refreshError="1"/>
      <sheetData sheetId="10711" refreshError="1"/>
      <sheetData sheetId="10712" refreshError="1"/>
      <sheetData sheetId="10713" refreshError="1"/>
      <sheetData sheetId="10714" refreshError="1"/>
      <sheetData sheetId="10715" refreshError="1"/>
      <sheetData sheetId="10716" refreshError="1"/>
      <sheetData sheetId="10717" refreshError="1"/>
      <sheetData sheetId="10718" refreshError="1"/>
      <sheetData sheetId="10719" refreshError="1"/>
      <sheetData sheetId="10720" refreshError="1"/>
      <sheetData sheetId="10721" refreshError="1"/>
      <sheetData sheetId="10722" refreshError="1"/>
      <sheetData sheetId="10723" refreshError="1"/>
      <sheetData sheetId="10724" refreshError="1"/>
      <sheetData sheetId="10725" refreshError="1"/>
      <sheetData sheetId="10726" refreshError="1"/>
      <sheetData sheetId="10727" refreshError="1"/>
      <sheetData sheetId="10728" refreshError="1"/>
      <sheetData sheetId="10729" refreshError="1"/>
      <sheetData sheetId="10730" refreshError="1"/>
      <sheetData sheetId="10731" refreshError="1"/>
      <sheetData sheetId="10732" refreshError="1"/>
      <sheetData sheetId="10733" refreshError="1"/>
      <sheetData sheetId="10734" refreshError="1"/>
      <sheetData sheetId="10735" refreshError="1"/>
      <sheetData sheetId="10736" refreshError="1"/>
      <sheetData sheetId="10737" refreshError="1"/>
      <sheetData sheetId="10738" refreshError="1"/>
      <sheetData sheetId="10739" refreshError="1"/>
      <sheetData sheetId="10740" refreshError="1"/>
      <sheetData sheetId="10741" refreshError="1"/>
      <sheetData sheetId="10742" refreshError="1"/>
      <sheetData sheetId="10743" refreshError="1"/>
      <sheetData sheetId="10744" refreshError="1"/>
      <sheetData sheetId="10745" refreshError="1"/>
      <sheetData sheetId="10746" refreshError="1"/>
      <sheetData sheetId="10747" refreshError="1"/>
      <sheetData sheetId="10748" refreshError="1"/>
      <sheetData sheetId="10749" refreshError="1"/>
      <sheetData sheetId="10750" refreshError="1"/>
      <sheetData sheetId="10751" refreshError="1"/>
      <sheetData sheetId="10752" refreshError="1"/>
      <sheetData sheetId="10753" refreshError="1"/>
      <sheetData sheetId="10754" refreshError="1"/>
      <sheetData sheetId="10755" refreshError="1"/>
      <sheetData sheetId="10756" refreshError="1"/>
      <sheetData sheetId="10757" refreshError="1"/>
      <sheetData sheetId="10758" refreshError="1"/>
      <sheetData sheetId="10759" refreshError="1"/>
      <sheetData sheetId="10760" refreshError="1"/>
      <sheetData sheetId="10761" refreshError="1"/>
      <sheetData sheetId="10762" refreshError="1"/>
      <sheetData sheetId="10763" refreshError="1"/>
      <sheetData sheetId="10764" refreshError="1"/>
      <sheetData sheetId="10765" refreshError="1"/>
      <sheetData sheetId="10766" refreshError="1"/>
      <sheetData sheetId="10767" refreshError="1"/>
      <sheetData sheetId="10768" refreshError="1"/>
      <sheetData sheetId="10769" refreshError="1"/>
      <sheetData sheetId="10770" refreshError="1"/>
      <sheetData sheetId="10771" refreshError="1"/>
      <sheetData sheetId="10772" refreshError="1"/>
      <sheetData sheetId="10773" refreshError="1"/>
      <sheetData sheetId="10774" refreshError="1"/>
      <sheetData sheetId="10775" refreshError="1"/>
      <sheetData sheetId="10776" refreshError="1"/>
      <sheetData sheetId="10777" refreshError="1"/>
      <sheetData sheetId="10778" refreshError="1"/>
      <sheetData sheetId="10779" refreshError="1"/>
      <sheetData sheetId="10780" refreshError="1"/>
      <sheetData sheetId="10781" refreshError="1"/>
      <sheetData sheetId="10782" refreshError="1"/>
      <sheetData sheetId="10783" refreshError="1"/>
      <sheetData sheetId="10784" refreshError="1"/>
      <sheetData sheetId="10785" refreshError="1"/>
      <sheetData sheetId="10786" refreshError="1"/>
      <sheetData sheetId="10787" refreshError="1"/>
      <sheetData sheetId="10788" refreshError="1"/>
      <sheetData sheetId="10789" refreshError="1"/>
      <sheetData sheetId="10790" refreshError="1"/>
      <sheetData sheetId="10791" refreshError="1"/>
      <sheetData sheetId="10792" refreshError="1"/>
      <sheetData sheetId="10793" refreshError="1"/>
      <sheetData sheetId="10794" refreshError="1"/>
      <sheetData sheetId="10795" refreshError="1"/>
      <sheetData sheetId="10796" refreshError="1"/>
      <sheetData sheetId="10797" refreshError="1"/>
      <sheetData sheetId="10798" refreshError="1"/>
      <sheetData sheetId="10799" refreshError="1"/>
      <sheetData sheetId="10800" refreshError="1"/>
      <sheetData sheetId="10801" refreshError="1"/>
      <sheetData sheetId="10802" refreshError="1"/>
      <sheetData sheetId="10803" refreshError="1"/>
      <sheetData sheetId="10804" refreshError="1"/>
      <sheetData sheetId="10805" refreshError="1"/>
      <sheetData sheetId="10806" refreshError="1"/>
      <sheetData sheetId="10807" refreshError="1"/>
      <sheetData sheetId="10808" refreshError="1"/>
      <sheetData sheetId="10809" refreshError="1"/>
      <sheetData sheetId="10810" refreshError="1"/>
      <sheetData sheetId="10811" refreshError="1"/>
      <sheetData sheetId="10812" refreshError="1"/>
      <sheetData sheetId="10813" refreshError="1"/>
      <sheetData sheetId="10814" refreshError="1"/>
      <sheetData sheetId="10815" refreshError="1"/>
      <sheetData sheetId="10816" refreshError="1"/>
      <sheetData sheetId="10817" refreshError="1"/>
      <sheetData sheetId="10818" refreshError="1"/>
      <sheetData sheetId="10819" refreshError="1"/>
      <sheetData sheetId="10820" refreshError="1"/>
      <sheetData sheetId="10821" refreshError="1"/>
      <sheetData sheetId="10822" refreshError="1"/>
      <sheetData sheetId="10823" refreshError="1"/>
      <sheetData sheetId="10824" refreshError="1"/>
      <sheetData sheetId="10825" refreshError="1"/>
      <sheetData sheetId="10826" refreshError="1"/>
      <sheetData sheetId="10827" refreshError="1"/>
      <sheetData sheetId="10828" refreshError="1"/>
      <sheetData sheetId="10829" refreshError="1"/>
      <sheetData sheetId="10830" refreshError="1"/>
      <sheetData sheetId="10831" refreshError="1"/>
      <sheetData sheetId="10832" refreshError="1"/>
      <sheetData sheetId="10833" refreshError="1"/>
      <sheetData sheetId="10834" refreshError="1"/>
      <sheetData sheetId="10835" refreshError="1"/>
      <sheetData sheetId="10836" refreshError="1"/>
      <sheetData sheetId="10837" refreshError="1"/>
      <sheetData sheetId="10838" refreshError="1"/>
      <sheetData sheetId="10839" refreshError="1"/>
      <sheetData sheetId="10840" refreshError="1"/>
      <sheetData sheetId="10841" refreshError="1"/>
      <sheetData sheetId="10842" refreshError="1"/>
      <sheetData sheetId="10843" refreshError="1"/>
      <sheetData sheetId="10844" refreshError="1"/>
      <sheetData sheetId="10845" refreshError="1"/>
      <sheetData sheetId="10846" refreshError="1"/>
      <sheetData sheetId="10847" refreshError="1"/>
      <sheetData sheetId="10848" refreshError="1"/>
      <sheetData sheetId="10849" refreshError="1"/>
      <sheetData sheetId="10850" refreshError="1"/>
      <sheetData sheetId="10851" refreshError="1"/>
      <sheetData sheetId="10852" refreshError="1"/>
      <sheetData sheetId="10853" refreshError="1"/>
      <sheetData sheetId="10854" refreshError="1"/>
      <sheetData sheetId="10855" refreshError="1"/>
      <sheetData sheetId="10856" refreshError="1"/>
      <sheetData sheetId="10857" refreshError="1"/>
      <sheetData sheetId="10858" refreshError="1"/>
      <sheetData sheetId="10859" refreshError="1"/>
      <sheetData sheetId="10860" refreshError="1"/>
      <sheetData sheetId="10861" refreshError="1"/>
      <sheetData sheetId="10862" refreshError="1"/>
      <sheetData sheetId="10863" refreshError="1"/>
      <sheetData sheetId="10864" refreshError="1"/>
      <sheetData sheetId="10865" refreshError="1"/>
      <sheetData sheetId="10866" refreshError="1"/>
      <sheetData sheetId="10867" refreshError="1"/>
      <sheetData sheetId="10868" refreshError="1"/>
      <sheetData sheetId="10869" refreshError="1"/>
      <sheetData sheetId="10870" refreshError="1"/>
      <sheetData sheetId="10871" refreshError="1"/>
      <sheetData sheetId="10872" refreshError="1"/>
      <sheetData sheetId="10873" refreshError="1"/>
      <sheetData sheetId="10874" refreshError="1"/>
      <sheetData sheetId="10875" refreshError="1"/>
      <sheetData sheetId="10876" refreshError="1"/>
      <sheetData sheetId="10877" refreshError="1"/>
      <sheetData sheetId="10878" refreshError="1"/>
      <sheetData sheetId="10879" refreshError="1"/>
      <sheetData sheetId="10880" refreshError="1"/>
      <sheetData sheetId="10881" refreshError="1"/>
      <sheetData sheetId="10882" refreshError="1"/>
      <sheetData sheetId="10883" refreshError="1"/>
      <sheetData sheetId="10884" refreshError="1"/>
      <sheetData sheetId="10885" refreshError="1"/>
      <sheetData sheetId="10886" refreshError="1"/>
      <sheetData sheetId="10887" refreshError="1"/>
      <sheetData sheetId="10888" refreshError="1"/>
      <sheetData sheetId="10889" refreshError="1"/>
      <sheetData sheetId="10890" refreshError="1"/>
      <sheetData sheetId="10891" refreshError="1"/>
      <sheetData sheetId="10892" refreshError="1"/>
      <sheetData sheetId="10893" refreshError="1"/>
      <sheetData sheetId="10894" refreshError="1"/>
      <sheetData sheetId="10895" refreshError="1"/>
      <sheetData sheetId="10896" refreshError="1"/>
      <sheetData sheetId="10897" refreshError="1"/>
      <sheetData sheetId="10898" refreshError="1"/>
      <sheetData sheetId="10899" refreshError="1"/>
      <sheetData sheetId="10900" refreshError="1"/>
      <sheetData sheetId="10901" refreshError="1"/>
      <sheetData sheetId="10902" refreshError="1"/>
      <sheetData sheetId="10903" refreshError="1"/>
      <sheetData sheetId="10904" refreshError="1"/>
      <sheetData sheetId="10905" refreshError="1"/>
      <sheetData sheetId="10906" refreshError="1"/>
      <sheetData sheetId="10907" refreshError="1"/>
      <sheetData sheetId="10908" refreshError="1"/>
      <sheetData sheetId="10909" refreshError="1"/>
      <sheetData sheetId="10910" refreshError="1"/>
      <sheetData sheetId="10911" refreshError="1"/>
      <sheetData sheetId="10912" refreshError="1"/>
      <sheetData sheetId="10913" refreshError="1"/>
      <sheetData sheetId="10914" refreshError="1"/>
      <sheetData sheetId="10915" refreshError="1"/>
      <sheetData sheetId="10916" refreshError="1"/>
      <sheetData sheetId="10917" refreshError="1"/>
      <sheetData sheetId="10918" refreshError="1"/>
      <sheetData sheetId="10919" refreshError="1"/>
      <sheetData sheetId="10920" refreshError="1"/>
      <sheetData sheetId="10921" refreshError="1"/>
      <sheetData sheetId="10922" refreshError="1"/>
      <sheetData sheetId="10923" refreshError="1"/>
      <sheetData sheetId="10924" refreshError="1"/>
      <sheetData sheetId="10925" refreshError="1"/>
      <sheetData sheetId="10926" refreshError="1"/>
      <sheetData sheetId="10927" refreshError="1"/>
      <sheetData sheetId="10928" refreshError="1"/>
      <sheetData sheetId="10929" refreshError="1"/>
      <sheetData sheetId="10930" refreshError="1"/>
      <sheetData sheetId="10931" refreshError="1"/>
      <sheetData sheetId="10932" refreshError="1"/>
      <sheetData sheetId="10933" refreshError="1"/>
      <sheetData sheetId="10934" refreshError="1"/>
      <sheetData sheetId="10935" refreshError="1"/>
      <sheetData sheetId="10936" refreshError="1"/>
      <sheetData sheetId="10937" refreshError="1"/>
      <sheetData sheetId="10938" refreshError="1"/>
      <sheetData sheetId="10939" refreshError="1"/>
      <sheetData sheetId="10940" refreshError="1"/>
      <sheetData sheetId="10941" refreshError="1"/>
      <sheetData sheetId="10942" refreshError="1"/>
      <sheetData sheetId="10943" refreshError="1"/>
      <sheetData sheetId="10944" refreshError="1"/>
      <sheetData sheetId="10945" refreshError="1"/>
      <sheetData sheetId="10946" refreshError="1"/>
      <sheetData sheetId="10947" refreshError="1"/>
      <sheetData sheetId="10948" refreshError="1"/>
      <sheetData sheetId="10949" refreshError="1"/>
      <sheetData sheetId="10950" refreshError="1"/>
      <sheetData sheetId="10951" refreshError="1"/>
      <sheetData sheetId="10952" refreshError="1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 refreshError="1"/>
      <sheetData sheetId="10960" refreshError="1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 refreshError="1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 refreshError="1"/>
      <sheetData sheetId="10975" refreshError="1"/>
      <sheetData sheetId="10976" refreshError="1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 refreshError="1"/>
      <sheetData sheetId="11280" refreshError="1"/>
      <sheetData sheetId="11281" refreshError="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  <sheetData sheetId="11289" refreshError="1"/>
      <sheetData sheetId="11290" refreshError="1"/>
      <sheetData sheetId="11291" refreshError="1"/>
      <sheetData sheetId="11292" refreshError="1"/>
      <sheetData sheetId="11293" refreshError="1"/>
      <sheetData sheetId="11294" refreshError="1"/>
      <sheetData sheetId="11295" refreshError="1"/>
      <sheetData sheetId="11296" refreshError="1"/>
      <sheetData sheetId="11297" refreshError="1"/>
      <sheetData sheetId="11298" refreshError="1"/>
      <sheetData sheetId="11299" refreshError="1"/>
      <sheetData sheetId="11300" refreshError="1"/>
      <sheetData sheetId="11301" refreshError="1"/>
      <sheetData sheetId="11302" refreshError="1"/>
      <sheetData sheetId="11303" refreshError="1"/>
      <sheetData sheetId="11304" refreshError="1"/>
      <sheetData sheetId="11305" refreshError="1"/>
      <sheetData sheetId="11306" refreshError="1"/>
      <sheetData sheetId="11307" refreshError="1"/>
      <sheetData sheetId="11308" refreshError="1"/>
      <sheetData sheetId="11309" refreshError="1"/>
      <sheetData sheetId="11310" refreshError="1"/>
      <sheetData sheetId="11311" refreshError="1"/>
      <sheetData sheetId="11312" refreshError="1"/>
      <sheetData sheetId="11313" refreshError="1"/>
      <sheetData sheetId="11314" refreshError="1"/>
      <sheetData sheetId="11315" refreshError="1"/>
      <sheetData sheetId="11316" refreshError="1"/>
      <sheetData sheetId="11317" refreshError="1"/>
      <sheetData sheetId="11318" refreshError="1"/>
      <sheetData sheetId="11319" refreshError="1"/>
      <sheetData sheetId="11320" refreshError="1"/>
      <sheetData sheetId="11321" refreshError="1"/>
      <sheetData sheetId="11322" refreshError="1"/>
      <sheetData sheetId="11323" refreshError="1"/>
      <sheetData sheetId="11324" refreshError="1"/>
      <sheetData sheetId="11325" refreshError="1"/>
      <sheetData sheetId="11326" refreshError="1"/>
      <sheetData sheetId="11327" refreshError="1"/>
      <sheetData sheetId="11328" refreshError="1"/>
      <sheetData sheetId="11329" refreshError="1"/>
      <sheetData sheetId="11330" refreshError="1"/>
      <sheetData sheetId="11331" refreshError="1"/>
      <sheetData sheetId="11332" refreshError="1"/>
      <sheetData sheetId="11333" refreshError="1"/>
      <sheetData sheetId="11334" refreshError="1"/>
      <sheetData sheetId="11335" refreshError="1"/>
      <sheetData sheetId="11336" refreshError="1"/>
      <sheetData sheetId="11337" refreshError="1"/>
      <sheetData sheetId="11338" refreshError="1"/>
      <sheetData sheetId="11339" refreshError="1"/>
      <sheetData sheetId="11340" refreshError="1"/>
      <sheetData sheetId="11341" refreshError="1"/>
      <sheetData sheetId="11342" refreshError="1"/>
      <sheetData sheetId="11343" refreshError="1"/>
      <sheetData sheetId="11344" refreshError="1"/>
      <sheetData sheetId="11345" refreshError="1"/>
      <sheetData sheetId="11346" refreshError="1"/>
      <sheetData sheetId="11347" refreshError="1"/>
      <sheetData sheetId="11348" refreshError="1"/>
      <sheetData sheetId="11349" refreshError="1"/>
      <sheetData sheetId="11350" refreshError="1"/>
      <sheetData sheetId="11351" refreshError="1"/>
      <sheetData sheetId="11352" refreshError="1"/>
      <sheetData sheetId="11353" refreshError="1"/>
      <sheetData sheetId="11354" refreshError="1"/>
      <sheetData sheetId="11355" refreshError="1"/>
      <sheetData sheetId="11356" refreshError="1"/>
      <sheetData sheetId="11357" refreshError="1"/>
      <sheetData sheetId="11358" refreshError="1"/>
      <sheetData sheetId="11359" refreshError="1"/>
      <sheetData sheetId="11360" refreshError="1"/>
      <sheetData sheetId="11361" refreshError="1"/>
      <sheetData sheetId="11362" refreshError="1"/>
      <sheetData sheetId="11363" refreshError="1"/>
      <sheetData sheetId="11364" refreshError="1"/>
      <sheetData sheetId="11365" refreshError="1"/>
      <sheetData sheetId="11366" refreshError="1"/>
      <sheetData sheetId="11367" refreshError="1"/>
      <sheetData sheetId="11368" refreshError="1"/>
      <sheetData sheetId="11369" refreshError="1"/>
      <sheetData sheetId="11370" refreshError="1"/>
      <sheetData sheetId="11371" refreshError="1"/>
      <sheetData sheetId="11372" refreshError="1"/>
      <sheetData sheetId="11373" refreshError="1"/>
      <sheetData sheetId="11374" refreshError="1"/>
      <sheetData sheetId="11375" refreshError="1"/>
      <sheetData sheetId="11376" refreshError="1"/>
      <sheetData sheetId="11377" refreshError="1"/>
      <sheetData sheetId="11378" refreshError="1"/>
      <sheetData sheetId="11379" refreshError="1"/>
      <sheetData sheetId="11380" refreshError="1"/>
      <sheetData sheetId="11381" refreshError="1"/>
      <sheetData sheetId="11382" refreshError="1"/>
      <sheetData sheetId="11383" refreshError="1"/>
      <sheetData sheetId="11384" refreshError="1"/>
      <sheetData sheetId="11385" refreshError="1"/>
      <sheetData sheetId="11386" refreshError="1"/>
      <sheetData sheetId="11387" refreshError="1"/>
      <sheetData sheetId="11388" refreshError="1"/>
      <sheetData sheetId="11389" refreshError="1"/>
      <sheetData sheetId="11390" refreshError="1"/>
      <sheetData sheetId="11391" refreshError="1"/>
      <sheetData sheetId="11392" refreshError="1"/>
      <sheetData sheetId="11393" refreshError="1"/>
      <sheetData sheetId="11394" refreshError="1"/>
      <sheetData sheetId="11395" refreshError="1"/>
      <sheetData sheetId="11396" refreshError="1"/>
      <sheetData sheetId="11397" refreshError="1"/>
      <sheetData sheetId="11398" refreshError="1"/>
      <sheetData sheetId="11399" refreshError="1"/>
      <sheetData sheetId="11400" refreshError="1"/>
      <sheetData sheetId="11401" refreshError="1"/>
      <sheetData sheetId="11402" refreshError="1"/>
      <sheetData sheetId="11403" refreshError="1"/>
      <sheetData sheetId="11404" refreshError="1"/>
      <sheetData sheetId="11405" refreshError="1"/>
      <sheetData sheetId="11406" refreshError="1"/>
      <sheetData sheetId="11407" refreshError="1"/>
      <sheetData sheetId="11408" refreshError="1"/>
      <sheetData sheetId="11409" refreshError="1"/>
      <sheetData sheetId="11410" refreshError="1"/>
      <sheetData sheetId="11411" refreshError="1"/>
      <sheetData sheetId="11412" refreshError="1"/>
      <sheetData sheetId="11413" refreshError="1"/>
      <sheetData sheetId="11414" refreshError="1"/>
      <sheetData sheetId="11415" refreshError="1"/>
      <sheetData sheetId="11416" refreshError="1"/>
      <sheetData sheetId="11417" refreshError="1"/>
      <sheetData sheetId="11418" refreshError="1"/>
      <sheetData sheetId="11419" refreshError="1"/>
      <sheetData sheetId="11420" refreshError="1"/>
      <sheetData sheetId="11421" refreshError="1"/>
      <sheetData sheetId="11422" refreshError="1"/>
      <sheetData sheetId="11423" refreshError="1"/>
      <sheetData sheetId="11424" refreshError="1"/>
      <sheetData sheetId="11425" refreshError="1"/>
      <sheetData sheetId="11426" refreshError="1"/>
      <sheetData sheetId="11427" refreshError="1"/>
      <sheetData sheetId="11428" refreshError="1"/>
      <sheetData sheetId="11429" refreshError="1"/>
      <sheetData sheetId="11430" refreshError="1"/>
      <sheetData sheetId="11431" refreshError="1"/>
      <sheetData sheetId="11432" refreshError="1"/>
      <sheetData sheetId="11433" refreshError="1"/>
      <sheetData sheetId="11434" refreshError="1"/>
      <sheetData sheetId="11435" refreshError="1"/>
      <sheetData sheetId="11436" refreshError="1"/>
      <sheetData sheetId="11437" refreshError="1"/>
      <sheetData sheetId="11438" refreshError="1"/>
      <sheetData sheetId="11439" refreshError="1"/>
      <sheetData sheetId="11440" refreshError="1"/>
      <sheetData sheetId="11441" refreshError="1"/>
      <sheetData sheetId="11442" refreshError="1"/>
      <sheetData sheetId="11443" refreshError="1"/>
      <sheetData sheetId="11444" refreshError="1"/>
      <sheetData sheetId="11445" refreshError="1"/>
      <sheetData sheetId="11446" refreshError="1"/>
      <sheetData sheetId="11447" refreshError="1"/>
      <sheetData sheetId="11448" refreshError="1"/>
      <sheetData sheetId="11449" refreshError="1"/>
      <sheetData sheetId="11450" refreshError="1"/>
      <sheetData sheetId="11451" refreshError="1"/>
      <sheetData sheetId="11452" refreshError="1"/>
      <sheetData sheetId="11453" refreshError="1"/>
      <sheetData sheetId="11454" refreshError="1"/>
      <sheetData sheetId="11455" refreshError="1"/>
      <sheetData sheetId="11456" refreshError="1"/>
      <sheetData sheetId="11457" refreshError="1"/>
      <sheetData sheetId="11458" refreshError="1"/>
      <sheetData sheetId="11459" refreshError="1"/>
      <sheetData sheetId="11460" refreshError="1"/>
      <sheetData sheetId="11461" refreshError="1"/>
      <sheetData sheetId="11462" refreshError="1"/>
      <sheetData sheetId="11463" refreshError="1"/>
      <sheetData sheetId="11464" refreshError="1"/>
      <sheetData sheetId="11465" refreshError="1"/>
      <sheetData sheetId="11466" refreshError="1"/>
      <sheetData sheetId="11467" refreshError="1"/>
      <sheetData sheetId="11468" refreshError="1"/>
      <sheetData sheetId="11469" refreshError="1"/>
      <sheetData sheetId="11470" refreshError="1"/>
      <sheetData sheetId="11471" refreshError="1"/>
      <sheetData sheetId="11472" refreshError="1"/>
      <sheetData sheetId="11473" refreshError="1"/>
      <sheetData sheetId="11474" refreshError="1"/>
      <sheetData sheetId="11475" refreshError="1"/>
      <sheetData sheetId="11476" refreshError="1"/>
      <sheetData sheetId="11477" refreshError="1"/>
      <sheetData sheetId="11478" refreshError="1"/>
      <sheetData sheetId="11479" refreshError="1"/>
      <sheetData sheetId="11480" refreshError="1"/>
      <sheetData sheetId="11481" refreshError="1"/>
      <sheetData sheetId="11482" refreshError="1"/>
      <sheetData sheetId="11483" refreshError="1"/>
      <sheetData sheetId="11484" refreshError="1"/>
      <sheetData sheetId="11485" refreshError="1"/>
      <sheetData sheetId="11486" refreshError="1"/>
      <sheetData sheetId="11487" refreshError="1"/>
      <sheetData sheetId="11488" refreshError="1"/>
      <sheetData sheetId="11489" refreshError="1"/>
      <sheetData sheetId="11490" refreshError="1"/>
      <sheetData sheetId="11491" refreshError="1"/>
      <sheetData sheetId="11492" refreshError="1"/>
      <sheetData sheetId="11493" refreshError="1"/>
      <sheetData sheetId="11494" refreshError="1"/>
      <sheetData sheetId="11495" refreshError="1"/>
      <sheetData sheetId="11496" refreshError="1"/>
      <sheetData sheetId="11497" refreshError="1"/>
      <sheetData sheetId="11498" refreshError="1"/>
      <sheetData sheetId="11499" refreshError="1"/>
      <sheetData sheetId="11500" refreshError="1"/>
      <sheetData sheetId="11501" refreshError="1"/>
      <sheetData sheetId="11502" refreshError="1"/>
      <sheetData sheetId="11503" refreshError="1"/>
      <sheetData sheetId="11504" refreshError="1"/>
      <sheetData sheetId="11505" refreshError="1"/>
      <sheetData sheetId="11506" refreshError="1"/>
      <sheetData sheetId="11507" refreshError="1"/>
      <sheetData sheetId="11508" refreshError="1"/>
      <sheetData sheetId="11509" refreshError="1"/>
      <sheetData sheetId="11510" refreshError="1"/>
      <sheetData sheetId="11511" refreshError="1"/>
      <sheetData sheetId="11512" refreshError="1"/>
      <sheetData sheetId="11513" refreshError="1"/>
      <sheetData sheetId="11514" refreshError="1"/>
      <sheetData sheetId="11515" refreshError="1"/>
      <sheetData sheetId="11516" refreshError="1"/>
      <sheetData sheetId="11517" refreshError="1"/>
      <sheetData sheetId="11518" refreshError="1"/>
      <sheetData sheetId="11519" refreshError="1"/>
      <sheetData sheetId="11520" refreshError="1"/>
      <sheetData sheetId="11521" refreshError="1"/>
      <sheetData sheetId="11522" refreshError="1"/>
      <sheetData sheetId="11523" refreshError="1"/>
      <sheetData sheetId="11524" refreshError="1"/>
      <sheetData sheetId="11525" refreshError="1"/>
      <sheetData sheetId="11526" refreshError="1"/>
      <sheetData sheetId="11527" refreshError="1"/>
      <sheetData sheetId="11528" refreshError="1"/>
      <sheetData sheetId="11529" refreshError="1"/>
      <sheetData sheetId="11530" refreshError="1"/>
      <sheetData sheetId="11531" refreshError="1"/>
      <sheetData sheetId="11532" refreshError="1"/>
      <sheetData sheetId="11533" refreshError="1"/>
      <sheetData sheetId="11534" refreshError="1"/>
      <sheetData sheetId="11535" refreshError="1"/>
      <sheetData sheetId="11536" refreshError="1"/>
      <sheetData sheetId="11537" refreshError="1"/>
      <sheetData sheetId="11538" refreshError="1"/>
      <sheetData sheetId="11539" refreshError="1"/>
      <sheetData sheetId="11540" refreshError="1"/>
      <sheetData sheetId="11541" refreshError="1"/>
      <sheetData sheetId="11542" refreshError="1"/>
      <sheetData sheetId="11543" refreshError="1"/>
      <sheetData sheetId="11544" refreshError="1"/>
      <sheetData sheetId="11545" refreshError="1"/>
      <sheetData sheetId="11546" refreshError="1"/>
      <sheetData sheetId="11547" refreshError="1"/>
      <sheetData sheetId="11548" refreshError="1"/>
      <sheetData sheetId="11549" refreshError="1"/>
      <sheetData sheetId="11550" refreshError="1"/>
      <sheetData sheetId="11551" refreshError="1"/>
      <sheetData sheetId="11552" refreshError="1"/>
      <sheetData sheetId="11553" refreshError="1"/>
      <sheetData sheetId="11554" refreshError="1"/>
      <sheetData sheetId="11555" refreshError="1"/>
      <sheetData sheetId="11556" refreshError="1"/>
      <sheetData sheetId="11557" refreshError="1"/>
      <sheetData sheetId="11558" refreshError="1"/>
      <sheetData sheetId="11559" refreshError="1"/>
      <sheetData sheetId="11560" refreshError="1"/>
      <sheetData sheetId="11561" refreshError="1"/>
      <sheetData sheetId="11562" refreshError="1"/>
      <sheetData sheetId="11563" refreshError="1"/>
      <sheetData sheetId="11564" refreshError="1"/>
      <sheetData sheetId="11565" refreshError="1"/>
      <sheetData sheetId="11566" refreshError="1"/>
      <sheetData sheetId="11567" refreshError="1"/>
      <sheetData sheetId="11568" refreshError="1"/>
      <sheetData sheetId="11569" refreshError="1"/>
      <sheetData sheetId="11570" refreshError="1"/>
      <sheetData sheetId="11571" refreshError="1"/>
      <sheetData sheetId="11572" refreshError="1"/>
      <sheetData sheetId="11573" refreshError="1"/>
      <sheetData sheetId="11574" refreshError="1"/>
      <sheetData sheetId="11575" refreshError="1"/>
      <sheetData sheetId="11576" refreshError="1"/>
      <sheetData sheetId="11577" refreshError="1"/>
      <sheetData sheetId="11578" refreshError="1"/>
      <sheetData sheetId="11579" refreshError="1"/>
      <sheetData sheetId="11580" refreshError="1"/>
      <sheetData sheetId="11581" refreshError="1"/>
      <sheetData sheetId="11582" refreshError="1"/>
      <sheetData sheetId="11583" refreshError="1"/>
      <sheetData sheetId="11584" refreshError="1"/>
      <sheetData sheetId="11585" refreshError="1"/>
      <sheetData sheetId="11586" refreshError="1"/>
      <sheetData sheetId="11587" refreshError="1"/>
      <sheetData sheetId="11588" refreshError="1"/>
      <sheetData sheetId="11589" refreshError="1"/>
      <sheetData sheetId="11590" refreshError="1"/>
      <sheetData sheetId="11591" refreshError="1"/>
      <sheetData sheetId="11592" refreshError="1"/>
      <sheetData sheetId="11593" refreshError="1"/>
      <sheetData sheetId="11594" refreshError="1"/>
      <sheetData sheetId="11595" refreshError="1"/>
      <sheetData sheetId="11596" refreshError="1"/>
      <sheetData sheetId="11597" refreshError="1"/>
      <sheetData sheetId="11598" refreshError="1"/>
      <sheetData sheetId="11599" refreshError="1"/>
      <sheetData sheetId="11600" refreshError="1"/>
      <sheetData sheetId="11601" refreshError="1"/>
      <sheetData sheetId="11602" refreshError="1"/>
      <sheetData sheetId="11603" refreshError="1"/>
      <sheetData sheetId="11604" refreshError="1"/>
      <sheetData sheetId="11605" refreshError="1"/>
      <sheetData sheetId="11606" refreshError="1"/>
      <sheetData sheetId="11607" refreshError="1"/>
      <sheetData sheetId="11608" refreshError="1"/>
      <sheetData sheetId="11609" refreshError="1"/>
      <sheetData sheetId="11610" refreshError="1"/>
      <sheetData sheetId="11611" refreshError="1"/>
      <sheetData sheetId="11612" refreshError="1"/>
      <sheetData sheetId="11613" refreshError="1"/>
      <sheetData sheetId="11614" refreshError="1"/>
      <sheetData sheetId="11615" refreshError="1"/>
      <sheetData sheetId="11616" refreshError="1"/>
      <sheetData sheetId="11617" refreshError="1"/>
      <sheetData sheetId="11618" refreshError="1"/>
      <sheetData sheetId="11619" refreshError="1"/>
      <sheetData sheetId="11620" refreshError="1"/>
      <sheetData sheetId="11621" refreshError="1"/>
      <sheetData sheetId="11622" refreshError="1"/>
      <sheetData sheetId="11623" refreshError="1"/>
      <sheetData sheetId="11624" refreshError="1"/>
      <sheetData sheetId="11625" refreshError="1"/>
      <sheetData sheetId="11626" refreshError="1"/>
      <sheetData sheetId="11627" refreshError="1"/>
      <sheetData sheetId="11628" refreshError="1"/>
      <sheetData sheetId="11629" refreshError="1"/>
      <sheetData sheetId="11630" refreshError="1"/>
      <sheetData sheetId="11631" refreshError="1"/>
      <sheetData sheetId="11632" refreshError="1"/>
      <sheetData sheetId="11633" refreshError="1"/>
      <sheetData sheetId="11634" refreshError="1"/>
      <sheetData sheetId="11635" refreshError="1"/>
      <sheetData sheetId="11636" refreshError="1"/>
      <sheetData sheetId="11637" refreshError="1"/>
      <sheetData sheetId="11638" refreshError="1"/>
      <sheetData sheetId="11639" refreshError="1"/>
      <sheetData sheetId="11640" refreshError="1"/>
      <sheetData sheetId="11641" refreshError="1"/>
      <sheetData sheetId="11642" refreshError="1"/>
      <sheetData sheetId="11643" refreshError="1"/>
      <sheetData sheetId="11644" refreshError="1"/>
      <sheetData sheetId="11645" refreshError="1"/>
      <sheetData sheetId="11646" refreshError="1"/>
      <sheetData sheetId="11647" refreshError="1"/>
      <sheetData sheetId="11648" refreshError="1"/>
      <sheetData sheetId="11649" refreshError="1"/>
      <sheetData sheetId="11650" refreshError="1"/>
      <sheetData sheetId="11651" refreshError="1"/>
      <sheetData sheetId="11652" refreshError="1"/>
      <sheetData sheetId="11653" refreshError="1"/>
      <sheetData sheetId="11654" refreshError="1"/>
      <sheetData sheetId="11655" refreshError="1"/>
      <sheetData sheetId="11656" refreshError="1"/>
      <sheetData sheetId="11657" refreshError="1"/>
      <sheetData sheetId="11658" refreshError="1"/>
      <sheetData sheetId="11659" refreshError="1"/>
      <sheetData sheetId="11660" refreshError="1"/>
      <sheetData sheetId="11661" refreshError="1"/>
      <sheetData sheetId="11662" refreshError="1"/>
      <sheetData sheetId="11663" refreshError="1"/>
      <sheetData sheetId="11664" refreshError="1"/>
      <sheetData sheetId="11665" refreshError="1"/>
      <sheetData sheetId="11666" refreshError="1"/>
      <sheetData sheetId="11667" refreshError="1"/>
      <sheetData sheetId="11668" refreshError="1"/>
      <sheetData sheetId="11669" refreshError="1"/>
      <sheetData sheetId="11670" refreshError="1"/>
      <sheetData sheetId="11671" refreshError="1"/>
      <sheetData sheetId="11672" refreshError="1"/>
      <sheetData sheetId="11673" refreshError="1"/>
      <sheetData sheetId="11674" refreshError="1"/>
      <sheetData sheetId="11675" refreshError="1"/>
      <sheetData sheetId="11676" refreshError="1"/>
      <sheetData sheetId="11677" refreshError="1"/>
      <sheetData sheetId="11678" refreshError="1"/>
      <sheetData sheetId="11679" refreshError="1"/>
      <sheetData sheetId="11680" refreshError="1"/>
      <sheetData sheetId="11681" refreshError="1"/>
      <sheetData sheetId="11682" refreshError="1"/>
      <sheetData sheetId="11683" refreshError="1"/>
      <sheetData sheetId="11684" refreshError="1"/>
      <sheetData sheetId="11685" refreshError="1"/>
      <sheetData sheetId="11686" refreshError="1"/>
      <sheetData sheetId="11687" refreshError="1"/>
      <sheetData sheetId="11688" refreshError="1"/>
      <sheetData sheetId="11689" refreshError="1"/>
      <sheetData sheetId="11690" refreshError="1"/>
      <sheetData sheetId="11691" refreshError="1"/>
      <sheetData sheetId="11692" refreshError="1"/>
      <sheetData sheetId="11693" refreshError="1"/>
      <sheetData sheetId="11694" refreshError="1"/>
      <sheetData sheetId="11695" refreshError="1"/>
      <sheetData sheetId="11696" refreshError="1"/>
      <sheetData sheetId="11697" refreshError="1"/>
      <sheetData sheetId="11698" refreshError="1"/>
      <sheetData sheetId="11699" refreshError="1"/>
      <sheetData sheetId="11700" refreshError="1"/>
      <sheetData sheetId="11701" refreshError="1"/>
      <sheetData sheetId="11702" refreshError="1"/>
      <sheetData sheetId="11703" refreshError="1"/>
      <sheetData sheetId="11704" refreshError="1"/>
      <sheetData sheetId="11705" refreshError="1"/>
      <sheetData sheetId="11706" refreshError="1"/>
      <sheetData sheetId="11707" refreshError="1"/>
      <sheetData sheetId="11708" refreshError="1"/>
      <sheetData sheetId="11709" refreshError="1"/>
      <sheetData sheetId="11710" refreshError="1"/>
      <sheetData sheetId="11711" refreshError="1"/>
      <sheetData sheetId="11712" refreshError="1"/>
      <sheetData sheetId="11713" refreshError="1"/>
      <sheetData sheetId="11714" refreshError="1"/>
      <sheetData sheetId="11715" refreshError="1"/>
      <sheetData sheetId="11716" refreshError="1"/>
      <sheetData sheetId="11717" refreshError="1"/>
      <sheetData sheetId="11718" refreshError="1"/>
      <sheetData sheetId="11719" refreshError="1"/>
      <sheetData sheetId="11720" refreshError="1"/>
      <sheetData sheetId="11721" refreshError="1"/>
      <sheetData sheetId="11722" refreshError="1"/>
      <sheetData sheetId="11723" refreshError="1"/>
      <sheetData sheetId="11724" refreshError="1"/>
      <sheetData sheetId="11725" refreshError="1"/>
      <sheetData sheetId="11726" refreshError="1"/>
      <sheetData sheetId="11727" refreshError="1"/>
      <sheetData sheetId="11728" refreshError="1"/>
      <sheetData sheetId="11729" refreshError="1"/>
      <sheetData sheetId="11730" refreshError="1"/>
      <sheetData sheetId="11731" refreshError="1"/>
      <sheetData sheetId="11732" refreshError="1"/>
      <sheetData sheetId="11733" refreshError="1"/>
      <sheetData sheetId="11734" refreshError="1"/>
      <sheetData sheetId="11735" refreshError="1"/>
      <sheetData sheetId="11736" refreshError="1"/>
      <sheetData sheetId="11737" refreshError="1"/>
      <sheetData sheetId="11738" refreshError="1"/>
      <sheetData sheetId="11739" refreshError="1"/>
      <sheetData sheetId="11740" refreshError="1"/>
      <sheetData sheetId="11741" refreshError="1"/>
      <sheetData sheetId="11742" refreshError="1"/>
      <sheetData sheetId="11743" refreshError="1"/>
      <sheetData sheetId="11744" refreshError="1"/>
      <sheetData sheetId="11745" refreshError="1"/>
      <sheetData sheetId="11746" refreshError="1"/>
      <sheetData sheetId="11747" refreshError="1"/>
      <sheetData sheetId="11748" refreshError="1"/>
      <sheetData sheetId="11749" refreshError="1"/>
      <sheetData sheetId="11750" refreshError="1"/>
      <sheetData sheetId="11751" refreshError="1"/>
      <sheetData sheetId="11752" refreshError="1"/>
      <sheetData sheetId="11753" refreshError="1"/>
      <sheetData sheetId="11754" refreshError="1"/>
      <sheetData sheetId="11755" refreshError="1"/>
      <sheetData sheetId="11756" refreshError="1"/>
      <sheetData sheetId="11757" refreshError="1"/>
      <sheetData sheetId="11758" refreshError="1"/>
      <sheetData sheetId="11759" refreshError="1"/>
      <sheetData sheetId="11760" refreshError="1"/>
      <sheetData sheetId="11761" refreshError="1"/>
      <sheetData sheetId="11762" refreshError="1"/>
      <sheetData sheetId="11763" refreshError="1"/>
      <sheetData sheetId="11764" refreshError="1"/>
      <sheetData sheetId="11765" refreshError="1"/>
      <sheetData sheetId="11766" refreshError="1"/>
      <sheetData sheetId="11767" refreshError="1"/>
      <sheetData sheetId="11768" refreshError="1"/>
      <sheetData sheetId="11769" refreshError="1"/>
      <sheetData sheetId="11770" refreshError="1"/>
      <sheetData sheetId="11771" refreshError="1"/>
      <sheetData sheetId="11772" refreshError="1"/>
      <sheetData sheetId="11773" refreshError="1"/>
      <sheetData sheetId="11774" refreshError="1"/>
      <sheetData sheetId="11775" refreshError="1"/>
      <sheetData sheetId="11776" refreshError="1"/>
      <sheetData sheetId="11777" refreshError="1"/>
      <sheetData sheetId="11778" refreshError="1"/>
      <sheetData sheetId="11779" refreshError="1"/>
      <sheetData sheetId="11780" refreshError="1"/>
      <sheetData sheetId="11781" refreshError="1"/>
      <sheetData sheetId="11782" refreshError="1"/>
      <sheetData sheetId="11783" refreshError="1"/>
      <sheetData sheetId="11784" refreshError="1"/>
      <sheetData sheetId="11785" refreshError="1"/>
      <sheetData sheetId="11786" refreshError="1"/>
      <sheetData sheetId="11787" refreshError="1"/>
      <sheetData sheetId="11788" refreshError="1"/>
      <sheetData sheetId="11789" refreshError="1"/>
      <sheetData sheetId="11790" refreshError="1"/>
      <sheetData sheetId="11791" refreshError="1"/>
      <sheetData sheetId="11792" refreshError="1"/>
      <sheetData sheetId="11793" refreshError="1"/>
      <sheetData sheetId="11794" refreshError="1"/>
      <sheetData sheetId="11795" refreshError="1"/>
      <sheetData sheetId="11796" refreshError="1"/>
      <sheetData sheetId="11797" refreshError="1"/>
      <sheetData sheetId="11798" refreshError="1"/>
      <sheetData sheetId="11799" refreshError="1"/>
      <sheetData sheetId="11800" refreshError="1"/>
      <sheetData sheetId="11801" refreshError="1"/>
      <sheetData sheetId="11802" refreshError="1"/>
      <sheetData sheetId="11803" refreshError="1"/>
      <sheetData sheetId="11804" refreshError="1"/>
      <sheetData sheetId="11805" refreshError="1"/>
      <sheetData sheetId="11806" refreshError="1"/>
      <sheetData sheetId="11807" refreshError="1"/>
      <sheetData sheetId="11808" refreshError="1"/>
      <sheetData sheetId="11809" refreshError="1"/>
      <sheetData sheetId="11810" refreshError="1"/>
      <sheetData sheetId="11811" refreshError="1"/>
      <sheetData sheetId="11812" refreshError="1"/>
      <sheetData sheetId="11813" refreshError="1"/>
      <sheetData sheetId="11814" refreshError="1"/>
      <sheetData sheetId="11815" refreshError="1"/>
      <sheetData sheetId="11816" refreshError="1"/>
      <sheetData sheetId="11817" refreshError="1"/>
      <sheetData sheetId="11818" refreshError="1"/>
      <sheetData sheetId="11819" refreshError="1"/>
      <sheetData sheetId="11820" refreshError="1"/>
      <sheetData sheetId="11821" refreshError="1"/>
      <sheetData sheetId="11822" refreshError="1"/>
      <sheetData sheetId="11823" refreshError="1"/>
      <sheetData sheetId="11824" refreshError="1"/>
      <sheetData sheetId="11825" refreshError="1"/>
      <sheetData sheetId="11826" refreshError="1"/>
      <sheetData sheetId="11827" refreshError="1"/>
      <sheetData sheetId="11828" refreshError="1"/>
      <sheetData sheetId="11829" refreshError="1"/>
      <sheetData sheetId="11830" refreshError="1"/>
      <sheetData sheetId="11831" refreshError="1"/>
      <sheetData sheetId="11832" refreshError="1"/>
      <sheetData sheetId="11833" refreshError="1"/>
      <sheetData sheetId="11834" refreshError="1"/>
      <sheetData sheetId="11835" refreshError="1"/>
      <sheetData sheetId="11836" refreshError="1"/>
      <sheetData sheetId="11837" refreshError="1"/>
      <sheetData sheetId="11838" refreshError="1"/>
      <sheetData sheetId="11839" refreshError="1"/>
      <sheetData sheetId="11840" refreshError="1"/>
      <sheetData sheetId="11841" refreshError="1"/>
      <sheetData sheetId="11842" refreshError="1"/>
      <sheetData sheetId="11843" refreshError="1"/>
      <sheetData sheetId="11844" refreshError="1"/>
      <sheetData sheetId="11845" refreshError="1"/>
      <sheetData sheetId="11846" refreshError="1"/>
      <sheetData sheetId="11847" refreshError="1"/>
      <sheetData sheetId="11848" refreshError="1"/>
      <sheetData sheetId="11849" refreshError="1"/>
      <sheetData sheetId="11850" refreshError="1"/>
      <sheetData sheetId="11851" refreshError="1"/>
      <sheetData sheetId="11852" refreshError="1"/>
      <sheetData sheetId="11853" refreshError="1"/>
      <sheetData sheetId="11854" refreshError="1"/>
      <sheetData sheetId="11855" refreshError="1"/>
      <sheetData sheetId="11856" refreshError="1"/>
      <sheetData sheetId="11857" refreshError="1"/>
      <sheetData sheetId="11858" refreshError="1"/>
      <sheetData sheetId="11859" refreshError="1"/>
      <sheetData sheetId="11860" refreshError="1"/>
      <sheetData sheetId="11861" refreshError="1"/>
      <sheetData sheetId="11862" refreshError="1"/>
      <sheetData sheetId="11863" refreshError="1"/>
      <sheetData sheetId="11864" refreshError="1"/>
      <sheetData sheetId="11865" refreshError="1"/>
      <sheetData sheetId="11866" refreshError="1"/>
      <sheetData sheetId="11867" refreshError="1"/>
      <sheetData sheetId="11868" refreshError="1"/>
      <sheetData sheetId="11869" refreshError="1"/>
      <sheetData sheetId="11870" refreshError="1"/>
      <sheetData sheetId="11871" refreshError="1"/>
      <sheetData sheetId="11872" refreshError="1"/>
      <sheetData sheetId="11873" refreshError="1"/>
      <sheetData sheetId="11874" refreshError="1"/>
      <sheetData sheetId="11875" refreshError="1"/>
      <sheetData sheetId="11876" refreshError="1"/>
      <sheetData sheetId="11877" refreshError="1"/>
      <sheetData sheetId="11878" refreshError="1"/>
      <sheetData sheetId="11879" refreshError="1"/>
      <sheetData sheetId="11880" refreshError="1"/>
      <sheetData sheetId="11881" refreshError="1"/>
      <sheetData sheetId="11882" refreshError="1"/>
      <sheetData sheetId="11883" refreshError="1"/>
      <sheetData sheetId="11884" refreshError="1"/>
      <sheetData sheetId="11885" refreshError="1"/>
      <sheetData sheetId="11886" refreshError="1"/>
      <sheetData sheetId="11887" refreshError="1"/>
      <sheetData sheetId="11888" refreshError="1"/>
      <sheetData sheetId="11889" refreshError="1"/>
      <sheetData sheetId="11890" refreshError="1"/>
      <sheetData sheetId="11891" refreshError="1"/>
      <sheetData sheetId="11892" refreshError="1"/>
      <sheetData sheetId="11893" refreshError="1"/>
      <sheetData sheetId="11894" refreshError="1"/>
      <sheetData sheetId="11895" refreshError="1"/>
      <sheetData sheetId="11896" refreshError="1"/>
      <sheetData sheetId="11897" refreshError="1"/>
      <sheetData sheetId="11898" refreshError="1"/>
      <sheetData sheetId="11899" refreshError="1"/>
      <sheetData sheetId="11900" refreshError="1"/>
      <sheetData sheetId="11901" refreshError="1"/>
      <sheetData sheetId="11902" refreshError="1"/>
      <sheetData sheetId="11903" refreshError="1"/>
      <sheetData sheetId="11904" refreshError="1"/>
      <sheetData sheetId="11905" refreshError="1"/>
      <sheetData sheetId="11906" refreshError="1"/>
      <sheetData sheetId="11907" refreshError="1"/>
      <sheetData sheetId="11908" refreshError="1"/>
      <sheetData sheetId="11909" refreshError="1"/>
      <sheetData sheetId="11910" refreshError="1"/>
      <sheetData sheetId="11911" refreshError="1"/>
      <sheetData sheetId="11912" refreshError="1"/>
      <sheetData sheetId="11913" refreshError="1"/>
      <sheetData sheetId="11914" refreshError="1"/>
      <sheetData sheetId="11915" refreshError="1"/>
      <sheetData sheetId="11916" refreshError="1"/>
      <sheetData sheetId="11917" refreshError="1"/>
      <sheetData sheetId="11918" refreshError="1"/>
      <sheetData sheetId="11919" refreshError="1"/>
      <sheetData sheetId="11920" refreshError="1"/>
      <sheetData sheetId="11921" refreshError="1"/>
      <sheetData sheetId="11922" refreshError="1"/>
      <sheetData sheetId="11923" refreshError="1"/>
      <sheetData sheetId="11924" refreshError="1"/>
      <sheetData sheetId="11925" refreshError="1"/>
      <sheetData sheetId="11926" refreshError="1"/>
      <sheetData sheetId="11927" refreshError="1"/>
      <sheetData sheetId="11928" refreshError="1"/>
      <sheetData sheetId="11929" refreshError="1"/>
      <sheetData sheetId="11930" refreshError="1"/>
      <sheetData sheetId="11931" refreshError="1"/>
      <sheetData sheetId="11932" refreshError="1"/>
      <sheetData sheetId="11933" refreshError="1"/>
      <sheetData sheetId="11934" refreshError="1"/>
      <sheetData sheetId="11935" refreshError="1"/>
      <sheetData sheetId="11936" refreshError="1"/>
      <sheetData sheetId="11937" refreshError="1"/>
      <sheetData sheetId="11938" refreshError="1"/>
      <sheetData sheetId="11939" refreshError="1"/>
      <sheetData sheetId="11940" refreshError="1"/>
      <sheetData sheetId="11941" refreshError="1"/>
      <sheetData sheetId="11942" refreshError="1"/>
      <sheetData sheetId="11943" refreshError="1"/>
      <sheetData sheetId="11944" refreshError="1"/>
      <sheetData sheetId="11945" refreshError="1"/>
      <sheetData sheetId="11946" refreshError="1"/>
      <sheetData sheetId="11947" refreshError="1"/>
      <sheetData sheetId="11948" refreshError="1"/>
      <sheetData sheetId="11949" refreshError="1"/>
      <sheetData sheetId="11950" refreshError="1"/>
      <sheetData sheetId="11951" refreshError="1"/>
      <sheetData sheetId="11952" refreshError="1"/>
      <sheetData sheetId="11953" refreshError="1"/>
      <sheetData sheetId="11954" refreshError="1"/>
      <sheetData sheetId="11955" refreshError="1"/>
      <sheetData sheetId="11956" refreshError="1"/>
      <sheetData sheetId="11957" refreshError="1"/>
      <sheetData sheetId="11958" refreshError="1"/>
      <sheetData sheetId="11959" refreshError="1"/>
      <sheetData sheetId="11960" refreshError="1"/>
      <sheetData sheetId="11961" refreshError="1"/>
      <sheetData sheetId="11962" refreshError="1"/>
      <sheetData sheetId="11963" refreshError="1"/>
      <sheetData sheetId="11964" refreshError="1"/>
      <sheetData sheetId="11965" refreshError="1"/>
      <sheetData sheetId="11966" refreshError="1"/>
      <sheetData sheetId="11967" refreshError="1"/>
      <sheetData sheetId="11968" refreshError="1"/>
      <sheetData sheetId="11969" refreshError="1"/>
      <sheetData sheetId="11970" refreshError="1"/>
      <sheetData sheetId="11971" refreshError="1"/>
      <sheetData sheetId="11972" refreshError="1"/>
      <sheetData sheetId="11973" refreshError="1"/>
      <sheetData sheetId="11974" refreshError="1"/>
      <sheetData sheetId="11975" refreshError="1"/>
      <sheetData sheetId="11976" refreshError="1"/>
      <sheetData sheetId="11977" refreshError="1"/>
      <sheetData sheetId="11978" refreshError="1"/>
      <sheetData sheetId="11979" refreshError="1"/>
      <sheetData sheetId="11980" refreshError="1"/>
      <sheetData sheetId="11981" refreshError="1"/>
      <sheetData sheetId="11982" refreshError="1"/>
      <sheetData sheetId="11983" refreshError="1"/>
      <sheetData sheetId="11984" refreshError="1"/>
      <sheetData sheetId="11985" refreshError="1"/>
      <sheetData sheetId="11986" refreshError="1"/>
      <sheetData sheetId="11987" refreshError="1"/>
      <sheetData sheetId="11988" refreshError="1"/>
      <sheetData sheetId="11989" refreshError="1"/>
      <sheetData sheetId="11990" refreshError="1"/>
      <sheetData sheetId="11991" refreshError="1"/>
      <sheetData sheetId="11992" refreshError="1"/>
      <sheetData sheetId="11993" refreshError="1"/>
      <sheetData sheetId="11994" refreshError="1"/>
      <sheetData sheetId="11995" refreshError="1"/>
      <sheetData sheetId="11996" refreshError="1"/>
      <sheetData sheetId="11997" refreshError="1"/>
      <sheetData sheetId="11998" refreshError="1"/>
      <sheetData sheetId="11999" refreshError="1"/>
      <sheetData sheetId="12000" refreshError="1"/>
      <sheetData sheetId="12001" refreshError="1"/>
      <sheetData sheetId="12002" refreshError="1"/>
      <sheetData sheetId="12003" refreshError="1"/>
      <sheetData sheetId="12004" refreshError="1"/>
      <sheetData sheetId="12005" refreshError="1"/>
      <sheetData sheetId="12006" refreshError="1"/>
      <sheetData sheetId="12007" refreshError="1"/>
      <sheetData sheetId="12008" refreshError="1"/>
      <sheetData sheetId="12009" refreshError="1"/>
      <sheetData sheetId="12010" refreshError="1"/>
      <sheetData sheetId="12011" refreshError="1"/>
      <sheetData sheetId="12012" refreshError="1"/>
      <sheetData sheetId="12013" refreshError="1"/>
      <sheetData sheetId="12014" refreshError="1"/>
      <sheetData sheetId="12015" refreshError="1"/>
      <sheetData sheetId="12016" refreshError="1"/>
      <sheetData sheetId="12017" refreshError="1"/>
      <sheetData sheetId="12018" refreshError="1"/>
      <sheetData sheetId="12019" refreshError="1"/>
      <sheetData sheetId="12020" refreshError="1"/>
      <sheetData sheetId="12021" refreshError="1"/>
      <sheetData sheetId="12022" refreshError="1"/>
      <sheetData sheetId="12023" refreshError="1"/>
      <sheetData sheetId="12024" refreshError="1"/>
      <sheetData sheetId="12025" refreshError="1"/>
      <sheetData sheetId="12026" refreshError="1"/>
      <sheetData sheetId="12027" refreshError="1"/>
      <sheetData sheetId="12028" refreshError="1"/>
      <sheetData sheetId="12029" refreshError="1"/>
      <sheetData sheetId="12030" refreshError="1"/>
      <sheetData sheetId="12031" refreshError="1"/>
      <sheetData sheetId="12032" refreshError="1"/>
      <sheetData sheetId="12033" refreshError="1"/>
      <sheetData sheetId="12034" refreshError="1"/>
      <sheetData sheetId="12035" refreshError="1"/>
      <sheetData sheetId="12036" refreshError="1"/>
      <sheetData sheetId="12037" refreshError="1"/>
      <sheetData sheetId="12038" refreshError="1"/>
      <sheetData sheetId="12039" refreshError="1"/>
      <sheetData sheetId="12040" refreshError="1"/>
      <sheetData sheetId="12041" refreshError="1"/>
      <sheetData sheetId="12042" refreshError="1"/>
      <sheetData sheetId="12043" refreshError="1"/>
      <sheetData sheetId="12044" refreshError="1"/>
      <sheetData sheetId="12045" refreshError="1"/>
      <sheetData sheetId="12046" refreshError="1"/>
      <sheetData sheetId="12047" refreshError="1"/>
      <sheetData sheetId="12048" refreshError="1"/>
      <sheetData sheetId="12049" refreshError="1"/>
      <sheetData sheetId="12050" refreshError="1"/>
      <sheetData sheetId="12051" refreshError="1"/>
      <sheetData sheetId="12052" refreshError="1"/>
      <sheetData sheetId="12053" refreshError="1"/>
      <sheetData sheetId="12054" refreshError="1"/>
      <sheetData sheetId="12055" refreshError="1"/>
      <sheetData sheetId="12056" refreshError="1"/>
      <sheetData sheetId="12057" refreshError="1"/>
      <sheetData sheetId="12058" refreshError="1"/>
      <sheetData sheetId="12059" refreshError="1"/>
      <sheetData sheetId="12060" refreshError="1"/>
      <sheetData sheetId="12061" refreshError="1"/>
      <sheetData sheetId="12062" refreshError="1"/>
      <sheetData sheetId="12063" refreshError="1"/>
      <sheetData sheetId="12064" refreshError="1"/>
      <sheetData sheetId="12065" refreshError="1"/>
      <sheetData sheetId="12066" refreshError="1"/>
      <sheetData sheetId="12067" refreshError="1"/>
      <sheetData sheetId="12068" refreshError="1"/>
      <sheetData sheetId="12069" refreshError="1"/>
      <sheetData sheetId="12070" refreshError="1"/>
      <sheetData sheetId="12071" refreshError="1"/>
      <sheetData sheetId="12072" refreshError="1"/>
      <sheetData sheetId="12073" refreshError="1"/>
      <sheetData sheetId="12074" refreshError="1"/>
      <sheetData sheetId="12075" refreshError="1"/>
      <sheetData sheetId="12076" refreshError="1"/>
      <sheetData sheetId="12077" refreshError="1"/>
      <sheetData sheetId="12078" refreshError="1"/>
      <sheetData sheetId="12079" refreshError="1"/>
      <sheetData sheetId="12080" refreshError="1"/>
      <sheetData sheetId="12081" refreshError="1"/>
      <sheetData sheetId="12082" refreshError="1"/>
      <sheetData sheetId="12083" refreshError="1"/>
      <sheetData sheetId="12084" refreshError="1"/>
      <sheetData sheetId="12085" refreshError="1"/>
      <sheetData sheetId="12086" refreshError="1"/>
      <sheetData sheetId="12087" refreshError="1"/>
      <sheetData sheetId="12088" refreshError="1"/>
      <sheetData sheetId="12089" refreshError="1"/>
      <sheetData sheetId="12090" refreshError="1"/>
      <sheetData sheetId="12091" refreshError="1"/>
      <sheetData sheetId="12092" refreshError="1"/>
      <sheetData sheetId="12093" refreshError="1"/>
      <sheetData sheetId="12094" refreshError="1"/>
      <sheetData sheetId="12095" refreshError="1"/>
      <sheetData sheetId="12096" refreshError="1"/>
      <sheetData sheetId="12097" refreshError="1"/>
      <sheetData sheetId="12098" refreshError="1"/>
      <sheetData sheetId="12099" refreshError="1"/>
      <sheetData sheetId="12100" refreshError="1"/>
      <sheetData sheetId="12101" refreshError="1"/>
      <sheetData sheetId="12102" refreshError="1"/>
      <sheetData sheetId="12103" refreshError="1"/>
      <sheetData sheetId="12104" refreshError="1"/>
      <sheetData sheetId="12105" refreshError="1"/>
      <sheetData sheetId="12106" refreshError="1"/>
      <sheetData sheetId="12107" refreshError="1"/>
      <sheetData sheetId="12108" refreshError="1"/>
      <sheetData sheetId="12109" refreshError="1"/>
      <sheetData sheetId="12110" refreshError="1"/>
      <sheetData sheetId="12111" refreshError="1"/>
      <sheetData sheetId="12112" refreshError="1"/>
      <sheetData sheetId="12113" refreshError="1"/>
      <sheetData sheetId="12114" refreshError="1"/>
      <sheetData sheetId="12115" refreshError="1"/>
      <sheetData sheetId="12116" refreshError="1"/>
      <sheetData sheetId="12117" refreshError="1"/>
      <sheetData sheetId="12118" refreshError="1"/>
      <sheetData sheetId="12119" refreshError="1"/>
      <sheetData sheetId="12120" refreshError="1"/>
      <sheetData sheetId="12121" refreshError="1"/>
      <sheetData sheetId="12122" refreshError="1"/>
      <sheetData sheetId="12123" refreshError="1"/>
      <sheetData sheetId="12124" refreshError="1"/>
      <sheetData sheetId="12125" refreshError="1"/>
      <sheetData sheetId="12126" refreshError="1"/>
      <sheetData sheetId="12127" refreshError="1"/>
      <sheetData sheetId="12128" refreshError="1"/>
      <sheetData sheetId="12129" refreshError="1"/>
      <sheetData sheetId="12130" refreshError="1"/>
      <sheetData sheetId="12131" refreshError="1"/>
      <sheetData sheetId="12132" refreshError="1"/>
      <sheetData sheetId="12133" refreshError="1"/>
      <sheetData sheetId="12134" refreshError="1"/>
      <sheetData sheetId="12135" refreshError="1"/>
      <sheetData sheetId="12136" refreshError="1"/>
      <sheetData sheetId="12137" refreshError="1"/>
      <sheetData sheetId="12138" refreshError="1"/>
      <sheetData sheetId="12139" refreshError="1"/>
      <sheetData sheetId="12140" refreshError="1"/>
      <sheetData sheetId="12141" refreshError="1"/>
      <sheetData sheetId="12142" refreshError="1"/>
      <sheetData sheetId="12143" refreshError="1"/>
      <sheetData sheetId="12144" refreshError="1"/>
      <sheetData sheetId="12145" refreshError="1"/>
      <sheetData sheetId="12146" refreshError="1"/>
      <sheetData sheetId="12147" refreshError="1"/>
      <sheetData sheetId="12148" refreshError="1"/>
      <sheetData sheetId="12149" refreshError="1"/>
      <sheetData sheetId="12150" refreshError="1"/>
      <sheetData sheetId="12151" refreshError="1"/>
      <sheetData sheetId="12152" refreshError="1"/>
      <sheetData sheetId="12153" refreshError="1"/>
      <sheetData sheetId="12154" refreshError="1"/>
      <sheetData sheetId="12155" refreshError="1"/>
      <sheetData sheetId="12156" refreshError="1"/>
      <sheetData sheetId="12157" refreshError="1"/>
      <sheetData sheetId="12158" refreshError="1"/>
      <sheetData sheetId="12159" refreshError="1"/>
      <sheetData sheetId="12160" refreshError="1"/>
      <sheetData sheetId="12161" refreshError="1"/>
      <sheetData sheetId="12162" refreshError="1"/>
      <sheetData sheetId="12163" refreshError="1"/>
      <sheetData sheetId="12164" refreshError="1"/>
      <sheetData sheetId="12165" refreshError="1"/>
      <sheetData sheetId="12166" refreshError="1"/>
      <sheetData sheetId="12167" refreshError="1"/>
      <sheetData sheetId="12168" refreshError="1"/>
      <sheetData sheetId="12169" refreshError="1"/>
      <sheetData sheetId="12170" refreshError="1"/>
      <sheetData sheetId="12171" refreshError="1"/>
      <sheetData sheetId="12172" refreshError="1"/>
      <sheetData sheetId="12173" refreshError="1"/>
      <sheetData sheetId="12174" refreshError="1"/>
      <sheetData sheetId="12175" refreshError="1"/>
      <sheetData sheetId="12176" refreshError="1"/>
      <sheetData sheetId="12177" refreshError="1"/>
      <sheetData sheetId="12178" refreshError="1"/>
      <sheetData sheetId="12179" refreshError="1"/>
      <sheetData sheetId="12180" refreshError="1"/>
      <sheetData sheetId="12181" refreshError="1"/>
      <sheetData sheetId="12182" refreshError="1"/>
      <sheetData sheetId="12183" refreshError="1"/>
      <sheetData sheetId="12184" refreshError="1"/>
      <sheetData sheetId="12185" refreshError="1"/>
      <sheetData sheetId="12186" refreshError="1"/>
      <sheetData sheetId="12187" refreshError="1"/>
      <sheetData sheetId="12188" refreshError="1"/>
      <sheetData sheetId="12189" refreshError="1"/>
      <sheetData sheetId="12190" refreshError="1"/>
      <sheetData sheetId="12191" refreshError="1"/>
      <sheetData sheetId="12192" refreshError="1"/>
      <sheetData sheetId="12193" refreshError="1"/>
      <sheetData sheetId="12194" refreshError="1"/>
      <sheetData sheetId="12195" refreshError="1"/>
      <sheetData sheetId="12196" refreshError="1"/>
      <sheetData sheetId="12197" refreshError="1"/>
      <sheetData sheetId="12198" refreshError="1"/>
      <sheetData sheetId="12199" refreshError="1"/>
      <sheetData sheetId="12200" refreshError="1"/>
      <sheetData sheetId="12201" refreshError="1"/>
      <sheetData sheetId="12202" refreshError="1"/>
      <sheetData sheetId="12203" refreshError="1"/>
      <sheetData sheetId="12204" refreshError="1"/>
      <sheetData sheetId="12205" refreshError="1"/>
      <sheetData sheetId="12206" refreshError="1"/>
      <sheetData sheetId="12207" refreshError="1"/>
      <sheetData sheetId="12208" refreshError="1"/>
      <sheetData sheetId="12209" refreshError="1"/>
      <sheetData sheetId="12210" refreshError="1"/>
      <sheetData sheetId="12211" refreshError="1"/>
      <sheetData sheetId="12212" refreshError="1"/>
      <sheetData sheetId="12213" refreshError="1"/>
      <sheetData sheetId="12214" refreshError="1"/>
      <sheetData sheetId="12215" refreshError="1"/>
      <sheetData sheetId="12216" refreshError="1"/>
      <sheetData sheetId="12217" refreshError="1"/>
      <sheetData sheetId="12218" refreshError="1"/>
      <sheetData sheetId="12219" refreshError="1"/>
      <sheetData sheetId="12220" refreshError="1"/>
      <sheetData sheetId="12221" refreshError="1"/>
      <sheetData sheetId="12222" refreshError="1"/>
      <sheetData sheetId="12223" refreshError="1"/>
      <sheetData sheetId="12224" refreshError="1"/>
      <sheetData sheetId="12225" refreshError="1"/>
      <sheetData sheetId="12226" refreshError="1"/>
      <sheetData sheetId="12227" refreshError="1"/>
      <sheetData sheetId="12228" refreshError="1"/>
      <sheetData sheetId="12229" refreshError="1"/>
      <sheetData sheetId="12230" refreshError="1"/>
      <sheetData sheetId="12231" refreshError="1"/>
      <sheetData sheetId="12232" refreshError="1"/>
      <sheetData sheetId="12233" refreshError="1"/>
      <sheetData sheetId="12234" refreshError="1"/>
      <sheetData sheetId="12235" refreshError="1"/>
      <sheetData sheetId="12236" refreshError="1"/>
      <sheetData sheetId="12237" refreshError="1"/>
      <sheetData sheetId="12238" refreshError="1"/>
      <sheetData sheetId="12239" refreshError="1"/>
      <sheetData sheetId="12240" refreshError="1"/>
      <sheetData sheetId="12241" refreshError="1"/>
      <sheetData sheetId="12242" refreshError="1"/>
      <sheetData sheetId="12243" refreshError="1"/>
      <sheetData sheetId="12244" refreshError="1"/>
      <sheetData sheetId="12245" refreshError="1"/>
      <sheetData sheetId="12246" refreshError="1"/>
      <sheetData sheetId="12247" refreshError="1"/>
      <sheetData sheetId="12248" refreshError="1"/>
      <sheetData sheetId="12249" refreshError="1"/>
      <sheetData sheetId="12250" refreshError="1"/>
      <sheetData sheetId="12251" refreshError="1"/>
      <sheetData sheetId="12252" refreshError="1"/>
      <sheetData sheetId="12253" refreshError="1"/>
      <sheetData sheetId="12254" refreshError="1"/>
      <sheetData sheetId="12255" refreshError="1"/>
      <sheetData sheetId="12256" refreshError="1"/>
      <sheetData sheetId="12257" refreshError="1"/>
      <sheetData sheetId="12258" refreshError="1"/>
      <sheetData sheetId="12259" refreshError="1"/>
      <sheetData sheetId="12260" refreshError="1"/>
      <sheetData sheetId="12261" refreshError="1"/>
      <sheetData sheetId="12262" refreshError="1"/>
      <sheetData sheetId="12263" refreshError="1"/>
      <sheetData sheetId="12264" refreshError="1"/>
      <sheetData sheetId="12265" refreshError="1"/>
      <sheetData sheetId="12266" refreshError="1"/>
      <sheetData sheetId="12267" refreshError="1"/>
      <sheetData sheetId="12268" refreshError="1"/>
      <sheetData sheetId="12269" refreshError="1"/>
      <sheetData sheetId="12270" refreshError="1"/>
      <sheetData sheetId="12271" refreshError="1"/>
      <sheetData sheetId="12272" refreshError="1"/>
      <sheetData sheetId="12273" refreshError="1"/>
      <sheetData sheetId="12274" refreshError="1"/>
      <sheetData sheetId="12275" refreshError="1"/>
      <sheetData sheetId="12276" refreshError="1"/>
      <sheetData sheetId="12277" refreshError="1"/>
      <sheetData sheetId="12278" refreshError="1"/>
      <sheetData sheetId="12279" refreshError="1"/>
      <sheetData sheetId="12280" refreshError="1"/>
      <sheetData sheetId="12281" refreshError="1"/>
      <sheetData sheetId="12282" refreshError="1"/>
      <sheetData sheetId="12283" refreshError="1"/>
      <sheetData sheetId="12284" refreshError="1"/>
      <sheetData sheetId="12285" refreshError="1"/>
      <sheetData sheetId="12286" refreshError="1"/>
      <sheetData sheetId="12287" refreshError="1"/>
      <sheetData sheetId="12288" refreshError="1"/>
      <sheetData sheetId="12289" refreshError="1"/>
      <sheetData sheetId="12290" refreshError="1"/>
      <sheetData sheetId="12291" refreshError="1"/>
      <sheetData sheetId="12292" refreshError="1"/>
      <sheetData sheetId="12293" refreshError="1"/>
      <sheetData sheetId="12294" refreshError="1"/>
      <sheetData sheetId="12295" refreshError="1"/>
      <sheetData sheetId="12296" refreshError="1"/>
      <sheetData sheetId="12297" refreshError="1"/>
      <sheetData sheetId="12298" refreshError="1"/>
      <sheetData sheetId="12299" refreshError="1"/>
      <sheetData sheetId="12300" refreshError="1"/>
      <sheetData sheetId="12301" refreshError="1"/>
      <sheetData sheetId="12302" refreshError="1"/>
      <sheetData sheetId="12303" refreshError="1"/>
      <sheetData sheetId="12304" refreshError="1"/>
      <sheetData sheetId="12305" refreshError="1"/>
      <sheetData sheetId="12306" refreshError="1"/>
      <sheetData sheetId="12307" refreshError="1"/>
      <sheetData sheetId="12308" refreshError="1"/>
      <sheetData sheetId="12309" refreshError="1"/>
      <sheetData sheetId="12310" refreshError="1"/>
      <sheetData sheetId="12311" refreshError="1"/>
      <sheetData sheetId="12312" refreshError="1"/>
      <sheetData sheetId="12313" refreshError="1"/>
      <sheetData sheetId="12314" refreshError="1"/>
      <sheetData sheetId="12315" refreshError="1"/>
      <sheetData sheetId="12316" refreshError="1"/>
      <sheetData sheetId="12317" refreshError="1"/>
      <sheetData sheetId="12318" refreshError="1"/>
      <sheetData sheetId="12319" refreshError="1"/>
      <sheetData sheetId="12320" refreshError="1"/>
      <sheetData sheetId="12321" refreshError="1"/>
      <sheetData sheetId="12322" refreshError="1"/>
      <sheetData sheetId="12323" refreshError="1"/>
      <sheetData sheetId="12324" refreshError="1"/>
      <sheetData sheetId="12325" refreshError="1"/>
      <sheetData sheetId="12326" refreshError="1"/>
      <sheetData sheetId="12327" refreshError="1"/>
      <sheetData sheetId="12328" refreshError="1"/>
      <sheetData sheetId="12329" refreshError="1"/>
      <sheetData sheetId="12330" refreshError="1"/>
      <sheetData sheetId="12331" refreshError="1"/>
      <sheetData sheetId="12332" refreshError="1"/>
      <sheetData sheetId="12333" refreshError="1"/>
      <sheetData sheetId="12334" refreshError="1"/>
      <sheetData sheetId="12335" refreshError="1"/>
      <sheetData sheetId="12336" refreshError="1"/>
      <sheetData sheetId="12337" refreshError="1"/>
      <sheetData sheetId="12338" refreshError="1"/>
      <sheetData sheetId="12339" refreshError="1"/>
      <sheetData sheetId="12340" refreshError="1"/>
      <sheetData sheetId="12341" refreshError="1"/>
      <sheetData sheetId="12342" refreshError="1"/>
      <sheetData sheetId="12343" refreshError="1"/>
      <sheetData sheetId="12344" refreshError="1"/>
      <sheetData sheetId="12345" refreshError="1"/>
      <sheetData sheetId="12346" refreshError="1"/>
      <sheetData sheetId="12347" refreshError="1"/>
      <sheetData sheetId="12348" refreshError="1"/>
      <sheetData sheetId="12349" refreshError="1"/>
      <sheetData sheetId="12350" refreshError="1"/>
      <sheetData sheetId="12351" refreshError="1"/>
      <sheetData sheetId="12352" refreshError="1"/>
      <sheetData sheetId="12353" refreshError="1"/>
      <sheetData sheetId="12354" refreshError="1"/>
      <sheetData sheetId="12355" refreshError="1"/>
      <sheetData sheetId="12356" refreshError="1"/>
      <sheetData sheetId="12357" refreshError="1"/>
      <sheetData sheetId="12358" refreshError="1"/>
      <sheetData sheetId="12359" refreshError="1"/>
      <sheetData sheetId="12360" refreshError="1"/>
      <sheetData sheetId="12361" refreshError="1"/>
      <sheetData sheetId="12362" refreshError="1"/>
      <sheetData sheetId="12363" refreshError="1"/>
      <sheetData sheetId="12364" refreshError="1"/>
      <sheetData sheetId="12365" refreshError="1"/>
      <sheetData sheetId="12366" refreshError="1"/>
      <sheetData sheetId="12367" refreshError="1"/>
      <sheetData sheetId="12368" refreshError="1"/>
      <sheetData sheetId="12369" refreshError="1"/>
      <sheetData sheetId="12370" refreshError="1"/>
      <sheetData sheetId="12371" refreshError="1"/>
      <sheetData sheetId="12372" refreshError="1"/>
      <sheetData sheetId="12373" refreshError="1"/>
      <sheetData sheetId="12374" refreshError="1"/>
      <sheetData sheetId="12375" refreshError="1"/>
      <sheetData sheetId="12376" refreshError="1"/>
      <sheetData sheetId="12377" refreshError="1"/>
      <sheetData sheetId="12378" refreshError="1"/>
      <sheetData sheetId="12379" refreshError="1"/>
      <sheetData sheetId="12380" refreshError="1"/>
      <sheetData sheetId="12381" refreshError="1"/>
      <sheetData sheetId="12382" refreshError="1"/>
      <sheetData sheetId="12383" refreshError="1"/>
      <sheetData sheetId="12384" refreshError="1"/>
      <sheetData sheetId="12385" refreshError="1"/>
      <sheetData sheetId="12386" refreshError="1"/>
      <sheetData sheetId="12387" refreshError="1"/>
      <sheetData sheetId="12388" refreshError="1"/>
      <sheetData sheetId="12389" refreshError="1"/>
      <sheetData sheetId="12390" refreshError="1"/>
      <sheetData sheetId="12391" refreshError="1"/>
      <sheetData sheetId="12392" refreshError="1"/>
      <sheetData sheetId="12393" refreshError="1"/>
      <sheetData sheetId="12394" refreshError="1"/>
      <sheetData sheetId="12395" refreshError="1"/>
      <sheetData sheetId="12396" refreshError="1"/>
      <sheetData sheetId="12397" refreshError="1"/>
      <sheetData sheetId="12398" refreshError="1"/>
      <sheetData sheetId="12399" refreshError="1"/>
      <sheetData sheetId="12400" refreshError="1"/>
      <sheetData sheetId="12401" refreshError="1"/>
      <sheetData sheetId="12402" refreshError="1"/>
      <sheetData sheetId="12403" refreshError="1"/>
      <sheetData sheetId="12404" refreshError="1"/>
      <sheetData sheetId="12405" refreshError="1"/>
      <sheetData sheetId="12406" refreshError="1"/>
      <sheetData sheetId="12407" refreshError="1"/>
      <sheetData sheetId="12408" refreshError="1"/>
      <sheetData sheetId="12409" refreshError="1"/>
      <sheetData sheetId="12410" refreshError="1"/>
      <sheetData sheetId="12411" refreshError="1"/>
      <sheetData sheetId="12412" refreshError="1"/>
      <sheetData sheetId="12413" refreshError="1"/>
      <sheetData sheetId="12414" refreshError="1"/>
      <sheetData sheetId="12415" refreshError="1"/>
      <sheetData sheetId="12416" refreshError="1"/>
      <sheetData sheetId="12417" refreshError="1"/>
      <sheetData sheetId="12418" refreshError="1"/>
      <sheetData sheetId="12419" refreshError="1"/>
      <sheetData sheetId="12420" refreshError="1"/>
      <sheetData sheetId="12421" refreshError="1"/>
      <sheetData sheetId="12422" refreshError="1"/>
      <sheetData sheetId="12423" refreshError="1"/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 refreshError="1"/>
      <sheetData sheetId="12430" refreshError="1"/>
      <sheetData sheetId="12431" refreshError="1"/>
      <sheetData sheetId="12432" refreshError="1"/>
      <sheetData sheetId="12433" refreshError="1"/>
      <sheetData sheetId="12434" refreshError="1"/>
      <sheetData sheetId="12435" refreshError="1"/>
      <sheetData sheetId="12436" refreshError="1"/>
      <sheetData sheetId="12437" refreshError="1"/>
      <sheetData sheetId="12438" refreshError="1"/>
      <sheetData sheetId="12439" refreshError="1"/>
      <sheetData sheetId="12440" refreshError="1"/>
      <sheetData sheetId="12441" refreshError="1"/>
      <sheetData sheetId="12442" refreshError="1"/>
      <sheetData sheetId="12443" refreshError="1"/>
      <sheetData sheetId="12444" refreshError="1"/>
      <sheetData sheetId="12445" refreshError="1"/>
      <sheetData sheetId="12446" refreshError="1"/>
      <sheetData sheetId="12447" refreshError="1"/>
      <sheetData sheetId="12448" refreshError="1"/>
      <sheetData sheetId="12449" refreshError="1"/>
      <sheetData sheetId="12450" refreshError="1"/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  <sheetData sheetId="12486" refreshError="1"/>
      <sheetData sheetId="12487" refreshError="1"/>
      <sheetData sheetId="12488" refreshError="1"/>
      <sheetData sheetId="12489" refreshError="1"/>
      <sheetData sheetId="12490" refreshError="1"/>
      <sheetData sheetId="12491" refreshError="1"/>
      <sheetData sheetId="12492" refreshError="1"/>
      <sheetData sheetId="12493" refreshError="1"/>
      <sheetData sheetId="12494" refreshError="1"/>
      <sheetData sheetId="12495" refreshError="1"/>
      <sheetData sheetId="12496" refreshError="1"/>
      <sheetData sheetId="12497" refreshError="1"/>
      <sheetData sheetId="12498" refreshError="1"/>
      <sheetData sheetId="12499" refreshError="1"/>
      <sheetData sheetId="12500" refreshError="1"/>
      <sheetData sheetId="12501" refreshError="1"/>
      <sheetData sheetId="12502" refreshError="1"/>
      <sheetData sheetId="12503" refreshError="1"/>
      <sheetData sheetId="12504" refreshError="1"/>
      <sheetData sheetId="12505" refreshError="1"/>
      <sheetData sheetId="12506" refreshError="1"/>
      <sheetData sheetId="12507" refreshError="1"/>
      <sheetData sheetId="12508" refreshError="1"/>
      <sheetData sheetId="12509" refreshError="1"/>
      <sheetData sheetId="12510" refreshError="1"/>
      <sheetData sheetId="12511" refreshError="1"/>
      <sheetData sheetId="12512" refreshError="1"/>
      <sheetData sheetId="12513" refreshError="1"/>
      <sheetData sheetId="12514" refreshError="1"/>
      <sheetData sheetId="12515" refreshError="1"/>
      <sheetData sheetId="12516" refreshError="1"/>
      <sheetData sheetId="12517" refreshError="1"/>
      <sheetData sheetId="12518" refreshError="1"/>
      <sheetData sheetId="12519" refreshError="1"/>
      <sheetData sheetId="12520" refreshError="1"/>
      <sheetData sheetId="12521" refreshError="1"/>
      <sheetData sheetId="12522" refreshError="1"/>
      <sheetData sheetId="12523" refreshError="1"/>
      <sheetData sheetId="12524" refreshError="1"/>
      <sheetData sheetId="12525" refreshError="1"/>
      <sheetData sheetId="12526" refreshError="1"/>
      <sheetData sheetId="12527" refreshError="1"/>
      <sheetData sheetId="12528" refreshError="1"/>
      <sheetData sheetId="12529" refreshError="1"/>
      <sheetData sheetId="12530" refreshError="1"/>
      <sheetData sheetId="12531" refreshError="1"/>
      <sheetData sheetId="12532" refreshError="1"/>
      <sheetData sheetId="12533" refreshError="1"/>
      <sheetData sheetId="12534" refreshError="1"/>
      <sheetData sheetId="12535" refreshError="1"/>
      <sheetData sheetId="12536" refreshError="1"/>
      <sheetData sheetId="12537" refreshError="1"/>
      <sheetData sheetId="12538" refreshError="1"/>
      <sheetData sheetId="12539" refreshError="1"/>
      <sheetData sheetId="12540" refreshError="1"/>
      <sheetData sheetId="12541" refreshError="1"/>
      <sheetData sheetId="12542" refreshError="1"/>
      <sheetData sheetId="12543" refreshError="1"/>
      <sheetData sheetId="12544" refreshError="1"/>
      <sheetData sheetId="12545" refreshError="1"/>
      <sheetData sheetId="12546" refreshError="1"/>
      <sheetData sheetId="12547" refreshError="1"/>
      <sheetData sheetId="12548" refreshError="1"/>
      <sheetData sheetId="12549" refreshError="1"/>
      <sheetData sheetId="12550" refreshError="1"/>
      <sheetData sheetId="12551" refreshError="1"/>
      <sheetData sheetId="12552" refreshError="1"/>
      <sheetData sheetId="12553" refreshError="1"/>
      <sheetData sheetId="12554" refreshError="1"/>
      <sheetData sheetId="12555" refreshError="1"/>
      <sheetData sheetId="12556" refreshError="1"/>
      <sheetData sheetId="12557" refreshError="1"/>
      <sheetData sheetId="12558" refreshError="1"/>
      <sheetData sheetId="12559" refreshError="1"/>
      <sheetData sheetId="12560" refreshError="1"/>
      <sheetData sheetId="12561" refreshError="1"/>
      <sheetData sheetId="12562" refreshError="1"/>
      <sheetData sheetId="12563" refreshError="1"/>
      <sheetData sheetId="12564" refreshError="1"/>
      <sheetData sheetId="12565" refreshError="1"/>
      <sheetData sheetId="12566" refreshError="1"/>
      <sheetData sheetId="12567" refreshError="1"/>
      <sheetData sheetId="12568" refreshError="1"/>
      <sheetData sheetId="12569" refreshError="1"/>
      <sheetData sheetId="12570" refreshError="1"/>
      <sheetData sheetId="12571" refreshError="1"/>
      <sheetData sheetId="12572" refreshError="1"/>
      <sheetData sheetId="12573" refreshError="1"/>
      <sheetData sheetId="12574" refreshError="1"/>
      <sheetData sheetId="12575" refreshError="1"/>
      <sheetData sheetId="12576" refreshError="1"/>
      <sheetData sheetId="12577" refreshError="1"/>
      <sheetData sheetId="12578" refreshError="1"/>
      <sheetData sheetId="12579" refreshError="1"/>
      <sheetData sheetId="12580" refreshError="1"/>
      <sheetData sheetId="12581" refreshError="1"/>
      <sheetData sheetId="12582" refreshError="1"/>
      <sheetData sheetId="12583" refreshError="1"/>
      <sheetData sheetId="12584" refreshError="1"/>
      <sheetData sheetId="12585" refreshError="1"/>
      <sheetData sheetId="12586" refreshError="1"/>
      <sheetData sheetId="12587" refreshError="1"/>
      <sheetData sheetId="12588" refreshError="1"/>
      <sheetData sheetId="12589" refreshError="1"/>
      <sheetData sheetId="12590" refreshError="1"/>
      <sheetData sheetId="12591" refreshError="1"/>
      <sheetData sheetId="12592" refreshError="1"/>
      <sheetData sheetId="12593" refreshError="1"/>
      <sheetData sheetId="12594" refreshError="1"/>
      <sheetData sheetId="12595" refreshError="1"/>
      <sheetData sheetId="12596" refreshError="1"/>
      <sheetData sheetId="12597" refreshError="1"/>
      <sheetData sheetId="12598" refreshError="1"/>
      <sheetData sheetId="12599" refreshError="1"/>
      <sheetData sheetId="12600" refreshError="1"/>
      <sheetData sheetId="12601" refreshError="1"/>
      <sheetData sheetId="12602" refreshError="1"/>
      <sheetData sheetId="12603" refreshError="1"/>
      <sheetData sheetId="12604" refreshError="1"/>
      <sheetData sheetId="12605" refreshError="1"/>
      <sheetData sheetId="12606" refreshError="1"/>
      <sheetData sheetId="12607" refreshError="1"/>
      <sheetData sheetId="12608" refreshError="1"/>
      <sheetData sheetId="12609" refreshError="1"/>
      <sheetData sheetId="12610" refreshError="1"/>
      <sheetData sheetId="12611" refreshError="1"/>
      <sheetData sheetId="12612" refreshError="1"/>
      <sheetData sheetId="12613" refreshError="1"/>
      <sheetData sheetId="12614" refreshError="1"/>
      <sheetData sheetId="12615" refreshError="1"/>
      <sheetData sheetId="12616" refreshError="1"/>
      <sheetData sheetId="12617" refreshError="1"/>
      <sheetData sheetId="12618" refreshError="1"/>
      <sheetData sheetId="12619" refreshError="1"/>
      <sheetData sheetId="12620" refreshError="1"/>
      <sheetData sheetId="12621" refreshError="1"/>
      <sheetData sheetId="12622" refreshError="1"/>
      <sheetData sheetId="12623" refreshError="1"/>
      <sheetData sheetId="12624" refreshError="1"/>
      <sheetData sheetId="12625" refreshError="1"/>
      <sheetData sheetId="12626" refreshError="1"/>
      <sheetData sheetId="12627" refreshError="1"/>
      <sheetData sheetId="12628" refreshError="1"/>
      <sheetData sheetId="12629" refreshError="1"/>
      <sheetData sheetId="12630" refreshError="1"/>
      <sheetData sheetId="12631" refreshError="1"/>
      <sheetData sheetId="12632" refreshError="1"/>
      <sheetData sheetId="12633" refreshError="1"/>
      <sheetData sheetId="12634" refreshError="1"/>
      <sheetData sheetId="12635" refreshError="1"/>
      <sheetData sheetId="12636" refreshError="1"/>
      <sheetData sheetId="12637" refreshError="1"/>
      <sheetData sheetId="12638" refreshError="1"/>
      <sheetData sheetId="12639" refreshError="1"/>
      <sheetData sheetId="12640" refreshError="1"/>
      <sheetData sheetId="12641" refreshError="1"/>
      <sheetData sheetId="12642" refreshError="1"/>
      <sheetData sheetId="12643" refreshError="1"/>
      <sheetData sheetId="12644" refreshError="1"/>
      <sheetData sheetId="12645" refreshError="1"/>
      <sheetData sheetId="12646" refreshError="1"/>
      <sheetData sheetId="12647" refreshError="1"/>
      <sheetData sheetId="12648" refreshError="1"/>
      <sheetData sheetId="12649" refreshError="1"/>
      <sheetData sheetId="12650" refreshError="1"/>
      <sheetData sheetId="12651" refreshError="1"/>
      <sheetData sheetId="12652" refreshError="1"/>
      <sheetData sheetId="12653" refreshError="1"/>
      <sheetData sheetId="12654" refreshError="1"/>
      <sheetData sheetId="12655" refreshError="1"/>
      <sheetData sheetId="12656" refreshError="1"/>
      <sheetData sheetId="12657" refreshError="1"/>
      <sheetData sheetId="12658" refreshError="1"/>
      <sheetData sheetId="12659" refreshError="1"/>
      <sheetData sheetId="12660" refreshError="1"/>
      <sheetData sheetId="12661" refreshError="1"/>
      <sheetData sheetId="12662" refreshError="1"/>
      <sheetData sheetId="12663" refreshError="1"/>
      <sheetData sheetId="12664" refreshError="1"/>
      <sheetData sheetId="12665" refreshError="1"/>
      <sheetData sheetId="12666" refreshError="1"/>
      <sheetData sheetId="12667" refreshError="1"/>
      <sheetData sheetId="12668" refreshError="1"/>
      <sheetData sheetId="12669" refreshError="1"/>
      <sheetData sheetId="12670" refreshError="1"/>
      <sheetData sheetId="12671" refreshError="1"/>
      <sheetData sheetId="12672" refreshError="1"/>
      <sheetData sheetId="12673" refreshError="1"/>
      <sheetData sheetId="12674" refreshError="1"/>
      <sheetData sheetId="12675" refreshError="1"/>
      <sheetData sheetId="12676" refreshError="1"/>
      <sheetData sheetId="12677" refreshError="1"/>
      <sheetData sheetId="12678" refreshError="1"/>
      <sheetData sheetId="12679" refreshError="1"/>
      <sheetData sheetId="12680" refreshError="1"/>
      <sheetData sheetId="12681" refreshError="1"/>
      <sheetData sheetId="12682" refreshError="1"/>
      <sheetData sheetId="12683" refreshError="1"/>
      <sheetData sheetId="12684" refreshError="1"/>
      <sheetData sheetId="12685" refreshError="1"/>
      <sheetData sheetId="12686" refreshError="1"/>
      <sheetData sheetId="12687" refreshError="1"/>
      <sheetData sheetId="12688" refreshError="1"/>
      <sheetData sheetId="12689" refreshError="1"/>
      <sheetData sheetId="12690" refreshError="1"/>
      <sheetData sheetId="12691" refreshError="1"/>
      <sheetData sheetId="12692" refreshError="1"/>
      <sheetData sheetId="12693" refreshError="1"/>
      <sheetData sheetId="12694" refreshError="1"/>
      <sheetData sheetId="12695" refreshError="1"/>
      <sheetData sheetId="12696" refreshError="1"/>
      <sheetData sheetId="12697" refreshError="1"/>
      <sheetData sheetId="12698" refreshError="1"/>
      <sheetData sheetId="12699" refreshError="1"/>
      <sheetData sheetId="12700" refreshError="1"/>
      <sheetData sheetId="12701" refreshError="1"/>
      <sheetData sheetId="12702" refreshError="1"/>
      <sheetData sheetId="12703" refreshError="1"/>
      <sheetData sheetId="12704" refreshError="1"/>
      <sheetData sheetId="12705" refreshError="1"/>
      <sheetData sheetId="12706" refreshError="1"/>
      <sheetData sheetId="12707" refreshError="1"/>
      <sheetData sheetId="12708" refreshError="1"/>
      <sheetData sheetId="12709" refreshError="1"/>
      <sheetData sheetId="12710" refreshError="1"/>
      <sheetData sheetId="12711" refreshError="1"/>
      <sheetData sheetId="12712" refreshError="1"/>
      <sheetData sheetId="12713" refreshError="1"/>
      <sheetData sheetId="12714" refreshError="1"/>
      <sheetData sheetId="12715" refreshError="1"/>
      <sheetData sheetId="12716" refreshError="1"/>
      <sheetData sheetId="12717" refreshError="1"/>
      <sheetData sheetId="12718" refreshError="1"/>
      <sheetData sheetId="12719" refreshError="1"/>
      <sheetData sheetId="12720" refreshError="1"/>
      <sheetData sheetId="12721" refreshError="1"/>
      <sheetData sheetId="12722" refreshError="1"/>
      <sheetData sheetId="12723" refreshError="1"/>
      <sheetData sheetId="12724" refreshError="1"/>
      <sheetData sheetId="12725" refreshError="1"/>
      <sheetData sheetId="12726" refreshError="1"/>
      <sheetData sheetId="12727" refreshError="1"/>
      <sheetData sheetId="12728" refreshError="1"/>
      <sheetData sheetId="12729" refreshError="1"/>
      <sheetData sheetId="12730" refreshError="1"/>
      <sheetData sheetId="12731" refreshError="1"/>
      <sheetData sheetId="12732" refreshError="1"/>
      <sheetData sheetId="12733" refreshError="1"/>
      <sheetData sheetId="12734" refreshError="1"/>
      <sheetData sheetId="12735" refreshError="1"/>
      <sheetData sheetId="12736" refreshError="1"/>
      <sheetData sheetId="12737" refreshError="1"/>
      <sheetData sheetId="12738" refreshError="1"/>
      <sheetData sheetId="12739" refreshError="1"/>
      <sheetData sheetId="12740" refreshError="1"/>
      <sheetData sheetId="12741" refreshError="1"/>
      <sheetData sheetId="12742" refreshError="1"/>
      <sheetData sheetId="12743" refreshError="1"/>
      <sheetData sheetId="12744" refreshError="1"/>
      <sheetData sheetId="12745" refreshError="1"/>
      <sheetData sheetId="12746" refreshError="1"/>
      <sheetData sheetId="12747" refreshError="1"/>
      <sheetData sheetId="12748" refreshError="1"/>
      <sheetData sheetId="12749" refreshError="1"/>
      <sheetData sheetId="12750" refreshError="1"/>
      <sheetData sheetId="12751" refreshError="1"/>
      <sheetData sheetId="12752" refreshError="1"/>
      <sheetData sheetId="12753" refreshError="1"/>
      <sheetData sheetId="12754" refreshError="1"/>
      <sheetData sheetId="12755" refreshError="1"/>
      <sheetData sheetId="12756" refreshError="1"/>
      <sheetData sheetId="12757" refreshError="1"/>
      <sheetData sheetId="12758" refreshError="1"/>
      <sheetData sheetId="12759" refreshError="1"/>
      <sheetData sheetId="12760" refreshError="1"/>
      <sheetData sheetId="12761" refreshError="1"/>
      <sheetData sheetId="12762" refreshError="1"/>
      <sheetData sheetId="12763" refreshError="1"/>
      <sheetData sheetId="12764" refreshError="1"/>
      <sheetData sheetId="12765" refreshError="1"/>
      <sheetData sheetId="12766" refreshError="1"/>
      <sheetData sheetId="12767" refreshError="1"/>
      <sheetData sheetId="12768" refreshError="1"/>
      <sheetData sheetId="12769" refreshError="1"/>
      <sheetData sheetId="12770" refreshError="1"/>
      <sheetData sheetId="12771" refreshError="1"/>
      <sheetData sheetId="12772" refreshError="1"/>
      <sheetData sheetId="12773" refreshError="1"/>
      <sheetData sheetId="12774" refreshError="1"/>
      <sheetData sheetId="12775" refreshError="1"/>
      <sheetData sheetId="12776" refreshError="1"/>
      <sheetData sheetId="12777" refreshError="1"/>
      <sheetData sheetId="12778" refreshError="1"/>
      <sheetData sheetId="12779" refreshError="1"/>
      <sheetData sheetId="12780" refreshError="1"/>
      <sheetData sheetId="12781" refreshError="1"/>
      <sheetData sheetId="12782" refreshError="1"/>
      <sheetData sheetId="12783" refreshError="1"/>
      <sheetData sheetId="12784" refreshError="1"/>
      <sheetData sheetId="12785" refreshError="1"/>
      <sheetData sheetId="12786" refreshError="1"/>
      <sheetData sheetId="12787" refreshError="1"/>
      <sheetData sheetId="12788" refreshError="1"/>
      <sheetData sheetId="12789" refreshError="1"/>
      <sheetData sheetId="12790" refreshError="1"/>
      <sheetData sheetId="12791" refreshError="1"/>
      <sheetData sheetId="12792" refreshError="1"/>
      <sheetData sheetId="12793" refreshError="1"/>
      <sheetData sheetId="12794" refreshError="1"/>
      <sheetData sheetId="12795" refreshError="1"/>
      <sheetData sheetId="12796" refreshError="1"/>
      <sheetData sheetId="12797" refreshError="1"/>
      <sheetData sheetId="12798" refreshError="1"/>
      <sheetData sheetId="12799" refreshError="1"/>
      <sheetData sheetId="12800" refreshError="1"/>
      <sheetData sheetId="12801" refreshError="1"/>
      <sheetData sheetId="12802" refreshError="1"/>
      <sheetData sheetId="12803" refreshError="1"/>
      <sheetData sheetId="12804" refreshError="1"/>
      <sheetData sheetId="12805" refreshError="1"/>
      <sheetData sheetId="12806" refreshError="1"/>
      <sheetData sheetId="12807" refreshError="1"/>
      <sheetData sheetId="12808" refreshError="1"/>
      <sheetData sheetId="12809" refreshError="1"/>
      <sheetData sheetId="12810" refreshError="1"/>
      <sheetData sheetId="12811" refreshError="1"/>
      <sheetData sheetId="12812" refreshError="1"/>
      <sheetData sheetId="12813" refreshError="1"/>
      <sheetData sheetId="12814" refreshError="1"/>
      <sheetData sheetId="12815" refreshError="1"/>
      <sheetData sheetId="12816" refreshError="1"/>
      <sheetData sheetId="12817" refreshError="1"/>
      <sheetData sheetId="12818" refreshError="1"/>
      <sheetData sheetId="12819" refreshError="1"/>
      <sheetData sheetId="12820" refreshError="1"/>
      <sheetData sheetId="12821" refreshError="1"/>
      <sheetData sheetId="12822" refreshError="1"/>
      <sheetData sheetId="12823" refreshError="1"/>
      <sheetData sheetId="12824" refreshError="1"/>
      <sheetData sheetId="12825" refreshError="1"/>
      <sheetData sheetId="12826" refreshError="1"/>
      <sheetData sheetId="12827" refreshError="1"/>
      <sheetData sheetId="12828" refreshError="1"/>
      <sheetData sheetId="12829" refreshError="1"/>
      <sheetData sheetId="12830" refreshError="1"/>
      <sheetData sheetId="12831" refreshError="1"/>
      <sheetData sheetId="12832" refreshError="1"/>
      <sheetData sheetId="12833" refreshError="1"/>
      <sheetData sheetId="12834" refreshError="1"/>
      <sheetData sheetId="12835" refreshError="1"/>
      <sheetData sheetId="12836" refreshError="1"/>
      <sheetData sheetId="12837" refreshError="1"/>
      <sheetData sheetId="12838" refreshError="1"/>
      <sheetData sheetId="12839" refreshError="1"/>
      <sheetData sheetId="12840" refreshError="1"/>
      <sheetData sheetId="12841" refreshError="1"/>
      <sheetData sheetId="12842" refreshError="1"/>
      <sheetData sheetId="12843" refreshError="1"/>
      <sheetData sheetId="12844" refreshError="1"/>
      <sheetData sheetId="12845" refreshError="1"/>
      <sheetData sheetId="12846" refreshError="1"/>
      <sheetData sheetId="12847" refreshError="1"/>
      <sheetData sheetId="12848" refreshError="1"/>
      <sheetData sheetId="12849" refreshError="1"/>
      <sheetData sheetId="12850" refreshError="1"/>
      <sheetData sheetId="12851" refreshError="1"/>
      <sheetData sheetId="12852" refreshError="1"/>
      <sheetData sheetId="12853" refreshError="1"/>
      <sheetData sheetId="12854" refreshError="1"/>
      <sheetData sheetId="12855" refreshError="1"/>
      <sheetData sheetId="12856" refreshError="1"/>
      <sheetData sheetId="12857" refreshError="1"/>
      <sheetData sheetId="12858" refreshError="1"/>
      <sheetData sheetId="12859" refreshError="1"/>
      <sheetData sheetId="12860" refreshError="1"/>
      <sheetData sheetId="12861" refreshError="1"/>
      <sheetData sheetId="12862" refreshError="1"/>
      <sheetData sheetId="12863" refreshError="1"/>
      <sheetData sheetId="12864" refreshError="1"/>
      <sheetData sheetId="12865" refreshError="1"/>
      <sheetData sheetId="12866" refreshError="1"/>
      <sheetData sheetId="12867" refreshError="1"/>
      <sheetData sheetId="12868" refreshError="1"/>
      <sheetData sheetId="12869" refreshError="1"/>
      <sheetData sheetId="12870" refreshError="1"/>
      <sheetData sheetId="12871">
        <row r="9">
          <cell r="A9" t="str">
            <v>A</v>
          </cell>
        </row>
      </sheetData>
      <sheetData sheetId="12872" refreshError="1"/>
      <sheetData sheetId="12873" refreshError="1"/>
      <sheetData sheetId="12874" refreshError="1"/>
      <sheetData sheetId="12875" refreshError="1"/>
      <sheetData sheetId="12876" refreshError="1"/>
      <sheetData sheetId="12877" refreshError="1"/>
      <sheetData sheetId="12878" refreshError="1"/>
      <sheetData sheetId="12879" refreshError="1"/>
      <sheetData sheetId="12880" refreshError="1"/>
      <sheetData sheetId="12881" refreshError="1"/>
      <sheetData sheetId="12882" refreshError="1"/>
      <sheetData sheetId="12883" refreshError="1"/>
      <sheetData sheetId="12884" refreshError="1"/>
      <sheetData sheetId="12885" refreshError="1"/>
      <sheetData sheetId="12886" refreshError="1"/>
      <sheetData sheetId="12887" refreshError="1"/>
      <sheetData sheetId="12888" refreshError="1"/>
      <sheetData sheetId="12889" refreshError="1"/>
      <sheetData sheetId="12890" refreshError="1"/>
      <sheetData sheetId="12891" refreshError="1"/>
      <sheetData sheetId="12892" refreshError="1"/>
      <sheetData sheetId="12893" refreshError="1"/>
      <sheetData sheetId="12894" refreshError="1"/>
      <sheetData sheetId="12895" refreshError="1"/>
      <sheetData sheetId="12896" refreshError="1"/>
      <sheetData sheetId="12897" refreshError="1"/>
      <sheetData sheetId="12898" refreshError="1"/>
      <sheetData sheetId="12899" refreshError="1"/>
      <sheetData sheetId="12900" refreshError="1"/>
      <sheetData sheetId="12901" refreshError="1"/>
      <sheetData sheetId="12902" refreshError="1"/>
      <sheetData sheetId="12903" refreshError="1"/>
      <sheetData sheetId="12904" refreshError="1"/>
      <sheetData sheetId="12905" refreshError="1"/>
      <sheetData sheetId="12906" refreshError="1"/>
      <sheetData sheetId="12907"/>
      <sheetData sheetId="12908"/>
      <sheetData sheetId="12909"/>
      <sheetData sheetId="12910"/>
      <sheetData sheetId="12911"/>
      <sheetData sheetId="12912"/>
      <sheetData sheetId="12913"/>
      <sheetData sheetId="12914"/>
      <sheetData sheetId="12915"/>
      <sheetData sheetId="12916"/>
      <sheetData sheetId="12917"/>
      <sheetData sheetId="12918"/>
      <sheetData sheetId="12919"/>
      <sheetData sheetId="12920"/>
      <sheetData sheetId="12921"/>
      <sheetData sheetId="12922"/>
      <sheetData sheetId="12923"/>
      <sheetData sheetId="12924"/>
      <sheetData sheetId="12925"/>
      <sheetData sheetId="12926"/>
      <sheetData sheetId="12927"/>
      <sheetData sheetId="12928"/>
      <sheetData sheetId="12929"/>
      <sheetData sheetId="12930"/>
      <sheetData sheetId="12931"/>
      <sheetData sheetId="12932"/>
      <sheetData sheetId="12933"/>
      <sheetData sheetId="12934"/>
      <sheetData sheetId="12935"/>
      <sheetData sheetId="12936"/>
      <sheetData sheetId="12937"/>
      <sheetData sheetId="12938"/>
      <sheetData sheetId="12939"/>
      <sheetData sheetId="12940"/>
      <sheetData sheetId="12941"/>
      <sheetData sheetId="12942"/>
      <sheetData sheetId="12943"/>
      <sheetData sheetId="12944"/>
      <sheetData sheetId="12945"/>
      <sheetData sheetId="12946"/>
      <sheetData sheetId="12947"/>
      <sheetData sheetId="12948"/>
      <sheetData sheetId="12949"/>
      <sheetData sheetId="12950"/>
      <sheetData sheetId="12951"/>
      <sheetData sheetId="12952"/>
      <sheetData sheetId="12953"/>
      <sheetData sheetId="12954"/>
      <sheetData sheetId="12955"/>
      <sheetData sheetId="12956"/>
      <sheetData sheetId="12957"/>
      <sheetData sheetId="12958"/>
      <sheetData sheetId="12959"/>
      <sheetData sheetId="12960"/>
      <sheetData sheetId="12961"/>
      <sheetData sheetId="12962"/>
      <sheetData sheetId="12963"/>
      <sheetData sheetId="12964"/>
      <sheetData sheetId="12965"/>
      <sheetData sheetId="12966"/>
      <sheetData sheetId="12967"/>
      <sheetData sheetId="12968"/>
      <sheetData sheetId="1296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5+020"/>
      <sheetName val="BC.95+020"/>
      <sheetName val="SL.95+020"/>
      <sheetName val="95+100"/>
      <sheetName val="BC.95+100"/>
      <sheetName val="SL.95+100"/>
      <sheetName val="95+180"/>
      <sheetName val="BC.95+180"/>
      <sheetName val="SL.95+180"/>
      <sheetName val="95+280"/>
      <sheetName val="BC.95+280"/>
      <sheetName val="SL.95+280"/>
      <sheetName val="95+380 "/>
      <sheetName val="BC.95+380"/>
      <sheetName val="SL.95+380"/>
      <sheetName val="95+460"/>
      <sheetName val="BC.95+460"/>
      <sheetName val="SL.95+460"/>
      <sheetName val="95+540"/>
      <sheetName val="BC.95+540"/>
      <sheetName val="SL.95+540"/>
      <sheetName val="95+650"/>
      <sheetName val="BC.95+650"/>
      <sheetName val="SL.95+650"/>
      <sheetName val="95+760"/>
      <sheetName val="BC.95+760"/>
      <sheetName val="SL.95+760"/>
      <sheetName val="SL.95+020 "/>
    </sheetNames>
    <sheetDataSet>
      <sheetData sheetId="0" refreshError="1"/>
      <sheetData sheetId="1" refreshError="1">
        <row r="7">
          <cell r="C7">
            <v>0</v>
          </cell>
          <cell r="N7">
            <v>0</v>
          </cell>
        </row>
        <row r="8">
          <cell r="C8" t="str">
            <v>năng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51488-B898-43DE-887C-F4648B5DB41C}">
  <sheetPr codeName="Sheet16">
    <tabColor rgb="FF00B050"/>
    <pageSetUpPr fitToPage="1"/>
  </sheetPr>
  <dimension ref="A1:AF535"/>
  <sheetViews>
    <sheetView view="pageBreakPreview" zoomScaleNormal="83" zoomScaleSheetLayoutView="100" workbookViewId="0">
      <pane ySplit="14" topLeftCell="A494" activePane="bottomLeft" state="frozen"/>
      <selection activeCell="Q37" sqref="Q37:S78"/>
      <selection pane="bottomLeft" activeCell="X504" sqref="X504"/>
    </sheetView>
  </sheetViews>
  <sheetFormatPr defaultColWidth="9.28515625" defaultRowHeight="13.15" customHeight="1"/>
  <cols>
    <col min="1" max="1" width="4.28515625" style="1" customWidth="1"/>
    <col min="2" max="2" width="11" style="1" customWidth="1"/>
    <col min="3" max="3" width="8.85546875" style="3" customWidth="1"/>
    <col min="4" max="4" width="11.28515625" style="1" bestFit="1" customWidth="1"/>
    <col min="5" max="16" width="8.42578125" style="1" customWidth="1"/>
    <col min="17" max="19" width="7.42578125" style="2" customWidth="1"/>
    <col min="20" max="20" width="10.28515625" style="1" customWidth="1"/>
    <col min="21" max="24" width="9.28515625" style="1" customWidth="1"/>
    <col min="25" max="27" width="10.7109375" style="1" customWidth="1"/>
    <col min="28" max="28" width="16" style="1" customWidth="1"/>
    <col min="29" max="29" width="8.28515625" style="1" customWidth="1"/>
    <col min="30" max="30" width="12.85546875" style="1" customWidth="1"/>
    <col min="31" max="31" width="8.7109375" style="1" customWidth="1"/>
    <col min="32" max="32" width="11.7109375" style="1" customWidth="1"/>
    <col min="33" max="33" width="8.28515625" style="1" bestFit="1" customWidth="1"/>
    <col min="34" max="34" width="9.28515625" style="1" customWidth="1"/>
    <col min="35" max="16384" width="9.28515625" style="1"/>
  </cols>
  <sheetData>
    <row r="1" spans="1:32" ht="19.5" hidden="1" customHeight="1">
      <c r="B1" s="1">
        <v>1</v>
      </c>
      <c r="C1" s="3">
        <f t="shared" ref="C1:W1" si="0">+B1+1</f>
        <v>2</v>
      </c>
      <c r="D1" s="3">
        <f t="shared" si="0"/>
        <v>3</v>
      </c>
      <c r="E1" s="3">
        <f t="shared" si="0"/>
        <v>4</v>
      </c>
      <c r="F1" s="3">
        <f t="shared" si="0"/>
        <v>5</v>
      </c>
      <c r="G1" s="3">
        <f t="shared" si="0"/>
        <v>6</v>
      </c>
      <c r="H1" s="3">
        <f t="shared" si="0"/>
        <v>7</v>
      </c>
      <c r="I1" s="3">
        <f t="shared" si="0"/>
        <v>8</v>
      </c>
      <c r="J1" s="3">
        <f t="shared" si="0"/>
        <v>9</v>
      </c>
      <c r="K1" s="3">
        <f t="shared" si="0"/>
        <v>10</v>
      </c>
      <c r="L1" s="3">
        <f t="shared" si="0"/>
        <v>11</v>
      </c>
      <c r="M1" s="3">
        <f t="shared" si="0"/>
        <v>12</v>
      </c>
      <c r="N1" s="3">
        <f t="shared" si="0"/>
        <v>13</v>
      </c>
      <c r="O1" s="3">
        <f t="shared" si="0"/>
        <v>14</v>
      </c>
      <c r="P1" s="3">
        <f t="shared" si="0"/>
        <v>15</v>
      </c>
      <c r="Q1" s="3">
        <f t="shared" si="0"/>
        <v>16</v>
      </c>
      <c r="R1" s="3">
        <f t="shared" si="0"/>
        <v>17</v>
      </c>
      <c r="S1" s="3">
        <f t="shared" si="0"/>
        <v>18</v>
      </c>
      <c r="T1" s="3">
        <f t="shared" si="0"/>
        <v>19</v>
      </c>
      <c r="U1" s="3">
        <f t="shared" si="0"/>
        <v>20</v>
      </c>
      <c r="V1" s="3">
        <f t="shared" si="0"/>
        <v>21</v>
      </c>
      <c r="W1" s="3">
        <f t="shared" si="0"/>
        <v>22</v>
      </c>
      <c r="X1" s="3"/>
      <c r="Y1" s="3">
        <f>+W1+1</f>
        <v>23</v>
      </c>
      <c r="Z1" s="3">
        <f>+Y1+1</f>
        <v>24</v>
      </c>
      <c r="AA1" s="3">
        <f>+Z1+1</f>
        <v>25</v>
      </c>
      <c r="AB1" s="3">
        <f>+AA1+1</f>
        <v>26</v>
      </c>
    </row>
    <row r="2" spans="1:32" ht="19.5" hidden="1" customHeight="1">
      <c r="A2" s="206" t="s">
        <v>41</v>
      </c>
      <c r="B2" s="206"/>
      <c r="C2" s="206"/>
      <c r="D2" s="206"/>
      <c r="E2" s="206"/>
      <c r="F2" s="206"/>
      <c r="G2" s="206"/>
      <c r="H2" s="206"/>
      <c r="I2" s="206"/>
      <c r="J2" s="206"/>
      <c r="K2" s="206"/>
      <c r="L2" s="206"/>
      <c r="M2" s="206"/>
      <c r="N2" s="206"/>
      <c r="O2" s="206"/>
      <c r="P2" s="206"/>
      <c r="Q2" s="206"/>
      <c r="R2" s="206"/>
      <c r="S2" s="206"/>
      <c r="T2" s="206"/>
      <c r="U2" s="206"/>
      <c r="V2" s="206"/>
      <c r="W2" s="206"/>
      <c r="X2" s="206"/>
      <c r="Y2" s="206"/>
      <c r="Z2" s="206"/>
      <c r="AA2" s="206"/>
      <c r="AB2" s="206"/>
    </row>
    <row r="3" spans="1:32" ht="19.5" hidden="1" customHeight="1">
      <c r="A3" s="206" t="s">
        <v>40</v>
      </c>
      <c r="B3" s="206"/>
      <c r="C3" s="206"/>
      <c r="D3" s="206"/>
      <c r="E3" s="206"/>
      <c r="F3" s="206"/>
      <c r="G3" s="206"/>
      <c r="H3" s="206"/>
      <c r="I3" s="206"/>
      <c r="J3" s="206"/>
      <c r="K3" s="206"/>
      <c r="L3" s="206"/>
      <c r="M3" s="206"/>
      <c r="N3" s="206"/>
      <c r="O3" s="206"/>
      <c r="P3" s="206"/>
      <c r="Q3" s="206"/>
      <c r="R3" s="206"/>
      <c r="S3" s="206"/>
      <c r="T3" s="206"/>
      <c r="U3" s="206"/>
      <c r="V3" s="206"/>
      <c r="W3" s="206"/>
      <c r="X3" s="206"/>
      <c r="Y3" s="206"/>
      <c r="Z3" s="206"/>
      <c r="AA3" s="206"/>
      <c r="AB3" s="206"/>
    </row>
    <row r="4" spans="1:32" ht="19.5" hidden="1" customHeight="1">
      <c r="A4" s="206" t="str">
        <f>UPPER("GÓI THẦU XL03 :Thi Công Xây Dựng Đoạn Tuyến Km114+200 - Km126+223 Bao Gồm Tuyến Nối Nút Giao IC12  Với QL1 (bao gồm khảo sát, thiết kế BVTC)")</f>
        <v>GÓI THẦU XL03 :THI CÔNG XÂY DỰNG ĐOẠN TUYẾN KM114+200 - KM126+223 BAO GỒM TUYẾN NỐI NÚT GIAO IC12  VỚI QL1 (BAO GỒM KHẢO SÁT, THIẾT KẾ BVTC)</v>
      </c>
      <c r="B4" s="206"/>
      <c r="C4" s="206"/>
      <c r="D4" s="206"/>
      <c r="E4" s="206"/>
      <c r="F4" s="206"/>
      <c r="G4" s="206"/>
      <c r="H4" s="206"/>
      <c r="I4" s="206"/>
      <c r="J4" s="206"/>
      <c r="K4" s="206"/>
      <c r="L4" s="206"/>
      <c r="M4" s="206"/>
      <c r="N4" s="206"/>
      <c r="O4" s="206"/>
      <c r="P4" s="206"/>
      <c r="Q4" s="206"/>
      <c r="R4" s="206"/>
      <c r="S4" s="206"/>
      <c r="T4" s="206"/>
      <c r="U4" s="206"/>
      <c r="V4" s="206"/>
      <c r="W4" s="206"/>
      <c r="X4" s="206"/>
      <c r="Y4" s="206"/>
      <c r="Z4" s="206"/>
      <c r="AA4" s="206"/>
      <c r="AB4" s="206"/>
    </row>
    <row r="5" spans="1:32" ht="18.75" hidden="1" customHeight="1">
      <c r="A5" s="207" t="s">
        <v>39</v>
      </c>
      <c r="B5" s="208"/>
      <c r="C5" s="208"/>
      <c r="D5" s="208"/>
      <c r="E5" s="208"/>
      <c r="F5" s="208"/>
      <c r="G5" s="208"/>
      <c r="H5" s="209"/>
      <c r="I5" s="210" t="s">
        <v>38</v>
      </c>
      <c r="J5" s="211"/>
      <c r="K5" s="211"/>
      <c r="L5" s="211"/>
      <c r="M5" s="211"/>
      <c r="N5" s="211"/>
      <c r="O5" s="211"/>
      <c r="P5" s="211"/>
      <c r="Q5" s="211"/>
      <c r="R5" s="212"/>
      <c r="S5" s="210" t="s">
        <v>37</v>
      </c>
      <c r="T5" s="211"/>
      <c r="U5" s="211"/>
      <c r="V5" s="211"/>
      <c r="W5" s="211"/>
      <c r="X5" s="211"/>
      <c r="Y5" s="211"/>
      <c r="Z5" s="211"/>
      <c r="AA5" s="211"/>
      <c r="AB5" s="212"/>
    </row>
    <row r="6" spans="1:32" ht="17.25" hidden="1" customHeight="1">
      <c r="A6" s="187" t="s">
        <v>36</v>
      </c>
      <c r="B6" s="188"/>
      <c r="C6" s="188"/>
      <c r="D6" s="188"/>
      <c r="E6" s="188"/>
      <c r="F6" s="188"/>
      <c r="G6" s="188"/>
      <c r="H6" s="189"/>
      <c r="I6" s="200" t="str">
        <f>UPPER("Liên danh Phân viện KHCN GTVT phía Nam - Công ty Cổ phần Tư vấn kỹ thuật và xây dựng Hồng Hà")</f>
        <v>LIÊN DANH PHÂN VIỆN KHCN GTVT PHÍA NAM - CÔNG TY CỔ PHẦN TƯ VẤN KỸ THUẬT VÀ XÂY DỰNG HỒNG HÀ</v>
      </c>
      <c r="J6" s="201"/>
      <c r="K6" s="201"/>
      <c r="L6" s="201"/>
      <c r="M6" s="201"/>
      <c r="N6" s="201"/>
      <c r="O6" s="201"/>
      <c r="P6" s="201"/>
      <c r="Q6" s="201"/>
      <c r="R6" s="202"/>
      <c r="S6" s="203" t="s">
        <v>35</v>
      </c>
      <c r="T6" s="204"/>
      <c r="U6" s="204"/>
      <c r="V6" s="204"/>
      <c r="W6" s="204"/>
      <c r="X6" s="204"/>
      <c r="Y6" s="204"/>
      <c r="Z6" s="204"/>
      <c r="AA6" s="204"/>
      <c r="AB6" s="205"/>
    </row>
    <row r="7" spans="1:32" ht="21" hidden="1" customHeight="1">
      <c r="A7" s="190" t="s">
        <v>34</v>
      </c>
      <c r="B7" s="191"/>
      <c r="C7" s="191"/>
      <c r="D7" s="191"/>
      <c r="E7" s="191"/>
      <c r="F7" s="191"/>
      <c r="G7" s="191"/>
      <c r="H7" s="191"/>
      <c r="I7" s="191"/>
      <c r="J7" s="191"/>
      <c r="K7" s="191"/>
      <c r="L7" s="191"/>
      <c r="M7" s="191"/>
      <c r="N7" s="191"/>
      <c r="O7" s="191"/>
      <c r="P7" s="191"/>
      <c r="Q7" s="191"/>
      <c r="R7" s="191"/>
      <c r="S7" s="191"/>
      <c r="T7" s="191"/>
      <c r="U7" s="191"/>
      <c r="V7" s="191"/>
      <c r="W7" s="191"/>
      <c r="X7" s="191"/>
      <c r="Y7" s="191"/>
      <c r="Z7" s="191"/>
      <c r="AA7" s="191"/>
      <c r="AB7" s="192"/>
    </row>
    <row r="8" spans="1:32" ht="15" hidden="1">
      <c r="A8" s="49" t="s">
        <v>33</v>
      </c>
      <c r="B8" s="47"/>
      <c r="C8" s="47"/>
      <c r="D8" s="47"/>
      <c r="E8" s="47"/>
      <c r="F8" s="47"/>
      <c r="G8" s="47"/>
      <c r="H8" s="47"/>
      <c r="I8" s="47"/>
      <c r="J8" s="48"/>
      <c r="K8" s="48" t="s">
        <v>32</v>
      </c>
      <c r="L8" s="48"/>
      <c r="M8" s="48"/>
      <c r="N8" s="48"/>
      <c r="O8" s="47"/>
      <c r="P8" s="47"/>
      <c r="Q8" s="47"/>
      <c r="R8" s="47"/>
      <c r="S8" s="47"/>
      <c r="T8" s="47"/>
      <c r="U8" s="47"/>
      <c r="V8" s="47"/>
      <c r="W8" s="46"/>
      <c r="X8" s="46"/>
      <c r="Y8" s="46"/>
      <c r="Z8" s="46"/>
      <c r="AA8" s="46"/>
      <c r="AB8" s="45"/>
    </row>
    <row r="9" spans="1:32" ht="15" hidden="1">
      <c r="A9" s="43" t="s">
        <v>31</v>
      </c>
      <c r="B9" s="41"/>
      <c r="C9" s="41" t="s">
        <v>30</v>
      </c>
      <c r="D9" s="41"/>
      <c r="E9" s="41"/>
      <c r="F9" s="41"/>
      <c r="G9" s="41"/>
      <c r="H9" s="41"/>
      <c r="I9" s="41"/>
      <c r="J9" s="42"/>
      <c r="K9" s="42" t="s">
        <v>29</v>
      </c>
      <c r="L9" s="42"/>
      <c r="M9" s="44">
        <f>C14</f>
        <v>842</v>
      </c>
      <c r="N9" s="42"/>
      <c r="O9" s="41"/>
      <c r="P9" s="41"/>
      <c r="Q9" s="41"/>
      <c r="R9" s="41"/>
      <c r="S9" s="41"/>
      <c r="T9" s="41"/>
      <c r="U9" s="41"/>
      <c r="V9" s="41"/>
      <c r="W9" s="40"/>
      <c r="X9" s="40"/>
      <c r="Y9" s="40"/>
      <c r="Z9" s="40"/>
      <c r="AA9" s="40"/>
      <c r="AB9" s="39"/>
    </row>
    <row r="10" spans="1:32" ht="15" hidden="1">
      <c r="A10" s="43" t="s">
        <v>28</v>
      </c>
      <c r="B10" s="41"/>
      <c r="C10" s="41" t="s">
        <v>27</v>
      </c>
      <c r="D10" s="41"/>
      <c r="E10" s="41"/>
      <c r="F10" s="41"/>
      <c r="G10" s="41"/>
      <c r="H10" s="41"/>
      <c r="I10" s="41"/>
      <c r="J10" s="42"/>
      <c r="K10" s="42" t="s">
        <v>26</v>
      </c>
      <c r="L10" s="42"/>
      <c r="M10" s="193">
        <f>B14</f>
        <v>45270</v>
      </c>
      <c r="N10" s="193"/>
      <c r="O10" s="41"/>
      <c r="P10" s="41"/>
      <c r="Q10" s="41"/>
      <c r="R10" s="41"/>
      <c r="S10" s="41"/>
      <c r="T10" s="41"/>
      <c r="U10" s="41"/>
      <c r="V10" s="41"/>
      <c r="W10" s="40"/>
      <c r="X10" s="40"/>
      <c r="Y10" s="40"/>
      <c r="Z10" s="40"/>
      <c r="AA10" s="40"/>
      <c r="AB10" s="39"/>
    </row>
    <row r="11" spans="1:32" ht="11.25" hidden="1" customHeight="1">
      <c r="A11" s="38"/>
      <c r="B11" s="35"/>
      <c r="C11" s="37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6"/>
      <c r="R11" s="36"/>
      <c r="S11" s="36"/>
      <c r="T11" s="35"/>
      <c r="U11" s="35"/>
      <c r="V11" s="35"/>
      <c r="W11" s="35"/>
      <c r="X11" s="35"/>
      <c r="Y11" s="35"/>
      <c r="Z11" s="35"/>
      <c r="AA11" s="35"/>
      <c r="AB11" s="34"/>
    </row>
    <row r="12" spans="1:32" ht="47.25" hidden="1" customHeight="1">
      <c r="A12" s="185" t="s">
        <v>25</v>
      </c>
      <c r="B12" s="185" t="s">
        <v>24</v>
      </c>
      <c r="C12" s="185" t="s">
        <v>23</v>
      </c>
      <c r="D12" s="185" t="s">
        <v>22</v>
      </c>
      <c r="E12" s="182" t="s">
        <v>21</v>
      </c>
      <c r="F12" s="183"/>
      <c r="G12" s="184"/>
      <c r="H12" s="182" t="s">
        <v>20</v>
      </c>
      <c r="I12" s="183"/>
      <c r="J12" s="184"/>
      <c r="K12" s="182" t="s">
        <v>19</v>
      </c>
      <c r="L12" s="183"/>
      <c r="M12" s="184"/>
      <c r="N12" s="182" t="s">
        <v>18</v>
      </c>
      <c r="O12" s="183"/>
      <c r="P12" s="184"/>
      <c r="Q12" s="194" t="s">
        <v>17</v>
      </c>
      <c r="R12" s="195"/>
      <c r="S12" s="196"/>
      <c r="T12" s="185" t="s">
        <v>16</v>
      </c>
      <c r="U12" s="197" t="s">
        <v>15</v>
      </c>
      <c r="V12" s="198"/>
      <c r="W12" s="199"/>
      <c r="X12" s="185" t="s">
        <v>14</v>
      </c>
      <c r="Y12" s="185" t="s">
        <v>13</v>
      </c>
      <c r="Z12" s="185" t="s">
        <v>12</v>
      </c>
      <c r="AA12" s="185" t="s">
        <v>11</v>
      </c>
      <c r="AB12" s="185" t="s">
        <v>10</v>
      </c>
    </row>
    <row r="13" spans="1:32" ht="33" hidden="1" customHeight="1">
      <c r="A13" s="186"/>
      <c r="B13" s="186"/>
      <c r="C13" s="186"/>
      <c r="D13" s="186"/>
      <c r="E13" s="33" t="s">
        <v>9</v>
      </c>
      <c r="F13" s="33" t="s">
        <v>8</v>
      </c>
      <c r="G13" s="33" t="s">
        <v>7</v>
      </c>
      <c r="H13" s="33" t="s">
        <v>9</v>
      </c>
      <c r="I13" s="33" t="s">
        <v>8</v>
      </c>
      <c r="J13" s="33" t="s">
        <v>7</v>
      </c>
      <c r="K13" s="33" t="s">
        <v>9</v>
      </c>
      <c r="L13" s="33" t="s">
        <v>8</v>
      </c>
      <c r="M13" s="33" t="s">
        <v>7</v>
      </c>
      <c r="N13" s="33" t="s">
        <v>9</v>
      </c>
      <c r="O13" s="33" t="s">
        <v>8</v>
      </c>
      <c r="P13" s="33" t="s">
        <v>7</v>
      </c>
      <c r="Q13" s="33" t="s">
        <v>9</v>
      </c>
      <c r="R13" s="33" t="s">
        <v>8</v>
      </c>
      <c r="S13" s="33" t="s">
        <v>7</v>
      </c>
      <c r="T13" s="186"/>
      <c r="U13" s="33" t="s">
        <v>9</v>
      </c>
      <c r="V13" s="33" t="s">
        <v>8</v>
      </c>
      <c r="W13" s="33" t="s">
        <v>7</v>
      </c>
      <c r="X13" s="186"/>
      <c r="Y13" s="186"/>
      <c r="Z13" s="186"/>
      <c r="AA13" s="186"/>
      <c r="AB13" s="186"/>
    </row>
    <row r="14" spans="1:32" s="24" customFormat="1" ht="15">
      <c r="A14" s="32">
        <v>0</v>
      </c>
      <c r="B14" s="31">
        <v>45270</v>
      </c>
      <c r="C14" s="30">
        <v>842</v>
      </c>
      <c r="D14" s="29">
        <v>1623</v>
      </c>
      <c r="E14" s="27">
        <f t="shared" ref="E14:E77" si="1">C14+D14-H14</f>
        <v>545</v>
      </c>
      <c r="F14" s="27">
        <f t="shared" ref="F14:F77" si="2">C14+D14-I14</f>
        <v>365</v>
      </c>
      <c r="G14" s="27">
        <f t="shared" ref="G14:G77" si="3">D14+C14-J14</f>
        <v>855</v>
      </c>
      <c r="H14" s="27">
        <f t="shared" ref="H14:H77" si="4">K14+N14</f>
        <v>1920</v>
      </c>
      <c r="I14" s="27">
        <f t="shared" ref="I14:I77" si="5">L14+O14</f>
        <v>2100</v>
      </c>
      <c r="J14" s="27">
        <f t="shared" ref="J14:J77" si="6">M14+P14</f>
        <v>1610</v>
      </c>
      <c r="K14" s="27">
        <v>2000</v>
      </c>
      <c r="L14" s="27">
        <v>2000</v>
      </c>
      <c r="M14" s="27">
        <v>2000</v>
      </c>
      <c r="N14" s="27">
        <v>-80</v>
      </c>
      <c r="O14" s="27">
        <v>100</v>
      </c>
      <c r="P14" s="27">
        <v>-390</v>
      </c>
      <c r="Q14" s="27">
        <v>0</v>
      </c>
      <c r="R14" s="27">
        <v>0</v>
      </c>
      <c r="S14" s="27">
        <v>0</v>
      </c>
      <c r="T14" s="27">
        <f t="shared" ref="T14:T77" si="7">D14+C14-V14</f>
        <v>2365</v>
      </c>
      <c r="U14" s="27">
        <f t="shared" ref="U14:U22" si="8">N14</f>
        <v>-80</v>
      </c>
      <c r="V14" s="27">
        <f t="shared" ref="V14:V22" si="9">O14</f>
        <v>100</v>
      </c>
      <c r="W14" s="27">
        <f t="shared" ref="W14:W22" si="10">P14</f>
        <v>-390</v>
      </c>
      <c r="X14" s="27"/>
      <c r="Y14" s="28"/>
      <c r="Z14" s="27"/>
      <c r="AA14" s="27"/>
      <c r="AB14" s="26" t="s">
        <v>6</v>
      </c>
      <c r="AF14" s="25"/>
    </row>
    <row r="15" spans="1:32" ht="15">
      <c r="A15" s="12">
        <v>1</v>
      </c>
      <c r="B15" s="11">
        <f t="shared" ref="B15:B78" si="11">B14+1</f>
        <v>45271</v>
      </c>
      <c r="C15" s="9">
        <f t="shared" ref="C15:C78" si="12">C14</f>
        <v>842</v>
      </c>
      <c r="D15" s="8">
        <f t="shared" ref="D15:D46" si="13">D14-2</f>
        <v>1621</v>
      </c>
      <c r="E15" s="4">
        <f t="shared" si="1"/>
        <v>543</v>
      </c>
      <c r="F15" s="4">
        <f t="shared" si="2"/>
        <v>363</v>
      </c>
      <c r="G15" s="4">
        <f t="shared" si="3"/>
        <v>853</v>
      </c>
      <c r="H15" s="5">
        <f t="shared" si="4"/>
        <v>1920</v>
      </c>
      <c r="I15" s="5">
        <f t="shared" si="5"/>
        <v>2100</v>
      </c>
      <c r="J15" s="5">
        <f t="shared" si="6"/>
        <v>1610</v>
      </c>
      <c r="K15" s="5">
        <f t="shared" ref="K15:K46" si="14">K14</f>
        <v>2000</v>
      </c>
      <c r="L15" s="5">
        <f t="shared" ref="L15:L46" si="15">L14</f>
        <v>2000</v>
      </c>
      <c r="M15" s="5">
        <f t="shared" ref="M15:M46" si="16">M14</f>
        <v>2000</v>
      </c>
      <c r="N15" s="5">
        <f t="shared" ref="N15:N78" si="17">N14-Q15</f>
        <v>-80</v>
      </c>
      <c r="O15" s="5">
        <f t="shared" ref="O15:O78" si="18">O14-R15</f>
        <v>100</v>
      </c>
      <c r="P15" s="5">
        <f t="shared" ref="P15:P78" si="19">P14-S15</f>
        <v>-390</v>
      </c>
      <c r="Q15" s="4">
        <v>0</v>
      </c>
      <c r="R15" s="4">
        <v>0</v>
      </c>
      <c r="S15" s="4">
        <v>0</v>
      </c>
      <c r="T15" s="6">
        <f t="shared" si="7"/>
        <v>2363</v>
      </c>
      <c r="U15" s="6">
        <f t="shared" si="8"/>
        <v>-80</v>
      </c>
      <c r="V15" s="6">
        <f t="shared" si="9"/>
        <v>100</v>
      </c>
      <c r="W15" s="6">
        <f t="shared" si="10"/>
        <v>-390</v>
      </c>
      <c r="X15" s="6"/>
      <c r="Y15" s="23"/>
      <c r="Z15" s="5"/>
      <c r="AA15" s="5"/>
      <c r="AB15" s="21"/>
    </row>
    <row r="16" spans="1:32" ht="15">
      <c r="A16" s="12">
        <v>2</v>
      </c>
      <c r="B16" s="11">
        <f t="shared" si="11"/>
        <v>45272</v>
      </c>
      <c r="C16" s="9">
        <f t="shared" si="12"/>
        <v>842</v>
      </c>
      <c r="D16" s="8">
        <f t="shared" si="13"/>
        <v>1619</v>
      </c>
      <c r="E16" s="4">
        <f t="shared" si="1"/>
        <v>541</v>
      </c>
      <c r="F16" s="4">
        <f t="shared" si="2"/>
        <v>361</v>
      </c>
      <c r="G16" s="4">
        <f t="shared" si="3"/>
        <v>851</v>
      </c>
      <c r="H16" s="5">
        <f t="shared" si="4"/>
        <v>1920</v>
      </c>
      <c r="I16" s="5">
        <f t="shared" si="5"/>
        <v>2100</v>
      </c>
      <c r="J16" s="5">
        <f t="shared" si="6"/>
        <v>1610</v>
      </c>
      <c r="K16" s="5">
        <f t="shared" si="14"/>
        <v>2000</v>
      </c>
      <c r="L16" s="5">
        <f t="shared" si="15"/>
        <v>2000</v>
      </c>
      <c r="M16" s="5">
        <f t="shared" si="16"/>
        <v>2000</v>
      </c>
      <c r="N16" s="5">
        <f t="shared" si="17"/>
        <v>-80</v>
      </c>
      <c r="O16" s="5">
        <f t="shared" si="18"/>
        <v>100</v>
      </c>
      <c r="P16" s="5">
        <f t="shared" si="19"/>
        <v>-390</v>
      </c>
      <c r="Q16" s="4">
        <v>0</v>
      </c>
      <c r="R16" s="4">
        <v>0</v>
      </c>
      <c r="S16" s="4">
        <v>0</v>
      </c>
      <c r="T16" s="6">
        <f t="shared" si="7"/>
        <v>2361</v>
      </c>
      <c r="U16" s="6">
        <f t="shared" si="8"/>
        <v>-80</v>
      </c>
      <c r="V16" s="6">
        <f t="shared" si="9"/>
        <v>100</v>
      </c>
      <c r="W16" s="6">
        <f t="shared" si="10"/>
        <v>-390</v>
      </c>
      <c r="X16" s="6"/>
      <c r="Y16" s="23"/>
      <c r="Z16" s="5"/>
      <c r="AA16" s="5"/>
      <c r="AB16" s="22"/>
      <c r="AD16" s="20"/>
    </row>
    <row r="17" spans="1:30" ht="15">
      <c r="A17" s="12">
        <v>3</v>
      </c>
      <c r="B17" s="11">
        <f t="shared" si="11"/>
        <v>45273</v>
      </c>
      <c r="C17" s="9">
        <f t="shared" si="12"/>
        <v>842</v>
      </c>
      <c r="D17" s="8">
        <f t="shared" si="13"/>
        <v>1617</v>
      </c>
      <c r="E17" s="4">
        <f t="shared" si="1"/>
        <v>539</v>
      </c>
      <c r="F17" s="4">
        <f t="shared" si="2"/>
        <v>359</v>
      </c>
      <c r="G17" s="4">
        <f t="shared" si="3"/>
        <v>849</v>
      </c>
      <c r="H17" s="5">
        <f t="shared" si="4"/>
        <v>1920</v>
      </c>
      <c r="I17" s="5">
        <f t="shared" si="5"/>
        <v>2100</v>
      </c>
      <c r="J17" s="5">
        <f t="shared" si="6"/>
        <v>1610</v>
      </c>
      <c r="K17" s="5">
        <f t="shared" si="14"/>
        <v>2000</v>
      </c>
      <c r="L17" s="5">
        <f t="shared" si="15"/>
        <v>2000</v>
      </c>
      <c r="M17" s="5">
        <f t="shared" si="16"/>
        <v>2000</v>
      </c>
      <c r="N17" s="5">
        <f t="shared" si="17"/>
        <v>-80</v>
      </c>
      <c r="O17" s="5">
        <f t="shared" si="18"/>
        <v>100</v>
      </c>
      <c r="P17" s="5">
        <f t="shared" si="19"/>
        <v>-390</v>
      </c>
      <c r="Q17" s="4">
        <v>0</v>
      </c>
      <c r="R17" s="4">
        <v>0</v>
      </c>
      <c r="S17" s="4">
        <v>0</v>
      </c>
      <c r="T17" s="6">
        <f t="shared" si="7"/>
        <v>2359</v>
      </c>
      <c r="U17" s="6">
        <f t="shared" si="8"/>
        <v>-80</v>
      </c>
      <c r="V17" s="6">
        <f t="shared" si="9"/>
        <v>100</v>
      </c>
      <c r="W17" s="6">
        <f t="shared" si="10"/>
        <v>-390</v>
      </c>
      <c r="X17" s="6"/>
      <c r="Y17" s="5"/>
      <c r="Z17" s="5"/>
      <c r="AA17" s="5"/>
      <c r="AB17" s="16"/>
      <c r="AD17" s="20">
        <v>45273</v>
      </c>
    </row>
    <row r="18" spans="1:30" ht="16.5" customHeight="1">
      <c r="A18" s="12">
        <v>4</v>
      </c>
      <c r="B18" s="11">
        <f t="shared" si="11"/>
        <v>45274</v>
      </c>
      <c r="C18" s="9">
        <f t="shared" si="12"/>
        <v>842</v>
      </c>
      <c r="D18" s="8">
        <f t="shared" si="13"/>
        <v>1615</v>
      </c>
      <c r="E18" s="4">
        <f t="shared" si="1"/>
        <v>537</v>
      </c>
      <c r="F18" s="4">
        <f t="shared" si="2"/>
        <v>357</v>
      </c>
      <c r="G18" s="4">
        <f t="shared" si="3"/>
        <v>847</v>
      </c>
      <c r="H18" s="5">
        <f t="shared" si="4"/>
        <v>1920</v>
      </c>
      <c r="I18" s="5">
        <f t="shared" si="5"/>
        <v>2100</v>
      </c>
      <c r="J18" s="5">
        <f t="shared" si="6"/>
        <v>1610</v>
      </c>
      <c r="K18" s="5">
        <f t="shared" si="14"/>
        <v>2000</v>
      </c>
      <c r="L18" s="5">
        <f t="shared" si="15"/>
        <v>2000</v>
      </c>
      <c r="M18" s="5">
        <f t="shared" si="16"/>
        <v>2000</v>
      </c>
      <c r="N18" s="5">
        <f t="shared" si="17"/>
        <v>-80</v>
      </c>
      <c r="O18" s="5">
        <f t="shared" si="18"/>
        <v>100</v>
      </c>
      <c r="P18" s="5">
        <f t="shared" si="19"/>
        <v>-390</v>
      </c>
      <c r="Q18" s="4">
        <v>0</v>
      </c>
      <c r="R18" s="4">
        <v>0</v>
      </c>
      <c r="S18" s="4">
        <v>0</v>
      </c>
      <c r="T18" s="6">
        <f t="shared" si="7"/>
        <v>2357</v>
      </c>
      <c r="U18" s="6">
        <f t="shared" si="8"/>
        <v>-80</v>
      </c>
      <c r="V18" s="6">
        <f t="shared" si="9"/>
        <v>100</v>
      </c>
      <c r="W18" s="6">
        <f t="shared" si="10"/>
        <v>-390</v>
      </c>
      <c r="X18" s="6"/>
      <c r="Y18" s="5"/>
      <c r="Z18" s="5"/>
      <c r="AA18" s="5"/>
      <c r="AB18" s="21"/>
      <c r="AD18" s="20">
        <v>45277</v>
      </c>
    </row>
    <row r="19" spans="1:30" ht="16.5" customHeight="1">
      <c r="A19" s="12">
        <v>5</v>
      </c>
      <c r="B19" s="11">
        <f t="shared" si="11"/>
        <v>45275</v>
      </c>
      <c r="C19" s="9">
        <f t="shared" si="12"/>
        <v>842</v>
      </c>
      <c r="D19" s="8">
        <f t="shared" si="13"/>
        <v>1613</v>
      </c>
      <c r="E19" s="4">
        <f t="shared" si="1"/>
        <v>535</v>
      </c>
      <c r="F19" s="4">
        <f t="shared" si="2"/>
        <v>355</v>
      </c>
      <c r="G19" s="4">
        <f t="shared" si="3"/>
        <v>845</v>
      </c>
      <c r="H19" s="5">
        <f t="shared" si="4"/>
        <v>1920</v>
      </c>
      <c r="I19" s="5">
        <f t="shared" si="5"/>
        <v>2100</v>
      </c>
      <c r="J19" s="5">
        <f t="shared" si="6"/>
        <v>1610</v>
      </c>
      <c r="K19" s="5">
        <f t="shared" si="14"/>
        <v>2000</v>
      </c>
      <c r="L19" s="5">
        <f t="shared" si="15"/>
        <v>2000</v>
      </c>
      <c r="M19" s="5">
        <f t="shared" si="16"/>
        <v>2000</v>
      </c>
      <c r="N19" s="5">
        <f t="shared" si="17"/>
        <v>-80</v>
      </c>
      <c r="O19" s="5">
        <f t="shared" si="18"/>
        <v>100</v>
      </c>
      <c r="P19" s="5">
        <f t="shared" si="19"/>
        <v>-390</v>
      </c>
      <c r="Q19" s="4">
        <v>0</v>
      </c>
      <c r="R19" s="4">
        <v>0</v>
      </c>
      <c r="S19" s="4">
        <v>0</v>
      </c>
      <c r="T19" s="6">
        <f t="shared" si="7"/>
        <v>2355</v>
      </c>
      <c r="U19" s="6">
        <f t="shared" si="8"/>
        <v>-80</v>
      </c>
      <c r="V19" s="6">
        <f t="shared" si="9"/>
        <v>100</v>
      </c>
      <c r="W19" s="6">
        <f t="shared" si="10"/>
        <v>-390</v>
      </c>
      <c r="X19" s="6"/>
      <c r="Y19" s="5"/>
      <c r="Z19" s="5"/>
      <c r="AA19" s="5"/>
      <c r="AB19" s="5"/>
      <c r="AD19" s="20">
        <v>45281</v>
      </c>
    </row>
    <row r="20" spans="1:30" ht="16.5" customHeight="1">
      <c r="A20" s="12">
        <v>6</v>
      </c>
      <c r="B20" s="11">
        <f t="shared" si="11"/>
        <v>45276</v>
      </c>
      <c r="C20" s="9">
        <f t="shared" si="12"/>
        <v>842</v>
      </c>
      <c r="D20" s="8">
        <f t="shared" si="13"/>
        <v>1611</v>
      </c>
      <c r="E20" s="4">
        <f t="shared" si="1"/>
        <v>533</v>
      </c>
      <c r="F20" s="4">
        <f t="shared" si="2"/>
        <v>353</v>
      </c>
      <c r="G20" s="4">
        <f t="shared" si="3"/>
        <v>843</v>
      </c>
      <c r="H20" s="5">
        <f t="shared" si="4"/>
        <v>1920</v>
      </c>
      <c r="I20" s="5">
        <f t="shared" si="5"/>
        <v>2100</v>
      </c>
      <c r="J20" s="5">
        <f t="shared" si="6"/>
        <v>1610</v>
      </c>
      <c r="K20" s="5">
        <f t="shared" si="14"/>
        <v>2000</v>
      </c>
      <c r="L20" s="5">
        <f t="shared" si="15"/>
        <v>2000</v>
      </c>
      <c r="M20" s="5">
        <f t="shared" si="16"/>
        <v>2000</v>
      </c>
      <c r="N20" s="5">
        <f t="shared" si="17"/>
        <v>-80</v>
      </c>
      <c r="O20" s="5">
        <f t="shared" si="18"/>
        <v>100</v>
      </c>
      <c r="P20" s="5">
        <f t="shared" si="19"/>
        <v>-390</v>
      </c>
      <c r="Q20" s="4">
        <v>0</v>
      </c>
      <c r="R20" s="4">
        <v>0</v>
      </c>
      <c r="S20" s="4">
        <v>0</v>
      </c>
      <c r="T20" s="6">
        <f t="shared" si="7"/>
        <v>2353</v>
      </c>
      <c r="U20" s="6">
        <f t="shared" si="8"/>
        <v>-80</v>
      </c>
      <c r="V20" s="6">
        <f t="shared" si="9"/>
        <v>100</v>
      </c>
      <c r="W20" s="6">
        <f t="shared" si="10"/>
        <v>-390</v>
      </c>
      <c r="X20" s="6"/>
      <c r="Y20" s="5"/>
      <c r="Z20" s="5"/>
      <c r="AA20" s="5"/>
      <c r="AB20" s="16"/>
      <c r="AD20" s="20">
        <v>45287</v>
      </c>
    </row>
    <row r="21" spans="1:30" ht="16.5" customHeight="1">
      <c r="A21" s="12">
        <v>7</v>
      </c>
      <c r="B21" s="11">
        <f t="shared" si="11"/>
        <v>45277</v>
      </c>
      <c r="C21" s="9">
        <f t="shared" si="12"/>
        <v>842</v>
      </c>
      <c r="D21" s="8">
        <f t="shared" si="13"/>
        <v>1609</v>
      </c>
      <c r="E21" s="4">
        <f t="shared" si="1"/>
        <v>531</v>
      </c>
      <c r="F21" s="4">
        <f t="shared" si="2"/>
        <v>351</v>
      </c>
      <c r="G21" s="4">
        <f t="shared" si="3"/>
        <v>841</v>
      </c>
      <c r="H21" s="5">
        <f t="shared" si="4"/>
        <v>1920</v>
      </c>
      <c r="I21" s="5">
        <f t="shared" si="5"/>
        <v>2100</v>
      </c>
      <c r="J21" s="5">
        <f t="shared" si="6"/>
        <v>1610</v>
      </c>
      <c r="K21" s="5">
        <f t="shared" si="14"/>
        <v>2000</v>
      </c>
      <c r="L21" s="5">
        <f t="shared" si="15"/>
        <v>2000</v>
      </c>
      <c r="M21" s="5">
        <f t="shared" si="16"/>
        <v>2000</v>
      </c>
      <c r="N21" s="5">
        <f t="shared" si="17"/>
        <v>-80</v>
      </c>
      <c r="O21" s="5">
        <f t="shared" si="18"/>
        <v>100</v>
      </c>
      <c r="P21" s="5">
        <f t="shared" si="19"/>
        <v>-390</v>
      </c>
      <c r="Q21" s="4">
        <v>0</v>
      </c>
      <c r="R21" s="4">
        <v>0</v>
      </c>
      <c r="S21" s="4">
        <v>0</v>
      </c>
      <c r="T21" s="6">
        <f t="shared" si="7"/>
        <v>2351</v>
      </c>
      <c r="U21" s="6">
        <f t="shared" si="8"/>
        <v>-80</v>
      </c>
      <c r="V21" s="6">
        <f t="shared" si="9"/>
        <v>100</v>
      </c>
      <c r="W21" s="6">
        <f t="shared" si="10"/>
        <v>-390</v>
      </c>
      <c r="X21" s="6"/>
      <c r="Y21" s="5"/>
      <c r="Z21" s="5"/>
      <c r="AA21" s="5"/>
      <c r="AB21" s="16"/>
      <c r="AD21" s="20">
        <v>45293</v>
      </c>
    </row>
    <row r="22" spans="1:30" ht="16.5" customHeight="1">
      <c r="A22" s="12">
        <v>8</v>
      </c>
      <c r="B22" s="11">
        <f t="shared" si="11"/>
        <v>45278</v>
      </c>
      <c r="C22" s="9">
        <f t="shared" si="12"/>
        <v>842</v>
      </c>
      <c r="D22" s="8">
        <f t="shared" si="13"/>
        <v>1607</v>
      </c>
      <c r="E22" s="4">
        <f t="shared" si="1"/>
        <v>529</v>
      </c>
      <c r="F22" s="4">
        <f t="shared" si="2"/>
        <v>349</v>
      </c>
      <c r="G22" s="4">
        <f t="shared" si="3"/>
        <v>839</v>
      </c>
      <c r="H22" s="5">
        <f t="shared" si="4"/>
        <v>1920</v>
      </c>
      <c r="I22" s="5">
        <f t="shared" si="5"/>
        <v>2100</v>
      </c>
      <c r="J22" s="5">
        <f t="shared" si="6"/>
        <v>1610</v>
      </c>
      <c r="K22" s="5">
        <f t="shared" si="14"/>
        <v>2000</v>
      </c>
      <c r="L22" s="5">
        <f t="shared" si="15"/>
        <v>2000</v>
      </c>
      <c r="M22" s="5">
        <f t="shared" si="16"/>
        <v>2000</v>
      </c>
      <c r="N22" s="5">
        <f t="shared" si="17"/>
        <v>-80</v>
      </c>
      <c r="O22" s="5">
        <f t="shared" si="18"/>
        <v>100</v>
      </c>
      <c r="P22" s="5">
        <f t="shared" si="19"/>
        <v>-390</v>
      </c>
      <c r="Q22" s="4">
        <v>0</v>
      </c>
      <c r="R22" s="4">
        <v>0</v>
      </c>
      <c r="S22" s="4">
        <v>0</v>
      </c>
      <c r="T22" s="6">
        <f t="shared" si="7"/>
        <v>2349</v>
      </c>
      <c r="U22" s="6">
        <f t="shared" si="8"/>
        <v>-80</v>
      </c>
      <c r="V22" s="6">
        <f t="shared" si="9"/>
        <v>100</v>
      </c>
      <c r="W22" s="6">
        <f t="shared" si="10"/>
        <v>-390</v>
      </c>
      <c r="X22" s="6"/>
      <c r="Y22" s="5"/>
      <c r="Z22" s="5"/>
      <c r="AA22" s="5"/>
      <c r="AB22" s="16"/>
      <c r="AD22" s="20">
        <v>45299</v>
      </c>
    </row>
    <row r="23" spans="1:30" ht="16.5" customHeight="1">
      <c r="A23" s="12">
        <v>9</v>
      </c>
      <c r="B23" s="11">
        <f t="shared" si="11"/>
        <v>45279</v>
      </c>
      <c r="C23" s="9">
        <f t="shared" si="12"/>
        <v>842</v>
      </c>
      <c r="D23" s="8">
        <f t="shared" si="13"/>
        <v>1605</v>
      </c>
      <c r="E23" s="4">
        <f t="shared" si="1"/>
        <v>527</v>
      </c>
      <c r="F23" s="4">
        <f t="shared" si="2"/>
        <v>347</v>
      </c>
      <c r="G23" s="4">
        <f t="shared" si="3"/>
        <v>837</v>
      </c>
      <c r="H23" s="5">
        <f t="shared" si="4"/>
        <v>1920</v>
      </c>
      <c r="I23" s="5">
        <f t="shared" si="5"/>
        <v>2100</v>
      </c>
      <c r="J23" s="5">
        <f t="shared" si="6"/>
        <v>1610</v>
      </c>
      <c r="K23" s="5">
        <f t="shared" si="14"/>
        <v>2000</v>
      </c>
      <c r="L23" s="5">
        <f t="shared" si="15"/>
        <v>2000</v>
      </c>
      <c r="M23" s="5">
        <f t="shared" si="16"/>
        <v>2000</v>
      </c>
      <c r="N23" s="5">
        <f t="shared" si="17"/>
        <v>-80</v>
      </c>
      <c r="O23" s="5">
        <f t="shared" si="18"/>
        <v>100</v>
      </c>
      <c r="P23" s="5">
        <f t="shared" si="19"/>
        <v>-390</v>
      </c>
      <c r="Q23" s="4">
        <v>0</v>
      </c>
      <c r="R23" s="4">
        <v>0</v>
      </c>
      <c r="S23" s="4">
        <v>0</v>
      </c>
      <c r="T23" s="6">
        <f t="shared" si="7"/>
        <v>2347</v>
      </c>
      <c r="U23" s="7">
        <f t="shared" ref="U23:W30" si="20">U22+$X23*1000-Q23</f>
        <v>-80</v>
      </c>
      <c r="V23" s="7">
        <f t="shared" si="20"/>
        <v>100</v>
      </c>
      <c r="W23" s="7">
        <f t="shared" si="20"/>
        <v>-390</v>
      </c>
      <c r="X23" s="6"/>
      <c r="Y23" s="5"/>
      <c r="Z23" s="5"/>
      <c r="AA23" s="5"/>
      <c r="AB23" s="16"/>
      <c r="AD23" s="20">
        <v>45305</v>
      </c>
    </row>
    <row r="24" spans="1:30" ht="16.5" customHeight="1">
      <c r="A24" s="12">
        <v>10</v>
      </c>
      <c r="B24" s="11">
        <f t="shared" si="11"/>
        <v>45280</v>
      </c>
      <c r="C24" s="9">
        <f t="shared" si="12"/>
        <v>842</v>
      </c>
      <c r="D24" s="8">
        <f t="shared" si="13"/>
        <v>1603</v>
      </c>
      <c r="E24" s="4">
        <f t="shared" si="1"/>
        <v>525</v>
      </c>
      <c r="F24" s="4">
        <f t="shared" si="2"/>
        <v>345</v>
      </c>
      <c r="G24" s="4">
        <f t="shared" si="3"/>
        <v>835</v>
      </c>
      <c r="H24" s="5">
        <f t="shared" si="4"/>
        <v>1920</v>
      </c>
      <c r="I24" s="5">
        <f t="shared" si="5"/>
        <v>2100</v>
      </c>
      <c r="J24" s="5">
        <f t="shared" si="6"/>
        <v>1610</v>
      </c>
      <c r="K24" s="5">
        <f t="shared" si="14"/>
        <v>2000</v>
      </c>
      <c r="L24" s="5">
        <f t="shared" si="15"/>
        <v>2000</v>
      </c>
      <c r="M24" s="5">
        <f t="shared" si="16"/>
        <v>2000</v>
      </c>
      <c r="N24" s="5">
        <f t="shared" si="17"/>
        <v>-80</v>
      </c>
      <c r="O24" s="5">
        <f t="shared" si="18"/>
        <v>100</v>
      </c>
      <c r="P24" s="5">
        <f t="shared" si="19"/>
        <v>-390</v>
      </c>
      <c r="Q24" s="4">
        <v>0</v>
      </c>
      <c r="R24" s="4">
        <v>0</v>
      </c>
      <c r="S24" s="4">
        <v>0</v>
      </c>
      <c r="T24" s="6">
        <f t="shared" si="7"/>
        <v>2345</v>
      </c>
      <c r="U24" s="7">
        <f t="shared" si="20"/>
        <v>-80</v>
      </c>
      <c r="V24" s="7">
        <f t="shared" si="20"/>
        <v>100</v>
      </c>
      <c r="W24" s="7">
        <f t="shared" si="20"/>
        <v>-390</v>
      </c>
      <c r="X24" s="6"/>
      <c r="Y24" s="5"/>
      <c r="Z24" s="5"/>
      <c r="AA24" s="5"/>
      <c r="AB24" s="16"/>
      <c r="AD24" s="20">
        <v>45311</v>
      </c>
    </row>
    <row r="25" spans="1:30" ht="16.5" customHeight="1">
      <c r="A25" s="12">
        <v>11</v>
      </c>
      <c r="B25" s="11">
        <f t="shared" si="11"/>
        <v>45281</v>
      </c>
      <c r="C25" s="9">
        <f t="shared" si="12"/>
        <v>842</v>
      </c>
      <c r="D25" s="8">
        <f t="shared" si="13"/>
        <v>1601</v>
      </c>
      <c r="E25" s="4">
        <f t="shared" si="1"/>
        <v>523</v>
      </c>
      <c r="F25" s="4">
        <f t="shared" si="2"/>
        <v>343</v>
      </c>
      <c r="G25" s="4">
        <f t="shared" si="3"/>
        <v>833</v>
      </c>
      <c r="H25" s="5">
        <f t="shared" si="4"/>
        <v>1920</v>
      </c>
      <c r="I25" s="5">
        <f t="shared" si="5"/>
        <v>2100</v>
      </c>
      <c r="J25" s="5">
        <f t="shared" si="6"/>
        <v>1610</v>
      </c>
      <c r="K25" s="5">
        <f t="shared" si="14"/>
        <v>2000</v>
      </c>
      <c r="L25" s="5">
        <f t="shared" si="15"/>
        <v>2000</v>
      </c>
      <c r="M25" s="5">
        <f t="shared" si="16"/>
        <v>2000</v>
      </c>
      <c r="N25" s="5">
        <f t="shared" si="17"/>
        <v>-80</v>
      </c>
      <c r="O25" s="5">
        <f t="shared" si="18"/>
        <v>100</v>
      </c>
      <c r="P25" s="5">
        <f t="shared" si="19"/>
        <v>-390</v>
      </c>
      <c r="Q25" s="4">
        <v>0</v>
      </c>
      <c r="R25" s="4">
        <v>0</v>
      </c>
      <c r="S25" s="4">
        <v>0</v>
      </c>
      <c r="T25" s="6">
        <f t="shared" si="7"/>
        <v>2343</v>
      </c>
      <c r="U25" s="7">
        <f t="shared" si="20"/>
        <v>-80</v>
      </c>
      <c r="V25" s="7">
        <f t="shared" si="20"/>
        <v>100</v>
      </c>
      <c r="W25" s="7">
        <f t="shared" si="20"/>
        <v>-390</v>
      </c>
      <c r="X25" s="6"/>
      <c r="Y25" s="5"/>
      <c r="Z25" s="5"/>
      <c r="AA25" s="5"/>
      <c r="AB25" s="16"/>
      <c r="AD25" s="20">
        <v>45396</v>
      </c>
    </row>
    <row r="26" spans="1:30" ht="16.5" customHeight="1">
      <c r="A26" s="12">
        <v>12</v>
      </c>
      <c r="B26" s="11">
        <f t="shared" si="11"/>
        <v>45282</v>
      </c>
      <c r="C26" s="9">
        <f t="shared" si="12"/>
        <v>842</v>
      </c>
      <c r="D26" s="8">
        <f t="shared" si="13"/>
        <v>1599</v>
      </c>
      <c r="E26" s="4">
        <f t="shared" si="1"/>
        <v>521</v>
      </c>
      <c r="F26" s="4">
        <f t="shared" si="2"/>
        <v>341</v>
      </c>
      <c r="G26" s="4">
        <f t="shared" si="3"/>
        <v>831</v>
      </c>
      <c r="H26" s="5">
        <f t="shared" si="4"/>
        <v>1920</v>
      </c>
      <c r="I26" s="5">
        <f t="shared" si="5"/>
        <v>2100</v>
      </c>
      <c r="J26" s="5">
        <f t="shared" si="6"/>
        <v>1610</v>
      </c>
      <c r="K26" s="5">
        <f t="shared" si="14"/>
        <v>2000</v>
      </c>
      <c r="L26" s="5">
        <f t="shared" si="15"/>
        <v>2000</v>
      </c>
      <c r="M26" s="5">
        <f t="shared" si="16"/>
        <v>2000</v>
      </c>
      <c r="N26" s="5">
        <f t="shared" si="17"/>
        <v>-80</v>
      </c>
      <c r="O26" s="5">
        <f t="shared" si="18"/>
        <v>100</v>
      </c>
      <c r="P26" s="5">
        <f t="shared" si="19"/>
        <v>-390</v>
      </c>
      <c r="Q26" s="4">
        <v>0</v>
      </c>
      <c r="R26" s="4">
        <v>0</v>
      </c>
      <c r="S26" s="4">
        <v>0</v>
      </c>
      <c r="T26" s="6">
        <f t="shared" si="7"/>
        <v>2341</v>
      </c>
      <c r="U26" s="7">
        <f t="shared" si="20"/>
        <v>-80</v>
      </c>
      <c r="V26" s="7">
        <f t="shared" si="20"/>
        <v>100</v>
      </c>
      <c r="W26" s="7">
        <f t="shared" si="20"/>
        <v>-390</v>
      </c>
      <c r="X26" s="6"/>
      <c r="Y26" s="5"/>
      <c r="Z26" s="5"/>
      <c r="AA26" s="5"/>
      <c r="AB26" s="16"/>
      <c r="AD26" s="20">
        <v>45400</v>
      </c>
    </row>
    <row r="27" spans="1:30" ht="16.5" customHeight="1">
      <c r="A27" s="12">
        <v>13</v>
      </c>
      <c r="B27" s="11">
        <f t="shared" si="11"/>
        <v>45283</v>
      </c>
      <c r="C27" s="9">
        <f t="shared" si="12"/>
        <v>842</v>
      </c>
      <c r="D27" s="8">
        <f t="shared" si="13"/>
        <v>1597</v>
      </c>
      <c r="E27" s="4">
        <f t="shared" si="1"/>
        <v>519</v>
      </c>
      <c r="F27" s="4">
        <f t="shared" si="2"/>
        <v>339</v>
      </c>
      <c r="G27" s="4">
        <f t="shared" si="3"/>
        <v>829</v>
      </c>
      <c r="H27" s="5">
        <f t="shared" si="4"/>
        <v>1920</v>
      </c>
      <c r="I27" s="5">
        <f t="shared" si="5"/>
        <v>2100</v>
      </c>
      <c r="J27" s="5">
        <f t="shared" si="6"/>
        <v>1610</v>
      </c>
      <c r="K27" s="5">
        <f t="shared" si="14"/>
        <v>2000</v>
      </c>
      <c r="L27" s="5">
        <f t="shared" si="15"/>
        <v>2000</v>
      </c>
      <c r="M27" s="5">
        <f t="shared" si="16"/>
        <v>2000</v>
      </c>
      <c r="N27" s="5">
        <f t="shared" si="17"/>
        <v>-80</v>
      </c>
      <c r="O27" s="5">
        <f t="shared" si="18"/>
        <v>100</v>
      </c>
      <c r="P27" s="5">
        <f t="shared" si="19"/>
        <v>-390</v>
      </c>
      <c r="Q27" s="4">
        <v>0</v>
      </c>
      <c r="R27" s="4">
        <v>0</v>
      </c>
      <c r="S27" s="4">
        <v>0</v>
      </c>
      <c r="T27" s="6">
        <f t="shared" si="7"/>
        <v>2339</v>
      </c>
      <c r="U27" s="7">
        <f t="shared" si="20"/>
        <v>-80</v>
      </c>
      <c r="V27" s="7">
        <f t="shared" si="20"/>
        <v>100</v>
      </c>
      <c r="W27" s="7">
        <f t="shared" si="20"/>
        <v>-390</v>
      </c>
      <c r="X27" s="6"/>
      <c r="Y27" s="5"/>
      <c r="Z27" s="5"/>
      <c r="AA27" s="5"/>
      <c r="AB27" s="16"/>
      <c r="AD27" s="20">
        <v>45405</v>
      </c>
    </row>
    <row r="28" spans="1:30" ht="16.5" customHeight="1">
      <c r="A28" s="12">
        <v>14</v>
      </c>
      <c r="B28" s="11">
        <f t="shared" si="11"/>
        <v>45284</v>
      </c>
      <c r="C28" s="9">
        <f t="shared" si="12"/>
        <v>842</v>
      </c>
      <c r="D28" s="8">
        <f t="shared" si="13"/>
        <v>1595</v>
      </c>
      <c r="E28" s="4">
        <f t="shared" si="1"/>
        <v>517</v>
      </c>
      <c r="F28" s="4">
        <f t="shared" si="2"/>
        <v>337</v>
      </c>
      <c r="G28" s="4">
        <f t="shared" si="3"/>
        <v>827</v>
      </c>
      <c r="H28" s="5">
        <f t="shared" si="4"/>
        <v>1920</v>
      </c>
      <c r="I28" s="5">
        <f t="shared" si="5"/>
        <v>2100</v>
      </c>
      <c r="J28" s="5">
        <f t="shared" si="6"/>
        <v>1610</v>
      </c>
      <c r="K28" s="5">
        <f t="shared" si="14"/>
        <v>2000</v>
      </c>
      <c r="L28" s="5">
        <f t="shared" si="15"/>
        <v>2000</v>
      </c>
      <c r="M28" s="5">
        <f t="shared" si="16"/>
        <v>2000</v>
      </c>
      <c r="N28" s="5">
        <f t="shared" si="17"/>
        <v>-80</v>
      </c>
      <c r="O28" s="5">
        <f t="shared" si="18"/>
        <v>100</v>
      </c>
      <c r="P28" s="5">
        <f t="shared" si="19"/>
        <v>-390</v>
      </c>
      <c r="Q28" s="4">
        <v>0</v>
      </c>
      <c r="R28" s="4">
        <v>0</v>
      </c>
      <c r="S28" s="4">
        <v>0</v>
      </c>
      <c r="T28" s="6">
        <f t="shared" si="7"/>
        <v>2337</v>
      </c>
      <c r="U28" s="7">
        <f t="shared" si="20"/>
        <v>-80</v>
      </c>
      <c r="V28" s="7">
        <f t="shared" si="20"/>
        <v>100</v>
      </c>
      <c r="W28" s="7">
        <f t="shared" si="20"/>
        <v>-390</v>
      </c>
      <c r="X28" s="6"/>
      <c r="Y28" s="5"/>
      <c r="Z28" s="5"/>
      <c r="AA28" s="5"/>
      <c r="AB28" s="16"/>
      <c r="AD28" s="20"/>
    </row>
    <row r="29" spans="1:30" ht="16.5" customHeight="1">
      <c r="A29" s="12">
        <v>15</v>
      </c>
      <c r="B29" s="11">
        <f t="shared" si="11"/>
        <v>45285</v>
      </c>
      <c r="C29" s="9">
        <f t="shared" si="12"/>
        <v>842</v>
      </c>
      <c r="D29" s="8">
        <f t="shared" si="13"/>
        <v>1593</v>
      </c>
      <c r="E29" s="4">
        <f t="shared" si="1"/>
        <v>515</v>
      </c>
      <c r="F29" s="4">
        <f t="shared" si="2"/>
        <v>335</v>
      </c>
      <c r="G29" s="4">
        <f t="shared" si="3"/>
        <v>825</v>
      </c>
      <c r="H29" s="5">
        <f t="shared" si="4"/>
        <v>1920</v>
      </c>
      <c r="I29" s="5">
        <f t="shared" si="5"/>
        <v>2100</v>
      </c>
      <c r="J29" s="5">
        <f t="shared" si="6"/>
        <v>1610</v>
      </c>
      <c r="K29" s="5">
        <f t="shared" si="14"/>
        <v>2000</v>
      </c>
      <c r="L29" s="5">
        <f t="shared" si="15"/>
        <v>2000</v>
      </c>
      <c r="M29" s="5">
        <f t="shared" si="16"/>
        <v>2000</v>
      </c>
      <c r="N29" s="5">
        <f t="shared" si="17"/>
        <v>-80</v>
      </c>
      <c r="O29" s="5">
        <f t="shared" si="18"/>
        <v>100</v>
      </c>
      <c r="P29" s="5">
        <f t="shared" si="19"/>
        <v>-390</v>
      </c>
      <c r="Q29" s="4">
        <v>0</v>
      </c>
      <c r="R29" s="4">
        <v>0</v>
      </c>
      <c r="S29" s="4">
        <v>0</v>
      </c>
      <c r="T29" s="6">
        <f t="shared" si="7"/>
        <v>2335</v>
      </c>
      <c r="U29" s="7">
        <f t="shared" si="20"/>
        <v>-80</v>
      </c>
      <c r="V29" s="7">
        <f t="shared" si="20"/>
        <v>100</v>
      </c>
      <c r="W29" s="7">
        <f t="shared" si="20"/>
        <v>-390</v>
      </c>
      <c r="X29" s="6"/>
      <c r="Y29" s="5"/>
      <c r="Z29" s="5"/>
      <c r="AA29" s="5"/>
      <c r="AB29" s="16"/>
    </row>
    <row r="30" spans="1:30" ht="16.5" customHeight="1">
      <c r="A30" s="12">
        <v>16</v>
      </c>
      <c r="B30" s="11">
        <f t="shared" si="11"/>
        <v>45286</v>
      </c>
      <c r="C30" s="9">
        <f t="shared" si="12"/>
        <v>842</v>
      </c>
      <c r="D30" s="8">
        <f t="shared" si="13"/>
        <v>1591</v>
      </c>
      <c r="E30" s="4">
        <f t="shared" si="1"/>
        <v>513</v>
      </c>
      <c r="F30" s="4">
        <f t="shared" si="2"/>
        <v>333</v>
      </c>
      <c r="G30" s="4">
        <f t="shared" si="3"/>
        <v>823</v>
      </c>
      <c r="H30" s="5">
        <f t="shared" si="4"/>
        <v>1920</v>
      </c>
      <c r="I30" s="5">
        <f t="shared" si="5"/>
        <v>2100</v>
      </c>
      <c r="J30" s="5">
        <f t="shared" si="6"/>
        <v>1610</v>
      </c>
      <c r="K30" s="5">
        <f t="shared" si="14"/>
        <v>2000</v>
      </c>
      <c r="L30" s="5">
        <f t="shared" si="15"/>
        <v>2000</v>
      </c>
      <c r="M30" s="5">
        <f t="shared" si="16"/>
        <v>2000</v>
      </c>
      <c r="N30" s="5">
        <f t="shared" si="17"/>
        <v>-80</v>
      </c>
      <c r="O30" s="5">
        <f t="shared" si="18"/>
        <v>100</v>
      </c>
      <c r="P30" s="5">
        <f t="shared" si="19"/>
        <v>-390</v>
      </c>
      <c r="Q30" s="4">
        <v>0</v>
      </c>
      <c r="R30" s="4">
        <v>0</v>
      </c>
      <c r="S30" s="18">
        <v>0</v>
      </c>
      <c r="T30" s="6">
        <f t="shared" si="7"/>
        <v>2333</v>
      </c>
      <c r="U30" s="7">
        <f t="shared" si="20"/>
        <v>-80</v>
      </c>
      <c r="V30" s="7">
        <f t="shared" si="20"/>
        <v>100</v>
      </c>
      <c r="W30" s="7">
        <f t="shared" si="20"/>
        <v>-390</v>
      </c>
      <c r="X30" s="6"/>
      <c r="Y30" s="5"/>
      <c r="Z30" s="5"/>
      <c r="AA30" s="5"/>
      <c r="AB30" s="16"/>
    </row>
    <row r="31" spans="1:30" ht="16.5" customHeight="1">
      <c r="A31" s="12">
        <v>17</v>
      </c>
      <c r="B31" s="11">
        <f t="shared" si="11"/>
        <v>45287</v>
      </c>
      <c r="C31" s="9">
        <f t="shared" si="12"/>
        <v>842</v>
      </c>
      <c r="D31" s="8">
        <f t="shared" si="13"/>
        <v>1589</v>
      </c>
      <c r="E31" s="4">
        <f t="shared" si="1"/>
        <v>511</v>
      </c>
      <c r="F31" s="4">
        <f t="shared" si="2"/>
        <v>331</v>
      </c>
      <c r="G31" s="4">
        <f t="shared" si="3"/>
        <v>829</v>
      </c>
      <c r="H31" s="5">
        <f t="shared" si="4"/>
        <v>1920</v>
      </c>
      <c r="I31" s="5">
        <f t="shared" si="5"/>
        <v>2100</v>
      </c>
      <c r="J31" s="5">
        <f t="shared" si="6"/>
        <v>1602</v>
      </c>
      <c r="K31" s="5">
        <f t="shared" si="14"/>
        <v>2000</v>
      </c>
      <c r="L31" s="5">
        <f t="shared" si="15"/>
        <v>2000</v>
      </c>
      <c r="M31" s="5">
        <f t="shared" si="16"/>
        <v>2000</v>
      </c>
      <c r="N31" s="5">
        <f t="shared" si="17"/>
        <v>-80</v>
      </c>
      <c r="O31" s="5">
        <f t="shared" si="18"/>
        <v>100</v>
      </c>
      <c r="P31" s="5">
        <f t="shared" si="19"/>
        <v>-398</v>
      </c>
      <c r="Q31" s="4">
        <v>0</v>
      </c>
      <c r="R31" s="4">
        <v>0</v>
      </c>
      <c r="S31" s="4">
        <v>8</v>
      </c>
      <c r="T31" s="6">
        <f t="shared" si="7"/>
        <v>2331</v>
      </c>
      <c r="U31" s="7">
        <f t="shared" ref="U31:V36" si="21">U30+$X31*1000-Q31</f>
        <v>-80</v>
      </c>
      <c r="V31" s="7">
        <f t="shared" si="21"/>
        <v>100</v>
      </c>
      <c r="W31" s="19">
        <f>W30+0.29*1000-S31</f>
        <v>-108</v>
      </c>
      <c r="X31" s="6"/>
      <c r="Y31" s="6">
        <v>-100</v>
      </c>
      <c r="Z31" s="6">
        <v>-100</v>
      </c>
      <c r="AA31" s="6">
        <v>-100</v>
      </c>
      <c r="AB31" s="16">
        <v>8</v>
      </c>
    </row>
    <row r="32" spans="1:30" ht="16.5" customHeight="1">
      <c r="A32" s="12">
        <v>18</v>
      </c>
      <c r="B32" s="11">
        <f t="shared" si="11"/>
        <v>45288</v>
      </c>
      <c r="C32" s="9">
        <f t="shared" si="12"/>
        <v>842</v>
      </c>
      <c r="D32" s="8">
        <f t="shared" si="13"/>
        <v>1587</v>
      </c>
      <c r="E32" s="4">
        <f t="shared" si="1"/>
        <v>509</v>
      </c>
      <c r="F32" s="4">
        <f t="shared" si="2"/>
        <v>329</v>
      </c>
      <c r="G32" s="4">
        <f t="shared" si="3"/>
        <v>833</v>
      </c>
      <c r="H32" s="5">
        <f t="shared" si="4"/>
        <v>1920</v>
      </c>
      <c r="I32" s="5">
        <f t="shared" si="5"/>
        <v>2100</v>
      </c>
      <c r="J32" s="5">
        <f t="shared" si="6"/>
        <v>1596</v>
      </c>
      <c r="K32" s="5">
        <f t="shared" si="14"/>
        <v>2000</v>
      </c>
      <c r="L32" s="5">
        <f t="shared" si="15"/>
        <v>2000</v>
      </c>
      <c r="M32" s="5">
        <f t="shared" si="16"/>
        <v>2000</v>
      </c>
      <c r="N32" s="5">
        <f t="shared" si="17"/>
        <v>-80</v>
      </c>
      <c r="O32" s="5">
        <f t="shared" si="18"/>
        <v>100</v>
      </c>
      <c r="P32" s="5">
        <f t="shared" si="19"/>
        <v>-404</v>
      </c>
      <c r="Q32" s="4">
        <v>0</v>
      </c>
      <c r="R32" s="4">
        <v>0</v>
      </c>
      <c r="S32" s="4">
        <v>6</v>
      </c>
      <c r="T32" s="6">
        <f t="shared" si="7"/>
        <v>2329</v>
      </c>
      <c r="U32" s="7">
        <f t="shared" si="21"/>
        <v>-80</v>
      </c>
      <c r="V32" s="7">
        <f t="shared" si="21"/>
        <v>100</v>
      </c>
      <c r="W32" s="7">
        <f t="shared" ref="W32:W95" si="22">W31+$X32*1000-S32</f>
        <v>-114</v>
      </c>
      <c r="X32" s="6"/>
      <c r="Y32" s="5"/>
      <c r="Z32" s="5"/>
      <c r="AA32" s="5"/>
      <c r="AB32" s="16"/>
    </row>
    <row r="33" spans="1:28" ht="16.5" customHeight="1">
      <c r="A33" s="12">
        <v>19</v>
      </c>
      <c r="B33" s="11">
        <f t="shared" si="11"/>
        <v>45289</v>
      </c>
      <c r="C33" s="9">
        <f t="shared" si="12"/>
        <v>842</v>
      </c>
      <c r="D33" s="8">
        <f t="shared" si="13"/>
        <v>1585</v>
      </c>
      <c r="E33" s="4">
        <f t="shared" si="1"/>
        <v>507</v>
      </c>
      <c r="F33" s="4">
        <f t="shared" si="2"/>
        <v>327</v>
      </c>
      <c r="G33" s="4">
        <f t="shared" si="3"/>
        <v>837</v>
      </c>
      <c r="H33" s="5">
        <f t="shared" si="4"/>
        <v>1920</v>
      </c>
      <c r="I33" s="5">
        <f t="shared" si="5"/>
        <v>2100</v>
      </c>
      <c r="J33" s="5">
        <f t="shared" si="6"/>
        <v>1590</v>
      </c>
      <c r="K33" s="5">
        <f t="shared" si="14"/>
        <v>2000</v>
      </c>
      <c r="L33" s="5">
        <f t="shared" si="15"/>
        <v>2000</v>
      </c>
      <c r="M33" s="5">
        <f t="shared" si="16"/>
        <v>2000</v>
      </c>
      <c r="N33" s="5">
        <f t="shared" si="17"/>
        <v>-80</v>
      </c>
      <c r="O33" s="5">
        <f t="shared" si="18"/>
        <v>100</v>
      </c>
      <c r="P33" s="5">
        <f t="shared" si="19"/>
        <v>-410</v>
      </c>
      <c r="Q33" s="4">
        <v>0</v>
      </c>
      <c r="R33" s="4">
        <v>0</v>
      </c>
      <c r="S33" s="4">
        <v>6</v>
      </c>
      <c r="T33" s="6">
        <f t="shared" si="7"/>
        <v>2327</v>
      </c>
      <c r="U33" s="7">
        <f t="shared" si="21"/>
        <v>-80</v>
      </c>
      <c r="V33" s="7">
        <f t="shared" si="21"/>
        <v>100</v>
      </c>
      <c r="W33" s="7">
        <f t="shared" si="22"/>
        <v>-120</v>
      </c>
      <c r="X33" s="6"/>
      <c r="Y33" s="5"/>
      <c r="Z33" s="5"/>
      <c r="AA33" s="5"/>
      <c r="AB33" s="16"/>
    </row>
    <row r="34" spans="1:28" ht="16.5" customHeight="1">
      <c r="A34" s="12">
        <v>20</v>
      </c>
      <c r="B34" s="11">
        <f t="shared" si="11"/>
        <v>45290</v>
      </c>
      <c r="C34" s="9">
        <f t="shared" si="12"/>
        <v>842</v>
      </c>
      <c r="D34" s="8">
        <f t="shared" si="13"/>
        <v>1583</v>
      </c>
      <c r="E34" s="4">
        <f t="shared" si="1"/>
        <v>505</v>
      </c>
      <c r="F34" s="4">
        <f t="shared" si="2"/>
        <v>325</v>
      </c>
      <c r="G34" s="4">
        <f t="shared" si="3"/>
        <v>841</v>
      </c>
      <c r="H34" s="5">
        <f t="shared" si="4"/>
        <v>1920</v>
      </c>
      <c r="I34" s="5">
        <f t="shared" si="5"/>
        <v>2100</v>
      </c>
      <c r="J34" s="5">
        <f t="shared" si="6"/>
        <v>1584</v>
      </c>
      <c r="K34" s="5">
        <f t="shared" si="14"/>
        <v>2000</v>
      </c>
      <c r="L34" s="5">
        <f t="shared" si="15"/>
        <v>2000</v>
      </c>
      <c r="M34" s="5">
        <f t="shared" si="16"/>
        <v>2000</v>
      </c>
      <c r="N34" s="5">
        <f t="shared" si="17"/>
        <v>-80</v>
      </c>
      <c r="O34" s="5">
        <f t="shared" si="18"/>
        <v>100</v>
      </c>
      <c r="P34" s="5">
        <f t="shared" si="19"/>
        <v>-416</v>
      </c>
      <c r="Q34" s="4">
        <v>0</v>
      </c>
      <c r="R34" s="4">
        <v>0</v>
      </c>
      <c r="S34" s="4">
        <v>6</v>
      </c>
      <c r="T34" s="6">
        <f t="shared" si="7"/>
        <v>2325</v>
      </c>
      <c r="U34" s="7">
        <f t="shared" si="21"/>
        <v>-80</v>
      </c>
      <c r="V34" s="7">
        <f t="shared" si="21"/>
        <v>100</v>
      </c>
      <c r="W34" s="7">
        <f t="shared" si="22"/>
        <v>-126</v>
      </c>
      <c r="X34" s="6"/>
      <c r="Y34" s="5"/>
      <c r="Z34" s="5"/>
      <c r="AA34" s="5"/>
      <c r="AB34" s="16"/>
    </row>
    <row r="35" spans="1:28" ht="16.5" customHeight="1">
      <c r="A35" s="12">
        <v>21</v>
      </c>
      <c r="B35" s="11">
        <f t="shared" si="11"/>
        <v>45291</v>
      </c>
      <c r="C35" s="9">
        <f t="shared" si="12"/>
        <v>842</v>
      </c>
      <c r="D35" s="8">
        <f t="shared" si="13"/>
        <v>1581</v>
      </c>
      <c r="E35" s="4">
        <f t="shared" si="1"/>
        <v>503</v>
      </c>
      <c r="F35" s="4">
        <f t="shared" si="2"/>
        <v>323</v>
      </c>
      <c r="G35" s="4">
        <f t="shared" si="3"/>
        <v>848</v>
      </c>
      <c r="H35" s="5">
        <f t="shared" si="4"/>
        <v>1920</v>
      </c>
      <c r="I35" s="5">
        <f t="shared" si="5"/>
        <v>2100</v>
      </c>
      <c r="J35" s="5">
        <f t="shared" si="6"/>
        <v>1575</v>
      </c>
      <c r="K35" s="5">
        <f t="shared" si="14"/>
        <v>2000</v>
      </c>
      <c r="L35" s="5">
        <f t="shared" si="15"/>
        <v>2000</v>
      </c>
      <c r="M35" s="5">
        <f t="shared" si="16"/>
        <v>2000</v>
      </c>
      <c r="N35" s="5">
        <f t="shared" si="17"/>
        <v>-80</v>
      </c>
      <c r="O35" s="5">
        <f t="shared" si="18"/>
        <v>100</v>
      </c>
      <c r="P35" s="5">
        <f t="shared" si="19"/>
        <v>-425</v>
      </c>
      <c r="Q35" s="4">
        <v>0</v>
      </c>
      <c r="R35" s="4">
        <v>0</v>
      </c>
      <c r="S35" s="4">
        <v>9</v>
      </c>
      <c r="T35" s="6">
        <f t="shared" si="7"/>
        <v>2323</v>
      </c>
      <c r="U35" s="7">
        <f t="shared" si="21"/>
        <v>-80</v>
      </c>
      <c r="V35" s="7">
        <f t="shared" si="21"/>
        <v>100</v>
      </c>
      <c r="W35" s="7">
        <f t="shared" si="22"/>
        <v>-135</v>
      </c>
      <c r="X35" s="6"/>
      <c r="Y35" s="5"/>
      <c r="Z35" s="5"/>
      <c r="AA35" s="5"/>
      <c r="AB35" s="16"/>
    </row>
    <row r="36" spans="1:28" ht="16.5" customHeight="1">
      <c r="A36" s="12">
        <v>22</v>
      </c>
      <c r="B36" s="11">
        <f t="shared" si="11"/>
        <v>45292</v>
      </c>
      <c r="C36" s="9">
        <f t="shared" si="12"/>
        <v>842</v>
      </c>
      <c r="D36" s="8">
        <f t="shared" si="13"/>
        <v>1579</v>
      </c>
      <c r="E36" s="4">
        <f t="shared" si="1"/>
        <v>501</v>
      </c>
      <c r="F36" s="4">
        <f t="shared" si="2"/>
        <v>321</v>
      </c>
      <c r="G36" s="4">
        <f t="shared" si="3"/>
        <v>849</v>
      </c>
      <c r="H36" s="5">
        <f t="shared" si="4"/>
        <v>1920</v>
      </c>
      <c r="I36" s="5">
        <f t="shared" si="5"/>
        <v>2100</v>
      </c>
      <c r="J36" s="5">
        <f t="shared" si="6"/>
        <v>1572</v>
      </c>
      <c r="K36" s="5">
        <f t="shared" si="14"/>
        <v>2000</v>
      </c>
      <c r="L36" s="5">
        <f t="shared" si="15"/>
        <v>2000</v>
      </c>
      <c r="M36" s="5">
        <f t="shared" si="16"/>
        <v>2000</v>
      </c>
      <c r="N36" s="5">
        <f t="shared" si="17"/>
        <v>-80</v>
      </c>
      <c r="O36" s="5">
        <f t="shared" si="18"/>
        <v>100</v>
      </c>
      <c r="P36" s="5">
        <f t="shared" si="19"/>
        <v>-428</v>
      </c>
      <c r="Q36" s="18">
        <v>0</v>
      </c>
      <c r="R36" s="18">
        <v>0</v>
      </c>
      <c r="S36" s="4">
        <v>3</v>
      </c>
      <c r="T36" s="6">
        <f t="shared" si="7"/>
        <v>2321</v>
      </c>
      <c r="U36" s="7">
        <f t="shared" si="21"/>
        <v>-80</v>
      </c>
      <c r="V36" s="7">
        <f t="shared" si="21"/>
        <v>100</v>
      </c>
      <c r="W36" s="7">
        <f t="shared" si="22"/>
        <v>-138</v>
      </c>
      <c r="X36" s="6"/>
      <c r="Y36" s="5"/>
      <c r="Z36" s="5"/>
      <c r="AA36" s="5"/>
      <c r="AB36" s="16"/>
    </row>
    <row r="37" spans="1:28" ht="16.5" customHeight="1">
      <c r="A37" s="12">
        <v>23</v>
      </c>
      <c r="B37" s="11">
        <f t="shared" si="11"/>
        <v>45293</v>
      </c>
      <c r="C37" s="9">
        <f t="shared" si="12"/>
        <v>842</v>
      </c>
      <c r="D37" s="8">
        <f t="shared" si="13"/>
        <v>1577</v>
      </c>
      <c r="E37" s="4">
        <f t="shared" si="1"/>
        <v>507</v>
      </c>
      <c r="F37" s="4">
        <f t="shared" si="2"/>
        <v>327</v>
      </c>
      <c r="G37" s="4">
        <f t="shared" si="3"/>
        <v>854</v>
      </c>
      <c r="H37" s="5">
        <f t="shared" si="4"/>
        <v>1912</v>
      </c>
      <c r="I37" s="5">
        <f t="shared" si="5"/>
        <v>2092</v>
      </c>
      <c r="J37" s="5">
        <f t="shared" si="6"/>
        <v>1565</v>
      </c>
      <c r="K37" s="5">
        <f t="shared" si="14"/>
        <v>2000</v>
      </c>
      <c r="L37" s="5">
        <f t="shared" si="15"/>
        <v>2000</v>
      </c>
      <c r="M37" s="5">
        <f t="shared" si="16"/>
        <v>2000</v>
      </c>
      <c r="N37" s="5">
        <f t="shared" si="17"/>
        <v>-88</v>
      </c>
      <c r="O37" s="5">
        <f t="shared" si="18"/>
        <v>92</v>
      </c>
      <c r="P37" s="5">
        <f t="shared" si="19"/>
        <v>-435</v>
      </c>
      <c r="Q37" s="4">
        <v>8</v>
      </c>
      <c r="R37" s="4">
        <v>8</v>
      </c>
      <c r="S37" s="4">
        <v>7</v>
      </c>
      <c r="T37" s="6">
        <f t="shared" si="7"/>
        <v>2227</v>
      </c>
      <c r="U37" s="17">
        <f>U36+0.28*1000-Q37</f>
        <v>192</v>
      </c>
      <c r="V37" s="17">
        <f>V36+0.1*1000-R37</f>
        <v>192</v>
      </c>
      <c r="W37" s="7">
        <f t="shared" si="22"/>
        <v>155</v>
      </c>
      <c r="X37" s="13">
        <v>0.3</v>
      </c>
      <c r="Y37" s="5"/>
      <c r="Z37" s="5"/>
      <c r="AA37" s="5"/>
      <c r="AB37" s="16">
        <v>7</v>
      </c>
    </row>
    <row r="38" spans="1:28" ht="16.5" customHeight="1">
      <c r="A38" s="12">
        <v>24</v>
      </c>
      <c r="B38" s="11">
        <f t="shared" si="11"/>
        <v>45294</v>
      </c>
      <c r="C38" s="9">
        <f t="shared" si="12"/>
        <v>842</v>
      </c>
      <c r="D38" s="8">
        <f t="shared" si="13"/>
        <v>1575</v>
      </c>
      <c r="E38" s="4">
        <f t="shared" si="1"/>
        <v>508</v>
      </c>
      <c r="F38" s="4">
        <f t="shared" si="2"/>
        <v>331</v>
      </c>
      <c r="G38" s="4">
        <f t="shared" si="3"/>
        <v>855</v>
      </c>
      <c r="H38" s="5">
        <f t="shared" si="4"/>
        <v>1909</v>
      </c>
      <c r="I38" s="5">
        <f t="shared" si="5"/>
        <v>2086</v>
      </c>
      <c r="J38" s="5">
        <f t="shared" si="6"/>
        <v>1562</v>
      </c>
      <c r="K38" s="5">
        <f t="shared" si="14"/>
        <v>2000</v>
      </c>
      <c r="L38" s="5">
        <f t="shared" si="15"/>
        <v>2000</v>
      </c>
      <c r="M38" s="5">
        <f t="shared" si="16"/>
        <v>2000</v>
      </c>
      <c r="N38" s="5">
        <f t="shared" si="17"/>
        <v>-91</v>
      </c>
      <c r="O38" s="5">
        <f t="shared" si="18"/>
        <v>86</v>
      </c>
      <c r="P38" s="5">
        <f t="shared" si="19"/>
        <v>-438</v>
      </c>
      <c r="Q38" s="4">
        <v>3</v>
      </c>
      <c r="R38" s="4">
        <v>6</v>
      </c>
      <c r="S38" s="4">
        <v>3</v>
      </c>
      <c r="T38" s="6">
        <f t="shared" si="7"/>
        <v>2231</v>
      </c>
      <c r="U38" s="7">
        <f t="shared" ref="U38:U101" si="23">U37+$X38*1000-Q38</f>
        <v>189</v>
      </c>
      <c r="V38" s="7">
        <f t="shared" ref="V38:V101" si="24">V37+$X38*1000-R38</f>
        <v>186</v>
      </c>
      <c r="W38" s="7">
        <f t="shared" si="22"/>
        <v>152</v>
      </c>
      <c r="X38" s="6"/>
      <c r="Y38" s="5"/>
      <c r="Z38" s="5"/>
      <c r="AA38" s="5"/>
      <c r="AB38" s="16"/>
    </row>
    <row r="39" spans="1:28" ht="16.5" customHeight="1">
      <c r="A39" s="12">
        <v>25</v>
      </c>
      <c r="B39" s="11">
        <f t="shared" si="11"/>
        <v>45295</v>
      </c>
      <c r="C39" s="9">
        <f t="shared" si="12"/>
        <v>842</v>
      </c>
      <c r="D39" s="8">
        <f t="shared" si="13"/>
        <v>1573</v>
      </c>
      <c r="E39" s="4">
        <f t="shared" si="1"/>
        <v>510</v>
      </c>
      <c r="F39" s="4">
        <f t="shared" si="2"/>
        <v>335</v>
      </c>
      <c r="G39" s="4">
        <f t="shared" si="3"/>
        <v>857</v>
      </c>
      <c r="H39" s="5">
        <f t="shared" si="4"/>
        <v>1905</v>
      </c>
      <c r="I39" s="5">
        <f t="shared" si="5"/>
        <v>2080</v>
      </c>
      <c r="J39" s="5">
        <f t="shared" si="6"/>
        <v>1558</v>
      </c>
      <c r="K39" s="5">
        <f t="shared" si="14"/>
        <v>2000</v>
      </c>
      <c r="L39" s="5">
        <f t="shared" si="15"/>
        <v>2000</v>
      </c>
      <c r="M39" s="5">
        <f t="shared" si="16"/>
        <v>2000</v>
      </c>
      <c r="N39" s="5">
        <f t="shared" si="17"/>
        <v>-95</v>
      </c>
      <c r="O39" s="5">
        <f t="shared" si="18"/>
        <v>80</v>
      </c>
      <c r="P39" s="5">
        <f t="shared" si="19"/>
        <v>-442</v>
      </c>
      <c r="Q39" s="4">
        <v>4</v>
      </c>
      <c r="R39" s="4">
        <v>6</v>
      </c>
      <c r="S39" s="4">
        <v>4</v>
      </c>
      <c r="T39" s="6">
        <f t="shared" si="7"/>
        <v>2235</v>
      </c>
      <c r="U39" s="7">
        <f t="shared" si="23"/>
        <v>185</v>
      </c>
      <c r="V39" s="7">
        <f t="shared" si="24"/>
        <v>180</v>
      </c>
      <c r="W39" s="7">
        <f t="shared" si="22"/>
        <v>148</v>
      </c>
      <c r="X39" s="6"/>
      <c r="Y39" s="5"/>
      <c r="Z39" s="5"/>
      <c r="AA39" s="5"/>
      <c r="AB39" s="16"/>
    </row>
    <row r="40" spans="1:28" ht="16.5" customHeight="1">
      <c r="A40" s="12">
        <v>26</v>
      </c>
      <c r="B40" s="11">
        <f t="shared" si="11"/>
        <v>45296</v>
      </c>
      <c r="C40" s="9">
        <f t="shared" si="12"/>
        <v>842</v>
      </c>
      <c r="D40" s="8">
        <f t="shared" si="13"/>
        <v>1571</v>
      </c>
      <c r="E40" s="4">
        <f t="shared" si="1"/>
        <v>510</v>
      </c>
      <c r="F40" s="4">
        <f t="shared" si="2"/>
        <v>339</v>
      </c>
      <c r="G40" s="4">
        <f t="shared" si="3"/>
        <v>860</v>
      </c>
      <c r="H40" s="5">
        <f t="shared" si="4"/>
        <v>1903</v>
      </c>
      <c r="I40" s="5">
        <f t="shared" si="5"/>
        <v>2074</v>
      </c>
      <c r="J40" s="5">
        <f t="shared" si="6"/>
        <v>1553</v>
      </c>
      <c r="K40" s="5">
        <f t="shared" si="14"/>
        <v>2000</v>
      </c>
      <c r="L40" s="5">
        <f t="shared" si="15"/>
        <v>2000</v>
      </c>
      <c r="M40" s="5">
        <f t="shared" si="16"/>
        <v>2000</v>
      </c>
      <c r="N40" s="5">
        <f t="shared" si="17"/>
        <v>-97</v>
      </c>
      <c r="O40" s="5">
        <f t="shared" si="18"/>
        <v>74</v>
      </c>
      <c r="P40" s="5">
        <f t="shared" si="19"/>
        <v>-447</v>
      </c>
      <c r="Q40" s="4">
        <v>2</v>
      </c>
      <c r="R40" s="4">
        <v>6</v>
      </c>
      <c r="S40" s="4">
        <v>5</v>
      </c>
      <c r="T40" s="6">
        <f t="shared" si="7"/>
        <v>2239</v>
      </c>
      <c r="U40" s="7">
        <f t="shared" si="23"/>
        <v>183</v>
      </c>
      <c r="V40" s="7">
        <f t="shared" si="24"/>
        <v>174</v>
      </c>
      <c r="W40" s="7">
        <f t="shared" si="22"/>
        <v>143</v>
      </c>
      <c r="X40" s="6"/>
      <c r="Y40" s="5"/>
      <c r="Z40" s="5"/>
      <c r="AA40" s="5"/>
      <c r="AB40" s="16"/>
    </row>
    <row r="41" spans="1:28" ht="16.5" customHeight="1">
      <c r="A41" s="12">
        <v>27</v>
      </c>
      <c r="B41" s="11">
        <f t="shared" si="11"/>
        <v>45297</v>
      </c>
      <c r="C41" s="9">
        <f t="shared" si="12"/>
        <v>842</v>
      </c>
      <c r="D41" s="8">
        <f t="shared" si="13"/>
        <v>1569</v>
      </c>
      <c r="E41" s="4">
        <f t="shared" si="1"/>
        <v>516</v>
      </c>
      <c r="F41" s="4">
        <f t="shared" si="2"/>
        <v>346</v>
      </c>
      <c r="G41" s="4">
        <f t="shared" si="3"/>
        <v>867</v>
      </c>
      <c r="H41" s="5">
        <f t="shared" si="4"/>
        <v>1895</v>
      </c>
      <c r="I41" s="5">
        <f t="shared" si="5"/>
        <v>2065</v>
      </c>
      <c r="J41" s="5">
        <f t="shared" si="6"/>
        <v>1544</v>
      </c>
      <c r="K41" s="5">
        <f t="shared" si="14"/>
        <v>2000</v>
      </c>
      <c r="L41" s="5">
        <f t="shared" si="15"/>
        <v>2000</v>
      </c>
      <c r="M41" s="5">
        <f t="shared" si="16"/>
        <v>2000</v>
      </c>
      <c r="N41" s="5">
        <f t="shared" si="17"/>
        <v>-105</v>
      </c>
      <c r="O41" s="5">
        <f t="shared" si="18"/>
        <v>65</v>
      </c>
      <c r="P41" s="5">
        <f t="shared" si="19"/>
        <v>-456</v>
      </c>
      <c r="Q41" s="4">
        <v>8</v>
      </c>
      <c r="R41" s="4">
        <v>9</v>
      </c>
      <c r="S41" s="4">
        <v>9</v>
      </c>
      <c r="T41" s="6">
        <f t="shared" si="7"/>
        <v>2246</v>
      </c>
      <c r="U41" s="7">
        <f t="shared" si="23"/>
        <v>175</v>
      </c>
      <c r="V41" s="7">
        <f t="shared" si="24"/>
        <v>165</v>
      </c>
      <c r="W41" s="7">
        <f t="shared" si="22"/>
        <v>134</v>
      </c>
      <c r="X41" s="6"/>
      <c r="Y41" s="5"/>
      <c r="Z41" s="5"/>
      <c r="AA41" s="5"/>
      <c r="AB41" s="16"/>
    </row>
    <row r="42" spans="1:28" ht="16.5" customHeight="1">
      <c r="A42" s="12">
        <v>28</v>
      </c>
      <c r="B42" s="11">
        <f t="shared" si="11"/>
        <v>45298</v>
      </c>
      <c r="C42" s="9">
        <f t="shared" si="12"/>
        <v>842</v>
      </c>
      <c r="D42" s="8">
        <f t="shared" si="13"/>
        <v>1567</v>
      </c>
      <c r="E42" s="4">
        <f t="shared" si="1"/>
        <v>517</v>
      </c>
      <c r="F42" s="4">
        <f t="shared" si="2"/>
        <v>347</v>
      </c>
      <c r="G42" s="4">
        <f t="shared" si="3"/>
        <v>869</v>
      </c>
      <c r="H42" s="5">
        <f t="shared" si="4"/>
        <v>1892</v>
      </c>
      <c r="I42" s="5">
        <f t="shared" si="5"/>
        <v>2062</v>
      </c>
      <c r="J42" s="5">
        <f t="shared" si="6"/>
        <v>1540</v>
      </c>
      <c r="K42" s="5">
        <f t="shared" si="14"/>
        <v>2000</v>
      </c>
      <c r="L42" s="5">
        <f t="shared" si="15"/>
        <v>2000</v>
      </c>
      <c r="M42" s="5">
        <f t="shared" si="16"/>
        <v>2000</v>
      </c>
      <c r="N42" s="5">
        <f t="shared" si="17"/>
        <v>-108</v>
      </c>
      <c r="O42" s="5">
        <f t="shared" si="18"/>
        <v>62</v>
      </c>
      <c r="P42" s="5">
        <f t="shared" si="19"/>
        <v>-460</v>
      </c>
      <c r="Q42" s="4">
        <v>3</v>
      </c>
      <c r="R42" s="4">
        <v>3</v>
      </c>
      <c r="S42" s="4">
        <v>4</v>
      </c>
      <c r="T42" s="6">
        <f t="shared" si="7"/>
        <v>2247</v>
      </c>
      <c r="U42" s="7">
        <f t="shared" si="23"/>
        <v>172</v>
      </c>
      <c r="V42" s="7">
        <f t="shared" si="24"/>
        <v>162</v>
      </c>
      <c r="W42" s="7">
        <f t="shared" si="22"/>
        <v>130</v>
      </c>
      <c r="X42" s="6"/>
      <c r="Y42" s="5"/>
      <c r="Z42" s="5"/>
      <c r="AA42" s="5"/>
      <c r="AB42" s="16"/>
    </row>
    <row r="43" spans="1:28" ht="16.5" customHeight="1">
      <c r="A43" s="12">
        <v>29</v>
      </c>
      <c r="B43" s="11">
        <f t="shared" si="11"/>
        <v>45299</v>
      </c>
      <c r="C43" s="9">
        <f t="shared" si="12"/>
        <v>842</v>
      </c>
      <c r="D43" s="8">
        <f t="shared" si="13"/>
        <v>1565</v>
      </c>
      <c r="E43" s="4">
        <f t="shared" si="1"/>
        <v>523</v>
      </c>
      <c r="F43" s="4">
        <f t="shared" si="2"/>
        <v>354</v>
      </c>
      <c r="G43" s="4">
        <f t="shared" si="3"/>
        <v>876</v>
      </c>
      <c r="H43" s="5">
        <f t="shared" si="4"/>
        <v>1884</v>
      </c>
      <c r="I43" s="5">
        <f t="shared" si="5"/>
        <v>2053</v>
      </c>
      <c r="J43" s="5">
        <f t="shared" si="6"/>
        <v>1531</v>
      </c>
      <c r="K43" s="5">
        <f t="shared" si="14"/>
        <v>2000</v>
      </c>
      <c r="L43" s="5">
        <f t="shared" si="15"/>
        <v>2000</v>
      </c>
      <c r="M43" s="5">
        <f t="shared" si="16"/>
        <v>2000</v>
      </c>
      <c r="N43" s="5">
        <f t="shared" si="17"/>
        <v>-116</v>
      </c>
      <c r="O43" s="5">
        <f t="shared" si="18"/>
        <v>53</v>
      </c>
      <c r="P43" s="5">
        <f t="shared" si="19"/>
        <v>-469</v>
      </c>
      <c r="Q43" s="4">
        <v>8</v>
      </c>
      <c r="R43" s="4">
        <v>9</v>
      </c>
      <c r="S43" s="4">
        <v>9</v>
      </c>
      <c r="T43" s="6">
        <f t="shared" si="7"/>
        <v>1954</v>
      </c>
      <c r="U43" s="7">
        <f t="shared" si="23"/>
        <v>464</v>
      </c>
      <c r="V43" s="7">
        <f t="shared" si="24"/>
        <v>453</v>
      </c>
      <c r="W43" s="7">
        <f t="shared" si="22"/>
        <v>421</v>
      </c>
      <c r="X43" s="13">
        <v>0.3</v>
      </c>
      <c r="Y43" s="5"/>
      <c r="Z43" s="5"/>
      <c r="AA43" s="5"/>
      <c r="AB43" s="16">
        <v>6</v>
      </c>
    </row>
    <row r="44" spans="1:28" ht="16.5" customHeight="1">
      <c r="A44" s="12">
        <v>30</v>
      </c>
      <c r="B44" s="11">
        <f t="shared" si="11"/>
        <v>45300</v>
      </c>
      <c r="C44" s="9">
        <f t="shared" si="12"/>
        <v>842</v>
      </c>
      <c r="D44" s="8">
        <f t="shared" si="13"/>
        <v>1563</v>
      </c>
      <c r="E44" s="4">
        <f t="shared" si="1"/>
        <v>524</v>
      </c>
      <c r="F44" s="4">
        <f t="shared" si="2"/>
        <v>355</v>
      </c>
      <c r="G44" s="4">
        <f t="shared" si="3"/>
        <v>878</v>
      </c>
      <c r="H44" s="5">
        <f t="shared" si="4"/>
        <v>1881</v>
      </c>
      <c r="I44" s="5">
        <f t="shared" si="5"/>
        <v>2050</v>
      </c>
      <c r="J44" s="5">
        <f t="shared" si="6"/>
        <v>1527</v>
      </c>
      <c r="K44" s="5">
        <f t="shared" si="14"/>
        <v>2000</v>
      </c>
      <c r="L44" s="5">
        <f t="shared" si="15"/>
        <v>2000</v>
      </c>
      <c r="M44" s="5">
        <f t="shared" si="16"/>
        <v>2000</v>
      </c>
      <c r="N44" s="5">
        <f t="shared" si="17"/>
        <v>-119</v>
      </c>
      <c r="O44" s="5">
        <f t="shared" si="18"/>
        <v>50</v>
      </c>
      <c r="P44" s="5">
        <f t="shared" si="19"/>
        <v>-473</v>
      </c>
      <c r="Q44" s="4">
        <v>3</v>
      </c>
      <c r="R44" s="4">
        <v>3</v>
      </c>
      <c r="S44" s="4">
        <v>4</v>
      </c>
      <c r="T44" s="6">
        <f t="shared" si="7"/>
        <v>1955</v>
      </c>
      <c r="U44" s="7">
        <f t="shared" si="23"/>
        <v>461</v>
      </c>
      <c r="V44" s="7">
        <f t="shared" si="24"/>
        <v>450</v>
      </c>
      <c r="W44" s="7">
        <f t="shared" si="22"/>
        <v>417</v>
      </c>
      <c r="X44" s="6"/>
      <c r="Y44" s="5"/>
      <c r="Z44" s="5"/>
      <c r="AA44" s="5"/>
      <c r="AB44" s="16"/>
    </row>
    <row r="45" spans="1:28" ht="15">
      <c r="A45" s="12">
        <v>31</v>
      </c>
      <c r="B45" s="11">
        <f t="shared" si="11"/>
        <v>45301</v>
      </c>
      <c r="C45" s="9">
        <f t="shared" si="12"/>
        <v>842</v>
      </c>
      <c r="D45" s="8">
        <f t="shared" si="13"/>
        <v>1561</v>
      </c>
      <c r="E45" s="4">
        <f t="shared" si="1"/>
        <v>530</v>
      </c>
      <c r="F45" s="4">
        <f t="shared" si="2"/>
        <v>361</v>
      </c>
      <c r="G45" s="4">
        <f t="shared" si="3"/>
        <v>883</v>
      </c>
      <c r="H45" s="5">
        <f t="shared" si="4"/>
        <v>1873</v>
      </c>
      <c r="I45" s="5">
        <f t="shared" si="5"/>
        <v>2042</v>
      </c>
      <c r="J45" s="5">
        <f t="shared" si="6"/>
        <v>1520</v>
      </c>
      <c r="K45" s="5">
        <f t="shared" si="14"/>
        <v>2000</v>
      </c>
      <c r="L45" s="5">
        <f t="shared" si="15"/>
        <v>2000</v>
      </c>
      <c r="M45" s="5">
        <f t="shared" si="16"/>
        <v>2000</v>
      </c>
      <c r="N45" s="5">
        <f t="shared" si="17"/>
        <v>-127</v>
      </c>
      <c r="O45" s="5">
        <f t="shared" si="18"/>
        <v>42</v>
      </c>
      <c r="P45" s="5">
        <f t="shared" si="19"/>
        <v>-480</v>
      </c>
      <c r="Q45" s="4">
        <v>8</v>
      </c>
      <c r="R45" s="4">
        <v>8</v>
      </c>
      <c r="S45" s="4">
        <v>7</v>
      </c>
      <c r="T45" s="6">
        <f t="shared" si="7"/>
        <v>1961</v>
      </c>
      <c r="U45" s="7">
        <f t="shared" si="23"/>
        <v>453</v>
      </c>
      <c r="V45" s="7">
        <f t="shared" si="24"/>
        <v>442</v>
      </c>
      <c r="W45" s="7">
        <f t="shared" si="22"/>
        <v>410</v>
      </c>
      <c r="X45" s="6"/>
      <c r="Y45" s="5"/>
      <c r="Z45" s="5"/>
      <c r="AA45" s="5"/>
      <c r="AB45" s="16"/>
    </row>
    <row r="46" spans="1:28" ht="15" customHeight="1">
      <c r="A46" s="12">
        <v>32</v>
      </c>
      <c r="B46" s="11">
        <f t="shared" si="11"/>
        <v>45302</v>
      </c>
      <c r="C46" s="9">
        <f t="shared" si="12"/>
        <v>842</v>
      </c>
      <c r="D46" s="8">
        <f t="shared" si="13"/>
        <v>1559</v>
      </c>
      <c r="E46" s="4">
        <f t="shared" si="1"/>
        <v>531</v>
      </c>
      <c r="F46" s="4">
        <f t="shared" si="2"/>
        <v>365</v>
      </c>
      <c r="G46" s="4">
        <f t="shared" si="3"/>
        <v>884</v>
      </c>
      <c r="H46" s="5">
        <f t="shared" si="4"/>
        <v>1870</v>
      </c>
      <c r="I46" s="5">
        <f t="shared" si="5"/>
        <v>2036</v>
      </c>
      <c r="J46" s="5">
        <f t="shared" si="6"/>
        <v>1517</v>
      </c>
      <c r="K46" s="5">
        <f t="shared" si="14"/>
        <v>2000</v>
      </c>
      <c r="L46" s="5">
        <f t="shared" si="15"/>
        <v>2000</v>
      </c>
      <c r="M46" s="5">
        <f t="shared" si="16"/>
        <v>2000</v>
      </c>
      <c r="N46" s="5">
        <f t="shared" si="17"/>
        <v>-130</v>
      </c>
      <c r="O46" s="5">
        <f t="shared" si="18"/>
        <v>36</v>
      </c>
      <c r="P46" s="5">
        <f t="shared" si="19"/>
        <v>-483</v>
      </c>
      <c r="Q46" s="4">
        <v>3</v>
      </c>
      <c r="R46" s="4">
        <v>6</v>
      </c>
      <c r="S46" s="4">
        <v>3</v>
      </c>
      <c r="T46" s="6">
        <f t="shared" si="7"/>
        <v>1965</v>
      </c>
      <c r="U46" s="7">
        <f t="shared" si="23"/>
        <v>450</v>
      </c>
      <c r="V46" s="7">
        <f t="shared" si="24"/>
        <v>436</v>
      </c>
      <c r="W46" s="7">
        <f t="shared" si="22"/>
        <v>407</v>
      </c>
      <c r="X46" s="6"/>
      <c r="Y46" s="5"/>
      <c r="Z46" s="5"/>
      <c r="AA46" s="5"/>
      <c r="AB46" s="16"/>
    </row>
    <row r="47" spans="1:28" ht="15" customHeight="1">
      <c r="A47" s="12">
        <v>33</v>
      </c>
      <c r="B47" s="11">
        <f t="shared" si="11"/>
        <v>45303</v>
      </c>
      <c r="C47" s="9">
        <f t="shared" si="12"/>
        <v>842</v>
      </c>
      <c r="D47" s="8">
        <f t="shared" ref="D47:D78" si="25">D46-2</f>
        <v>1557</v>
      </c>
      <c r="E47" s="4">
        <f t="shared" si="1"/>
        <v>533</v>
      </c>
      <c r="F47" s="4">
        <f t="shared" si="2"/>
        <v>370</v>
      </c>
      <c r="G47" s="4">
        <f t="shared" si="3"/>
        <v>886</v>
      </c>
      <c r="H47" s="5">
        <f t="shared" si="4"/>
        <v>1866</v>
      </c>
      <c r="I47" s="5">
        <f t="shared" si="5"/>
        <v>2029</v>
      </c>
      <c r="J47" s="5">
        <f t="shared" si="6"/>
        <v>1513</v>
      </c>
      <c r="K47" s="5">
        <f t="shared" ref="K47:K78" si="26">K46</f>
        <v>2000</v>
      </c>
      <c r="L47" s="5">
        <f t="shared" ref="L47:L78" si="27">L46</f>
        <v>2000</v>
      </c>
      <c r="M47" s="5">
        <f t="shared" ref="M47:M78" si="28">M46</f>
        <v>2000</v>
      </c>
      <c r="N47" s="5">
        <f t="shared" si="17"/>
        <v>-134</v>
      </c>
      <c r="O47" s="5">
        <f t="shared" si="18"/>
        <v>29</v>
      </c>
      <c r="P47" s="5">
        <f t="shared" si="19"/>
        <v>-487</v>
      </c>
      <c r="Q47" s="4">
        <v>4</v>
      </c>
      <c r="R47" s="4">
        <v>7</v>
      </c>
      <c r="S47" s="4">
        <v>4</v>
      </c>
      <c r="T47" s="6">
        <f t="shared" si="7"/>
        <v>1970</v>
      </c>
      <c r="U47" s="7">
        <f t="shared" si="23"/>
        <v>446</v>
      </c>
      <c r="V47" s="7">
        <f t="shared" si="24"/>
        <v>429</v>
      </c>
      <c r="W47" s="7">
        <f t="shared" si="22"/>
        <v>403</v>
      </c>
      <c r="X47" s="6"/>
      <c r="Y47" s="5"/>
      <c r="Z47" s="5"/>
      <c r="AA47" s="5"/>
      <c r="AB47" s="16"/>
    </row>
    <row r="48" spans="1:28" ht="15" customHeight="1">
      <c r="A48" s="12">
        <v>34</v>
      </c>
      <c r="B48" s="11">
        <f t="shared" si="11"/>
        <v>45304</v>
      </c>
      <c r="C48" s="9">
        <f t="shared" si="12"/>
        <v>842</v>
      </c>
      <c r="D48" s="8">
        <f t="shared" si="25"/>
        <v>1555</v>
      </c>
      <c r="E48" s="4">
        <f t="shared" si="1"/>
        <v>533</v>
      </c>
      <c r="F48" s="4">
        <f t="shared" si="2"/>
        <v>374</v>
      </c>
      <c r="G48" s="4">
        <f t="shared" si="3"/>
        <v>889</v>
      </c>
      <c r="H48" s="5">
        <f t="shared" si="4"/>
        <v>1864</v>
      </c>
      <c r="I48" s="5">
        <f t="shared" si="5"/>
        <v>2023</v>
      </c>
      <c r="J48" s="5">
        <f t="shared" si="6"/>
        <v>1508</v>
      </c>
      <c r="K48" s="5">
        <f t="shared" si="26"/>
        <v>2000</v>
      </c>
      <c r="L48" s="5">
        <f t="shared" si="27"/>
        <v>2000</v>
      </c>
      <c r="M48" s="5">
        <f t="shared" si="28"/>
        <v>2000</v>
      </c>
      <c r="N48" s="5">
        <f t="shared" si="17"/>
        <v>-136</v>
      </c>
      <c r="O48" s="5">
        <f t="shared" si="18"/>
        <v>23</v>
      </c>
      <c r="P48" s="5">
        <f t="shared" si="19"/>
        <v>-492</v>
      </c>
      <c r="Q48" s="4">
        <v>2</v>
      </c>
      <c r="R48" s="4">
        <v>6</v>
      </c>
      <c r="S48" s="4">
        <v>5</v>
      </c>
      <c r="T48" s="6">
        <f t="shared" si="7"/>
        <v>1974</v>
      </c>
      <c r="U48" s="7">
        <f t="shared" si="23"/>
        <v>444</v>
      </c>
      <c r="V48" s="7">
        <f t="shared" si="24"/>
        <v>423</v>
      </c>
      <c r="W48" s="7">
        <f t="shared" si="22"/>
        <v>398</v>
      </c>
      <c r="X48" s="6"/>
      <c r="Y48" s="5"/>
      <c r="Z48" s="5"/>
      <c r="AA48" s="5"/>
      <c r="AB48" s="16"/>
    </row>
    <row r="49" spans="1:28" ht="15" customHeight="1">
      <c r="A49" s="12">
        <v>35</v>
      </c>
      <c r="B49" s="11">
        <f t="shared" si="11"/>
        <v>45305</v>
      </c>
      <c r="C49" s="9">
        <f t="shared" si="12"/>
        <v>842</v>
      </c>
      <c r="D49" s="8">
        <f t="shared" si="25"/>
        <v>1553</v>
      </c>
      <c r="E49" s="4">
        <f t="shared" si="1"/>
        <v>539</v>
      </c>
      <c r="F49" s="4">
        <f t="shared" si="2"/>
        <v>381</v>
      </c>
      <c r="G49" s="4">
        <f t="shared" si="3"/>
        <v>896</v>
      </c>
      <c r="H49" s="5">
        <f t="shared" si="4"/>
        <v>1856</v>
      </c>
      <c r="I49" s="5">
        <f t="shared" si="5"/>
        <v>2014</v>
      </c>
      <c r="J49" s="5">
        <f t="shared" si="6"/>
        <v>1499</v>
      </c>
      <c r="K49" s="5">
        <f t="shared" si="26"/>
        <v>2000</v>
      </c>
      <c r="L49" s="5">
        <f t="shared" si="27"/>
        <v>2000</v>
      </c>
      <c r="M49" s="5">
        <f t="shared" si="28"/>
        <v>2000</v>
      </c>
      <c r="N49" s="5">
        <f t="shared" si="17"/>
        <v>-144</v>
      </c>
      <c r="O49" s="5">
        <f t="shared" si="18"/>
        <v>14</v>
      </c>
      <c r="P49" s="5">
        <f t="shared" si="19"/>
        <v>-501</v>
      </c>
      <c r="Q49" s="4">
        <v>8</v>
      </c>
      <c r="R49" s="4">
        <v>9</v>
      </c>
      <c r="S49" s="4">
        <v>9</v>
      </c>
      <c r="T49" s="6">
        <f t="shared" si="7"/>
        <v>1681</v>
      </c>
      <c r="U49" s="7">
        <f t="shared" si="23"/>
        <v>736</v>
      </c>
      <c r="V49" s="7">
        <f t="shared" si="24"/>
        <v>714</v>
      </c>
      <c r="W49" s="7">
        <f t="shared" si="22"/>
        <v>689</v>
      </c>
      <c r="X49" s="13">
        <v>0.3</v>
      </c>
      <c r="Y49" s="5"/>
      <c r="Z49" s="5"/>
      <c r="AA49" s="5"/>
      <c r="AB49" s="16">
        <v>5</v>
      </c>
    </row>
    <row r="50" spans="1:28" ht="15" customHeight="1">
      <c r="A50" s="12">
        <v>36</v>
      </c>
      <c r="B50" s="11">
        <f t="shared" si="11"/>
        <v>45306</v>
      </c>
      <c r="C50" s="9">
        <f t="shared" si="12"/>
        <v>842</v>
      </c>
      <c r="D50" s="8">
        <f t="shared" si="25"/>
        <v>1551</v>
      </c>
      <c r="E50" s="4">
        <f t="shared" si="1"/>
        <v>540</v>
      </c>
      <c r="F50" s="4">
        <f t="shared" si="2"/>
        <v>382</v>
      </c>
      <c r="G50" s="4">
        <f t="shared" si="3"/>
        <v>898</v>
      </c>
      <c r="H50" s="5">
        <f t="shared" si="4"/>
        <v>1853</v>
      </c>
      <c r="I50" s="5">
        <f t="shared" si="5"/>
        <v>2011</v>
      </c>
      <c r="J50" s="5">
        <f t="shared" si="6"/>
        <v>1495</v>
      </c>
      <c r="K50" s="5">
        <f t="shared" si="26"/>
        <v>2000</v>
      </c>
      <c r="L50" s="5">
        <f t="shared" si="27"/>
        <v>2000</v>
      </c>
      <c r="M50" s="5">
        <f t="shared" si="28"/>
        <v>2000</v>
      </c>
      <c r="N50" s="5">
        <f t="shared" si="17"/>
        <v>-147</v>
      </c>
      <c r="O50" s="5">
        <f t="shared" si="18"/>
        <v>11</v>
      </c>
      <c r="P50" s="5">
        <f t="shared" si="19"/>
        <v>-505</v>
      </c>
      <c r="Q50" s="4">
        <v>3</v>
      </c>
      <c r="R50" s="4">
        <v>3</v>
      </c>
      <c r="S50" s="4">
        <v>4</v>
      </c>
      <c r="T50" s="6">
        <f t="shared" si="7"/>
        <v>1682</v>
      </c>
      <c r="U50" s="7">
        <f t="shared" si="23"/>
        <v>733</v>
      </c>
      <c r="V50" s="7">
        <f t="shared" si="24"/>
        <v>711</v>
      </c>
      <c r="W50" s="7">
        <f t="shared" si="22"/>
        <v>685</v>
      </c>
      <c r="X50" s="6"/>
      <c r="Y50" s="5"/>
      <c r="Z50" s="5"/>
      <c r="AA50" s="5"/>
      <c r="AB50" s="16"/>
    </row>
    <row r="51" spans="1:28" ht="15" customHeight="1">
      <c r="A51" s="12">
        <v>37</v>
      </c>
      <c r="B51" s="11">
        <f t="shared" si="11"/>
        <v>45307</v>
      </c>
      <c r="C51" s="9">
        <f t="shared" si="12"/>
        <v>842</v>
      </c>
      <c r="D51" s="8">
        <f t="shared" si="25"/>
        <v>1549</v>
      </c>
      <c r="E51" s="4">
        <f t="shared" si="1"/>
        <v>542</v>
      </c>
      <c r="F51" s="4">
        <f t="shared" si="2"/>
        <v>384</v>
      </c>
      <c r="G51" s="4">
        <f t="shared" si="3"/>
        <v>899</v>
      </c>
      <c r="H51" s="5">
        <f t="shared" si="4"/>
        <v>1849</v>
      </c>
      <c r="I51" s="5">
        <f t="shared" si="5"/>
        <v>2007</v>
      </c>
      <c r="J51" s="5">
        <f t="shared" si="6"/>
        <v>1492</v>
      </c>
      <c r="K51" s="5">
        <f t="shared" si="26"/>
        <v>2000</v>
      </c>
      <c r="L51" s="5">
        <f t="shared" si="27"/>
        <v>2000</v>
      </c>
      <c r="M51" s="5">
        <f t="shared" si="28"/>
        <v>2000</v>
      </c>
      <c r="N51" s="5">
        <f t="shared" si="17"/>
        <v>-151</v>
      </c>
      <c r="O51" s="5">
        <f t="shared" si="18"/>
        <v>7</v>
      </c>
      <c r="P51" s="5">
        <f t="shared" si="19"/>
        <v>-508</v>
      </c>
      <c r="Q51" s="4">
        <v>4</v>
      </c>
      <c r="R51" s="4">
        <v>4</v>
      </c>
      <c r="S51" s="4">
        <v>3</v>
      </c>
      <c r="T51" s="6">
        <f t="shared" si="7"/>
        <v>1684</v>
      </c>
      <c r="U51" s="7">
        <f t="shared" si="23"/>
        <v>729</v>
      </c>
      <c r="V51" s="7">
        <f t="shared" si="24"/>
        <v>707</v>
      </c>
      <c r="W51" s="7">
        <f t="shared" si="22"/>
        <v>682</v>
      </c>
      <c r="X51" s="6"/>
      <c r="Y51" s="5"/>
      <c r="Z51" s="5"/>
      <c r="AA51" s="5"/>
      <c r="AB51" s="16"/>
    </row>
    <row r="52" spans="1:28" ht="15" customHeight="1">
      <c r="A52" s="12">
        <v>38</v>
      </c>
      <c r="B52" s="11">
        <f t="shared" si="11"/>
        <v>45308</v>
      </c>
      <c r="C52" s="9">
        <f t="shared" si="12"/>
        <v>842</v>
      </c>
      <c r="D52" s="8">
        <f t="shared" si="25"/>
        <v>1547</v>
      </c>
      <c r="E52" s="4">
        <f t="shared" si="1"/>
        <v>545</v>
      </c>
      <c r="F52" s="4">
        <f t="shared" si="2"/>
        <v>384</v>
      </c>
      <c r="G52" s="4">
        <f t="shared" si="3"/>
        <v>899</v>
      </c>
      <c r="H52" s="5">
        <f t="shared" si="4"/>
        <v>1844</v>
      </c>
      <c r="I52" s="5">
        <f t="shared" si="5"/>
        <v>2005</v>
      </c>
      <c r="J52" s="5">
        <f t="shared" si="6"/>
        <v>1490</v>
      </c>
      <c r="K52" s="5">
        <f t="shared" si="26"/>
        <v>2000</v>
      </c>
      <c r="L52" s="5">
        <f t="shared" si="27"/>
        <v>2000</v>
      </c>
      <c r="M52" s="5">
        <f t="shared" si="28"/>
        <v>2000</v>
      </c>
      <c r="N52" s="5">
        <f t="shared" si="17"/>
        <v>-156</v>
      </c>
      <c r="O52" s="5">
        <f t="shared" si="18"/>
        <v>5</v>
      </c>
      <c r="P52" s="5">
        <f t="shared" si="19"/>
        <v>-510</v>
      </c>
      <c r="Q52" s="4">
        <v>5</v>
      </c>
      <c r="R52" s="4">
        <v>2</v>
      </c>
      <c r="S52" s="4">
        <v>2</v>
      </c>
      <c r="T52" s="6">
        <f t="shared" si="7"/>
        <v>1684</v>
      </c>
      <c r="U52" s="7">
        <f t="shared" si="23"/>
        <v>724</v>
      </c>
      <c r="V52" s="7">
        <f t="shared" si="24"/>
        <v>705</v>
      </c>
      <c r="W52" s="7">
        <f t="shared" si="22"/>
        <v>680</v>
      </c>
      <c r="X52" s="6"/>
      <c r="Y52" s="5"/>
      <c r="Z52" s="5"/>
      <c r="AA52" s="5"/>
      <c r="AB52" s="5"/>
    </row>
    <row r="53" spans="1:28" ht="15" customHeight="1">
      <c r="A53" s="12">
        <v>39</v>
      </c>
      <c r="B53" s="11">
        <f t="shared" si="11"/>
        <v>45309</v>
      </c>
      <c r="C53" s="9">
        <f t="shared" si="12"/>
        <v>842</v>
      </c>
      <c r="D53" s="8">
        <f t="shared" si="25"/>
        <v>1545</v>
      </c>
      <c r="E53" s="4">
        <f t="shared" si="1"/>
        <v>548</v>
      </c>
      <c r="F53" s="4">
        <f t="shared" si="2"/>
        <v>387</v>
      </c>
      <c r="G53" s="4">
        <f t="shared" si="3"/>
        <v>901</v>
      </c>
      <c r="H53" s="5">
        <f t="shared" si="4"/>
        <v>1839</v>
      </c>
      <c r="I53" s="5">
        <f t="shared" si="5"/>
        <v>2000</v>
      </c>
      <c r="J53" s="5">
        <f t="shared" si="6"/>
        <v>1486</v>
      </c>
      <c r="K53" s="5">
        <f t="shared" si="26"/>
        <v>2000</v>
      </c>
      <c r="L53" s="5">
        <f t="shared" si="27"/>
        <v>2000</v>
      </c>
      <c r="M53" s="5">
        <f t="shared" si="28"/>
        <v>2000</v>
      </c>
      <c r="N53" s="5">
        <f t="shared" si="17"/>
        <v>-161</v>
      </c>
      <c r="O53" s="5">
        <f t="shared" si="18"/>
        <v>0</v>
      </c>
      <c r="P53" s="5">
        <f t="shared" si="19"/>
        <v>-514</v>
      </c>
      <c r="Q53" s="4">
        <v>5</v>
      </c>
      <c r="R53" s="4">
        <v>5</v>
      </c>
      <c r="S53" s="4">
        <v>4</v>
      </c>
      <c r="T53" s="6">
        <f t="shared" si="7"/>
        <v>1687</v>
      </c>
      <c r="U53" s="7">
        <f t="shared" si="23"/>
        <v>719</v>
      </c>
      <c r="V53" s="7">
        <f t="shared" si="24"/>
        <v>700</v>
      </c>
      <c r="W53" s="7">
        <f t="shared" si="22"/>
        <v>676</v>
      </c>
      <c r="X53" s="6"/>
      <c r="Y53" s="5"/>
      <c r="Z53" s="5"/>
      <c r="AA53" s="5"/>
      <c r="AB53" s="5"/>
    </row>
    <row r="54" spans="1:28" ht="15" customHeight="1">
      <c r="A54" s="12">
        <v>40</v>
      </c>
      <c r="B54" s="11">
        <f t="shared" si="11"/>
        <v>45310</v>
      </c>
      <c r="C54" s="9">
        <f t="shared" si="12"/>
        <v>842</v>
      </c>
      <c r="D54" s="8">
        <f t="shared" si="25"/>
        <v>1543</v>
      </c>
      <c r="E54" s="4">
        <f t="shared" si="1"/>
        <v>551</v>
      </c>
      <c r="F54" s="4">
        <f t="shared" si="2"/>
        <v>390</v>
      </c>
      <c r="G54" s="4">
        <f t="shared" si="3"/>
        <v>903</v>
      </c>
      <c r="H54" s="5">
        <f t="shared" si="4"/>
        <v>1834</v>
      </c>
      <c r="I54" s="5">
        <f t="shared" si="5"/>
        <v>1995</v>
      </c>
      <c r="J54" s="5">
        <f t="shared" si="6"/>
        <v>1482</v>
      </c>
      <c r="K54" s="5">
        <f t="shared" si="26"/>
        <v>2000</v>
      </c>
      <c r="L54" s="5">
        <f t="shared" si="27"/>
        <v>2000</v>
      </c>
      <c r="M54" s="5">
        <f t="shared" si="28"/>
        <v>2000</v>
      </c>
      <c r="N54" s="5">
        <f t="shared" si="17"/>
        <v>-166</v>
      </c>
      <c r="O54" s="5">
        <f t="shared" si="18"/>
        <v>-5</v>
      </c>
      <c r="P54" s="5">
        <f t="shared" si="19"/>
        <v>-518</v>
      </c>
      <c r="Q54" s="4">
        <v>5</v>
      </c>
      <c r="R54" s="4">
        <v>5</v>
      </c>
      <c r="S54" s="4">
        <v>4</v>
      </c>
      <c r="T54" s="6">
        <f t="shared" si="7"/>
        <v>1690</v>
      </c>
      <c r="U54" s="7">
        <f t="shared" si="23"/>
        <v>714</v>
      </c>
      <c r="V54" s="7">
        <f t="shared" si="24"/>
        <v>695</v>
      </c>
      <c r="W54" s="7">
        <f t="shared" si="22"/>
        <v>672</v>
      </c>
      <c r="X54" s="6"/>
      <c r="Y54" s="5"/>
      <c r="Z54" s="5"/>
      <c r="AA54" s="5"/>
      <c r="AB54" s="5"/>
    </row>
    <row r="55" spans="1:28" ht="15" customHeight="1">
      <c r="A55" s="12">
        <v>41</v>
      </c>
      <c r="B55" s="11">
        <f t="shared" si="11"/>
        <v>45311</v>
      </c>
      <c r="C55" s="9">
        <f t="shared" si="12"/>
        <v>842</v>
      </c>
      <c r="D55" s="8">
        <f t="shared" si="25"/>
        <v>1541</v>
      </c>
      <c r="E55" s="4">
        <f t="shared" si="1"/>
        <v>557</v>
      </c>
      <c r="F55" s="4">
        <f t="shared" si="2"/>
        <v>396</v>
      </c>
      <c r="G55" s="4">
        <f t="shared" si="3"/>
        <v>909</v>
      </c>
      <c r="H55" s="5">
        <f t="shared" si="4"/>
        <v>1826</v>
      </c>
      <c r="I55" s="5">
        <f t="shared" si="5"/>
        <v>1987</v>
      </c>
      <c r="J55" s="5">
        <f t="shared" si="6"/>
        <v>1474</v>
      </c>
      <c r="K55" s="5">
        <f t="shared" si="26"/>
        <v>2000</v>
      </c>
      <c r="L55" s="5">
        <f t="shared" si="27"/>
        <v>2000</v>
      </c>
      <c r="M55" s="5">
        <f t="shared" si="28"/>
        <v>2000</v>
      </c>
      <c r="N55" s="5">
        <f t="shared" si="17"/>
        <v>-174</v>
      </c>
      <c r="O55" s="5">
        <f t="shared" si="18"/>
        <v>-13</v>
      </c>
      <c r="P55" s="5">
        <f t="shared" si="19"/>
        <v>-526</v>
      </c>
      <c r="Q55" s="4">
        <v>8</v>
      </c>
      <c r="R55" s="4">
        <v>8</v>
      </c>
      <c r="S55" s="4">
        <v>8</v>
      </c>
      <c r="T55" s="6">
        <f t="shared" si="7"/>
        <v>1396</v>
      </c>
      <c r="U55" s="7">
        <f t="shared" si="23"/>
        <v>1006</v>
      </c>
      <c r="V55" s="7">
        <f t="shared" si="24"/>
        <v>987</v>
      </c>
      <c r="W55" s="7">
        <f t="shared" si="22"/>
        <v>964</v>
      </c>
      <c r="X55" s="13">
        <v>0.3</v>
      </c>
      <c r="Y55" s="5"/>
      <c r="Z55" s="5"/>
      <c r="AA55" s="5"/>
      <c r="AB55" s="16">
        <v>4</v>
      </c>
    </row>
    <row r="56" spans="1:28" ht="15" customHeight="1">
      <c r="A56" s="12">
        <v>42</v>
      </c>
      <c r="B56" s="11">
        <f t="shared" si="11"/>
        <v>45312</v>
      </c>
      <c r="C56" s="9">
        <f t="shared" si="12"/>
        <v>842</v>
      </c>
      <c r="D56" s="8">
        <f t="shared" si="25"/>
        <v>1539</v>
      </c>
      <c r="E56" s="4">
        <f t="shared" si="1"/>
        <v>557</v>
      </c>
      <c r="F56" s="4">
        <f t="shared" si="2"/>
        <v>398</v>
      </c>
      <c r="G56" s="4">
        <f t="shared" si="3"/>
        <v>912</v>
      </c>
      <c r="H56" s="5">
        <f t="shared" si="4"/>
        <v>1824</v>
      </c>
      <c r="I56" s="5">
        <f t="shared" si="5"/>
        <v>1983</v>
      </c>
      <c r="J56" s="5">
        <f t="shared" si="6"/>
        <v>1469</v>
      </c>
      <c r="K56" s="5">
        <f t="shared" si="26"/>
        <v>2000</v>
      </c>
      <c r="L56" s="5">
        <f t="shared" si="27"/>
        <v>2000</v>
      </c>
      <c r="M56" s="5">
        <f t="shared" si="28"/>
        <v>2000</v>
      </c>
      <c r="N56" s="5">
        <f t="shared" si="17"/>
        <v>-176</v>
      </c>
      <c r="O56" s="5">
        <f t="shared" si="18"/>
        <v>-17</v>
      </c>
      <c r="P56" s="5">
        <f t="shared" si="19"/>
        <v>-531</v>
      </c>
      <c r="Q56" s="4">
        <v>2</v>
      </c>
      <c r="R56" s="4">
        <v>4</v>
      </c>
      <c r="S56" s="4">
        <v>5</v>
      </c>
      <c r="T56" s="6">
        <f t="shared" si="7"/>
        <v>1398</v>
      </c>
      <c r="U56" s="7">
        <f t="shared" si="23"/>
        <v>1004</v>
      </c>
      <c r="V56" s="7">
        <f t="shared" si="24"/>
        <v>983</v>
      </c>
      <c r="W56" s="7">
        <f t="shared" si="22"/>
        <v>959</v>
      </c>
      <c r="X56" s="6"/>
      <c r="Y56" s="5"/>
      <c r="Z56" s="5"/>
      <c r="AA56" s="5"/>
      <c r="AB56" s="5"/>
    </row>
    <row r="57" spans="1:28" ht="15" customHeight="1">
      <c r="A57" s="12">
        <v>43</v>
      </c>
      <c r="B57" s="11">
        <f t="shared" si="11"/>
        <v>45313</v>
      </c>
      <c r="C57" s="9">
        <f t="shared" si="12"/>
        <v>842</v>
      </c>
      <c r="D57" s="8">
        <f t="shared" si="25"/>
        <v>1537</v>
      </c>
      <c r="E57" s="4">
        <f t="shared" si="1"/>
        <v>559</v>
      </c>
      <c r="F57" s="4">
        <f t="shared" si="2"/>
        <v>403</v>
      </c>
      <c r="G57" s="4">
        <f t="shared" si="3"/>
        <v>914</v>
      </c>
      <c r="H57" s="5">
        <f t="shared" si="4"/>
        <v>1820</v>
      </c>
      <c r="I57" s="5">
        <f t="shared" si="5"/>
        <v>1976</v>
      </c>
      <c r="J57" s="5">
        <f t="shared" si="6"/>
        <v>1465</v>
      </c>
      <c r="K57" s="5">
        <f t="shared" si="26"/>
        <v>2000</v>
      </c>
      <c r="L57" s="5">
        <f t="shared" si="27"/>
        <v>2000</v>
      </c>
      <c r="M57" s="5">
        <f t="shared" si="28"/>
        <v>2000</v>
      </c>
      <c r="N57" s="5">
        <f t="shared" si="17"/>
        <v>-180</v>
      </c>
      <c r="O57" s="5">
        <f t="shared" si="18"/>
        <v>-24</v>
      </c>
      <c r="P57" s="5">
        <f t="shared" si="19"/>
        <v>-535</v>
      </c>
      <c r="Q57" s="4">
        <v>4</v>
      </c>
      <c r="R57" s="4">
        <v>7</v>
      </c>
      <c r="S57" s="4">
        <v>4</v>
      </c>
      <c r="T57" s="6">
        <f t="shared" si="7"/>
        <v>1403</v>
      </c>
      <c r="U57" s="7">
        <f t="shared" si="23"/>
        <v>1000</v>
      </c>
      <c r="V57" s="7">
        <f t="shared" si="24"/>
        <v>976</v>
      </c>
      <c r="W57" s="7">
        <f t="shared" si="22"/>
        <v>955</v>
      </c>
      <c r="X57" s="6"/>
      <c r="Y57" s="5"/>
      <c r="Z57" s="5"/>
      <c r="AA57" s="5"/>
      <c r="AB57" s="5"/>
    </row>
    <row r="58" spans="1:28" ht="15" customHeight="1">
      <c r="A58" s="12">
        <v>44</v>
      </c>
      <c r="B58" s="11">
        <f t="shared" si="11"/>
        <v>45314</v>
      </c>
      <c r="C58" s="9">
        <f t="shared" si="12"/>
        <v>842</v>
      </c>
      <c r="D58" s="8">
        <f t="shared" si="25"/>
        <v>1535</v>
      </c>
      <c r="E58" s="4">
        <f t="shared" si="1"/>
        <v>564</v>
      </c>
      <c r="F58" s="4">
        <f t="shared" si="2"/>
        <v>406</v>
      </c>
      <c r="G58" s="4">
        <f t="shared" si="3"/>
        <v>915</v>
      </c>
      <c r="H58" s="5">
        <f t="shared" si="4"/>
        <v>1813</v>
      </c>
      <c r="I58" s="5">
        <f t="shared" si="5"/>
        <v>1971</v>
      </c>
      <c r="J58" s="5">
        <f t="shared" si="6"/>
        <v>1462</v>
      </c>
      <c r="K58" s="5">
        <f t="shared" si="26"/>
        <v>2000</v>
      </c>
      <c r="L58" s="5">
        <f t="shared" si="27"/>
        <v>2000</v>
      </c>
      <c r="M58" s="5">
        <f t="shared" si="28"/>
        <v>2000</v>
      </c>
      <c r="N58" s="5">
        <f t="shared" si="17"/>
        <v>-187</v>
      </c>
      <c r="O58" s="5">
        <f t="shared" si="18"/>
        <v>-29</v>
      </c>
      <c r="P58" s="5">
        <f t="shared" si="19"/>
        <v>-538</v>
      </c>
      <c r="Q58" s="4">
        <v>7</v>
      </c>
      <c r="R58" s="4">
        <v>5</v>
      </c>
      <c r="S58" s="4">
        <v>3</v>
      </c>
      <c r="T58" s="6">
        <f t="shared" si="7"/>
        <v>1406</v>
      </c>
      <c r="U58" s="7">
        <f t="shared" si="23"/>
        <v>993</v>
      </c>
      <c r="V58" s="7">
        <f t="shared" si="24"/>
        <v>971</v>
      </c>
      <c r="W58" s="7">
        <f t="shared" si="22"/>
        <v>952</v>
      </c>
      <c r="X58" s="6"/>
      <c r="Y58" s="5"/>
      <c r="Z58" s="5"/>
      <c r="AA58" s="5"/>
      <c r="AB58" s="5"/>
    </row>
    <row r="59" spans="1:28" ht="15" customHeight="1">
      <c r="A59" s="12">
        <v>45</v>
      </c>
      <c r="B59" s="11">
        <f t="shared" si="11"/>
        <v>45315</v>
      </c>
      <c r="C59" s="9">
        <f t="shared" si="12"/>
        <v>842</v>
      </c>
      <c r="D59" s="8">
        <f t="shared" si="25"/>
        <v>1533</v>
      </c>
      <c r="E59" s="4">
        <f t="shared" si="1"/>
        <v>567</v>
      </c>
      <c r="F59" s="4">
        <f t="shared" si="2"/>
        <v>408</v>
      </c>
      <c r="G59" s="4">
        <f t="shared" si="3"/>
        <v>915</v>
      </c>
      <c r="H59" s="5">
        <f t="shared" si="4"/>
        <v>1808</v>
      </c>
      <c r="I59" s="5">
        <f t="shared" si="5"/>
        <v>1967</v>
      </c>
      <c r="J59" s="5">
        <f t="shared" si="6"/>
        <v>1460</v>
      </c>
      <c r="K59" s="5">
        <f t="shared" si="26"/>
        <v>2000</v>
      </c>
      <c r="L59" s="5">
        <f t="shared" si="27"/>
        <v>2000</v>
      </c>
      <c r="M59" s="5">
        <f t="shared" si="28"/>
        <v>2000</v>
      </c>
      <c r="N59" s="5">
        <f t="shared" si="17"/>
        <v>-192</v>
      </c>
      <c r="O59" s="5">
        <f t="shared" si="18"/>
        <v>-33</v>
      </c>
      <c r="P59" s="5">
        <f t="shared" si="19"/>
        <v>-540</v>
      </c>
      <c r="Q59" s="4">
        <v>5</v>
      </c>
      <c r="R59" s="4">
        <v>4</v>
      </c>
      <c r="S59" s="4">
        <v>2</v>
      </c>
      <c r="T59" s="6">
        <f t="shared" si="7"/>
        <v>1408</v>
      </c>
      <c r="U59" s="7">
        <f t="shared" si="23"/>
        <v>988</v>
      </c>
      <c r="V59" s="7">
        <f t="shared" si="24"/>
        <v>967</v>
      </c>
      <c r="W59" s="7">
        <f t="shared" si="22"/>
        <v>950</v>
      </c>
      <c r="X59" s="6"/>
      <c r="Y59" s="5"/>
      <c r="Z59" s="5"/>
      <c r="AA59" s="5"/>
      <c r="AB59" s="5"/>
    </row>
    <row r="60" spans="1:28" ht="15" customHeight="1">
      <c r="A60" s="12">
        <v>46</v>
      </c>
      <c r="B60" s="11">
        <f t="shared" si="11"/>
        <v>45316</v>
      </c>
      <c r="C60" s="9">
        <f t="shared" si="12"/>
        <v>842</v>
      </c>
      <c r="D60" s="8">
        <f t="shared" si="25"/>
        <v>1531</v>
      </c>
      <c r="E60" s="4">
        <f t="shared" si="1"/>
        <v>569</v>
      </c>
      <c r="F60" s="4">
        <f t="shared" si="2"/>
        <v>410</v>
      </c>
      <c r="G60" s="4">
        <f t="shared" si="3"/>
        <v>916</v>
      </c>
      <c r="H60" s="5">
        <f t="shared" si="4"/>
        <v>1804</v>
      </c>
      <c r="I60" s="5">
        <f t="shared" si="5"/>
        <v>1963</v>
      </c>
      <c r="J60" s="5">
        <f t="shared" si="6"/>
        <v>1457</v>
      </c>
      <c r="K60" s="5">
        <f t="shared" si="26"/>
        <v>2000</v>
      </c>
      <c r="L60" s="5">
        <f t="shared" si="27"/>
        <v>2000</v>
      </c>
      <c r="M60" s="5">
        <f t="shared" si="28"/>
        <v>2000</v>
      </c>
      <c r="N60" s="5">
        <f t="shared" si="17"/>
        <v>-196</v>
      </c>
      <c r="O60" s="5">
        <f t="shared" si="18"/>
        <v>-37</v>
      </c>
      <c r="P60" s="5">
        <f t="shared" si="19"/>
        <v>-543</v>
      </c>
      <c r="Q60" s="4">
        <v>4</v>
      </c>
      <c r="R60" s="4">
        <v>4</v>
      </c>
      <c r="S60" s="4">
        <v>3</v>
      </c>
      <c r="T60" s="6">
        <f t="shared" si="7"/>
        <v>1410</v>
      </c>
      <c r="U60" s="7">
        <f t="shared" si="23"/>
        <v>984</v>
      </c>
      <c r="V60" s="7">
        <f t="shared" si="24"/>
        <v>963</v>
      </c>
      <c r="W60" s="7">
        <f t="shared" si="22"/>
        <v>947</v>
      </c>
      <c r="X60" s="6"/>
      <c r="Y60" s="5"/>
      <c r="Z60" s="5"/>
      <c r="AA60" s="5"/>
      <c r="AB60" s="5"/>
    </row>
    <row r="61" spans="1:28" ht="15" customHeight="1">
      <c r="A61" s="12">
        <v>47</v>
      </c>
      <c r="B61" s="11">
        <f t="shared" si="11"/>
        <v>45317</v>
      </c>
      <c r="C61" s="9">
        <f t="shared" si="12"/>
        <v>842</v>
      </c>
      <c r="D61" s="8">
        <f t="shared" si="25"/>
        <v>1529</v>
      </c>
      <c r="E61" s="4">
        <f t="shared" si="1"/>
        <v>575</v>
      </c>
      <c r="F61" s="4">
        <f t="shared" si="2"/>
        <v>416</v>
      </c>
      <c r="G61" s="4">
        <f t="shared" si="3"/>
        <v>922</v>
      </c>
      <c r="H61" s="5">
        <f t="shared" si="4"/>
        <v>1796</v>
      </c>
      <c r="I61" s="5">
        <f t="shared" si="5"/>
        <v>1955</v>
      </c>
      <c r="J61" s="5">
        <f t="shared" si="6"/>
        <v>1449</v>
      </c>
      <c r="K61" s="5">
        <f t="shared" si="26"/>
        <v>2000</v>
      </c>
      <c r="L61" s="5">
        <f t="shared" si="27"/>
        <v>2000</v>
      </c>
      <c r="M61" s="5">
        <f t="shared" si="28"/>
        <v>2000</v>
      </c>
      <c r="N61" s="5">
        <f t="shared" si="17"/>
        <v>-204</v>
      </c>
      <c r="O61" s="5">
        <f t="shared" si="18"/>
        <v>-45</v>
      </c>
      <c r="P61" s="5">
        <f t="shared" si="19"/>
        <v>-551</v>
      </c>
      <c r="Q61" s="4">
        <v>8</v>
      </c>
      <c r="R61" s="4">
        <v>8</v>
      </c>
      <c r="S61" s="4">
        <v>8</v>
      </c>
      <c r="T61" s="6">
        <f t="shared" si="7"/>
        <v>1416</v>
      </c>
      <c r="U61" s="7">
        <f t="shared" si="23"/>
        <v>976</v>
      </c>
      <c r="V61" s="7">
        <f t="shared" si="24"/>
        <v>955</v>
      </c>
      <c r="W61" s="7">
        <f t="shared" si="22"/>
        <v>939</v>
      </c>
      <c r="X61" s="6"/>
      <c r="Y61" s="5"/>
      <c r="Z61" s="5"/>
      <c r="AA61" s="5"/>
      <c r="AB61" s="5"/>
    </row>
    <row r="62" spans="1:28" ht="15" customHeight="1">
      <c r="A62" s="12">
        <v>48</v>
      </c>
      <c r="B62" s="11">
        <f t="shared" si="11"/>
        <v>45318</v>
      </c>
      <c r="C62" s="9">
        <f t="shared" si="12"/>
        <v>842</v>
      </c>
      <c r="D62" s="8">
        <f t="shared" si="25"/>
        <v>1527</v>
      </c>
      <c r="E62" s="4">
        <f t="shared" si="1"/>
        <v>575</v>
      </c>
      <c r="F62" s="4">
        <f t="shared" si="2"/>
        <v>418</v>
      </c>
      <c r="G62" s="4">
        <f t="shared" si="3"/>
        <v>925</v>
      </c>
      <c r="H62" s="5">
        <f t="shared" si="4"/>
        <v>1794</v>
      </c>
      <c r="I62" s="5">
        <f t="shared" si="5"/>
        <v>1951</v>
      </c>
      <c r="J62" s="5">
        <f t="shared" si="6"/>
        <v>1444</v>
      </c>
      <c r="K62" s="5">
        <f t="shared" si="26"/>
        <v>2000</v>
      </c>
      <c r="L62" s="5">
        <f t="shared" si="27"/>
        <v>2000</v>
      </c>
      <c r="M62" s="5">
        <f t="shared" si="28"/>
        <v>2000</v>
      </c>
      <c r="N62" s="5">
        <f t="shared" si="17"/>
        <v>-206</v>
      </c>
      <c r="O62" s="5">
        <f t="shared" si="18"/>
        <v>-49</v>
      </c>
      <c r="P62" s="5">
        <f t="shared" si="19"/>
        <v>-556</v>
      </c>
      <c r="Q62" s="4">
        <v>2</v>
      </c>
      <c r="R62" s="4">
        <v>4</v>
      </c>
      <c r="S62" s="4">
        <v>5</v>
      </c>
      <c r="T62" s="6">
        <f t="shared" si="7"/>
        <v>1418</v>
      </c>
      <c r="U62" s="7">
        <f t="shared" si="23"/>
        <v>974</v>
      </c>
      <c r="V62" s="7">
        <f t="shared" si="24"/>
        <v>951</v>
      </c>
      <c r="W62" s="7">
        <f t="shared" si="22"/>
        <v>934</v>
      </c>
      <c r="X62" s="6"/>
      <c r="Y62" s="5"/>
      <c r="Z62" s="5"/>
      <c r="AA62" s="5"/>
      <c r="AB62" s="5"/>
    </row>
    <row r="63" spans="1:28" ht="15" customHeight="1">
      <c r="A63" s="12">
        <v>49</v>
      </c>
      <c r="B63" s="11">
        <f t="shared" si="11"/>
        <v>45319</v>
      </c>
      <c r="C63" s="9">
        <f t="shared" si="12"/>
        <v>842</v>
      </c>
      <c r="D63" s="8">
        <f t="shared" si="25"/>
        <v>1525</v>
      </c>
      <c r="E63" s="4">
        <f t="shared" si="1"/>
        <v>577</v>
      </c>
      <c r="F63" s="4">
        <f t="shared" si="2"/>
        <v>423</v>
      </c>
      <c r="G63" s="4">
        <f t="shared" si="3"/>
        <v>927</v>
      </c>
      <c r="H63" s="5">
        <f t="shared" si="4"/>
        <v>1790</v>
      </c>
      <c r="I63" s="5">
        <f t="shared" si="5"/>
        <v>1944</v>
      </c>
      <c r="J63" s="5">
        <f t="shared" si="6"/>
        <v>1440</v>
      </c>
      <c r="K63" s="5">
        <f t="shared" si="26"/>
        <v>2000</v>
      </c>
      <c r="L63" s="5">
        <f t="shared" si="27"/>
        <v>2000</v>
      </c>
      <c r="M63" s="5">
        <f t="shared" si="28"/>
        <v>2000</v>
      </c>
      <c r="N63" s="5">
        <f t="shared" si="17"/>
        <v>-210</v>
      </c>
      <c r="O63" s="5">
        <f t="shared" si="18"/>
        <v>-56</v>
      </c>
      <c r="P63" s="5">
        <f t="shared" si="19"/>
        <v>-560</v>
      </c>
      <c r="Q63" s="4">
        <v>4</v>
      </c>
      <c r="R63" s="4">
        <v>7</v>
      </c>
      <c r="S63" s="4">
        <v>4</v>
      </c>
      <c r="T63" s="6">
        <f t="shared" si="7"/>
        <v>1423</v>
      </c>
      <c r="U63" s="7">
        <f t="shared" si="23"/>
        <v>970</v>
      </c>
      <c r="V63" s="7">
        <f t="shared" si="24"/>
        <v>944</v>
      </c>
      <c r="W63" s="7">
        <f t="shared" si="22"/>
        <v>930</v>
      </c>
      <c r="X63" s="6"/>
      <c r="Y63" s="5"/>
      <c r="Z63" s="5"/>
      <c r="AA63" s="5"/>
      <c r="AB63" s="5"/>
    </row>
    <row r="64" spans="1:28" ht="15" customHeight="1">
      <c r="A64" s="12">
        <v>50</v>
      </c>
      <c r="B64" s="11">
        <f t="shared" si="11"/>
        <v>45320</v>
      </c>
      <c r="C64" s="9">
        <f t="shared" si="12"/>
        <v>842</v>
      </c>
      <c r="D64" s="8">
        <f t="shared" si="25"/>
        <v>1523</v>
      </c>
      <c r="E64" s="4">
        <f t="shared" si="1"/>
        <v>582</v>
      </c>
      <c r="F64" s="4">
        <f t="shared" si="2"/>
        <v>426</v>
      </c>
      <c r="G64" s="4">
        <f t="shared" si="3"/>
        <v>928</v>
      </c>
      <c r="H64" s="5">
        <f t="shared" si="4"/>
        <v>1783</v>
      </c>
      <c r="I64" s="5">
        <f t="shared" si="5"/>
        <v>1939</v>
      </c>
      <c r="J64" s="5">
        <f t="shared" si="6"/>
        <v>1437</v>
      </c>
      <c r="K64" s="5">
        <f t="shared" si="26"/>
        <v>2000</v>
      </c>
      <c r="L64" s="5">
        <f t="shared" si="27"/>
        <v>2000</v>
      </c>
      <c r="M64" s="5">
        <f t="shared" si="28"/>
        <v>2000</v>
      </c>
      <c r="N64" s="5">
        <f t="shared" si="17"/>
        <v>-217</v>
      </c>
      <c r="O64" s="5">
        <f t="shared" si="18"/>
        <v>-61</v>
      </c>
      <c r="P64" s="5">
        <f t="shared" si="19"/>
        <v>-563</v>
      </c>
      <c r="Q64" s="4">
        <v>7</v>
      </c>
      <c r="R64" s="4">
        <v>5</v>
      </c>
      <c r="S64" s="4">
        <v>3</v>
      </c>
      <c r="T64" s="6">
        <f t="shared" si="7"/>
        <v>1426</v>
      </c>
      <c r="U64" s="7">
        <f t="shared" si="23"/>
        <v>963</v>
      </c>
      <c r="V64" s="7">
        <f t="shared" si="24"/>
        <v>939</v>
      </c>
      <c r="W64" s="7">
        <f t="shared" si="22"/>
        <v>927</v>
      </c>
      <c r="X64" s="6"/>
      <c r="Y64" s="5"/>
      <c r="Z64" s="5"/>
      <c r="AA64" s="5"/>
      <c r="AB64" s="5"/>
    </row>
    <row r="65" spans="1:28" ht="15" customHeight="1">
      <c r="A65" s="12">
        <v>51</v>
      </c>
      <c r="B65" s="11">
        <f t="shared" si="11"/>
        <v>45321</v>
      </c>
      <c r="C65" s="9">
        <f t="shared" si="12"/>
        <v>842</v>
      </c>
      <c r="D65" s="8">
        <f t="shared" si="25"/>
        <v>1521</v>
      </c>
      <c r="E65" s="4">
        <f t="shared" si="1"/>
        <v>585</v>
      </c>
      <c r="F65" s="4">
        <f t="shared" si="2"/>
        <v>426</v>
      </c>
      <c r="G65" s="4">
        <f t="shared" si="3"/>
        <v>928</v>
      </c>
      <c r="H65" s="5">
        <f t="shared" si="4"/>
        <v>1778</v>
      </c>
      <c r="I65" s="5">
        <f t="shared" si="5"/>
        <v>1937</v>
      </c>
      <c r="J65" s="5">
        <f t="shared" si="6"/>
        <v>1435</v>
      </c>
      <c r="K65" s="5">
        <f t="shared" si="26"/>
        <v>2000</v>
      </c>
      <c r="L65" s="5">
        <f t="shared" si="27"/>
        <v>2000</v>
      </c>
      <c r="M65" s="5">
        <f t="shared" si="28"/>
        <v>2000</v>
      </c>
      <c r="N65" s="5">
        <f t="shared" si="17"/>
        <v>-222</v>
      </c>
      <c r="O65" s="5">
        <f t="shared" si="18"/>
        <v>-63</v>
      </c>
      <c r="P65" s="5">
        <f t="shared" si="19"/>
        <v>-565</v>
      </c>
      <c r="Q65" s="4">
        <v>5</v>
      </c>
      <c r="R65" s="4">
        <v>2</v>
      </c>
      <c r="S65" s="4">
        <v>2</v>
      </c>
      <c r="T65" s="6">
        <f t="shared" si="7"/>
        <v>1426</v>
      </c>
      <c r="U65" s="7">
        <f t="shared" si="23"/>
        <v>958</v>
      </c>
      <c r="V65" s="7">
        <f t="shared" si="24"/>
        <v>937</v>
      </c>
      <c r="W65" s="7">
        <f t="shared" si="22"/>
        <v>925</v>
      </c>
      <c r="X65" s="6"/>
      <c r="Y65" s="5"/>
      <c r="Z65" s="5"/>
      <c r="AA65" s="5"/>
      <c r="AB65" s="5"/>
    </row>
    <row r="66" spans="1:28" ht="15" customHeight="1">
      <c r="A66" s="12">
        <v>52</v>
      </c>
      <c r="B66" s="11">
        <f t="shared" si="11"/>
        <v>45322</v>
      </c>
      <c r="C66" s="9">
        <f t="shared" si="12"/>
        <v>842</v>
      </c>
      <c r="D66" s="8">
        <f t="shared" si="25"/>
        <v>1519</v>
      </c>
      <c r="E66" s="4">
        <f t="shared" si="1"/>
        <v>585</v>
      </c>
      <c r="F66" s="4">
        <f t="shared" si="2"/>
        <v>428</v>
      </c>
      <c r="G66" s="4">
        <f t="shared" si="3"/>
        <v>927</v>
      </c>
      <c r="H66" s="5">
        <f t="shared" si="4"/>
        <v>1776</v>
      </c>
      <c r="I66" s="5">
        <f t="shared" si="5"/>
        <v>1933</v>
      </c>
      <c r="J66" s="5">
        <f t="shared" si="6"/>
        <v>1434</v>
      </c>
      <c r="K66" s="5">
        <f t="shared" si="26"/>
        <v>2000</v>
      </c>
      <c r="L66" s="5">
        <f t="shared" si="27"/>
        <v>2000</v>
      </c>
      <c r="M66" s="5">
        <f t="shared" si="28"/>
        <v>2000</v>
      </c>
      <c r="N66" s="5">
        <f t="shared" si="17"/>
        <v>-224</v>
      </c>
      <c r="O66" s="5">
        <f t="shared" si="18"/>
        <v>-67</v>
      </c>
      <c r="P66" s="5">
        <f t="shared" si="19"/>
        <v>-566</v>
      </c>
      <c r="Q66" s="4">
        <v>2</v>
      </c>
      <c r="R66" s="4">
        <v>4</v>
      </c>
      <c r="S66" s="4">
        <v>1</v>
      </c>
      <c r="T66" s="6">
        <f t="shared" si="7"/>
        <v>1428</v>
      </c>
      <c r="U66" s="7">
        <f t="shared" si="23"/>
        <v>956</v>
      </c>
      <c r="V66" s="7">
        <f t="shared" si="24"/>
        <v>933</v>
      </c>
      <c r="W66" s="7">
        <f t="shared" si="22"/>
        <v>924</v>
      </c>
      <c r="X66" s="6"/>
      <c r="Y66" s="5"/>
      <c r="Z66" s="5"/>
      <c r="AA66" s="5"/>
      <c r="AB66" s="5"/>
    </row>
    <row r="67" spans="1:28" ht="15" customHeight="1">
      <c r="A67" s="12">
        <v>53</v>
      </c>
      <c r="B67" s="11">
        <f t="shared" si="11"/>
        <v>45323</v>
      </c>
      <c r="C67" s="9">
        <f t="shared" si="12"/>
        <v>842</v>
      </c>
      <c r="D67" s="8">
        <f t="shared" si="25"/>
        <v>1517</v>
      </c>
      <c r="E67" s="4">
        <f t="shared" si="1"/>
        <v>587</v>
      </c>
      <c r="F67" s="4">
        <f t="shared" si="2"/>
        <v>433</v>
      </c>
      <c r="G67" s="4">
        <f t="shared" si="3"/>
        <v>925</v>
      </c>
      <c r="H67" s="5">
        <f t="shared" si="4"/>
        <v>1772</v>
      </c>
      <c r="I67" s="5">
        <f t="shared" si="5"/>
        <v>1926</v>
      </c>
      <c r="J67" s="5">
        <f t="shared" si="6"/>
        <v>1434</v>
      </c>
      <c r="K67" s="5">
        <f t="shared" si="26"/>
        <v>2000</v>
      </c>
      <c r="L67" s="5">
        <f t="shared" si="27"/>
        <v>2000</v>
      </c>
      <c r="M67" s="5">
        <f t="shared" si="28"/>
        <v>2000</v>
      </c>
      <c r="N67" s="5">
        <f t="shared" si="17"/>
        <v>-228</v>
      </c>
      <c r="O67" s="5">
        <f t="shared" si="18"/>
        <v>-74</v>
      </c>
      <c r="P67" s="5">
        <f t="shared" si="19"/>
        <v>-566</v>
      </c>
      <c r="Q67" s="4">
        <v>4</v>
      </c>
      <c r="R67" s="4">
        <v>7</v>
      </c>
      <c r="S67" s="4">
        <v>0</v>
      </c>
      <c r="T67" s="6">
        <f t="shared" si="7"/>
        <v>1433</v>
      </c>
      <c r="U67" s="7">
        <f t="shared" si="23"/>
        <v>952</v>
      </c>
      <c r="V67" s="7">
        <f t="shared" si="24"/>
        <v>926</v>
      </c>
      <c r="W67" s="7">
        <f t="shared" si="22"/>
        <v>924</v>
      </c>
      <c r="X67" s="6"/>
      <c r="Y67" s="5"/>
      <c r="Z67" s="5"/>
      <c r="AA67" s="5"/>
      <c r="AB67" s="5"/>
    </row>
    <row r="68" spans="1:28" ht="15" customHeight="1">
      <c r="A68" s="12">
        <v>54</v>
      </c>
      <c r="B68" s="11">
        <f t="shared" si="11"/>
        <v>45324</v>
      </c>
      <c r="C68" s="9">
        <f t="shared" si="12"/>
        <v>842</v>
      </c>
      <c r="D68" s="8">
        <f t="shared" si="25"/>
        <v>1515</v>
      </c>
      <c r="E68" s="4">
        <f t="shared" si="1"/>
        <v>587</v>
      </c>
      <c r="F68" s="4">
        <f t="shared" si="2"/>
        <v>436</v>
      </c>
      <c r="G68" s="4">
        <f t="shared" si="3"/>
        <v>924</v>
      </c>
      <c r="H68" s="5">
        <f t="shared" si="4"/>
        <v>1770</v>
      </c>
      <c r="I68" s="5">
        <f t="shared" si="5"/>
        <v>1921</v>
      </c>
      <c r="J68" s="5">
        <f t="shared" si="6"/>
        <v>1433</v>
      </c>
      <c r="K68" s="5">
        <f t="shared" si="26"/>
        <v>2000</v>
      </c>
      <c r="L68" s="5">
        <f t="shared" si="27"/>
        <v>2000</v>
      </c>
      <c r="M68" s="5">
        <f t="shared" si="28"/>
        <v>2000</v>
      </c>
      <c r="N68" s="5">
        <f t="shared" si="17"/>
        <v>-230</v>
      </c>
      <c r="O68" s="5">
        <f t="shared" si="18"/>
        <v>-79</v>
      </c>
      <c r="P68" s="5">
        <f t="shared" si="19"/>
        <v>-567</v>
      </c>
      <c r="Q68" s="4">
        <v>2</v>
      </c>
      <c r="R68" s="4">
        <v>5</v>
      </c>
      <c r="S68" s="4">
        <v>1</v>
      </c>
      <c r="T68" s="6">
        <f t="shared" si="7"/>
        <v>1436</v>
      </c>
      <c r="U68" s="7">
        <f t="shared" si="23"/>
        <v>950</v>
      </c>
      <c r="V68" s="7">
        <f t="shared" si="24"/>
        <v>921</v>
      </c>
      <c r="W68" s="7">
        <f t="shared" si="22"/>
        <v>923</v>
      </c>
      <c r="X68" s="6"/>
      <c r="Y68" s="5"/>
      <c r="Z68" s="5"/>
      <c r="AA68" s="5"/>
      <c r="AB68" s="5"/>
    </row>
    <row r="69" spans="1:28" ht="15" customHeight="1">
      <c r="A69" s="12">
        <v>55</v>
      </c>
      <c r="B69" s="11">
        <f t="shared" si="11"/>
        <v>45325</v>
      </c>
      <c r="C69" s="9">
        <f t="shared" si="12"/>
        <v>842</v>
      </c>
      <c r="D69" s="8">
        <f t="shared" si="25"/>
        <v>1513</v>
      </c>
      <c r="E69" s="4">
        <f t="shared" si="1"/>
        <v>589</v>
      </c>
      <c r="F69" s="4">
        <f t="shared" si="2"/>
        <v>438</v>
      </c>
      <c r="G69" s="4">
        <f t="shared" si="3"/>
        <v>922</v>
      </c>
      <c r="H69" s="5">
        <f t="shared" si="4"/>
        <v>1766</v>
      </c>
      <c r="I69" s="5">
        <f t="shared" si="5"/>
        <v>1917</v>
      </c>
      <c r="J69" s="5">
        <f t="shared" si="6"/>
        <v>1433</v>
      </c>
      <c r="K69" s="5">
        <f t="shared" si="26"/>
        <v>2000</v>
      </c>
      <c r="L69" s="5">
        <f t="shared" si="27"/>
        <v>2000</v>
      </c>
      <c r="M69" s="5">
        <f t="shared" si="28"/>
        <v>2000</v>
      </c>
      <c r="N69" s="5">
        <f t="shared" si="17"/>
        <v>-234</v>
      </c>
      <c r="O69" s="5">
        <f t="shared" si="18"/>
        <v>-83</v>
      </c>
      <c r="P69" s="5">
        <f t="shared" si="19"/>
        <v>-567</v>
      </c>
      <c r="Q69" s="4">
        <v>4</v>
      </c>
      <c r="R69" s="4">
        <v>4</v>
      </c>
      <c r="S69" s="4">
        <v>0</v>
      </c>
      <c r="T69" s="6">
        <f t="shared" si="7"/>
        <v>1438</v>
      </c>
      <c r="U69" s="7">
        <f t="shared" si="23"/>
        <v>946</v>
      </c>
      <c r="V69" s="7">
        <f t="shared" si="24"/>
        <v>917</v>
      </c>
      <c r="W69" s="7">
        <f t="shared" si="22"/>
        <v>923</v>
      </c>
      <c r="X69" s="6"/>
      <c r="Y69" s="5"/>
      <c r="Z69" s="5"/>
      <c r="AA69" s="5"/>
      <c r="AB69" s="5"/>
    </row>
    <row r="70" spans="1:28" ht="15" customHeight="1">
      <c r="A70" s="12">
        <v>56</v>
      </c>
      <c r="B70" s="11">
        <f t="shared" si="11"/>
        <v>45326</v>
      </c>
      <c r="C70" s="9">
        <f t="shared" si="12"/>
        <v>842</v>
      </c>
      <c r="D70" s="8">
        <f t="shared" si="25"/>
        <v>1511</v>
      </c>
      <c r="E70" s="4">
        <f t="shared" si="1"/>
        <v>589</v>
      </c>
      <c r="F70" s="4">
        <f t="shared" si="2"/>
        <v>444</v>
      </c>
      <c r="G70" s="4">
        <f t="shared" si="3"/>
        <v>921</v>
      </c>
      <c r="H70" s="5">
        <f t="shared" si="4"/>
        <v>1764</v>
      </c>
      <c r="I70" s="5">
        <f t="shared" si="5"/>
        <v>1909</v>
      </c>
      <c r="J70" s="5">
        <f t="shared" si="6"/>
        <v>1432</v>
      </c>
      <c r="K70" s="5">
        <f t="shared" si="26"/>
        <v>2000</v>
      </c>
      <c r="L70" s="5">
        <f t="shared" si="27"/>
        <v>2000</v>
      </c>
      <c r="M70" s="5">
        <f t="shared" si="28"/>
        <v>2000</v>
      </c>
      <c r="N70" s="5">
        <f t="shared" si="17"/>
        <v>-236</v>
      </c>
      <c r="O70" s="5">
        <f t="shared" si="18"/>
        <v>-91</v>
      </c>
      <c r="P70" s="5">
        <f t="shared" si="19"/>
        <v>-568</v>
      </c>
      <c r="Q70" s="4">
        <v>2</v>
      </c>
      <c r="R70" s="4">
        <v>8</v>
      </c>
      <c r="S70" s="4">
        <v>1</v>
      </c>
      <c r="T70" s="6">
        <f t="shared" si="7"/>
        <v>1444</v>
      </c>
      <c r="U70" s="7">
        <f t="shared" si="23"/>
        <v>944</v>
      </c>
      <c r="V70" s="7">
        <f t="shared" si="24"/>
        <v>909</v>
      </c>
      <c r="W70" s="7">
        <f t="shared" si="22"/>
        <v>922</v>
      </c>
      <c r="X70" s="6"/>
      <c r="Y70" s="5"/>
      <c r="Z70" s="5"/>
      <c r="AA70" s="5"/>
      <c r="AB70" s="5"/>
    </row>
    <row r="71" spans="1:28" ht="15" customHeight="1">
      <c r="A71" s="12">
        <v>57</v>
      </c>
      <c r="B71" s="11">
        <f t="shared" si="11"/>
        <v>45327</v>
      </c>
      <c r="C71" s="9">
        <f t="shared" si="12"/>
        <v>842</v>
      </c>
      <c r="D71" s="8">
        <f t="shared" si="25"/>
        <v>1509</v>
      </c>
      <c r="E71" s="4">
        <f t="shared" si="1"/>
        <v>591</v>
      </c>
      <c r="F71" s="4">
        <f t="shared" si="2"/>
        <v>444</v>
      </c>
      <c r="G71" s="4">
        <f t="shared" si="3"/>
        <v>919</v>
      </c>
      <c r="H71" s="5">
        <f t="shared" si="4"/>
        <v>1760</v>
      </c>
      <c r="I71" s="5">
        <f t="shared" si="5"/>
        <v>1907</v>
      </c>
      <c r="J71" s="5">
        <f t="shared" si="6"/>
        <v>1432</v>
      </c>
      <c r="K71" s="5">
        <f t="shared" si="26"/>
        <v>2000</v>
      </c>
      <c r="L71" s="5">
        <f t="shared" si="27"/>
        <v>2000</v>
      </c>
      <c r="M71" s="5">
        <f t="shared" si="28"/>
        <v>2000</v>
      </c>
      <c r="N71" s="5">
        <f t="shared" si="17"/>
        <v>-240</v>
      </c>
      <c r="O71" s="5">
        <f t="shared" si="18"/>
        <v>-93</v>
      </c>
      <c r="P71" s="5">
        <f t="shared" si="19"/>
        <v>-568</v>
      </c>
      <c r="Q71" s="4">
        <v>4</v>
      </c>
      <c r="R71" s="4">
        <v>2</v>
      </c>
      <c r="S71" s="4">
        <v>0</v>
      </c>
      <c r="T71" s="6">
        <f t="shared" si="7"/>
        <v>1444</v>
      </c>
      <c r="U71" s="7">
        <f t="shared" si="23"/>
        <v>940</v>
      </c>
      <c r="V71" s="7">
        <f t="shared" si="24"/>
        <v>907</v>
      </c>
      <c r="W71" s="7">
        <f t="shared" si="22"/>
        <v>922</v>
      </c>
      <c r="X71" s="6"/>
      <c r="Y71" s="5"/>
      <c r="Z71" s="5"/>
      <c r="AA71" s="5"/>
      <c r="AB71" s="5"/>
    </row>
    <row r="72" spans="1:28" ht="15" customHeight="1">
      <c r="A72" s="12">
        <v>58</v>
      </c>
      <c r="B72" s="11">
        <f t="shared" si="11"/>
        <v>45328</v>
      </c>
      <c r="C72" s="9">
        <f t="shared" si="12"/>
        <v>842</v>
      </c>
      <c r="D72" s="8">
        <f t="shared" si="25"/>
        <v>1507</v>
      </c>
      <c r="E72" s="4">
        <f t="shared" si="1"/>
        <v>591</v>
      </c>
      <c r="F72" s="4">
        <f t="shared" si="2"/>
        <v>446</v>
      </c>
      <c r="G72" s="4">
        <f t="shared" si="3"/>
        <v>918</v>
      </c>
      <c r="H72" s="5">
        <f t="shared" si="4"/>
        <v>1758</v>
      </c>
      <c r="I72" s="5">
        <f t="shared" si="5"/>
        <v>1903</v>
      </c>
      <c r="J72" s="5">
        <f t="shared" si="6"/>
        <v>1431</v>
      </c>
      <c r="K72" s="5">
        <f t="shared" si="26"/>
        <v>2000</v>
      </c>
      <c r="L72" s="5">
        <f t="shared" si="27"/>
        <v>2000</v>
      </c>
      <c r="M72" s="5">
        <f t="shared" si="28"/>
        <v>2000</v>
      </c>
      <c r="N72" s="5">
        <f t="shared" si="17"/>
        <v>-242</v>
      </c>
      <c r="O72" s="5">
        <f t="shared" si="18"/>
        <v>-97</v>
      </c>
      <c r="P72" s="5">
        <f t="shared" si="19"/>
        <v>-569</v>
      </c>
      <c r="Q72" s="4">
        <v>2</v>
      </c>
      <c r="R72" s="4">
        <v>4</v>
      </c>
      <c r="S72" s="4">
        <v>1</v>
      </c>
      <c r="T72" s="6">
        <f t="shared" si="7"/>
        <v>1446</v>
      </c>
      <c r="U72" s="7">
        <f t="shared" si="23"/>
        <v>938</v>
      </c>
      <c r="V72" s="7">
        <f t="shared" si="24"/>
        <v>903</v>
      </c>
      <c r="W72" s="7">
        <f t="shared" si="22"/>
        <v>921</v>
      </c>
      <c r="X72" s="6"/>
      <c r="Y72" s="5"/>
      <c r="Z72" s="5"/>
      <c r="AA72" s="5"/>
      <c r="AB72" s="5"/>
    </row>
    <row r="73" spans="1:28" ht="15" customHeight="1">
      <c r="A73" s="12">
        <v>59</v>
      </c>
      <c r="B73" s="11">
        <f t="shared" si="11"/>
        <v>45329</v>
      </c>
      <c r="C73" s="9">
        <f t="shared" si="12"/>
        <v>842</v>
      </c>
      <c r="D73" s="8">
        <f t="shared" si="25"/>
        <v>1505</v>
      </c>
      <c r="E73" s="4">
        <f t="shared" si="1"/>
        <v>593</v>
      </c>
      <c r="F73" s="4">
        <f t="shared" si="2"/>
        <v>451</v>
      </c>
      <c r="G73" s="4">
        <f t="shared" si="3"/>
        <v>917</v>
      </c>
      <c r="H73" s="5">
        <f t="shared" si="4"/>
        <v>1754</v>
      </c>
      <c r="I73" s="5">
        <f t="shared" si="5"/>
        <v>1896</v>
      </c>
      <c r="J73" s="5">
        <f t="shared" si="6"/>
        <v>1430</v>
      </c>
      <c r="K73" s="5">
        <f t="shared" si="26"/>
        <v>2000</v>
      </c>
      <c r="L73" s="5">
        <f t="shared" si="27"/>
        <v>2000</v>
      </c>
      <c r="M73" s="5">
        <f t="shared" si="28"/>
        <v>2000</v>
      </c>
      <c r="N73" s="5">
        <f t="shared" si="17"/>
        <v>-246</v>
      </c>
      <c r="O73" s="5">
        <f t="shared" si="18"/>
        <v>-104</v>
      </c>
      <c r="P73" s="5">
        <f t="shared" si="19"/>
        <v>-570</v>
      </c>
      <c r="Q73" s="4">
        <v>4</v>
      </c>
      <c r="R73" s="4">
        <v>7</v>
      </c>
      <c r="S73" s="4">
        <v>1</v>
      </c>
      <c r="T73" s="6">
        <f t="shared" si="7"/>
        <v>1451</v>
      </c>
      <c r="U73" s="7">
        <f t="shared" si="23"/>
        <v>934</v>
      </c>
      <c r="V73" s="7">
        <f t="shared" si="24"/>
        <v>896</v>
      </c>
      <c r="W73" s="7">
        <f t="shared" si="22"/>
        <v>920</v>
      </c>
      <c r="X73" s="6"/>
      <c r="Y73" s="5"/>
      <c r="Z73" s="5"/>
      <c r="AA73" s="5"/>
      <c r="AB73" s="5"/>
    </row>
    <row r="74" spans="1:28" ht="15" customHeight="1">
      <c r="A74" s="12">
        <v>60</v>
      </c>
      <c r="B74" s="11">
        <f t="shared" si="11"/>
        <v>45330</v>
      </c>
      <c r="C74" s="9">
        <f t="shared" si="12"/>
        <v>842</v>
      </c>
      <c r="D74" s="8">
        <f t="shared" si="25"/>
        <v>1503</v>
      </c>
      <c r="E74" s="4">
        <f t="shared" si="1"/>
        <v>598</v>
      </c>
      <c r="F74" s="4">
        <f t="shared" si="2"/>
        <v>454</v>
      </c>
      <c r="G74" s="4">
        <f t="shared" si="3"/>
        <v>915</v>
      </c>
      <c r="H74" s="5">
        <f t="shared" si="4"/>
        <v>1747</v>
      </c>
      <c r="I74" s="5">
        <f t="shared" si="5"/>
        <v>1891</v>
      </c>
      <c r="J74" s="5">
        <f t="shared" si="6"/>
        <v>1430</v>
      </c>
      <c r="K74" s="5">
        <f t="shared" si="26"/>
        <v>2000</v>
      </c>
      <c r="L74" s="5">
        <f t="shared" si="27"/>
        <v>2000</v>
      </c>
      <c r="M74" s="5">
        <f t="shared" si="28"/>
        <v>2000</v>
      </c>
      <c r="N74" s="5">
        <f t="shared" si="17"/>
        <v>-253</v>
      </c>
      <c r="O74" s="5">
        <f t="shared" si="18"/>
        <v>-109</v>
      </c>
      <c r="P74" s="5">
        <f t="shared" si="19"/>
        <v>-570</v>
      </c>
      <c r="Q74" s="4">
        <v>7</v>
      </c>
      <c r="R74" s="4">
        <v>5</v>
      </c>
      <c r="S74" s="4">
        <v>0</v>
      </c>
      <c r="T74" s="6">
        <f t="shared" si="7"/>
        <v>1454</v>
      </c>
      <c r="U74" s="7">
        <f t="shared" si="23"/>
        <v>927</v>
      </c>
      <c r="V74" s="7">
        <f t="shared" si="24"/>
        <v>891</v>
      </c>
      <c r="W74" s="7">
        <f t="shared" si="22"/>
        <v>920</v>
      </c>
      <c r="X74" s="6"/>
      <c r="Y74" s="5"/>
      <c r="Z74" s="5"/>
      <c r="AA74" s="5"/>
      <c r="AB74" s="5"/>
    </row>
    <row r="75" spans="1:28" ht="15" customHeight="1">
      <c r="A75" s="12">
        <v>61</v>
      </c>
      <c r="B75" s="11">
        <f t="shared" si="11"/>
        <v>45331</v>
      </c>
      <c r="C75" s="9">
        <f t="shared" si="12"/>
        <v>842</v>
      </c>
      <c r="D75" s="8">
        <f t="shared" si="25"/>
        <v>1501</v>
      </c>
      <c r="E75" s="4">
        <f t="shared" si="1"/>
        <v>601</v>
      </c>
      <c r="F75" s="4">
        <f t="shared" si="2"/>
        <v>454</v>
      </c>
      <c r="G75" s="4">
        <f t="shared" si="3"/>
        <v>914</v>
      </c>
      <c r="H75" s="5">
        <f t="shared" si="4"/>
        <v>1742</v>
      </c>
      <c r="I75" s="5">
        <f t="shared" si="5"/>
        <v>1889</v>
      </c>
      <c r="J75" s="5">
        <f t="shared" si="6"/>
        <v>1429</v>
      </c>
      <c r="K75" s="5">
        <f t="shared" si="26"/>
        <v>2000</v>
      </c>
      <c r="L75" s="5">
        <f t="shared" si="27"/>
        <v>2000</v>
      </c>
      <c r="M75" s="5">
        <f t="shared" si="28"/>
        <v>2000</v>
      </c>
      <c r="N75" s="5">
        <f t="shared" si="17"/>
        <v>-258</v>
      </c>
      <c r="O75" s="5">
        <f t="shared" si="18"/>
        <v>-111</v>
      </c>
      <c r="P75" s="5">
        <f t="shared" si="19"/>
        <v>-571</v>
      </c>
      <c r="Q75" s="4">
        <v>5</v>
      </c>
      <c r="R75" s="4">
        <v>2</v>
      </c>
      <c r="S75" s="4">
        <v>1</v>
      </c>
      <c r="T75" s="6">
        <f t="shared" si="7"/>
        <v>1454</v>
      </c>
      <c r="U75" s="7">
        <f t="shared" si="23"/>
        <v>922</v>
      </c>
      <c r="V75" s="7">
        <f t="shared" si="24"/>
        <v>889</v>
      </c>
      <c r="W75" s="7">
        <f t="shared" si="22"/>
        <v>919</v>
      </c>
      <c r="X75" s="6"/>
      <c r="Y75" s="5"/>
      <c r="Z75" s="5"/>
      <c r="AA75" s="5"/>
      <c r="AB75" s="5"/>
    </row>
    <row r="76" spans="1:28" ht="15">
      <c r="A76" s="12">
        <v>62</v>
      </c>
      <c r="B76" s="11">
        <f t="shared" si="11"/>
        <v>45332</v>
      </c>
      <c r="C76" s="9">
        <f t="shared" si="12"/>
        <v>842</v>
      </c>
      <c r="D76" s="8">
        <f t="shared" si="25"/>
        <v>1499</v>
      </c>
      <c r="E76" s="4">
        <f t="shared" si="1"/>
        <v>601</v>
      </c>
      <c r="F76" s="4">
        <f t="shared" si="2"/>
        <v>454</v>
      </c>
      <c r="G76" s="4">
        <f t="shared" si="3"/>
        <v>913</v>
      </c>
      <c r="H76" s="5">
        <f t="shared" si="4"/>
        <v>1740</v>
      </c>
      <c r="I76" s="5">
        <f t="shared" si="5"/>
        <v>1887</v>
      </c>
      <c r="J76" s="5">
        <f t="shared" si="6"/>
        <v>1428</v>
      </c>
      <c r="K76" s="5">
        <f t="shared" si="26"/>
        <v>2000</v>
      </c>
      <c r="L76" s="5">
        <f t="shared" si="27"/>
        <v>2000</v>
      </c>
      <c r="M76" s="5">
        <f t="shared" si="28"/>
        <v>2000</v>
      </c>
      <c r="N76" s="5">
        <f t="shared" si="17"/>
        <v>-260</v>
      </c>
      <c r="O76" s="5">
        <f t="shared" si="18"/>
        <v>-113</v>
      </c>
      <c r="P76" s="5">
        <f t="shared" si="19"/>
        <v>-572</v>
      </c>
      <c r="Q76" s="4">
        <v>2</v>
      </c>
      <c r="R76" s="4">
        <v>2</v>
      </c>
      <c r="S76" s="4">
        <v>1</v>
      </c>
      <c r="T76" s="6">
        <f t="shared" si="7"/>
        <v>1454</v>
      </c>
      <c r="U76" s="7">
        <f t="shared" si="23"/>
        <v>920</v>
      </c>
      <c r="V76" s="7">
        <f t="shared" si="24"/>
        <v>887</v>
      </c>
      <c r="W76" s="7">
        <f t="shared" si="22"/>
        <v>918</v>
      </c>
      <c r="X76" s="6"/>
      <c r="Y76" s="5"/>
      <c r="Z76" s="5"/>
      <c r="AA76" s="5"/>
      <c r="AB76" s="5"/>
    </row>
    <row r="77" spans="1:28" ht="15" customHeight="1">
      <c r="A77" s="12">
        <v>63</v>
      </c>
      <c r="B77" s="11">
        <f t="shared" si="11"/>
        <v>45333</v>
      </c>
      <c r="C77" s="9">
        <f t="shared" si="12"/>
        <v>842</v>
      </c>
      <c r="D77" s="8">
        <f t="shared" si="25"/>
        <v>1497</v>
      </c>
      <c r="E77" s="4">
        <f t="shared" si="1"/>
        <v>603</v>
      </c>
      <c r="F77" s="4">
        <f t="shared" si="2"/>
        <v>456</v>
      </c>
      <c r="G77" s="4">
        <f t="shared" si="3"/>
        <v>911</v>
      </c>
      <c r="H77" s="5">
        <f t="shared" si="4"/>
        <v>1736</v>
      </c>
      <c r="I77" s="5">
        <f t="shared" si="5"/>
        <v>1883</v>
      </c>
      <c r="J77" s="5">
        <f t="shared" si="6"/>
        <v>1428</v>
      </c>
      <c r="K77" s="5">
        <f t="shared" si="26"/>
        <v>2000</v>
      </c>
      <c r="L77" s="5">
        <f t="shared" si="27"/>
        <v>2000</v>
      </c>
      <c r="M77" s="5">
        <f t="shared" si="28"/>
        <v>2000</v>
      </c>
      <c r="N77" s="5">
        <f t="shared" si="17"/>
        <v>-264</v>
      </c>
      <c r="O77" s="5">
        <f t="shared" si="18"/>
        <v>-117</v>
      </c>
      <c r="P77" s="5">
        <f t="shared" si="19"/>
        <v>-572</v>
      </c>
      <c r="Q77" s="4">
        <v>4</v>
      </c>
      <c r="R77" s="4">
        <v>4</v>
      </c>
      <c r="S77" s="4">
        <v>0</v>
      </c>
      <c r="T77" s="6">
        <f t="shared" si="7"/>
        <v>1456</v>
      </c>
      <c r="U77" s="7">
        <f t="shared" si="23"/>
        <v>916</v>
      </c>
      <c r="V77" s="7">
        <f t="shared" si="24"/>
        <v>883</v>
      </c>
      <c r="W77" s="7">
        <f t="shared" si="22"/>
        <v>918</v>
      </c>
      <c r="X77" s="6"/>
      <c r="Y77" s="5"/>
      <c r="Z77" s="5"/>
      <c r="AA77" s="5"/>
      <c r="AB77" s="5"/>
    </row>
    <row r="78" spans="1:28" ht="15" customHeight="1">
      <c r="A78" s="12">
        <v>64</v>
      </c>
      <c r="B78" s="11">
        <f t="shared" si="11"/>
        <v>45334</v>
      </c>
      <c r="C78" s="9">
        <f t="shared" si="12"/>
        <v>842</v>
      </c>
      <c r="D78" s="8">
        <f t="shared" si="25"/>
        <v>1495</v>
      </c>
      <c r="E78" s="4">
        <f t="shared" ref="E78:E141" si="29">C78+D78-H78</f>
        <v>603</v>
      </c>
      <c r="F78" s="4">
        <f t="shared" ref="F78:F141" si="30">C78+D78-I78</f>
        <v>461</v>
      </c>
      <c r="G78" s="4">
        <f t="shared" ref="G78:G141" si="31">D78+C78-J78</f>
        <v>909</v>
      </c>
      <c r="H78" s="5">
        <f t="shared" ref="H78:H141" si="32">K78+N78</f>
        <v>1734</v>
      </c>
      <c r="I78" s="5">
        <f t="shared" ref="I78:I141" si="33">L78+O78</f>
        <v>1876</v>
      </c>
      <c r="J78" s="5">
        <f t="shared" ref="J78:J141" si="34">M78+P78</f>
        <v>1428</v>
      </c>
      <c r="K78" s="5">
        <f t="shared" si="26"/>
        <v>2000</v>
      </c>
      <c r="L78" s="5">
        <f t="shared" si="27"/>
        <v>2000</v>
      </c>
      <c r="M78" s="5">
        <f t="shared" si="28"/>
        <v>2000</v>
      </c>
      <c r="N78" s="5">
        <f t="shared" si="17"/>
        <v>-266</v>
      </c>
      <c r="O78" s="5">
        <f t="shared" si="18"/>
        <v>-124</v>
      </c>
      <c r="P78" s="5">
        <f t="shared" si="19"/>
        <v>-572</v>
      </c>
      <c r="Q78" s="4">
        <v>2</v>
      </c>
      <c r="R78" s="4">
        <v>7</v>
      </c>
      <c r="S78" s="4">
        <v>0</v>
      </c>
      <c r="T78" s="6">
        <f t="shared" ref="T78:T141" si="35">D78+C78-V78</f>
        <v>1461</v>
      </c>
      <c r="U78" s="7">
        <f t="shared" si="23"/>
        <v>914</v>
      </c>
      <c r="V78" s="7">
        <f t="shared" si="24"/>
        <v>876</v>
      </c>
      <c r="W78" s="7">
        <f t="shared" si="22"/>
        <v>918</v>
      </c>
      <c r="X78" s="6"/>
      <c r="Y78" s="5"/>
      <c r="Z78" s="5"/>
      <c r="AA78" s="5"/>
      <c r="AB78" s="5"/>
    </row>
    <row r="79" spans="1:28" ht="15" customHeight="1">
      <c r="A79" s="12">
        <v>65</v>
      </c>
      <c r="B79" s="11">
        <f t="shared" ref="B79:B142" si="36">B78+1</f>
        <v>45335</v>
      </c>
      <c r="C79" s="9">
        <f t="shared" ref="C79:C142" si="37">C78</f>
        <v>842</v>
      </c>
      <c r="D79" s="8">
        <f t="shared" ref="D79:D110" si="38">D78-2</f>
        <v>1493</v>
      </c>
      <c r="E79" s="4">
        <f t="shared" si="29"/>
        <v>605</v>
      </c>
      <c r="F79" s="4">
        <f t="shared" si="30"/>
        <v>464</v>
      </c>
      <c r="G79" s="4">
        <f t="shared" si="31"/>
        <v>908</v>
      </c>
      <c r="H79" s="5">
        <f t="shared" si="32"/>
        <v>1730</v>
      </c>
      <c r="I79" s="5">
        <f t="shared" si="33"/>
        <v>1871</v>
      </c>
      <c r="J79" s="5">
        <f t="shared" si="34"/>
        <v>1427</v>
      </c>
      <c r="K79" s="5">
        <f t="shared" ref="K79:K110" si="39">K78</f>
        <v>2000</v>
      </c>
      <c r="L79" s="5">
        <f t="shared" ref="L79:L110" si="40">L78</f>
        <v>2000</v>
      </c>
      <c r="M79" s="5">
        <f t="shared" ref="M79:M110" si="41">M78</f>
        <v>2000</v>
      </c>
      <c r="N79" s="5">
        <f t="shared" ref="N79:N142" si="42">N78-Q79</f>
        <v>-270</v>
      </c>
      <c r="O79" s="5">
        <f t="shared" ref="O79:O142" si="43">O78-R79</f>
        <v>-129</v>
      </c>
      <c r="P79" s="5">
        <f t="shared" ref="P79:P142" si="44">P78-S79</f>
        <v>-573</v>
      </c>
      <c r="Q79" s="4">
        <v>4</v>
      </c>
      <c r="R79" s="4">
        <v>5</v>
      </c>
      <c r="S79" s="4">
        <v>1</v>
      </c>
      <c r="T79" s="6">
        <f t="shared" si="35"/>
        <v>1464</v>
      </c>
      <c r="U79" s="7">
        <f t="shared" si="23"/>
        <v>910</v>
      </c>
      <c r="V79" s="7">
        <f t="shared" si="24"/>
        <v>871</v>
      </c>
      <c r="W79" s="7">
        <f t="shared" si="22"/>
        <v>917</v>
      </c>
      <c r="X79" s="6"/>
      <c r="Y79" s="5"/>
      <c r="Z79" s="5"/>
      <c r="AA79" s="5"/>
      <c r="AB79" s="5"/>
    </row>
    <row r="80" spans="1:28" ht="15" customHeight="1">
      <c r="A80" s="12">
        <v>66</v>
      </c>
      <c r="B80" s="11">
        <f t="shared" si="36"/>
        <v>45336</v>
      </c>
      <c r="C80" s="9">
        <f t="shared" si="37"/>
        <v>842</v>
      </c>
      <c r="D80" s="8">
        <f t="shared" si="38"/>
        <v>1491</v>
      </c>
      <c r="E80" s="4">
        <f t="shared" si="29"/>
        <v>605</v>
      </c>
      <c r="F80" s="4">
        <f t="shared" si="30"/>
        <v>466</v>
      </c>
      <c r="G80" s="4">
        <f t="shared" si="31"/>
        <v>906</v>
      </c>
      <c r="H80" s="5">
        <f t="shared" si="32"/>
        <v>1728</v>
      </c>
      <c r="I80" s="5">
        <f t="shared" si="33"/>
        <v>1867</v>
      </c>
      <c r="J80" s="5">
        <f t="shared" si="34"/>
        <v>1427</v>
      </c>
      <c r="K80" s="5">
        <f t="shared" si="39"/>
        <v>2000</v>
      </c>
      <c r="L80" s="5">
        <f t="shared" si="40"/>
        <v>2000</v>
      </c>
      <c r="M80" s="5">
        <f t="shared" si="41"/>
        <v>2000</v>
      </c>
      <c r="N80" s="5">
        <f t="shared" si="42"/>
        <v>-272</v>
      </c>
      <c r="O80" s="5">
        <f t="shared" si="43"/>
        <v>-133</v>
      </c>
      <c r="P80" s="5">
        <f t="shared" si="44"/>
        <v>-573</v>
      </c>
      <c r="Q80" s="4">
        <v>2</v>
      </c>
      <c r="R80" s="4">
        <v>4</v>
      </c>
      <c r="S80" s="4">
        <v>0</v>
      </c>
      <c r="T80" s="6">
        <f t="shared" si="35"/>
        <v>1466</v>
      </c>
      <c r="U80" s="7">
        <f t="shared" si="23"/>
        <v>908</v>
      </c>
      <c r="V80" s="7">
        <f t="shared" si="24"/>
        <v>867</v>
      </c>
      <c r="W80" s="7">
        <f t="shared" si="22"/>
        <v>917</v>
      </c>
      <c r="X80" s="6"/>
      <c r="Y80" s="5"/>
      <c r="Z80" s="5"/>
      <c r="AA80" s="5"/>
      <c r="AB80" s="5"/>
    </row>
    <row r="81" spans="1:28" ht="15" customHeight="1">
      <c r="A81" s="12">
        <v>67</v>
      </c>
      <c r="B81" s="11">
        <f t="shared" si="36"/>
        <v>45337</v>
      </c>
      <c r="C81" s="9">
        <f t="shared" si="37"/>
        <v>842</v>
      </c>
      <c r="D81" s="8">
        <f t="shared" si="38"/>
        <v>1489</v>
      </c>
      <c r="E81" s="4">
        <f t="shared" si="29"/>
        <v>607</v>
      </c>
      <c r="F81" s="4">
        <f t="shared" si="30"/>
        <v>472</v>
      </c>
      <c r="G81" s="4">
        <f t="shared" si="31"/>
        <v>904</v>
      </c>
      <c r="H81" s="5">
        <f t="shared" si="32"/>
        <v>1724</v>
      </c>
      <c r="I81" s="5">
        <f t="shared" si="33"/>
        <v>1859</v>
      </c>
      <c r="J81" s="5">
        <f t="shared" si="34"/>
        <v>1427</v>
      </c>
      <c r="K81" s="5">
        <f t="shared" si="39"/>
        <v>2000</v>
      </c>
      <c r="L81" s="5">
        <f t="shared" si="40"/>
        <v>2000</v>
      </c>
      <c r="M81" s="5">
        <f t="shared" si="41"/>
        <v>2000</v>
      </c>
      <c r="N81" s="5">
        <f t="shared" si="42"/>
        <v>-276</v>
      </c>
      <c r="O81" s="5">
        <f t="shared" si="43"/>
        <v>-141</v>
      </c>
      <c r="P81" s="5">
        <f t="shared" si="44"/>
        <v>-573</v>
      </c>
      <c r="Q81" s="4">
        <v>4</v>
      </c>
      <c r="R81" s="4">
        <v>8</v>
      </c>
      <c r="S81" s="4">
        <v>0</v>
      </c>
      <c r="T81" s="6">
        <f t="shared" si="35"/>
        <v>1472</v>
      </c>
      <c r="U81" s="7">
        <f t="shared" si="23"/>
        <v>904</v>
      </c>
      <c r="V81" s="7">
        <f t="shared" si="24"/>
        <v>859</v>
      </c>
      <c r="W81" s="7">
        <f t="shared" si="22"/>
        <v>917</v>
      </c>
      <c r="X81" s="6"/>
      <c r="Y81" s="5"/>
      <c r="Z81" s="5"/>
      <c r="AA81" s="5"/>
      <c r="AB81" s="5"/>
    </row>
    <row r="82" spans="1:28" ht="15" customHeight="1">
      <c r="A82" s="12">
        <v>68</v>
      </c>
      <c r="B82" s="11">
        <f t="shared" si="36"/>
        <v>45338</v>
      </c>
      <c r="C82" s="9">
        <f t="shared" si="37"/>
        <v>842</v>
      </c>
      <c r="D82" s="8">
        <f t="shared" si="38"/>
        <v>1487</v>
      </c>
      <c r="E82" s="4">
        <f t="shared" si="29"/>
        <v>605</v>
      </c>
      <c r="F82" s="4">
        <f t="shared" si="30"/>
        <v>472</v>
      </c>
      <c r="G82" s="4">
        <f t="shared" si="31"/>
        <v>902</v>
      </c>
      <c r="H82" s="5">
        <f t="shared" si="32"/>
        <v>1724</v>
      </c>
      <c r="I82" s="5">
        <f t="shared" si="33"/>
        <v>1857</v>
      </c>
      <c r="J82" s="5">
        <f t="shared" si="34"/>
        <v>1427</v>
      </c>
      <c r="K82" s="5">
        <f t="shared" si="39"/>
        <v>2000</v>
      </c>
      <c r="L82" s="5">
        <f t="shared" si="40"/>
        <v>2000</v>
      </c>
      <c r="M82" s="5">
        <f t="shared" si="41"/>
        <v>2000</v>
      </c>
      <c r="N82" s="5">
        <f t="shared" si="42"/>
        <v>-276</v>
      </c>
      <c r="O82" s="5">
        <f t="shared" si="43"/>
        <v>-143</v>
      </c>
      <c r="P82" s="5">
        <f t="shared" si="44"/>
        <v>-573</v>
      </c>
      <c r="Q82" s="4">
        <v>0</v>
      </c>
      <c r="R82" s="4">
        <v>2</v>
      </c>
      <c r="S82" s="4">
        <v>0</v>
      </c>
      <c r="T82" s="6">
        <f t="shared" si="35"/>
        <v>1472</v>
      </c>
      <c r="U82" s="7">
        <f t="shared" si="23"/>
        <v>904</v>
      </c>
      <c r="V82" s="7">
        <f t="shared" si="24"/>
        <v>857</v>
      </c>
      <c r="W82" s="7">
        <f t="shared" si="22"/>
        <v>917</v>
      </c>
      <c r="X82" s="6"/>
      <c r="Y82" s="5"/>
      <c r="Z82" s="5"/>
      <c r="AA82" s="5"/>
      <c r="AB82" s="5"/>
    </row>
    <row r="83" spans="1:28" ht="15" customHeight="1">
      <c r="A83" s="12">
        <v>69</v>
      </c>
      <c r="B83" s="11">
        <f t="shared" si="36"/>
        <v>45339</v>
      </c>
      <c r="C83" s="9">
        <f t="shared" si="37"/>
        <v>842</v>
      </c>
      <c r="D83" s="8">
        <f t="shared" si="38"/>
        <v>1485</v>
      </c>
      <c r="E83" s="4">
        <f t="shared" si="29"/>
        <v>603</v>
      </c>
      <c r="F83" s="4">
        <f t="shared" si="30"/>
        <v>474</v>
      </c>
      <c r="G83" s="4">
        <f t="shared" si="31"/>
        <v>900</v>
      </c>
      <c r="H83" s="5">
        <f t="shared" si="32"/>
        <v>1724</v>
      </c>
      <c r="I83" s="5">
        <f t="shared" si="33"/>
        <v>1853</v>
      </c>
      <c r="J83" s="5">
        <f t="shared" si="34"/>
        <v>1427</v>
      </c>
      <c r="K83" s="5">
        <f t="shared" si="39"/>
        <v>2000</v>
      </c>
      <c r="L83" s="5">
        <f t="shared" si="40"/>
        <v>2000</v>
      </c>
      <c r="M83" s="5">
        <f t="shared" si="41"/>
        <v>2000</v>
      </c>
      <c r="N83" s="5">
        <f t="shared" si="42"/>
        <v>-276</v>
      </c>
      <c r="O83" s="5">
        <f t="shared" si="43"/>
        <v>-147</v>
      </c>
      <c r="P83" s="5">
        <f t="shared" si="44"/>
        <v>-573</v>
      </c>
      <c r="Q83" s="4">
        <v>0</v>
      </c>
      <c r="R83" s="4">
        <v>4</v>
      </c>
      <c r="S83" s="4">
        <v>0</v>
      </c>
      <c r="T83" s="6">
        <f t="shared" si="35"/>
        <v>1474</v>
      </c>
      <c r="U83" s="7">
        <f t="shared" si="23"/>
        <v>904</v>
      </c>
      <c r="V83" s="7">
        <f t="shared" si="24"/>
        <v>853</v>
      </c>
      <c r="W83" s="7">
        <f t="shared" si="22"/>
        <v>917</v>
      </c>
      <c r="X83" s="6"/>
      <c r="Y83" s="5"/>
      <c r="Z83" s="5"/>
      <c r="AA83" s="5"/>
      <c r="AB83" s="5"/>
    </row>
    <row r="84" spans="1:28" ht="15" customHeight="1">
      <c r="A84" s="12">
        <v>70</v>
      </c>
      <c r="B84" s="11">
        <f t="shared" si="36"/>
        <v>45340</v>
      </c>
      <c r="C84" s="9">
        <f t="shared" si="37"/>
        <v>842</v>
      </c>
      <c r="D84" s="8">
        <f t="shared" si="38"/>
        <v>1483</v>
      </c>
      <c r="E84" s="4">
        <f t="shared" si="29"/>
        <v>601</v>
      </c>
      <c r="F84" s="4">
        <f t="shared" si="30"/>
        <v>479</v>
      </c>
      <c r="G84" s="4">
        <f t="shared" si="31"/>
        <v>898</v>
      </c>
      <c r="H84" s="5">
        <f t="shared" si="32"/>
        <v>1724</v>
      </c>
      <c r="I84" s="5">
        <f t="shared" si="33"/>
        <v>1846</v>
      </c>
      <c r="J84" s="5">
        <f t="shared" si="34"/>
        <v>1427</v>
      </c>
      <c r="K84" s="5">
        <f t="shared" si="39"/>
        <v>2000</v>
      </c>
      <c r="L84" s="5">
        <f t="shared" si="40"/>
        <v>2000</v>
      </c>
      <c r="M84" s="5">
        <f t="shared" si="41"/>
        <v>2000</v>
      </c>
      <c r="N84" s="5">
        <f t="shared" si="42"/>
        <v>-276</v>
      </c>
      <c r="O84" s="5">
        <f t="shared" si="43"/>
        <v>-154</v>
      </c>
      <c r="P84" s="5">
        <f t="shared" si="44"/>
        <v>-573</v>
      </c>
      <c r="Q84" s="4">
        <v>0</v>
      </c>
      <c r="R84" s="4">
        <v>7</v>
      </c>
      <c r="S84" s="4">
        <v>0</v>
      </c>
      <c r="T84" s="6">
        <f t="shared" si="35"/>
        <v>1479</v>
      </c>
      <c r="U84" s="7">
        <f t="shared" si="23"/>
        <v>904</v>
      </c>
      <c r="V84" s="7">
        <f t="shared" si="24"/>
        <v>846</v>
      </c>
      <c r="W84" s="7">
        <f t="shared" si="22"/>
        <v>917</v>
      </c>
      <c r="X84" s="6"/>
      <c r="Y84" s="5"/>
      <c r="Z84" s="5"/>
      <c r="AA84" s="5"/>
      <c r="AB84" s="5"/>
    </row>
    <row r="85" spans="1:28" ht="15" customHeight="1">
      <c r="A85" s="12">
        <v>71</v>
      </c>
      <c r="B85" s="11">
        <f t="shared" si="36"/>
        <v>45341</v>
      </c>
      <c r="C85" s="9">
        <f t="shared" si="37"/>
        <v>842</v>
      </c>
      <c r="D85" s="8">
        <f t="shared" si="38"/>
        <v>1481</v>
      </c>
      <c r="E85" s="4">
        <f t="shared" si="29"/>
        <v>599</v>
      </c>
      <c r="F85" s="4">
        <f t="shared" si="30"/>
        <v>482</v>
      </c>
      <c r="G85" s="4">
        <f t="shared" si="31"/>
        <v>896</v>
      </c>
      <c r="H85" s="5">
        <f t="shared" si="32"/>
        <v>1724</v>
      </c>
      <c r="I85" s="5">
        <f t="shared" si="33"/>
        <v>1841</v>
      </c>
      <c r="J85" s="5">
        <f t="shared" si="34"/>
        <v>1427</v>
      </c>
      <c r="K85" s="5">
        <f t="shared" si="39"/>
        <v>2000</v>
      </c>
      <c r="L85" s="5">
        <f t="shared" si="40"/>
        <v>2000</v>
      </c>
      <c r="M85" s="5">
        <f t="shared" si="41"/>
        <v>2000</v>
      </c>
      <c r="N85" s="5">
        <f t="shared" si="42"/>
        <v>-276</v>
      </c>
      <c r="O85" s="5">
        <f t="shared" si="43"/>
        <v>-159</v>
      </c>
      <c r="P85" s="5">
        <f t="shared" si="44"/>
        <v>-573</v>
      </c>
      <c r="Q85" s="4">
        <v>0</v>
      </c>
      <c r="R85" s="4">
        <v>5</v>
      </c>
      <c r="S85" s="4">
        <v>0</v>
      </c>
      <c r="T85" s="6">
        <f t="shared" si="35"/>
        <v>1482</v>
      </c>
      <c r="U85" s="7">
        <f t="shared" si="23"/>
        <v>904</v>
      </c>
      <c r="V85" s="7">
        <f t="shared" si="24"/>
        <v>841</v>
      </c>
      <c r="W85" s="7">
        <f t="shared" si="22"/>
        <v>917</v>
      </c>
      <c r="X85" s="6"/>
      <c r="Y85" s="5"/>
      <c r="Z85" s="5"/>
      <c r="AA85" s="5"/>
      <c r="AB85" s="5"/>
    </row>
    <row r="86" spans="1:28" ht="15" customHeight="1">
      <c r="A86" s="12">
        <v>72</v>
      </c>
      <c r="B86" s="11">
        <f t="shared" si="36"/>
        <v>45342</v>
      </c>
      <c r="C86" s="9">
        <f t="shared" si="37"/>
        <v>842</v>
      </c>
      <c r="D86" s="8">
        <f t="shared" si="38"/>
        <v>1479</v>
      </c>
      <c r="E86" s="4">
        <f t="shared" si="29"/>
        <v>597</v>
      </c>
      <c r="F86" s="4">
        <f t="shared" si="30"/>
        <v>484</v>
      </c>
      <c r="G86" s="4">
        <f t="shared" si="31"/>
        <v>894</v>
      </c>
      <c r="H86" s="5">
        <f t="shared" si="32"/>
        <v>1724</v>
      </c>
      <c r="I86" s="5">
        <f t="shared" si="33"/>
        <v>1837</v>
      </c>
      <c r="J86" s="5">
        <f t="shared" si="34"/>
        <v>1427</v>
      </c>
      <c r="K86" s="5">
        <f t="shared" si="39"/>
        <v>2000</v>
      </c>
      <c r="L86" s="5">
        <f t="shared" si="40"/>
        <v>2000</v>
      </c>
      <c r="M86" s="5">
        <f t="shared" si="41"/>
        <v>2000</v>
      </c>
      <c r="N86" s="5">
        <f t="shared" si="42"/>
        <v>-276</v>
      </c>
      <c r="O86" s="5">
        <f t="shared" si="43"/>
        <v>-163</v>
      </c>
      <c r="P86" s="5">
        <f t="shared" si="44"/>
        <v>-573</v>
      </c>
      <c r="Q86" s="4">
        <v>0</v>
      </c>
      <c r="R86" s="4">
        <v>4</v>
      </c>
      <c r="S86" s="4">
        <v>0</v>
      </c>
      <c r="T86" s="6">
        <f t="shared" si="35"/>
        <v>1484</v>
      </c>
      <c r="U86" s="7">
        <f t="shared" si="23"/>
        <v>904</v>
      </c>
      <c r="V86" s="7">
        <f t="shared" si="24"/>
        <v>837</v>
      </c>
      <c r="W86" s="7">
        <f t="shared" si="22"/>
        <v>917</v>
      </c>
      <c r="X86" s="6"/>
      <c r="Y86" s="5"/>
      <c r="Z86" s="5"/>
      <c r="AA86" s="5"/>
      <c r="AB86" s="5"/>
    </row>
    <row r="87" spans="1:28" ht="15" customHeight="1">
      <c r="A87" s="12">
        <v>73</v>
      </c>
      <c r="B87" s="11">
        <f t="shared" si="36"/>
        <v>45343</v>
      </c>
      <c r="C87" s="9">
        <f t="shared" si="37"/>
        <v>842</v>
      </c>
      <c r="D87" s="8">
        <f t="shared" si="38"/>
        <v>1477</v>
      </c>
      <c r="E87" s="4">
        <f t="shared" si="29"/>
        <v>595</v>
      </c>
      <c r="F87" s="4">
        <f t="shared" si="30"/>
        <v>490</v>
      </c>
      <c r="G87" s="4">
        <f t="shared" si="31"/>
        <v>892</v>
      </c>
      <c r="H87" s="5">
        <f t="shared" si="32"/>
        <v>1724</v>
      </c>
      <c r="I87" s="5">
        <f t="shared" si="33"/>
        <v>1829</v>
      </c>
      <c r="J87" s="5">
        <f t="shared" si="34"/>
        <v>1427</v>
      </c>
      <c r="K87" s="5">
        <f t="shared" si="39"/>
        <v>2000</v>
      </c>
      <c r="L87" s="5">
        <f t="shared" si="40"/>
        <v>2000</v>
      </c>
      <c r="M87" s="5">
        <f t="shared" si="41"/>
        <v>2000</v>
      </c>
      <c r="N87" s="5">
        <f t="shared" si="42"/>
        <v>-276</v>
      </c>
      <c r="O87" s="5">
        <f t="shared" si="43"/>
        <v>-171</v>
      </c>
      <c r="P87" s="5">
        <f t="shared" si="44"/>
        <v>-573</v>
      </c>
      <c r="Q87" s="4">
        <v>0</v>
      </c>
      <c r="R87" s="4">
        <v>8</v>
      </c>
      <c r="S87" s="4">
        <v>0</v>
      </c>
      <c r="T87" s="6">
        <f t="shared" si="35"/>
        <v>1490</v>
      </c>
      <c r="U87" s="7">
        <f t="shared" si="23"/>
        <v>904</v>
      </c>
      <c r="V87" s="7">
        <f t="shared" si="24"/>
        <v>829</v>
      </c>
      <c r="W87" s="7">
        <f t="shared" si="22"/>
        <v>917</v>
      </c>
      <c r="X87" s="6"/>
      <c r="Y87" s="5"/>
      <c r="Z87" s="5"/>
      <c r="AA87" s="5"/>
      <c r="AB87" s="5"/>
    </row>
    <row r="88" spans="1:28" ht="15" customHeight="1">
      <c r="A88" s="12">
        <v>74</v>
      </c>
      <c r="B88" s="11">
        <f t="shared" si="36"/>
        <v>45344</v>
      </c>
      <c r="C88" s="9">
        <f t="shared" si="37"/>
        <v>842</v>
      </c>
      <c r="D88" s="8">
        <f t="shared" si="38"/>
        <v>1475</v>
      </c>
      <c r="E88" s="4">
        <f t="shared" si="29"/>
        <v>593</v>
      </c>
      <c r="F88" s="4">
        <f t="shared" si="30"/>
        <v>490</v>
      </c>
      <c r="G88" s="4">
        <f t="shared" si="31"/>
        <v>890</v>
      </c>
      <c r="H88" s="5">
        <f t="shared" si="32"/>
        <v>1724</v>
      </c>
      <c r="I88" s="5">
        <f t="shared" si="33"/>
        <v>1827</v>
      </c>
      <c r="J88" s="5">
        <f t="shared" si="34"/>
        <v>1427</v>
      </c>
      <c r="K88" s="5">
        <f t="shared" si="39"/>
        <v>2000</v>
      </c>
      <c r="L88" s="5">
        <f t="shared" si="40"/>
        <v>2000</v>
      </c>
      <c r="M88" s="5">
        <f t="shared" si="41"/>
        <v>2000</v>
      </c>
      <c r="N88" s="5">
        <f t="shared" si="42"/>
        <v>-276</v>
      </c>
      <c r="O88" s="5">
        <f t="shared" si="43"/>
        <v>-173</v>
      </c>
      <c r="P88" s="5">
        <f t="shared" si="44"/>
        <v>-573</v>
      </c>
      <c r="Q88" s="4">
        <v>0</v>
      </c>
      <c r="R88" s="4">
        <v>2</v>
      </c>
      <c r="S88" s="4">
        <v>0</v>
      </c>
      <c r="T88" s="6">
        <f t="shared" si="35"/>
        <v>1490</v>
      </c>
      <c r="U88" s="7">
        <f t="shared" si="23"/>
        <v>904</v>
      </c>
      <c r="V88" s="7">
        <f t="shared" si="24"/>
        <v>827</v>
      </c>
      <c r="W88" s="7">
        <f t="shared" si="22"/>
        <v>917</v>
      </c>
      <c r="X88" s="6"/>
      <c r="Y88" s="5"/>
      <c r="Z88" s="5"/>
      <c r="AA88" s="5"/>
      <c r="AB88" s="5"/>
    </row>
    <row r="89" spans="1:28" ht="15" customHeight="1">
      <c r="A89" s="12">
        <v>75</v>
      </c>
      <c r="B89" s="11">
        <f t="shared" si="36"/>
        <v>45345</v>
      </c>
      <c r="C89" s="9">
        <f t="shared" si="37"/>
        <v>842</v>
      </c>
      <c r="D89" s="8">
        <f t="shared" si="38"/>
        <v>1473</v>
      </c>
      <c r="E89" s="4">
        <f t="shared" si="29"/>
        <v>591</v>
      </c>
      <c r="F89" s="4">
        <f t="shared" si="30"/>
        <v>492</v>
      </c>
      <c r="G89" s="4">
        <f t="shared" si="31"/>
        <v>888</v>
      </c>
      <c r="H89" s="5">
        <f t="shared" si="32"/>
        <v>1724</v>
      </c>
      <c r="I89" s="5">
        <f t="shared" si="33"/>
        <v>1823</v>
      </c>
      <c r="J89" s="5">
        <f t="shared" si="34"/>
        <v>1427</v>
      </c>
      <c r="K89" s="5">
        <f t="shared" si="39"/>
        <v>2000</v>
      </c>
      <c r="L89" s="5">
        <f t="shared" si="40"/>
        <v>2000</v>
      </c>
      <c r="M89" s="5">
        <f t="shared" si="41"/>
        <v>2000</v>
      </c>
      <c r="N89" s="5">
        <f t="shared" si="42"/>
        <v>-276</v>
      </c>
      <c r="O89" s="5">
        <f t="shared" si="43"/>
        <v>-177</v>
      </c>
      <c r="P89" s="5">
        <f t="shared" si="44"/>
        <v>-573</v>
      </c>
      <c r="Q89" s="4">
        <v>0</v>
      </c>
      <c r="R89" s="4">
        <v>4</v>
      </c>
      <c r="S89" s="4">
        <v>0</v>
      </c>
      <c r="T89" s="6">
        <f t="shared" si="35"/>
        <v>1492</v>
      </c>
      <c r="U89" s="7">
        <f t="shared" si="23"/>
        <v>904</v>
      </c>
      <c r="V89" s="7">
        <f t="shared" si="24"/>
        <v>823</v>
      </c>
      <c r="W89" s="7">
        <f t="shared" si="22"/>
        <v>917</v>
      </c>
      <c r="X89" s="6"/>
      <c r="Y89" s="5"/>
      <c r="Z89" s="5"/>
      <c r="AA89" s="5"/>
      <c r="AB89" s="5"/>
    </row>
    <row r="90" spans="1:28" ht="15" customHeight="1">
      <c r="A90" s="12">
        <v>76</v>
      </c>
      <c r="B90" s="11">
        <f t="shared" si="36"/>
        <v>45346</v>
      </c>
      <c r="C90" s="9">
        <f t="shared" si="37"/>
        <v>842</v>
      </c>
      <c r="D90" s="8">
        <f t="shared" si="38"/>
        <v>1471</v>
      </c>
      <c r="E90" s="4">
        <f t="shared" si="29"/>
        <v>589</v>
      </c>
      <c r="F90" s="4">
        <f t="shared" si="30"/>
        <v>497</v>
      </c>
      <c r="G90" s="4">
        <f t="shared" si="31"/>
        <v>886</v>
      </c>
      <c r="H90" s="5">
        <f t="shared" si="32"/>
        <v>1724</v>
      </c>
      <c r="I90" s="5">
        <f t="shared" si="33"/>
        <v>1816</v>
      </c>
      <c r="J90" s="5">
        <f t="shared" si="34"/>
        <v>1427</v>
      </c>
      <c r="K90" s="5">
        <f t="shared" si="39"/>
        <v>2000</v>
      </c>
      <c r="L90" s="5">
        <f t="shared" si="40"/>
        <v>2000</v>
      </c>
      <c r="M90" s="5">
        <f t="shared" si="41"/>
        <v>2000</v>
      </c>
      <c r="N90" s="5">
        <f t="shared" si="42"/>
        <v>-276</v>
      </c>
      <c r="O90" s="5">
        <f t="shared" si="43"/>
        <v>-184</v>
      </c>
      <c r="P90" s="5">
        <f t="shared" si="44"/>
        <v>-573</v>
      </c>
      <c r="Q90" s="4">
        <v>0</v>
      </c>
      <c r="R90" s="4">
        <v>7</v>
      </c>
      <c r="S90" s="4">
        <v>0</v>
      </c>
      <c r="T90" s="6">
        <f t="shared" si="35"/>
        <v>1497</v>
      </c>
      <c r="U90" s="7">
        <f t="shared" si="23"/>
        <v>904</v>
      </c>
      <c r="V90" s="7">
        <f t="shared" si="24"/>
        <v>816</v>
      </c>
      <c r="W90" s="7">
        <f t="shared" si="22"/>
        <v>917</v>
      </c>
      <c r="X90" s="6"/>
      <c r="Y90" s="5"/>
      <c r="Z90" s="5"/>
      <c r="AA90" s="5"/>
      <c r="AB90" s="5"/>
    </row>
    <row r="91" spans="1:28" ht="15" customHeight="1">
      <c r="A91" s="12">
        <v>77</v>
      </c>
      <c r="B91" s="11">
        <f t="shared" si="36"/>
        <v>45347</v>
      </c>
      <c r="C91" s="9">
        <f t="shared" si="37"/>
        <v>842</v>
      </c>
      <c r="D91" s="8">
        <f t="shared" si="38"/>
        <v>1469</v>
      </c>
      <c r="E91" s="4">
        <f t="shared" si="29"/>
        <v>587</v>
      </c>
      <c r="F91" s="4">
        <f t="shared" si="30"/>
        <v>500</v>
      </c>
      <c r="G91" s="4">
        <f t="shared" si="31"/>
        <v>884</v>
      </c>
      <c r="H91" s="5">
        <f t="shared" si="32"/>
        <v>1724</v>
      </c>
      <c r="I91" s="5">
        <f t="shared" si="33"/>
        <v>1811</v>
      </c>
      <c r="J91" s="5">
        <f t="shared" si="34"/>
        <v>1427</v>
      </c>
      <c r="K91" s="5">
        <f t="shared" si="39"/>
        <v>2000</v>
      </c>
      <c r="L91" s="5">
        <f t="shared" si="40"/>
        <v>2000</v>
      </c>
      <c r="M91" s="5">
        <f t="shared" si="41"/>
        <v>2000</v>
      </c>
      <c r="N91" s="5">
        <f t="shared" si="42"/>
        <v>-276</v>
      </c>
      <c r="O91" s="5">
        <f t="shared" si="43"/>
        <v>-189</v>
      </c>
      <c r="P91" s="5">
        <f t="shared" si="44"/>
        <v>-573</v>
      </c>
      <c r="Q91" s="4">
        <v>0</v>
      </c>
      <c r="R91" s="4">
        <v>5</v>
      </c>
      <c r="S91" s="4">
        <v>0</v>
      </c>
      <c r="T91" s="6">
        <f t="shared" si="35"/>
        <v>1500</v>
      </c>
      <c r="U91" s="7">
        <f t="shared" si="23"/>
        <v>904</v>
      </c>
      <c r="V91" s="7">
        <f t="shared" si="24"/>
        <v>811</v>
      </c>
      <c r="W91" s="7">
        <f t="shared" si="22"/>
        <v>917</v>
      </c>
      <c r="X91" s="6"/>
      <c r="Y91" s="5"/>
      <c r="Z91" s="5"/>
      <c r="AA91" s="5"/>
      <c r="AB91" s="5"/>
    </row>
    <row r="92" spans="1:28" ht="15" customHeight="1">
      <c r="A92" s="12">
        <v>78</v>
      </c>
      <c r="B92" s="11">
        <f t="shared" si="36"/>
        <v>45348</v>
      </c>
      <c r="C92" s="9">
        <f t="shared" si="37"/>
        <v>842</v>
      </c>
      <c r="D92" s="8">
        <f t="shared" si="38"/>
        <v>1467</v>
      </c>
      <c r="E92" s="4">
        <f t="shared" si="29"/>
        <v>585</v>
      </c>
      <c r="F92" s="4">
        <f t="shared" si="30"/>
        <v>500</v>
      </c>
      <c r="G92" s="4">
        <f t="shared" si="31"/>
        <v>882</v>
      </c>
      <c r="H92" s="5">
        <f t="shared" si="32"/>
        <v>1724</v>
      </c>
      <c r="I92" s="5">
        <f t="shared" si="33"/>
        <v>1809</v>
      </c>
      <c r="J92" s="5">
        <f t="shared" si="34"/>
        <v>1427</v>
      </c>
      <c r="K92" s="5">
        <f t="shared" si="39"/>
        <v>2000</v>
      </c>
      <c r="L92" s="5">
        <f t="shared" si="40"/>
        <v>2000</v>
      </c>
      <c r="M92" s="5">
        <f t="shared" si="41"/>
        <v>2000</v>
      </c>
      <c r="N92" s="5">
        <f t="shared" si="42"/>
        <v>-276</v>
      </c>
      <c r="O92" s="5">
        <f t="shared" si="43"/>
        <v>-191</v>
      </c>
      <c r="P92" s="5">
        <f t="shared" si="44"/>
        <v>-573</v>
      </c>
      <c r="Q92" s="4">
        <v>0</v>
      </c>
      <c r="R92" s="4">
        <v>2</v>
      </c>
      <c r="S92" s="4">
        <v>0</v>
      </c>
      <c r="T92" s="6">
        <f t="shared" si="35"/>
        <v>1500</v>
      </c>
      <c r="U92" s="7">
        <f t="shared" si="23"/>
        <v>904</v>
      </c>
      <c r="V92" s="7">
        <f t="shared" si="24"/>
        <v>809</v>
      </c>
      <c r="W92" s="7">
        <f t="shared" si="22"/>
        <v>917</v>
      </c>
      <c r="X92" s="6"/>
      <c r="Y92" s="5"/>
      <c r="Z92" s="5"/>
      <c r="AA92" s="5"/>
      <c r="AB92" s="5"/>
    </row>
    <row r="93" spans="1:28" ht="15" customHeight="1">
      <c r="A93" s="12">
        <v>79</v>
      </c>
      <c r="B93" s="11">
        <f t="shared" si="36"/>
        <v>45349</v>
      </c>
      <c r="C93" s="9">
        <f t="shared" si="37"/>
        <v>842</v>
      </c>
      <c r="D93" s="8">
        <f t="shared" si="38"/>
        <v>1465</v>
      </c>
      <c r="E93" s="4">
        <f t="shared" si="29"/>
        <v>583</v>
      </c>
      <c r="F93" s="4">
        <f t="shared" si="30"/>
        <v>498</v>
      </c>
      <c r="G93" s="4">
        <f t="shared" si="31"/>
        <v>880</v>
      </c>
      <c r="H93" s="5">
        <f t="shared" si="32"/>
        <v>1724</v>
      </c>
      <c r="I93" s="5">
        <f t="shared" si="33"/>
        <v>1809</v>
      </c>
      <c r="J93" s="5">
        <f t="shared" si="34"/>
        <v>1427</v>
      </c>
      <c r="K93" s="5">
        <f t="shared" si="39"/>
        <v>2000</v>
      </c>
      <c r="L93" s="5">
        <f t="shared" si="40"/>
        <v>2000</v>
      </c>
      <c r="M93" s="5">
        <f t="shared" si="41"/>
        <v>2000</v>
      </c>
      <c r="N93" s="5">
        <f t="shared" si="42"/>
        <v>-276</v>
      </c>
      <c r="O93" s="5">
        <f t="shared" si="43"/>
        <v>-191</v>
      </c>
      <c r="P93" s="5">
        <f t="shared" si="44"/>
        <v>-573</v>
      </c>
      <c r="Q93" s="4">
        <v>0</v>
      </c>
      <c r="R93" s="4">
        <v>0</v>
      </c>
      <c r="S93" s="4">
        <v>0</v>
      </c>
      <c r="T93" s="6">
        <f t="shared" si="35"/>
        <v>1498</v>
      </c>
      <c r="U93" s="7">
        <f t="shared" si="23"/>
        <v>904</v>
      </c>
      <c r="V93" s="7">
        <f t="shared" si="24"/>
        <v>809</v>
      </c>
      <c r="W93" s="7">
        <f t="shared" si="22"/>
        <v>917</v>
      </c>
      <c r="X93" s="6"/>
      <c r="Y93" s="5"/>
      <c r="Z93" s="5"/>
      <c r="AA93" s="5"/>
      <c r="AB93" s="5"/>
    </row>
    <row r="94" spans="1:28" ht="15" customHeight="1">
      <c r="A94" s="12">
        <v>80</v>
      </c>
      <c r="B94" s="11">
        <f t="shared" si="36"/>
        <v>45350</v>
      </c>
      <c r="C94" s="9">
        <f t="shared" si="37"/>
        <v>842</v>
      </c>
      <c r="D94" s="8">
        <f t="shared" si="38"/>
        <v>1463</v>
      </c>
      <c r="E94" s="4">
        <f t="shared" si="29"/>
        <v>581</v>
      </c>
      <c r="F94" s="4">
        <f t="shared" si="30"/>
        <v>496</v>
      </c>
      <c r="G94" s="4">
        <f t="shared" si="31"/>
        <v>878</v>
      </c>
      <c r="H94" s="5">
        <f t="shared" si="32"/>
        <v>1724</v>
      </c>
      <c r="I94" s="5">
        <f t="shared" si="33"/>
        <v>1809</v>
      </c>
      <c r="J94" s="5">
        <f t="shared" si="34"/>
        <v>1427</v>
      </c>
      <c r="K94" s="5">
        <f t="shared" si="39"/>
        <v>2000</v>
      </c>
      <c r="L94" s="5">
        <f t="shared" si="40"/>
        <v>2000</v>
      </c>
      <c r="M94" s="5">
        <f t="shared" si="41"/>
        <v>2000</v>
      </c>
      <c r="N94" s="5">
        <f t="shared" si="42"/>
        <v>-276</v>
      </c>
      <c r="O94" s="5">
        <f t="shared" si="43"/>
        <v>-191</v>
      </c>
      <c r="P94" s="5">
        <f t="shared" si="44"/>
        <v>-573</v>
      </c>
      <c r="Q94" s="4">
        <v>0</v>
      </c>
      <c r="R94" s="4">
        <v>0</v>
      </c>
      <c r="S94" s="4">
        <v>0</v>
      </c>
      <c r="T94" s="6">
        <f t="shared" si="35"/>
        <v>1496</v>
      </c>
      <c r="U94" s="7">
        <f t="shared" si="23"/>
        <v>904</v>
      </c>
      <c r="V94" s="7">
        <f t="shared" si="24"/>
        <v>809</v>
      </c>
      <c r="W94" s="7">
        <f t="shared" si="22"/>
        <v>917</v>
      </c>
      <c r="X94" s="6"/>
      <c r="Y94" s="5"/>
      <c r="Z94" s="5"/>
      <c r="AA94" s="5"/>
      <c r="AB94" s="5"/>
    </row>
    <row r="95" spans="1:28" ht="15" customHeight="1">
      <c r="A95" s="12">
        <v>81</v>
      </c>
      <c r="B95" s="11">
        <f t="shared" si="36"/>
        <v>45351</v>
      </c>
      <c r="C95" s="9">
        <f t="shared" si="37"/>
        <v>842</v>
      </c>
      <c r="D95" s="8">
        <f t="shared" si="38"/>
        <v>1461</v>
      </c>
      <c r="E95" s="4">
        <f t="shared" si="29"/>
        <v>579</v>
      </c>
      <c r="F95" s="4">
        <f t="shared" si="30"/>
        <v>494</v>
      </c>
      <c r="G95" s="4">
        <f t="shared" si="31"/>
        <v>876</v>
      </c>
      <c r="H95" s="5">
        <f t="shared" si="32"/>
        <v>1724</v>
      </c>
      <c r="I95" s="5">
        <f t="shared" si="33"/>
        <v>1809</v>
      </c>
      <c r="J95" s="5">
        <f t="shared" si="34"/>
        <v>1427</v>
      </c>
      <c r="K95" s="5">
        <f t="shared" si="39"/>
        <v>2000</v>
      </c>
      <c r="L95" s="5">
        <f t="shared" si="40"/>
        <v>2000</v>
      </c>
      <c r="M95" s="5">
        <f t="shared" si="41"/>
        <v>2000</v>
      </c>
      <c r="N95" s="5">
        <f t="shared" si="42"/>
        <v>-276</v>
      </c>
      <c r="O95" s="5">
        <f t="shared" si="43"/>
        <v>-191</v>
      </c>
      <c r="P95" s="5">
        <f t="shared" si="44"/>
        <v>-573</v>
      </c>
      <c r="Q95" s="4">
        <v>0</v>
      </c>
      <c r="R95" s="4">
        <v>0</v>
      </c>
      <c r="S95" s="4">
        <v>0</v>
      </c>
      <c r="T95" s="6">
        <f t="shared" si="35"/>
        <v>1494</v>
      </c>
      <c r="U95" s="7">
        <f t="shared" si="23"/>
        <v>904</v>
      </c>
      <c r="V95" s="7">
        <f t="shared" si="24"/>
        <v>809</v>
      </c>
      <c r="W95" s="7">
        <f t="shared" si="22"/>
        <v>917</v>
      </c>
      <c r="X95" s="6"/>
      <c r="Y95" s="5"/>
      <c r="Z95" s="5"/>
      <c r="AA95" s="5"/>
      <c r="AB95" s="5"/>
    </row>
    <row r="96" spans="1:28" ht="15" customHeight="1">
      <c r="A96" s="12">
        <v>82</v>
      </c>
      <c r="B96" s="11">
        <f t="shared" si="36"/>
        <v>45352</v>
      </c>
      <c r="C96" s="9">
        <f t="shared" si="37"/>
        <v>842</v>
      </c>
      <c r="D96" s="8">
        <f t="shared" si="38"/>
        <v>1459</v>
      </c>
      <c r="E96" s="4">
        <f t="shared" si="29"/>
        <v>577</v>
      </c>
      <c r="F96" s="4">
        <f t="shared" si="30"/>
        <v>492</v>
      </c>
      <c r="G96" s="4">
        <f t="shared" si="31"/>
        <v>874</v>
      </c>
      <c r="H96" s="5">
        <f t="shared" si="32"/>
        <v>1724</v>
      </c>
      <c r="I96" s="5">
        <f t="shared" si="33"/>
        <v>1809</v>
      </c>
      <c r="J96" s="5">
        <f t="shared" si="34"/>
        <v>1427</v>
      </c>
      <c r="K96" s="5">
        <f t="shared" si="39"/>
        <v>2000</v>
      </c>
      <c r="L96" s="5">
        <f t="shared" si="40"/>
        <v>2000</v>
      </c>
      <c r="M96" s="5">
        <f t="shared" si="41"/>
        <v>2000</v>
      </c>
      <c r="N96" s="5">
        <f t="shared" si="42"/>
        <v>-276</v>
      </c>
      <c r="O96" s="5">
        <f t="shared" si="43"/>
        <v>-191</v>
      </c>
      <c r="P96" s="5">
        <f t="shared" si="44"/>
        <v>-573</v>
      </c>
      <c r="Q96" s="4">
        <v>0</v>
      </c>
      <c r="R96" s="4">
        <v>0</v>
      </c>
      <c r="S96" s="4">
        <v>0</v>
      </c>
      <c r="T96" s="6">
        <f t="shared" si="35"/>
        <v>1492</v>
      </c>
      <c r="U96" s="7">
        <f t="shared" si="23"/>
        <v>904</v>
      </c>
      <c r="V96" s="7">
        <f t="shared" si="24"/>
        <v>809</v>
      </c>
      <c r="W96" s="7">
        <f t="shared" ref="W96:W159" si="45">W95+$X96*1000-S96</f>
        <v>917</v>
      </c>
      <c r="X96" s="6"/>
      <c r="Y96" s="5"/>
      <c r="Z96" s="5"/>
      <c r="AA96" s="5"/>
      <c r="AB96" s="5"/>
    </row>
    <row r="97" spans="1:28" ht="15" customHeight="1">
      <c r="A97" s="12">
        <v>83</v>
      </c>
      <c r="B97" s="11">
        <f t="shared" si="36"/>
        <v>45353</v>
      </c>
      <c r="C97" s="9">
        <f t="shared" si="37"/>
        <v>842</v>
      </c>
      <c r="D97" s="8">
        <f t="shared" si="38"/>
        <v>1457</v>
      </c>
      <c r="E97" s="4">
        <f t="shared" si="29"/>
        <v>575</v>
      </c>
      <c r="F97" s="4">
        <f t="shared" si="30"/>
        <v>490</v>
      </c>
      <c r="G97" s="4">
        <f t="shared" si="31"/>
        <v>872</v>
      </c>
      <c r="H97" s="5">
        <f t="shared" si="32"/>
        <v>1724</v>
      </c>
      <c r="I97" s="5">
        <f t="shared" si="33"/>
        <v>1809</v>
      </c>
      <c r="J97" s="5">
        <f t="shared" si="34"/>
        <v>1427</v>
      </c>
      <c r="K97" s="5">
        <f t="shared" si="39"/>
        <v>2000</v>
      </c>
      <c r="L97" s="5">
        <f t="shared" si="40"/>
        <v>2000</v>
      </c>
      <c r="M97" s="5">
        <f t="shared" si="41"/>
        <v>2000</v>
      </c>
      <c r="N97" s="5">
        <f t="shared" si="42"/>
        <v>-276</v>
      </c>
      <c r="O97" s="5">
        <f t="shared" si="43"/>
        <v>-191</v>
      </c>
      <c r="P97" s="5">
        <f t="shared" si="44"/>
        <v>-573</v>
      </c>
      <c r="Q97" s="4">
        <v>0</v>
      </c>
      <c r="R97" s="4">
        <v>0</v>
      </c>
      <c r="S97" s="4">
        <v>0</v>
      </c>
      <c r="T97" s="6">
        <f t="shared" si="35"/>
        <v>1490</v>
      </c>
      <c r="U97" s="7">
        <f t="shared" si="23"/>
        <v>904</v>
      </c>
      <c r="V97" s="7">
        <f t="shared" si="24"/>
        <v>809</v>
      </c>
      <c r="W97" s="7">
        <f t="shared" si="45"/>
        <v>917</v>
      </c>
      <c r="X97" s="6"/>
      <c r="Y97" s="5"/>
      <c r="Z97" s="5"/>
      <c r="AA97" s="5"/>
      <c r="AB97" s="5"/>
    </row>
    <row r="98" spans="1:28" ht="15" customHeight="1">
      <c r="A98" s="12">
        <v>84</v>
      </c>
      <c r="B98" s="11">
        <f t="shared" si="36"/>
        <v>45354</v>
      </c>
      <c r="C98" s="9">
        <f t="shared" si="37"/>
        <v>842</v>
      </c>
      <c r="D98" s="8">
        <f t="shared" si="38"/>
        <v>1455</v>
      </c>
      <c r="E98" s="4">
        <f t="shared" si="29"/>
        <v>573</v>
      </c>
      <c r="F98" s="4">
        <f t="shared" si="30"/>
        <v>488</v>
      </c>
      <c r="G98" s="4">
        <f t="shared" si="31"/>
        <v>870</v>
      </c>
      <c r="H98" s="5">
        <f t="shared" si="32"/>
        <v>1724</v>
      </c>
      <c r="I98" s="5">
        <f t="shared" si="33"/>
        <v>1809</v>
      </c>
      <c r="J98" s="5">
        <f t="shared" si="34"/>
        <v>1427</v>
      </c>
      <c r="K98" s="5">
        <f t="shared" si="39"/>
        <v>2000</v>
      </c>
      <c r="L98" s="5">
        <f t="shared" si="40"/>
        <v>2000</v>
      </c>
      <c r="M98" s="5">
        <f t="shared" si="41"/>
        <v>2000</v>
      </c>
      <c r="N98" s="5">
        <f t="shared" si="42"/>
        <v>-276</v>
      </c>
      <c r="O98" s="5">
        <f t="shared" si="43"/>
        <v>-191</v>
      </c>
      <c r="P98" s="5">
        <f t="shared" si="44"/>
        <v>-573</v>
      </c>
      <c r="Q98" s="4">
        <v>0</v>
      </c>
      <c r="R98" s="4">
        <v>0</v>
      </c>
      <c r="S98" s="4">
        <v>0</v>
      </c>
      <c r="T98" s="6">
        <f t="shared" si="35"/>
        <v>1488</v>
      </c>
      <c r="U98" s="7">
        <f t="shared" si="23"/>
        <v>904</v>
      </c>
      <c r="V98" s="7">
        <f t="shared" si="24"/>
        <v>809</v>
      </c>
      <c r="W98" s="7">
        <f t="shared" si="45"/>
        <v>917</v>
      </c>
      <c r="X98" s="6"/>
      <c r="Y98" s="5"/>
      <c r="Z98" s="5"/>
      <c r="AA98" s="5"/>
      <c r="AB98" s="5"/>
    </row>
    <row r="99" spans="1:28" ht="15" customHeight="1">
      <c r="A99" s="12">
        <v>85</v>
      </c>
      <c r="B99" s="11">
        <f t="shared" si="36"/>
        <v>45355</v>
      </c>
      <c r="C99" s="9">
        <f t="shared" si="37"/>
        <v>842</v>
      </c>
      <c r="D99" s="8">
        <f t="shared" si="38"/>
        <v>1453</v>
      </c>
      <c r="E99" s="4">
        <f t="shared" si="29"/>
        <v>571</v>
      </c>
      <c r="F99" s="4">
        <f t="shared" si="30"/>
        <v>486</v>
      </c>
      <c r="G99" s="4">
        <f t="shared" si="31"/>
        <v>868</v>
      </c>
      <c r="H99" s="5">
        <f t="shared" si="32"/>
        <v>1724</v>
      </c>
      <c r="I99" s="5">
        <f t="shared" si="33"/>
        <v>1809</v>
      </c>
      <c r="J99" s="5">
        <f t="shared" si="34"/>
        <v>1427</v>
      </c>
      <c r="K99" s="5">
        <f t="shared" si="39"/>
        <v>2000</v>
      </c>
      <c r="L99" s="5">
        <f t="shared" si="40"/>
        <v>2000</v>
      </c>
      <c r="M99" s="5">
        <f t="shared" si="41"/>
        <v>2000</v>
      </c>
      <c r="N99" s="5">
        <f t="shared" si="42"/>
        <v>-276</v>
      </c>
      <c r="O99" s="5">
        <f t="shared" si="43"/>
        <v>-191</v>
      </c>
      <c r="P99" s="5">
        <f t="shared" si="44"/>
        <v>-573</v>
      </c>
      <c r="Q99" s="4">
        <v>0</v>
      </c>
      <c r="R99" s="4">
        <v>0</v>
      </c>
      <c r="S99" s="4">
        <v>0</v>
      </c>
      <c r="T99" s="6">
        <f t="shared" si="35"/>
        <v>1486</v>
      </c>
      <c r="U99" s="7">
        <f t="shared" si="23"/>
        <v>904</v>
      </c>
      <c r="V99" s="7">
        <f t="shared" si="24"/>
        <v>809</v>
      </c>
      <c r="W99" s="7">
        <f t="shared" si="45"/>
        <v>917</v>
      </c>
      <c r="X99" s="6"/>
      <c r="Y99" s="5"/>
      <c r="Z99" s="5"/>
      <c r="AA99" s="5"/>
      <c r="AB99" s="5"/>
    </row>
    <row r="100" spans="1:28" ht="15" customHeight="1">
      <c r="A100" s="12">
        <v>86</v>
      </c>
      <c r="B100" s="11">
        <f t="shared" si="36"/>
        <v>45356</v>
      </c>
      <c r="C100" s="9">
        <f t="shared" si="37"/>
        <v>842</v>
      </c>
      <c r="D100" s="8">
        <f t="shared" si="38"/>
        <v>1451</v>
      </c>
      <c r="E100" s="4">
        <f t="shared" si="29"/>
        <v>569</v>
      </c>
      <c r="F100" s="4">
        <f t="shared" si="30"/>
        <v>484</v>
      </c>
      <c r="G100" s="4">
        <f t="shared" si="31"/>
        <v>866</v>
      </c>
      <c r="H100" s="5">
        <f t="shared" si="32"/>
        <v>1724</v>
      </c>
      <c r="I100" s="5">
        <f t="shared" si="33"/>
        <v>1809</v>
      </c>
      <c r="J100" s="5">
        <f t="shared" si="34"/>
        <v>1427</v>
      </c>
      <c r="K100" s="5">
        <f t="shared" si="39"/>
        <v>2000</v>
      </c>
      <c r="L100" s="5">
        <f t="shared" si="40"/>
        <v>2000</v>
      </c>
      <c r="M100" s="5">
        <f t="shared" si="41"/>
        <v>2000</v>
      </c>
      <c r="N100" s="5">
        <f t="shared" si="42"/>
        <v>-276</v>
      </c>
      <c r="O100" s="5">
        <f t="shared" si="43"/>
        <v>-191</v>
      </c>
      <c r="P100" s="5">
        <f t="shared" si="44"/>
        <v>-573</v>
      </c>
      <c r="Q100" s="4">
        <v>0</v>
      </c>
      <c r="R100" s="4">
        <v>0</v>
      </c>
      <c r="S100" s="4">
        <v>0</v>
      </c>
      <c r="T100" s="6">
        <f t="shared" si="35"/>
        <v>1484</v>
      </c>
      <c r="U100" s="7">
        <f t="shared" si="23"/>
        <v>904</v>
      </c>
      <c r="V100" s="7">
        <f t="shared" si="24"/>
        <v>809</v>
      </c>
      <c r="W100" s="7">
        <f t="shared" si="45"/>
        <v>917</v>
      </c>
      <c r="X100" s="6"/>
      <c r="Y100" s="5"/>
      <c r="Z100" s="5"/>
      <c r="AA100" s="5"/>
      <c r="AB100" s="5"/>
    </row>
    <row r="101" spans="1:28" ht="15" customHeight="1">
      <c r="A101" s="12">
        <v>87</v>
      </c>
      <c r="B101" s="11">
        <f t="shared" si="36"/>
        <v>45357</v>
      </c>
      <c r="C101" s="9">
        <f t="shared" si="37"/>
        <v>842</v>
      </c>
      <c r="D101" s="8">
        <f t="shared" si="38"/>
        <v>1449</v>
      </c>
      <c r="E101" s="4">
        <f t="shared" si="29"/>
        <v>567</v>
      </c>
      <c r="F101" s="4">
        <f t="shared" si="30"/>
        <v>482</v>
      </c>
      <c r="G101" s="4">
        <f t="shared" si="31"/>
        <v>864</v>
      </c>
      <c r="H101" s="5">
        <f t="shared" si="32"/>
        <v>1724</v>
      </c>
      <c r="I101" s="5">
        <f t="shared" si="33"/>
        <v>1809</v>
      </c>
      <c r="J101" s="5">
        <f t="shared" si="34"/>
        <v>1427</v>
      </c>
      <c r="K101" s="5">
        <f t="shared" si="39"/>
        <v>2000</v>
      </c>
      <c r="L101" s="5">
        <f t="shared" si="40"/>
        <v>2000</v>
      </c>
      <c r="M101" s="5">
        <f t="shared" si="41"/>
        <v>2000</v>
      </c>
      <c r="N101" s="5">
        <f t="shared" si="42"/>
        <v>-276</v>
      </c>
      <c r="O101" s="5">
        <f t="shared" si="43"/>
        <v>-191</v>
      </c>
      <c r="P101" s="5">
        <f t="shared" si="44"/>
        <v>-573</v>
      </c>
      <c r="Q101" s="4">
        <v>0</v>
      </c>
      <c r="R101" s="4">
        <v>0</v>
      </c>
      <c r="S101" s="4">
        <v>0</v>
      </c>
      <c r="T101" s="6">
        <f t="shared" si="35"/>
        <v>1482</v>
      </c>
      <c r="U101" s="7">
        <f t="shared" si="23"/>
        <v>904</v>
      </c>
      <c r="V101" s="7">
        <f t="shared" si="24"/>
        <v>809</v>
      </c>
      <c r="W101" s="7">
        <f t="shared" si="45"/>
        <v>917</v>
      </c>
      <c r="X101" s="6"/>
      <c r="Y101" s="5"/>
      <c r="Z101" s="5"/>
      <c r="AA101" s="5"/>
      <c r="AB101" s="5"/>
    </row>
    <row r="102" spans="1:28" ht="15" customHeight="1">
      <c r="A102" s="12">
        <v>88</v>
      </c>
      <c r="B102" s="11">
        <f t="shared" si="36"/>
        <v>45358</v>
      </c>
      <c r="C102" s="9">
        <f t="shared" si="37"/>
        <v>842</v>
      </c>
      <c r="D102" s="8">
        <f t="shared" si="38"/>
        <v>1447</v>
      </c>
      <c r="E102" s="4">
        <f t="shared" si="29"/>
        <v>565</v>
      </c>
      <c r="F102" s="4">
        <f t="shared" si="30"/>
        <v>480</v>
      </c>
      <c r="G102" s="4">
        <f t="shared" si="31"/>
        <v>862</v>
      </c>
      <c r="H102" s="5">
        <f t="shared" si="32"/>
        <v>1724</v>
      </c>
      <c r="I102" s="5">
        <f t="shared" si="33"/>
        <v>1809</v>
      </c>
      <c r="J102" s="5">
        <f t="shared" si="34"/>
        <v>1427</v>
      </c>
      <c r="K102" s="5">
        <f t="shared" si="39"/>
        <v>2000</v>
      </c>
      <c r="L102" s="5">
        <f t="shared" si="40"/>
        <v>2000</v>
      </c>
      <c r="M102" s="5">
        <f t="shared" si="41"/>
        <v>2000</v>
      </c>
      <c r="N102" s="5">
        <f t="shared" si="42"/>
        <v>-276</v>
      </c>
      <c r="O102" s="5">
        <f t="shared" si="43"/>
        <v>-191</v>
      </c>
      <c r="P102" s="5">
        <f t="shared" si="44"/>
        <v>-573</v>
      </c>
      <c r="Q102" s="4">
        <v>0</v>
      </c>
      <c r="R102" s="4">
        <v>0</v>
      </c>
      <c r="S102" s="4">
        <v>0</v>
      </c>
      <c r="T102" s="6">
        <f t="shared" si="35"/>
        <v>1480</v>
      </c>
      <c r="U102" s="7">
        <f t="shared" ref="U102:U165" si="46">U101+$X102*1000-Q102</f>
        <v>904</v>
      </c>
      <c r="V102" s="7">
        <f t="shared" ref="V102:V165" si="47">V101+$X102*1000-R102</f>
        <v>809</v>
      </c>
      <c r="W102" s="7">
        <f t="shared" si="45"/>
        <v>917</v>
      </c>
      <c r="X102" s="6"/>
      <c r="Y102" s="5"/>
      <c r="Z102" s="5"/>
      <c r="AA102" s="5"/>
      <c r="AB102" s="5"/>
    </row>
    <row r="103" spans="1:28" ht="15" customHeight="1">
      <c r="A103" s="12">
        <v>89</v>
      </c>
      <c r="B103" s="11">
        <f t="shared" si="36"/>
        <v>45359</v>
      </c>
      <c r="C103" s="9">
        <f t="shared" si="37"/>
        <v>842</v>
      </c>
      <c r="D103" s="8">
        <f t="shared" si="38"/>
        <v>1445</v>
      </c>
      <c r="E103" s="4">
        <f t="shared" si="29"/>
        <v>563</v>
      </c>
      <c r="F103" s="4">
        <f t="shared" si="30"/>
        <v>478</v>
      </c>
      <c r="G103" s="4">
        <f t="shared" si="31"/>
        <v>860</v>
      </c>
      <c r="H103" s="5">
        <f t="shared" si="32"/>
        <v>1724</v>
      </c>
      <c r="I103" s="5">
        <f t="shared" si="33"/>
        <v>1809</v>
      </c>
      <c r="J103" s="5">
        <f t="shared" si="34"/>
        <v>1427</v>
      </c>
      <c r="K103" s="5">
        <f t="shared" si="39"/>
        <v>2000</v>
      </c>
      <c r="L103" s="5">
        <f t="shared" si="40"/>
        <v>2000</v>
      </c>
      <c r="M103" s="5">
        <f t="shared" si="41"/>
        <v>2000</v>
      </c>
      <c r="N103" s="5">
        <f t="shared" si="42"/>
        <v>-276</v>
      </c>
      <c r="O103" s="5">
        <f t="shared" si="43"/>
        <v>-191</v>
      </c>
      <c r="P103" s="5">
        <f t="shared" si="44"/>
        <v>-573</v>
      </c>
      <c r="Q103" s="4">
        <v>0</v>
      </c>
      <c r="R103" s="4">
        <v>0</v>
      </c>
      <c r="S103" s="4">
        <v>0</v>
      </c>
      <c r="T103" s="6">
        <f t="shared" si="35"/>
        <v>1478</v>
      </c>
      <c r="U103" s="7">
        <f t="shared" si="46"/>
        <v>904</v>
      </c>
      <c r="V103" s="7">
        <f t="shared" si="47"/>
        <v>809</v>
      </c>
      <c r="W103" s="7">
        <f t="shared" si="45"/>
        <v>917</v>
      </c>
      <c r="X103" s="6"/>
      <c r="Y103" s="5"/>
      <c r="Z103" s="5"/>
      <c r="AA103" s="5"/>
      <c r="AB103" s="5"/>
    </row>
    <row r="104" spans="1:28" ht="15" customHeight="1">
      <c r="A104" s="12">
        <v>90</v>
      </c>
      <c r="B104" s="11">
        <f t="shared" si="36"/>
        <v>45360</v>
      </c>
      <c r="C104" s="9">
        <f t="shared" si="37"/>
        <v>842</v>
      </c>
      <c r="D104" s="8">
        <f t="shared" si="38"/>
        <v>1443</v>
      </c>
      <c r="E104" s="4">
        <f t="shared" si="29"/>
        <v>561</v>
      </c>
      <c r="F104" s="4">
        <f t="shared" si="30"/>
        <v>476</v>
      </c>
      <c r="G104" s="4">
        <f t="shared" si="31"/>
        <v>858</v>
      </c>
      <c r="H104" s="5">
        <f t="shared" si="32"/>
        <v>1724</v>
      </c>
      <c r="I104" s="5">
        <f t="shared" si="33"/>
        <v>1809</v>
      </c>
      <c r="J104" s="5">
        <f t="shared" si="34"/>
        <v>1427</v>
      </c>
      <c r="K104" s="5">
        <f t="shared" si="39"/>
        <v>2000</v>
      </c>
      <c r="L104" s="5">
        <f t="shared" si="40"/>
        <v>2000</v>
      </c>
      <c r="M104" s="5">
        <f t="shared" si="41"/>
        <v>2000</v>
      </c>
      <c r="N104" s="5">
        <f t="shared" si="42"/>
        <v>-276</v>
      </c>
      <c r="O104" s="5">
        <f t="shared" si="43"/>
        <v>-191</v>
      </c>
      <c r="P104" s="5">
        <f t="shared" si="44"/>
        <v>-573</v>
      </c>
      <c r="Q104" s="4">
        <v>0</v>
      </c>
      <c r="R104" s="4">
        <v>0</v>
      </c>
      <c r="S104" s="4">
        <v>0</v>
      </c>
      <c r="T104" s="6">
        <f t="shared" si="35"/>
        <v>1476</v>
      </c>
      <c r="U104" s="7">
        <f t="shared" si="46"/>
        <v>904</v>
      </c>
      <c r="V104" s="7">
        <f t="shared" si="47"/>
        <v>809</v>
      </c>
      <c r="W104" s="7">
        <f t="shared" si="45"/>
        <v>917</v>
      </c>
      <c r="X104" s="6"/>
      <c r="Y104" s="5"/>
      <c r="Z104" s="5"/>
      <c r="AA104" s="5"/>
      <c r="AB104" s="5"/>
    </row>
    <row r="105" spans="1:28" ht="15" customHeight="1">
      <c r="A105" s="12">
        <v>91</v>
      </c>
      <c r="B105" s="11">
        <f t="shared" si="36"/>
        <v>45361</v>
      </c>
      <c r="C105" s="9">
        <f t="shared" si="37"/>
        <v>842</v>
      </c>
      <c r="D105" s="8">
        <f t="shared" si="38"/>
        <v>1441</v>
      </c>
      <c r="E105" s="4">
        <f t="shared" si="29"/>
        <v>559</v>
      </c>
      <c r="F105" s="4">
        <f t="shared" si="30"/>
        <v>474</v>
      </c>
      <c r="G105" s="4">
        <f t="shared" si="31"/>
        <v>856</v>
      </c>
      <c r="H105" s="5">
        <f t="shared" si="32"/>
        <v>1724</v>
      </c>
      <c r="I105" s="5">
        <f t="shared" si="33"/>
        <v>1809</v>
      </c>
      <c r="J105" s="5">
        <f t="shared" si="34"/>
        <v>1427</v>
      </c>
      <c r="K105" s="5">
        <f t="shared" si="39"/>
        <v>2000</v>
      </c>
      <c r="L105" s="5">
        <f t="shared" si="40"/>
        <v>2000</v>
      </c>
      <c r="M105" s="5">
        <f t="shared" si="41"/>
        <v>2000</v>
      </c>
      <c r="N105" s="5">
        <f t="shared" si="42"/>
        <v>-276</v>
      </c>
      <c r="O105" s="5">
        <f t="shared" si="43"/>
        <v>-191</v>
      </c>
      <c r="P105" s="5">
        <f t="shared" si="44"/>
        <v>-573</v>
      </c>
      <c r="Q105" s="4">
        <v>0</v>
      </c>
      <c r="R105" s="4">
        <v>0</v>
      </c>
      <c r="S105" s="4">
        <v>0</v>
      </c>
      <c r="T105" s="6">
        <f t="shared" si="35"/>
        <v>1474</v>
      </c>
      <c r="U105" s="7">
        <f t="shared" si="46"/>
        <v>904</v>
      </c>
      <c r="V105" s="7">
        <f t="shared" si="47"/>
        <v>809</v>
      </c>
      <c r="W105" s="7">
        <f t="shared" si="45"/>
        <v>917</v>
      </c>
      <c r="X105" s="6"/>
      <c r="Y105" s="5"/>
      <c r="Z105" s="5"/>
      <c r="AA105" s="5"/>
      <c r="AB105" s="5"/>
    </row>
    <row r="106" spans="1:28" ht="15" customHeight="1">
      <c r="A106" s="12">
        <v>92</v>
      </c>
      <c r="B106" s="11">
        <f t="shared" si="36"/>
        <v>45362</v>
      </c>
      <c r="C106" s="9">
        <f t="shared" si="37"/>
        <v>842</v>
      </c>
      <c r="D106" s="8">
        <f t="shared" si="38"/>
        <v>1439</v>
      </c>
      <c r="E106" s="4">
        <f t="shared" si="29"/>
        <v>557</v>
      </c>
      <c r="F106" s="4">
        <f t="shared" si="30"/>
        <v>472</v>
      </c>
      <c r="G106" s="4">
        <f t="shared" si="31"/>
        <v>854</v>
      </c>
      <c r="H106" s="5">
        <f t="shared" si="32"/>
        <v>1724</v>
      </c>
      <c r="I106" s="5">
        <f t="shared" si="33"/>
        <v>1809</v>
      </c>
      <c r="J106" s="5">
        <f t="shared" si="34"/>
        <v>1427</v>
      </c>
      <c r="K106" s="5">
        <f t="shared" si="39"/>
        <v>2000</v>
      </c>
      <c r="L106" s="5">
        <f t="shared" si="40"/>
        <v>2000</v>
      </c>
      <c r="M106" s="5">
        <f t="shared" si="41"/>
        <v>2000</v>
      </c>
      <c r="N106" s="5">
        <f t="shared" si="42"/>
        <v>-276</v>
      </c>
      <c r="O106" s="5">
        <f t="shared" si="43"/>
        <v>-191</v>
      </c>
      <c r="P106" s="5">
        <f t="shared" si="44"/>
        <v>-573</v>
      </c>
      <c r="Q106" s="4">
        <v>0</v>
      </c>
      <c r="R106" s="4">
        <v>0</v>
      </c>
      <c r="S106" s="4">
        <v>0</v>
      </c>
      <c r="T106" s="6">
        <f t="shared" si="35"/>
        <v>1472</v>
      </c>
      <c r="U106" s="7">
        <f t="shared" si="46"/>
        <v>904</v>
      </c>
      <c r="V106" s="7">
        <f t="shared" si="47"/>
        <v>809</v>
      </c>
      <c r="W106" s="7">
        <f t="shared" si="45"/>
        <v>917</v>
      </c>
      <c r="X106" s="6"/>
      <c r="Y106" s="5"/>
      <c r="Z106" s="5"/>
      <c r="AA106" s="5"/>
      <c r="AB106" s="5"/>
    </row>
    <row r="107" spans="1:28" ht="15" customHeight="1">
      <c r="A107" s="12">
        <v>93</v>
      </c>
      <c r="B107" s="11">
        <f t="shared" si="36"/>
        <v>45363</v>
      </c>
      <c r="C107" s="9">
        <f t="shared" si="37"/>
        <v>842</v>
      </c>
      <c r="D107" s="8">
        <f t="shared" si="38"/>
        <v>1437</v>
      </c>
      <c r="E107" s="4">
        <f t="shared" si="29"/>
        <v>555</v>
      </c>
      <c r="F107" s="4">
        <f t="shared" si="30"/>
        <v>470</v>
      </c>
      <c r="G107" s="4">
        <f t="shared" si="31"/>
        <v>852</v>
      </c>
      <c r="H107" s="5">
        <f t="shared" si="32"/>
        <v>1724</v>
      </c>
      <c r="I107" s="5">
        <f t="shared" si="33"/>
        <v>1809</v>
      </c>
      <c r="J107" s="5">
        <f t="shared" si="34"/>
        <v>1427</v>
      </c>
      <c r="K107" s="5">
        <f t="shared" si="39"/>
        <v>2000</v>
      </c>
      <c r="L107" s="5">
        <f t="shared" si="40"/>
        <v>2000</v>
      </c>
      <c r="M107" s="5">
        <f t="shared" si="41"/>
        <v>2000</v>
      </c>
      <c r="N107" s="5">
        <f t="shared" si="42"/>
        <v>-276</v>
      </c>
      <c r="O107" s="5">
        <f t="shared" si="43"/>
        <v>-191</v>
      </c>
      <c r="P107" s="5">
        <f t="shared" si="44"/>
        <v>-573</v>
      </c>
      <c r="Q107" s="4">
        <v>0</v>
      </c>
      <c r="R107" s="4">
        <v>0</v>
      </c>
      <c r="S107" s="4">
        <v>0</v>
      </c>
      <c r="T107" s="6">
        <f t="shared" si="35"/>
        <v>1470</v>
      </c>
      <c r="U107" s="7">
        <f t="shared" si="46"/>
        <v>904</v>
      </c>
      <c r="V107" s="7">
        <f t="shared" si="47"/>
        <v>809</v>
      </c>
      <c r="W107" s="7">
        <f t="shared" si="45"/>
        <v>917</v>
      </c>
      <c r="X107" s="6"/>
      <c r="Y107" s="5"/>
      <c r="Z107" s="5"/>
      <c r="AA107" s="5"/>
      <c r="AB107" s="5"/>
    </row>
    <row r="108" spans="1:28" ht="15" customHeight="1">
      <c r="A108" s="12">
        <v>94</v>
      </c>
      <c r="B108" s="11">
        <f t="shared" si="36"/>
        <v>45364</v>
      </c>
      <c r="C108" s="9">
        <f t="shared" si="37"/>
        <v>842</v>
      </c>
      <c r="D108" s="8">
        <f t="shared" si="38"/>
        <v>1435</v>
      </c>
      <c r="E108" s="4">
        <f t="shared" si="29"/>
        <v>553</v>
      </c>
      <c r="F108" s="4">
        <f t="shared" si="30"/>
        <v>468</v>
      </c>
      <c r="G108" s="4">
        <f t="shared" si="31"/>
        <v>850</v>
      </c>
      <c r="H108" s="5">
        <f t="shared" si="32"/>
        <v>1724</v>
      </c>
      <c r="I108" s="5">
        <f t="shared" si="33"/>
        <v>1809</v>
      </c>
      <c r="J108" s="5">
        <f t="shared" si="34"/>
        <v>1427</v>
      </c>
      <c r="K108" s="5">
        <f t="shared" si="39"/>
        <v>2000</v>
      </c>
      <c r="L108" s="5">
        <f t="shared" si="40"/>
        <v>2000</v>
      </c>
      <c r="M108" s="5">
        <f t="shared" si="41"/>
        <v>2000</v>
      </c>
      <c r="N108" s="5">
        <f t="shared" si="42"/>
        <v>-276</v>
      </c>
      <c r="O108" s="5">
        <f t="shared" si="43"/>
        <v>-191</v>
      </c>
      <c r="P108" s="5">
        <f t="shared" si="44"/>
        <v>-573</v>
      </c>
      <c r="Q108" s="4">
        <v>0</v>
      </c>
      <c r="R108" s="4">
        <v>0</v>
      </c>
      <c r="S108" s="4">
        <v>0</v>
      </c>
      <c r="T108" s="6">
        <f t="shared" si="35"/>
        <v>1468</v>
      </c>
      <c r="U108" s="7">
        <f t="shared" si="46"/>
        <v>904</v>
      </c>
      <c r="V108" s="7">
        <f t="shared" si="47"/>
        <v>809</v>
      </c>
      <c r="W108" s="7">
        <f t="shared" si="45"/>
        <v>917</v>
      </c>
      <c r="X108" s="6"/>
      <c r="Y108" s="5"/>
      <c r="Z108" s="5"/>
      <c r="AA108" s="5"/>
      <c r="AB108" s="5"/>
    </row>
    <row r="109" spans="1:28" ht="15" customHeight="1">
      <c r="A109" s="12">
        <v>95</v>
      </c>
      <c r="B109" s="11">
        <f t="shared" si="36"/>
        <v>45365</v>
      </c>
      <c r="C109" s="9">
        <f t="shared" si="37"/>
        <v>842</v>
      </c>
      <c r="D109" s="8">
        <f t="shared" si="38"/>
        <v>1433</v>
      </c>
      <c r="E109" s="4">
        <f t="shared" si="29"/>
        <v>551</v>
      </c>
      <c r="F109" s="4">
        <f t="shared" si="30"/>
        <v>466</v>
      </c>
      <c r="G109" s="4">
        <f t="shared" si="31"/>
        <v>848</v>
      </c>
      <c r="H109" s="5">
        <f t="shared" si="32"/>
        <v>1724</v>
      </c>
      <c r="I109" s="5">
        <f t="shared" si="33"/>
        <v>1809</v>
      </c>
      <c r="J109" s="5">
        <f t="shared" si="34"/>
        <v>1427</v>
      </c>
      <c r="K109" s="5">
        <f t="shared" si="39"/>
        <v>2000</v>
      </c>
      <c r="L109" s="5">
        <f t="shared" si="40"/>
        <v>2000</v>
      </c>
      <c r="M109" s="5">
        <f t="shared" si="41"/>
        <v>2000</v>
      </c>
      <c r="N109" s="5">
        <f t="shared" si="42"/>
        <v>-276</v>
      </c>
      <c r="O109" s="5">
        <f t="shared" si="43"/>
        <v>-191</v>
      </c>
      <c r="P109" s="5">
        <f t="shared" si="44"/>
        <v>-573</v>
      </c>
      <c r="Q109" s="4">
        <v>0</v>
      </c>
      <c r="R109" s="4">
        <v>0</v>
      </c>
      <c r="S109" s="4">
        <v>0</v>
      </c>
      <c r="T109" s="6">
        <f t="shared" si="35"/>
        <v>1466</v>
      </c>
      <c r="U109" s="7">
        <f t="shared" si="46"/>
        <v>904</v>
      </c>
      <c r="V109" s="7">
        <f t="shared" si="47"/>
        <v>809</v>
      </c>
      <c r="W109" s="7">
        <f t="shared" si="45"/>
        <v>917</v>
      </c>
      <c r="X109" s="6"/>
      <c r="Y109" s="5"/>
      <c r="Z109" s="5"/>
      <c r="AA109" s="5"/>
      <c r="AB109" s="5"/>
    </row>
    <row r="110" spans="1:28" ht="15" customHeight="1">
      <c r="A110" s="12">
        <v>96</v>
      </c>
      <c r="B110" s="11">
        <f t="shared" si="36"/>
        <v>45366</v>
      </c>
      <c r="C110" s="9">
        <f t="shared" si="37"/>
        <v>842</v>
      </c>
      <c r="D110" s="8">
        <f t="shared" si="38"/>
        <v>1431</v>
      </c>
      <c r="E110" s="4">
        <f t="shared" si="29"/>
        <v>549</v>
      </c>
      <c r="F110" s="4">
        <f t="shared" si="30"/>
        <v>464</v>
      </c>
      <c r="G110" s="4">
        <f t="shared" si="31"/>
        <v>846</v>
      </c>
      <c r="H110" s="5">
        <f t="shared" si="32"/>
        <v>1724</v>
      </c>
      <c r="I110" s="5">
        <f t="shared" si="33"/>
        <v>1809</v>
      </c>
      <c r="J110" s="5">
        <f t="shared" si="34"/>
        <v>1427</v>
      </c>
      <c r="K110" s="5">
        <f t="shared" si="39"/>
        <v>2000</v>
      </c>
      <c r="L110" s="5">
        <f t="shared" si="40"/>
        <v>2000</v>
      </c>
      <c r="M110" s="5">
        <f t="shared" si="41"/>
        <v>2000</v>
      </c>
      <c r="N110" s="5">
        <f t="shared" si="42"/>
        <v>-276</v>
      </c>
      <c r="O110" s="5">
        <f t="shared" si="43"/>
        <v>-191</v>
      </c>
      <c r="P110" s="5">
        <f t="shared" si="44"/>
        <v>-573</v>
      </c>
      <c r="Q110" s="4">
        <v>0</v>
      </c>
      <c r="R110" s="4">
        <v>0</v>
      </c>
      <c r="S110" s="4">
        <v>0</v>
      </c>
      <c r="T110" s="6">
        <f t="shared" si="35"/>
        <v>1464</v>
      </c>
      <c r="U110" s="7">
        <f t="shared" si="46"/>
        <v>904</v>
      </c>
      <c r="V110" s="7">
        <f t="shared" si="47"/>
        <v>809</v>
      </c>
      <c r="W110" s="7">
        <f t="shared" si="45"/>
        <v>917</v>
      </c>
      <c r="X110" s="6"/>
      <c r="Y110" s="5"/>
      <c r="Z110" s="5"/>
      <c r="AA110" s="5"/>
      <c r="AB110" s="5"/>
    </row>
    <row r="111" spans="1:28" ht="15" customHeight="1">
      <c r="A111" s="12">
        <v>97</v>
      </c>
      <c r="B111" s="11">
        <f t="shared" si="36"/>
        <v>45367</v>
      </c>
      <c r="C111" s="9">
        <f t="shared" si="37"/>
        <v>842</v>
      </c>
      <c r="D111" s="8">
        <f t="shared" ref="D111:D126" si="48">D110-2</f>
        <v>1429</v>
      </c>
      <c r="E111" s="4">
        <f t="shared" si="29"/>
        <v>547</v>
      </c>
      <c r="F111" s="4">
        <f t="shared" si="30"/>
        <v>462</v>
      </c>
      <c r="G111" s="4">
        <f t="shared" si="31"/>
        <v>844</v>
      </c>
      <c r="H111" s="5">
        <f t="shared" si="32"/>
        <v>1724</v>
      </c>
      <c r="I111" s="5">
        <f t="shared" si="33"/>
        <v>1809</v>
      </c>
      <c r="J111" s="5">
        <f t="shared" si="34"/>
        <v>1427</v>
      </c>
      <c r="K111" s="5">
        <f t="shared" ref="K111:K147" si="49">K110</f>
        <v>2000</v>
      </c>
      <c r="L111" s="5">
        <f t="shared" ref="L111:L147" si="50">L110</f>
        <v>2000</v>
      </c>
      <c r="M111" s="5">
        <f t="shared" ref="M111:M147" si="51">M110</f>
        <v>2000</v>
      </c>
      <c r="N111" s="5">
        <f t="shared" si="42"/>
        <v>-276</v>
      </c>
      <c r="O111" s="5">
        <f t="shared" si="43"/>
        <v>-191</v>
      </c>
      <c r="P111" s="5">
        <f t="shared" si="44"/>
        <v>-573</v>
      </c>
      <c r="Q111" s="4">
        <v>0</v>
      </c>
      <c r="R111" s="4">
        <v>0</v>
      </c>
      <c r="S111" s="4">
        <v>0</v>
      </c>
      <c r="T111" s="6">
        <f t="shared" si="35"/>
        <v>1462</v>
      </c>
      <c r="U111" s="7">
        <f t="shared" si="46"/>
        <v>904</v>
      </c>
      <c r="V111" s="7">
        <f t="shared" si="47"/>
        <v>809</v>
      </c>
      <c r="W111" s="7">
        <f t="shared" si="45"/>
        <v>917</v>
      </c>
      <c r="X111" s="6"/>
      <c r="Y111" s="5"/>
      <c r="Z111" s="5"/>
      <c r="AA111" s="5"/>
      <c r="AB111" s="5"/>
    </row>
    <row r="112" spans="1:28" ht="15" customHeight="1">
      <c r="A112" s="12">
        <v>98</v>
      </c>
      <c r="B112" s="11">
        <f t="shared" si="36"/>
        <v>45368</v>
      </c>
      <c r="C112" s="9">
        <f t="shared" si="37"/>
        <v>842</v>
      </c>
      <c r="D112" s="8">
        <f t="shared" si="48"/>
        <v>1427</v>
      </c>
      <c r="E112" s="4">
        <f t="shared" si="29"/>
        <v>545</v>
      </c>
      <c r="F112" s="4">
        <f t="shared" si="30"/>
        <v>460</v>
      </c>
      <c r="G112" s="4">
        <f t="shared" si="31"/>
        <v>842</v>
      </c>
      <c r="H112" s="5">
        <f t="shared" si="32"/>
        <v>1724</v>
      </c>
      <c r="I112" s="5">
        <f t="shared" si="33"/>
        <v>1809</v>
      </c>
      <c r="J112" s="5">
        <f t="shared" si="34"/>
        <v>1427</v>
      </c>
      <c r="K112" s="5">
        <f t="shared" si="49"/>
        <v>2000</v>
      </c>
      <c r="L112" s="5">
        <f t="shared" si="50"/>
        <v>2000</v>
      </c>
      <c r="M112" s="5">
        <f t="shared" si="51"/>
        <v>2000</v>
      </c>
      <c r="N112" s="5">
        <f t="shared" si="42"/>
        <v>-276</v>
      </c>
      <c r="O112" s="5">
        <f t="shared" si="43"/>
        <v>-191</v>
      </c>
      <c r="P112" s="5">
        <f t="shared" si="44"/>
        <v>-573</v>
      </c>
      <c r="Q112" s="4">
        <v>0</v>
      </c>
      <c r="R112" s="4">
        <v>0</v>
      </c>
      <c r="S112" s="4">
        <v>0</v>
      </c>
      <c r="T112" s="6">
        <f t="shared" si="35"/>
        <v>1460</v>
      </c>
      <c r="U112" s="7">
        <f t="shared" si="46"/>
        <v>904</v>
      </c>
      <c r="V112" s="7">
        <f t="shared" si="47"/>
        <v>809</v>
      </c>
      <c r="W112" s="7">
        <f t="shared" si="45"/>
        <v>917</v>
      </c>
      <c r="X112" s="6"/>
      <c r="Y112" s="5"/>
      <c r="Z112" s="5"/>
      <c r="AA112" s="5"/>
      <c r="AB112" s="5"/>
    </row>
    <row r="113" spans="1:28" ht="15" customHeight="1">
      <c r="A113" s="12">
        <v>99</v>
      </c>
      <c r="B113" s="11">
        <f t="shared" si="36"/>
        <v>45369</v>
      </c>
      <c r="C113" s="9">
        <f t="shared" si="37"/>
        <v>842</v>
      </c>
      <c r="D113" s="8">
        <f t="shared" si="48"/>
        <v>1425</v>
      </c>
      <c r="E113" s="4">
        <f t="shared" si="29"/>
        <v>543</v>
      </c>
      <c r="F113" s="4">
        <f t="shared" si="30"/>
        <v>458</v>
      </c>
      <c r="G113" s="4">
        <f t="shared" si="31"/>
        <v>840</v>
      </c>
      <c r="H113" s="5">
        <f t="shared" si="32"/>
        <v>1724</v>
      </c>
      <c r="I113" s="5">
        <f t="shared" si="33"/>
        <v>1809</v>
      </c>
      <c r="J113" s="5">
        <f t="shared" si="34"/>
        <v>1427</v>
      </c>
      <c r="K113" s="5">
        <f t="shared" si="49"/>
        <v>2000</v>
      </c>
      <c r="L113" s="5">
        <f t="shared" si="50"/>
        <v>2000</v>
      </c>
      <c r="M113" s="5">
        <f t="shared" si="51"/>
        <v>2000</v>
      </c>
      <c r="N113" s="5">
        <f t="shared" si="42"/>
        <v>-276</v>
      </c>
      <c r="O113" s="5">
        <f t="shared" si="43"/>
        <v>-191</v>
      </c>
      <c r="P113" s="5">
        <f t="shared" si="44"/>
        <v>-573</v>
      </c>
      <c r="Q113" s="4">
        <v>0</v>
      </c>
      <c r="R113" s="4">
        <v>0</v>
      </c>
      <c r="S113" s="4">
        <v>0</v>
      </c>
      <c r="T113" s="6">
        <f t="shared" si="35"/>
        <v>1458</v>
      </c>
      <c r="U113" s="7">
        <f t="shared" si="46"/>
        <v>904</v>
      </c>
      <c r="V113" s="7">
        <f t="shared" si="47"/>
        <v>809</v>
      </c>
      <c r="W113" s="7">
        <f t="shared" si="45"/>
        <v>917</v>
      </c>
      <c r="X113" s="6"/>
      <c r="Y113" s="5"/>
      <c r="Z113" s="5"/>
      <c r="AA113" s="5"/>
      <c r="AB113" s="5"/>
    </row>
    <row r="114" spans="1:28" ht="15" customHeight="1">
      <c r="A114" s="12">
        <v>100</v>
      </c>
      <c r="B114" s="11">
        <f t="shared" si="36"/>
        <v>45370</v>
      </c>
      <c r="C114" s="9">
        <f t="shared" si="37"/>
        <v>842</v>
      </c>
      <c r="D114" s="8">
        <f t="shared" si="48"/>
        <v>1423</v>
      </c>
      <c r="E114" s="4">
        <f t="shared" si="29"/>
        <v>541</v>
      </c>
      <c r="F114" s="4">
        <f t="shared" si="30"/>
        <v>456</v>
      </c>
      <c r="G114" s="4">
        <f t="shared" si="31"/>
        <v>838</v>
      </c>
      <c r="H114" s="5">
        <f t="shared" si="32"/>
        <v>1724</v>
      </c>
      <c r="I114" s="5">
        <f t="shared" si="33"/>
        <v>1809</v>
      </c>
      <c r="J114" s="5">
        <f t="shared" si="34"/>
        <v>1427</v>
      </c>
      <c r="K114" s="5">
        <f t="shared" si="49"/>
        <v>2000</v>
      </c>
      <c r="L114" s="5">
        <f t="shared" si="50"/>
        <v>2000</v>
      </c>
      <c r="M114" s="5">
        <f t="shared" si="51"/>
        <v>2000</v>
      </c>
      <c r="N114" s="5">
        <f t="shared" si="42"/>
        <v>-276</v>
      </c>
      <c r="O114" s="5">
        <f t="shared" si="43"/>
        <v>-191</v>
      </c>
      <c r="P114" s="5">
        <f t="shared" si="44"/>
        <v>-573</v>
      </c>
      <c r="Q114" s="4">
        <v>0</v>
      </c>
      <c r="R114" s="4">
        <v>0</v>
      </c>
      <c r="S114" s="4">
        <v>0</v>
      </c>
      <c r="T114" s="6">
        <f t="shared" si="35"/>
        <v>1456</v>
      </c>
      <c r="U114" s="7">
        <f t="shared" si="46"/>
        <v>904</v>
      </c>
      <c r="V114" s="7">
        <f t="shared" si="47"/>
        <v>809</v>
      </c>
      <c r="W114" s="7">
        <f t="shared" si="45"/>
        <v>917</v>
      </c>
      <c r="X114" s="6"/>
      <c r="Y114" s="5"/>
      <c r="Z114" s="5"/>
      <c r="AA114" s="5"/>
      <c r="AB114" s="5"/>
    </row>
    <row r="115" spans="1:28" ht="15" customHeight="1">
      <c r="A115" s="12">
        <v>101</v>
      </c>
      <c r="B115" s="11">
        <f t="shared" si="36"/>
        <v>45371</v>
      </c>
      <c r="C115" s="9">
        <f t="shared" si="37"/>
        <v>842</v>
      </c>
      <c r="D115" s="8">
        <f t="shared" si="48"/>
        <v>1421</v>
      </c>
      <c r="E115" s="4">
        <f t="shared" si="29"/>
        <v>539</v>
      </c>
      <c r="F115" s="4">
        <f t="shared" si="30"/>
        <v>454</v>
      </c>
      <c r="G115" s="4">
        <f t="shared" si="31"/>
        <v>836</v>
      </c>
      <c r="H115" s="5">
        <f t="shared" si="32"/>
        <v>1724</v>
      </c>
      <c r="I115" s="5">
        <f t="shared" si="33"/>
        <v>1809</v>
      </c>
      <c r="J115" s="5">
        <f t="shared" si="34"/>
        <v>1427</v>
      </c>
      <c r="K115" s="5">
        <f t="shared" si="49"/>
        <v>2000</v>
      </c>
      <c r="L115" s="5">
        <f t="shared" si="50"/>
        <v>2000</v>
      </c>
      <c r="M115" s="5">
        <f t="shared" si="51"/>
        <v>2000</v>
      </c>
      <c r="N115" s="5">
        <f t="shared" si="42"/>
        <v>-276</v>
      </c>
      <c r="O115" s="5">
        <f t="shared" si="43"/>
        <v>-191</v>
      </c>
      <c r="P115" s="5">
        <f t="shared" si="44"/>
        <v>-573</v>
      </c>
      <c r="Q115" s="4">
        <v>0</v>
      </c>
      <c r="R115" s="4">
        <v>0</v>
      </c>
      <c r="S115" s="4">
        <v>0</v>
      </c>
      <c r="T115" s="6">
        <f t="shared" si="35"/>
        <v>1454</v>
      </c>
      <c r="U115" s="7">
        <f t="shared" si="46"/>
        <v>904</v>
      </c>
      <c r="V115" s="7">
        <f t="shared" si="47"/>
        <v>809</v>
      </c>
      <c r="W115" s="7">
        <f t="shared" si="45"/>
        <v>917</v>
      </c>
      <c r="X115" s="6"/>
      <c r="Y115" s="5"/>
      <c r="Z115" s="5"/>
      <c r="AA115" s="5"/>
      <c r="AB115" s="5"/>
    </row>
    <row r="116" spans="1:28" ht="13.15" customHeight="1">
      <c r="A116" s="12">
        <v>102</v>
      </c>
      <c r="B116" s="11">
        <f t="shared" si="36"/>
        <v>45372</v>
      </c>
      <c r="C116" s="9">
        <f t="shared" si="37"/>
        <v>842</v>
      </c>
      <c r="D116" s="8">
        <f t="shared" si="48"/>
        <v>1419</v>
      </c>
      <c r="E116" s="4">
        <f t="shared" si="29"/>
        <v>537</v>
      </c>
      <c r="F116" s="4">
        <f t="shared" si="30"/>
        <v>452</v>
      </c>
      <c r="G116" s="4">
        <f t="shared" si="31"/>
        <v>834</v>
      </c>
      <c r="H116" s="5">
        <f t="shared" si="32"/>
        <v>1724</v>
      </c>
      <c r="I116" s="5">
        <f t="shared" si="33"/>
        <v>1809</v>
      </c>
      <c r="J116" s="5">
        <f t="shared" si="34"/>
        <v>1427</v>
      </c>
      <c r="K116" s="5">
        <f t="shared" si="49"/>
        <v>2000</v>
      </c>
      <c r="L116" s="5">
        <f t="shared" si="50"/>
        <v>2000</v>
      </c>
      <c r="M116" s="5">
        <f t="shared" si="51"/>
        <v>2000</v>
      </c>
      <c r="N116" s="5">
        <f t="shared" si="42"/>
        <v>-276</v>
      </c>
      <c r="O116" s="5">
        <f t="shared" si="43"/>
        <v>-191</v>
      </c>
      <c r="P116" s="5">
        <f t="shared" si="44"/>
        <v>-573</v>
      </c>
      <c r="Q116" s="4">
        <v>0</v>
      </c>
      <c r="R116" s="4">
        <v>0</v>
      </c>
      <c r="S116" s="4">
        <v>0</v>
      </c>
      <c r="T116" s="6">
        <f t="shared" si="35"/>
        <v>1452</v>
      </c>
      <c r="U116" s="7">
        <f t="shared" si="46"/>
        <v>904</v>
      </c>
      <c r="V116" s="7">
        <f t="shared" si="47"/>
        <v>809</v>
      </c>
      <c r="W116" s="7">
        <f t="shared" si="45"/>
        <v>917</v>
      </c>
      <c r="X116" s="6"/>
      <c r="Y116" s="5"/>
      <c r="Z116" s="5"/>
      <c r="AA116" s="5"/>
      <c r="AB116" s="5"/>
    </row>
    <row r="117" spans="1:28" ht="13.15" customHeight="1">
      <c r="A117" s="12">
        <v>103</v>
      </c>
      <c r="B117" s="11">
        <f t="shared" si="36"/>
        <v>45373</v>
      </c>
      <c r="C117" s="9">
        <f t="shared" si="37"/>
        <v>842</v>
      </c>
      <c r="D117" s="8">
        <f t="shared" si="48"/>
        <v>1417</v>
      </c>
      <c r="E117" s="4">
        <f t="shared" si="29"/>
        <v>535</v>
      </c>
      <c r="F117" s="4">
        <f t="shared" si="30"/>
        <v>450</v>
      </c>
      <c r="G117" s="4">
        <f t="shared" si="31"/>
        <v>832</v>
      </c>
      <c r="H117" s="5">
        <f t="shared" si="32"/>
        <v>1724</v>
      </c>
      <c r="I117" s="5">
        <f t="shared" si="33"/>
        <v>1809</v>
      </c>
      <c r="J117" s="5">
        <f t="shared" si="34"/>
        <v>1427</v>
      </c>
      <c r="K117" s="5">
        <f t="shared" si="49"/>
        <v>2000</v>
      </c>
      <c r="L117" s="5">
        <f t="shared" si="50"/>
        <v>2000</v>
      </c>
      <c r="M117" s="5">
        <f t="shared" si="51"/>
        <v>2000</v>
      </c>
      <c r="N117" s="5">
        <f t="shared" si="42"/>
        <v>-276</v>
      </c>
      <c r="O117" s="5">
        <f t="shared" si="43"/>
        <v>-191</v>
      </c>
      <c r="P117" s="5">
        <f t="shared" si="44"/>
        <v>-573</v>
      </c>
      <c r="Q117" s="4">
        <v>0</v>
      </c>
      <c r="R117" s="4">
        <v>0</v>
      </c>
      <c r="S117" s="4">
        <v>0</v>
      </c>
      <c r="T117" s="6">
        <f t="shared" si="35"/>
        <v>1450</v>
      </c>
      <c r="U117" s="7">
        <f t="shared" si="46"/>
        <v>904</v>
      </c>
      <c r="V117" s="7">
        <f t="shared" si="47"/>
        <v>809</v>
      </c>
      <c r="W117" s="7">
        <f t="shared" si="45"/>
        <v>917</v>
      </c>
      <c r="X117" s="6"/>
      <c r="Y117" s="5"/>
      <c r="Z117" s="5"/>
      <c r="AA117" s="5"/>
      <c r="AB117" s="5"/>
    </row>
    <row r="118" spans="1:28" ht="13.15" customHeight="1">
      <c r="A118" s="12">
        <v>104</v>
      </c>
      <c r="B118" s="11">
        <f t="shared" si="36"/>
        <v>45374</v>
      </c>
      <c r="C118" s="9">
        <f t="shared" si="37"/>
        <v>842</v>
      </c>
      <c r="D118" s="8">
        <f t="shared" si="48"/>
        <v>1415</v>
      </c>
      <c r="E118" s="4">
        <f t="shared" si="29"/>
        <v>533</v>
      </c>
      <c r="F118" s="4">
        <f t="shared" si="30"/>
        <v>448</v>
      </c>
      <c r="G118" s="4">
        <f t="shared" si="31"/>
        <v>830</v>
      </c>
      <c r="H118" s="5">
        <f t="shared" si="32"/>
        <v>1724</v>
      </c>
      <c r="I118" s="5">
        <f t="shared" si="33"/>
        <v>1809</v>
      </c>
      <c r="J118" s="5">
        <f t="shared" si="34"/>
        <v>1427</v>
      </c>
      <c r="K118" s="5">
        <f t="shared" si="49"/>
        <v>2000</v>
      </c>
      <c r="L118" s="5">
        <f t="shared" si="50"/>
        <v>2000</v>
      </c>
      <c r="M118" s="5">
        <f t="shared" si="51"/>
        <v>2000</v>
      </c>
      <c r="N118" s="5">
        <f t="shared" si="42"/>
        <v>-276</v>
      </c>
      <c r="O118" s="5">
        <f t="shared" si="43"/>
        <v>-191</v>
      </c>
      <c r="P118" s="5">
        <f t="shared" si="44"/>
        <v>-573</v>
      </c>
      <c r="Q118" s="4">
        <v>0</v>
      </c>
      <c r="R118" s="4">
        <v>0</v>
      </c>
      <c r="S118" s="4">
        <v>0</v>
      </c>
      <c r="T118" s="6">
        <f t="shared" si="35"/>
        <v>1448</v>
      </c>
      <c r="U118" s="7">
        <f t="shared" si="46"/>
        <v>904</v>
      </c>
      <c r="V118" s="7">
        <f t="shared" si="47"/>
        <v>809</v>
      </c>
      <c r="W118" s="7">
        <f t="shared" si="45"/>
        <v>917</v>
      </c>
      <c r="X118" s="6"/>
      <c r="Y118" s="5"/>
      <c r="Z118" s="5"/>
      <c r="AA118" s="5"/>
      <c r="AB118" s="5"/>
    </row>
    <row r="119" spans="1:28" ht="13.15" customHeight="1">
      <c r="A119" s="12">
        <v>105</v>
      </c>
      <c r="B119" s="11">
        <f t="shared" si="36"/>
        <v>45375</v>
      </c>
      <c r="C119" s="9">
        <f t="shared" si="37"/>
        <v>842</v>
      </c>
      <c r="D119" s="8">
        <f t="shared" si="48"/>
        <v>1413</v>
      </c>
      <c r="E119" s="4">
        <f t="shared" si="29"/>
        <v>531</v>
      </c>
      <c r="F119" s="4">
        <f t="shared" si="30"/>
        <v>446</v>
      </c>
      <c r="G119" s="4">
        <f t="shared" si="31"/>
        <v>828</v>
      </c>
      <c r="H119" s="5">
        <f t="shared" si="32"/>
        <v>1724</v>
      </c>
      <c r="I119" s="5">
        <f t="shared" si="33"/>
        <v>1809</v>
      </c>
      <c r="J119" s="5">
        <f t="shared" si="34"/>
        <v>1427</v>
      </c>
      <c r="K119" s="5">
        <f t="shared" si="49"/>
        <v>2000</v>
      </c>
      <c r="L119" s="5">
        <f t="shared" si="50"/>
        <v>2000</v>
      </c>
      <c r="M119" s="5">
        <f t="shared" si="51"/>
        <v>2000</v>
      </c>
      <c r="N119" s="5">
        <f t="shared" si="42"/>
        <v>-276</v>
      </c>
      <c r="O119" s="5">
        <f t="shared" si="43"/>
        <v>-191</v>
      </c>
      <c r="P119" s="5">
        <f t="shared" si="44"/>
        <v>-573</v>
      </c>
      <c r="Q119" s="4">
        <v>0</v>
      </c>
      <c r="R119" s="4">
        <v>0</v>
      </c>
      <c r="S119" s="4">
        <v>0</v>
      </c>
      <c r="T119" s="6">
        <f t="shared" si="35"/>
        <v>1446</v>
      </c>
      <c r="U119" s="7">
        <f t="shared" si="46"/>
        <v>904</v>
      </c>
      <c r="V119" s="7">
        <f t="shared" si="47"/>
        <v>809</v>
      </c>
      <c r="W119" s="7">
        <f t="shared" si="45"/>
        <v>917</v>
      </c>
      <c r="X119" s="6"/>
      <c r="Y119" s="5"/>
      <c r="Z119" s="5"/>
      <c r="AA119" s="5"/>
      <c r="AB119" s="5"/>
    </row>
    <row r="120" spans="1:28" ht="13.15" customHeight="1">
      <c r="A120" s="12">
        <v>106</v>
      </c>
      <c r="B120" s="11">
        <f t="shared" si="36"/>
        <v>45376</v>
      </c>
      <c r="C120" s="9">
        <f t="shared" si="37"/>
        <v>842</v>
      </c>
      <c r="D120" s="8">
        <f t="shared" si="48"/>
        <v>1411</v>
      </c>
      <c r="E120" s="4">
        <f t="shared" si="29"/>
        <v>529</v>
      </c>
      <c r="F120" s="4">
        <f t="shared" si="30"/>
        <v>444</v>
      </c>
      <c r="G120" s="4">
        <f t="shared" si="31"/>
        <v>826</v>
      </c>
      <c r="H120" s="5">
        <f t="shared" si="32"/>
        <v>1724</v>
      </c>
      <c r="I120" s="5">
        <f t="shared" si="33"/>
        <v>1809</v>
      </c>
      <c r="J120" s="5">
        <f t="shared" si="34"/>
        <v>1427</v>
      </c>
      <c r="K120" s="5">
        <f t="shared" si="49"/>
        <v>2000</v>
      </c>
      <c r="L120" s="5">
        <f t="shared" si="50"/>
        <v>2000</v>
      </c>
      <c r="M120" s="5">
        <f t="shared" si="51"/>
        <v>2000</v>
      </c>
      <c r="N120" s="5">
        <f t="shared" si="42"/>
        <v>-276</v>
      </c>
      <c r="O120" s="5">
        <f t="shared" si="43"/>
        <v>-191</v>
      </c>
      <c r="P120" s="5">
        <f t="shared" si="44"/>
        <v>-573</v>
      </c>
      <c r="Q120" s="4">
        <v>0</v>
      </c>
      <c r="R120" s="4">
        <v>0</v>
      </c>
      <c r="S120" s="4">
        <v>0</v>
      </c>
      <c r="T120" s="6">
        <f t="shared" si="35"/>
        <v>1444</v>
      </c>
      <c r="U120" s="7">
        <f t="shared" si="46"/>
        <v>904</v>
      </c>
      <c r="V120" s="7">
        <f t="shared" si="47"/>
        <v>809</v>
      </c>
      <c r="W120" s="7">
        <f t="shared" si="45"/>
        <v>917</v>
      </c>
      <c r="X120" s="6"/>
      <c r="Y120" s="5"/>
      <c r="Z120" s="5"/>
      <c r="AA120" s="5"/>
      <c r="AB120" s="5"/>
    </row>
    <row r="121" spans="1:28" ht="13.15" customHeight="1">
      <c r="A121" s="12">
        <v>107</v>
      </c>
      <c r="B121" s="11">
        <f t="shared" si="36"/>
        <v>45377</v>
      </c>
      <c r="C121" s="9">
        <f t="shared" si="37"/>
        <v>842</v>
      </c>
      <c r="D121" s="8">
        <f t="shared" si="48"/>
        <v>1409</v>
      </c>
      <c r="E121" s="4">
        <f t="shared" si="29"/>
        <v>527</v>
      </c>
      <c r="F121" s="4">
        <f t="shared" si="30"/>
        <v>442</v>
      </c>
      <c r="G121" s="4">
        <f t="shared" si="31"/>
        <v>824</v>
      </c>
      <c r="H121" s="5">
        <f t="shared" si="32"/>
        <v>1724</v>
      </c>
      <c r="I121" s="5">
        <f t="shared" si="33"/>
        <v>1809</v>
      </c>
      <c r="J121" s="5">
        <f t="shared" si="34"/>
        <v>1427</v>
      </c>
      <c r="K121" s="5">
        <f t="shared" si="49"/>
        <v>2000</v>
      </c>
      <c r="L121" s="5">
        <f t="shared" si="50"/>
        <v>2000</v>
      </c>
      <c r="M121" s="5">
        <f t="shared" si="51"/>
        <v>2000</v>
      </c>
      <c r="N121" s="5">
        <f t="shared" si="42"/>
        <v>-276</v>
      </c>
      <c r="O121" s="5">
        <f t="shared" si="43"/>
        <v>-191</v>
      </c>
      <c r="P121" s="5">
        <f t="shared" si="44"/>
        <v>-573</v>
      </c>
      <c r="Q121" s="4">
        <v>0</v>
      </c>
      <c r="R121" s="4">
        <v>0</v>
      </c>
      <c r="S121" s="4">
        <v>0</v>
      </c>
      <c r="T121" s="6">
        <f t="shared" si="35"/>
        <v>1442</v>
      </c>
      <c r="U121" s="7">
        <f t="shared" si="46"/>
        <v>904</v>
      </c>
      <c r="V121" s="7">
        <f t="shared" si="47"/>
        <v>809</v>
      </c>
      <c r="W121" s="7">
        <f t="shared" si="45"/>
        <v>917</v>
      </c>
      <c r="X121" s="6"/>
      <c r="Y121" s="5"/>
      <c r="Z121" s="5"/>
      <c r="AA121" s="5"/>
      <c r="AB121" s="5"/>
    </row>
    <row r="122" spans="1:28" ht="13.15" customHeight="1">
      <c r="A122" s="12">
        <v>108</v>
      </c>
      <c r="B122" s="11">
        <f t="shared" si="36"/>
        <v>45378</v>
      </c>
      <c r="C122" s="9">
        <f t="shared" si="37"/>
        <v>842</v>
      </c>
      <c r="D122" s="8">
        <f t="shared" si="48"/>
        <v>1407</v>
      </c>
      <c r="E122" s="4">
        <f t="shared" si="29"/>
        <v>525</v>
      </c>
      <c r="F122" s="4">
        <f t="shared" si="30"/>
        <v>440</v>
      </c>
      <c r="G122" s="4">
        <f t="shared" si="31"/>
        <v>822</v>
      </c>
      <c r="H122" s="5">
        <f t="shared" si="32"/>
        <v>1724</v>
      </c>
      <c r="I122" s="5">
        <f t="shared" si="33"/>
        <v>1809</v>
      </c>
      <c r="J122" s="5">
        <f t="shared" si="34"/>
        <v>1427</v>
      </c>
      <c r="K122" s="5">
        <f t="shared" si="49"/>
        <v>2000</v>
      </c>
      <c r="L122" s="5">
        <f t="shared" si="50"/>
        <v>2000</v>
      </c>
      <c r="M122" s="5">
        <f t="shared" si="51"/>
        <v>2000</v>
      </c>
      <c r="N122" s="5">
        <f t="shared" si="42"/>
        <v>-276</v>
      </c>
      <c r="O122" s="5">
        <f t="shared" si="43"/>
        <v>-191</v>
      </c>
      <c r="P122" s="5">
        <f t="shared" si="44"/>
        <v>-573</v>
      </c>
      <c r="Q122" s="4">
        <v>0</v>
      </c>
      <c r="R122" s="4">
        <v>0</v>
      </c>
      <c r="S122" s="4">
        <v>0</v>
      </c>
      <c r="T122" s="6">
        <f t="shared" si="35"/>
        <v>1440</v>
      </c>
      <c r="U122" s="7">
        <f t="shared" si="46"/>
        <v>904</v>
      </c>
      <c r="V122" s="7">
        <f t="shared" si="47"/>
        <v>809</v>
      </c>
      <c r="W122" s="7">
        <f t="shared" si="45"/>
        <v>917</v>
      </c>
      <c r="X122" s="6"/>
      <c r="Y122" s="5"/>
      <c r="Z122" s="5"/>
      <c r="AA122" s="5"/>
      <c r="AB122" s="5"/>
    </row>
    <row r="123" spans="1:28" ht="13.15" customHeight="1">
      <c r="A123" s="12">
        <v>109</v>
      </c>
      <c r="B123" s="11">
        <f t="shared" si="36"/>
        <v>45379</v>
      </c>
      <c r="C123" s="9">
        <f t="shared" si="37"/>
        <v>842</v>
      </c>
      <c r="D123" s="8">
        <f t="shared" si="48"/>
        <v>1405</v>
      </c>
      <c r="E123" s="4">
        <f t="shared" si="29"/>
        <v>523</v>
      </c>
      <c r="F123" s="4">
        <f t="shared" si="30"/>
        <v>438</v>
      </c>
      <c r="G123" s="4">
        <f t="shared" si="31"/>
        <v>820</v>
      </c>
      <c r="H123" s="5">
        <f t="shared" si="32"/>
        <v>1724</v>
      </c>
      <c r="I123" s="5">
        <f t="shared" si="33"/>
        <v>1809</v>
      </c>
      <c r="J123" s="5">
        <f t="shared" si="34"/>
        <v>1427</v>
      </c>
      <c r="K123" s="5">
        <f t="shared" si="49"/>
        <v>2000</v>
      </c>
      <c r="L123" s="5">
        <f t="shared" si="50"/>
        <v>2000</v>
      </c>
      <c r="M123" s="5">
        <f t="shared" si="51"/>
        <v>2000</v>
      </c>
      <c r="N123" s="5">
        <f t="shared" si="42"/>
        <v>-276</v>
      </c>
      <c r="O123" s="5">
        <f t="shared" si="43"/>
        <v>-191</v>
      </c>
      <c r="P123" s="5">
        <f t="shared" si="44"/>
        <v>-573</v>
      </c>
      <c r="Q123" s="4">
        <v>0</v>
      </c>
      <c r="R123" s="4">
        <v>0</v>
      </c>
      <c r="S123" s="4">
        <v>0</v>
      </c>
      <c r="T123" s="6">
        <f t="shared" si="35"/>
        <v>1438</v>
      </c>
      <c r="U123" s="7">
        <f t="shared" si="46"/>
        <v>904</v>
      </c>
      <c r="V123" s="7">
        <f t="shared" si="47"/>
        <v>809</v>
      </c>
      <c r="W123" s="7">
        <f t="shared" si="45"/>
        <v>917</v>
      </c>
      <c r="X123" s="6"/>
      <c r="Y123" s="5"/>
      <c r="Z123" s="5"/>
      <c r="AA123" s="5"/>
      <c r="AB123" s="5"/>
    </row>
    <row r="124" spans="1:28" ht="13.15" customHeight="1">
      <c r="A124" s="12">
        <v>110</v>
      </c>
      <c r="B124" s="11">
        <f t="shared" si="36"/>
        <v>45380</v>
      </c>
      <c r="C124" s="9">
        <f t="shared" si="37"/>
        <v>842</v>
      </c>
      <c r="D124" s="8">
        <f t="shared" si="48"/>
        <v>1403</v>
      </c>
      <c r="E124" s="4">
        <f t="shared" si="29"/>
        <v>521</v>
      </c>
      <c r="F124" s="4">
        <f t="shared" si="30"/>
        <v>436</v>
      </c>
      <c r="G124" s="4">
        <f t="shared" si="31"/>
        <v>818</v>
      </c>
      <c r="H124" s="5">
        <f t="shared" si="32"/>
        <v>1724</v>
      </c>
      <c r="I124" s="5">
        <f t="shared" si="33"/>
        <v>1809</v>
      </c>
      <c r="J124" s="5">
        <f t="shared" si="34"/>
        <v>1427</v>
      </c>
      <c r="K124" s="5">
        <f t="shared" si="49"/>
        <v>2000</v>
      </c>
      <c r="L124" s="5">
        <f t="shared" si="50"/>
        <v>2000</v>
      </c>
      <c r="M124" s="5">
        <f t="shared" si="51"/>
        <v>2000</v>
      </c>
      <c r="N124" s="5">
        <f t="shared" si="42"/>
        <v>-276</v>
      </c>
      <c r="O124" s="5">
        <f t="shared" si="43"/>
        <v>-191</v>
      </c>
      <c r="P124" s="5">
        <f t="shared" si="44"/>
        <v>-573</v>
      </c>
      <c r="Q124" s="4">
        <v>0</v>
      </c>
      <c r="R124" s="4">
        <v>0</v>
      </c>
      <c r="S124" s="4">
        <v>0</v>
      </c>
      <c r="T124" s="6">
        <f t="shared" si="35"/>
        <v>1436</v>
      </c>
      <c r="U124" s="7">
        <f t="shared" si="46"/>
        <v>904</v>
      </c>
      <c r="V124" s="7">
        <f t="shared" si="47"/>
        <v>809</v>
      </c>
      <c r="W124" s="7">
        <f t="shared" si="45"/>
        <v>917</v>
      </c>
      <c r="X124" s="6"/>
      <c r="Y124" s="5"/>
      <c r="Z124" s="5"/>
      <c r="AA124" s="5"/>
      <c r="AB124" s="5"/>
    </row>
    <row r="125" spans="1:28" ht="13.15" customHeight="1">
      <c r="A125" s="12">
        <v>111</v>
      </c>
      <c r="B125" s="11">
        <f t="shared" si="36"/>
        <v>45381</v>
      </c>
      <c r="C125" s="9">
        <f t="shared" si="37"/>
        <v>842</v>
      </c>
      <c r="D125" s="8">
        <f t="shared" si="48"/>
        <v>1401</v>
      </c>
      <c r="E125" s="4">
        <f t="shared" si="29"/>
        <v>519</v>
      </c>
      <c r="F125" s="4">
        <f t="shared" si="30"/>
        <v>434</v>
      </c>
      <c r="G125" s="4">
        <f t="shared" si="31"/>
        <v>816</v>
      </c>
      <c r="H125" s="5">
        <f t="shared" si="32"/>
        <v>1724</v>
      </c>
      <c r="I125" s="5">
        <f t="shared" si="33"/>
        <v>1809</v>
      </c>
      <c r="J125" s="5">
        <f t="shared" si="34"/>
        <v>1427</v>
      </c>
      <c r="K125" s="5">
        <f t="shared" si="49"/>
        <v>2000</v>
      </c>
      <c r="L125" s="5">
        <f t="shared" si="50"/>
        <v>2000</v>
      </c>
      <c r="M125" s="5">
        <f t="shared" si="51"/>
        <v>2000</v>
      </c>
      <c r="N125" s="5">
        <f t="shared" si="42"/>
        <v>-276</v>
      </c>
      <c r="O125" s="5">
        <f t="shared" si="43"/>
        <v>-191</v>
      </c>
      <c r="P125" s="5">
        <f t="shared" si="44"/>
        <v>-573</v>
      </c>
      <c r="Q125" s="4">
        <v>0</v>
      </c>
      <c r="R125" s="4">
        <v>0</v>
      </c>
      <c r="S125" s="4">
        <v>0</v>
      </c>
      <c r="T125" s="6">
        <f t="shared" si="35"/>
        <v>1434</v>
      </c>
      <c r="U125" s="7">
        <f t="shared" si="46"/>
        <v>904</v>
      </c>
      <c r="V125" s="7">
        <f t="shared" si="47"/>
        <v>809</v>
      </c>
      <c r="W125" s="7">
        <f t="shared" si="45"/>
        <v>917</v>
      </c>
      <c r="X125" s="6"/>
      <c r="Y125" s="5"/>
      <c r="Z125" s="5"/>
      <c r="AA125" s="5"/>
      <c r="AB125" s="5"/>
    </row>
    <row r="126" spans="1:28" ht="13.15" customHeight="1">
      <c r="A126" s="12">
        <v>112</v>
      </c>
      <c r="B126" s="11">
        <f t="shared" si="36"/>
        <v>45382</v>
      </c>
      <c r="C126" s="9">
        <f t="shared" si="37"/>
        <v>842</v>
      </c>
      <c r="D126" s="8">
        <f t="shared" si="48"/>
        <v>1399</v>
      </c>
      <c r="E126" s="4">
        <f t="shared" si="29"/>
        <v>517</v>
      </c>
      <c r="F126" s="4">
        <f t="shared" si="30"/>
        <v>432</v>
      </c>
      <c r="G126" s="4">
        <f t="shared" si="31"/>
        <v>814</v>
      </c>
      <c r="H126" s="5">
        <f t="shared" si="32"/>
        <v>1724</v>
      </c>
      <c r="I126" s="5">
        <f t="shared" si="33"/>
        <v>1809</v>
      </c>
      <c r="J126" s="5">
        <f t="shared" si="34"/>
        <v>1427</v>
      </c>
      <c r="K126" s="5">
        <f t="shared" si="49"/>
        <v>2000</v>
      </c>
      <c r="L126" s="5">
        <f t="shared" si="50"/>
        <v>2000</v>
      </c>
      <c r="M126" s="5">
        <f t="shared" si="51"/>
        <v>2000</v>
      </c>
      <c r="N126" s="5">
        <f t="shared" si="42"/>
        <v>-276</v>
      </c>
      <c r="O126" s="5">
        <f t="shared" si="43"/>
        <v>-191</v>
      </c>
      <c r="P126" s="5">
        <f t="shared" si="44"/>
        <v>-573</v>
      </c>
      <c r="Q126" s="4">
        <v>0</v>
      </c>
      <c r="R126" s="4">
        <v>0</v>
      </c>
      <c r="S126" s="4">
        <v>0</v>
      </c>
      <c r="T126" s="6">
        <f t="shared" si="35"/>
        <v>1432</v>
      </c>
      <c r="U126" s="7">
        <f t="shared" si="46"/>
        <v>904</v>
      </c>
      <c r="V126" s="7">
        <f t="shared" si="47"/>
        <v>809</v>
      </c>
      <c r="W126" s="7">
        <f t="shared" si="45"/>
        <v>917</v>
      </c>
      <c r="X126" s="6"/>
      <c r="Y126" s="5"/>
      <c r="Z126" s="5"/>
      <c r="AA126" s="5"/>
      <c r="AB126" s="5"/>
    </row>
    <row r="127" spans="1:28" ht="13.15" customHeight="1">
      <c r="A127" s="12">
        <v>113</v>
      </c>
      <c r="B127" s="11">
        <f t="shared" si="36"/>
        <v>45383</v>
      </c>
      <c r="C127" s="9">
        <f t="shared" si="37"/>
        <v>842</v>
      </c>
      <c r="D127" s="8">
        <f t="shared" ref="D127:D190" si="52">D126+2</f>
        <v>1401</v>
      </c>
      <c r="E127" s="4">
        <f t="shared" si="29"/>
        <v>519</v>
      </c>
      <c r="F127" s="4">
        <f t="shared" si="30"/>
        <v>434</v>
      </c>
      <c r="G127" s="4">
        <f t="shared" si="31"/>
        <v>816</v>
      </c>
      <c r="H127" s="5">
        <f t="shared" si="32"/>
        <v>1724</v>
      </c>
      <c r="I127" s="5">
        <f t="shared" si="33"/>
        <v>1809</v>
      </c>
      <c r="J127" s="5">
        <f t="shared" si="34"/>
        <v>1427</v>
      </c>
      <c r="K127" s="5">
        <f t="shared" si="49"/>
        <v>2000</v>
      </c>
      <c r="L127" s="5">
        <f t="shared" si="50"/>
        <v>2000</v>
      </c>
      <c r="M127" s="5">
        <f t="shared" si="51"/>
        <v>2000</v>
      </c>
      <c r="N127" s="5">
        <f t="shared" si="42"/>
        <v>-276</v>
      </c>
      <c r="O127" s="5">
        <f t="shared" si="43"/>
        <v>-191</v>
      </c>
      <c r="P127" s="5">
        <f t="shared" si="44"/>
        <v>-573</v>
      </c>
      <c r="Q127" s="4">
        <v>0</v>
      </c>
      <c r="R127" s="4">
        <v>0</v>
      </c>
      <c r="S127" s="4">
        <v>0</v>
      </c>
      <c r="T127" s="6">
        <f t="shared" si="35"/>
        <v>1434</v>
      </c>
      <c r="U127" s="7">
        <f t="shared" si="46"/>
        <v>904</v>
      </c>
      <c r="V127" s="7">
        <f t="shared" si="47"/>
        <v>809</v>
      </c>
      <c r="W127" s="7">
        <f t="shared" si="45"/>
        <v>917</v>
      </c>
      <c r="X127" s="6"/>
      <c r="Y127" s="5"/>
      <c r="Z127" s="5"/>
      <c r="AA127" s="5"/>
      <c r="AB127" s="5"/>
    </row>
    <row r="128" spans="1:28" ht="13.15" customHeight="1">
      <c r="A128" s="12">
        <v>114</v>
      </c>
      <c r="B128" s="11">
        <f t="shared" si="36"/>
        <v>45384</v>
      </c>
      <c r="C128" s="9">
        <f t="shared" si="37"/>
        <v>842</v>
      </c>
      <c r="D128" s="8">
        <f t="shared" si="52"/>
        <v>1403</v>
      </c>
      <c r="E128" s="4">
        <f t="shared" si="29"/>
        <v>521</v>
      </c>
      <c r="F128" s="4">
        <f t="shared" si="30"/>
        <v>436</v>
      </c>
      <c r="G128" s="4">
        <f t="shared" si="31"/>
        <v>818</v>
      </c>
      <c r="H128" s="5">
        <f t="shared" si="32"/>
        <v>1724</v>
      </c>
      <c r="I128" s="5">
        <f t="shared" si="33"/>
        <v>1809</v>
      </c>
      <c r="J128" s="5">
        <f t="shared" si="34"/>
        <v>1427</v>
      </c>
      <c r="K128" s="5">
        <f t="shared" si="49"/>
        <v>2000</v>
      </c>
      <c r="L128" s="5">
        <f t="shared" si="50"/>
        <v>2000</v>
      </c>
      <c r="M128" s="5">
        <f t="shared" si="51"/>
        <v>2000</v>
      </c>
      <c r="N128" s="5">
        <f t="shared" si="42"/>
        <v>-276</v>
      </c>
      <c r="O128" s="5">
        <f t="shared" si="43"/>
        <v>-191</v>
      </c>
      <c r="P128" s="5">
        <f t="shared" si="44"/>
        <v>-573</v>
      </c>
      <c r="Q128" s="4">
        <v>0</v>
      </c>
      <c r="R128" s="4">
        <v>0</v>
      </c>
      <c r="S128" s="4">
        <v>0</v>
      </c>
      <c r="T128" s="6">
        <f t="shared" si="35"/>
        <v>1436</v>
      </c>
      <c r="U128" s="7">
        <f t="shared" si="46"/>
        <v>904</v>
      </c>
      <c r="V128" s="7">
        <f t="shared" si="47"/>
        <v>809</v>
      </c>
      <c r="W128" s="7">
        <f t="shared" si="45"/>
        <v>917</v>
      </c>
      <c r="X128" s="6"/>
      <c r="Y128" s="5"/>
      <c r="Z128" s="5"/>
      <c r="AA128" s="5"/>
      <c r="AB128" s="5"/>
    </row>
    <row r="129" spans="1:28" ht="13.15" customHeight="1">
      <c r="A129" s="12">
        <v>115</v>
      </c>
      <c r="B129" s="11">
        <f t="shared" si="36"/>
        <v>45385</v>
      </c>
      <c r="C129" s="9">
        <f t="shared" si="37"/>
        <v>842</v>
      </c>
      <c r="D129" s="8">
        <f t="shared" si="52"/>
        <v>1405</v>
      </c>
      <c r="E129" s="4">
        <f t="shared" si="29"/>
        <v>523</v>
      </c>
      <c r="F129" s="4">
        <f t="shared" si="30"/>
        <v>438</v>
      </c>
      <c r="G129" s="4">
        <f t="shared" si="31"/>
        <v>820</v>
      </c>
      <c r="H129" s="5">
        <f t="shared" si="32"/>
        <v>1724</v>
      </c>
      <c r="I129" s="5">
        <f t="shared" si="33"/>
        <v>1809</v>
      </c>
      <c r="J129" s="5">
        <f t="shared" si="34"/>
        <v>1427</v>
      </c>
      <c r="K129" s="5">
        <f t="shared" si="49"/>
        <v>2000</v>
      </c>
      <c r="L129" s="5">
        <f t="shared" si="50"/>
        <v>2000</v>
      </c>
      <c r="M129" s="5">
        <f t="shared" si="51"/>
        <v>2000</v>
      </c>
      <c r="N129" s="5">
        <f t="shared" si="42"/>
        <v>-276</v>
      </c>
      <c r="O129" s="5">
        <f t="shared" si="43"/>
        <v>-191</v>
      </c>
      <c r="P129" s="5">
        <f t="shared" si="44"/>
        <v>-573</v>
      </c>
      <c r="Q129" s="4">
        <v>0</v>
      </c>
      <c r="R129" s="4">
        <v>0</v>
      </c>
      <c r="S129" s="4">
        <v>0</v>
      </c>
      <c r="T129" s="6">
        <f t="shared" si="35"/>
        <v>1438</v>
      </c>
      <c r="U129" s="7">
        <f t="shared" si="46"/>
        <v>904</v>
      </c>
      <c r="V129" s="7">
        <f t="shared" si="47"/>
        <v>809</v>
      </c>
      <c r="W129" s="7">
        <f t="shared" si="45"/>
        <v>917</v>
      </c>
      <c r="X129" s="6"/>
      <c r="Y129" s="5"/>
      <c r="Z129" s="5"/>
      <c r="AA129" s="5"/>
      <c r="AB129" s="5"/>
    </row>
    <row r="130" spans="1:28" ht="13.15" customHeight="1">
      <c r="A130" s="12">
        <v>116</v>
      </c>
      <c r="B130" s="11">
        <f t="shared" si="36"/>
        <v>45386</v>
      </c>
      <c r="C130" s="9">
        <f t="shared" si="37"/>
        <v>842</v>
      </c>
      <c r="D130" s="8">
        <f t="shared" si="52"/>
        <v>1407</v>
      </c>
      <c r="E130" s="4">
        <f t="shared" si="29"/>
        <v>525</v>
      </c>
      <c r="F130" s="4">
        <f t="shared" si="30"/>
        <v>440</v>
      </c>
      <c r="G130" s="4">
        <f t="shared" si="31"/>
        <v>822</v>
      </c>
      <c r="H130" s="5">
        <f t="shared" si="32"/>
        <v>1724</v>
      </c>
      <c r="I130" s="5">
        <f t="shared" si="33"/>
        <v>1809</v>
      </c>
      <c r="J130" s="5">
        <f t="shared" si="34"/>
        <v>1427</v>
      </c>
      <c r="K130" s="5">
        <f t="shared" si="49"/>
        <v>2000</v>
      </c>
      <c r="L130" s="5">
        <f t="shared" si="50"/>
        <v>2000</v>
      </c>
      <c r="M130" s="5">
        <f t="shared" si="51"/>
        <v>2000</v>
      </c>
      <c r="N130" s="5">
        <f t="shared" si="42"/>
        <v>-276</v>
      </c>
      <c r="O130" s="5">
        <f t="shared" si="43"/>
        <v>-191</v>
      </c>
      <c r="P130" s="5">
        <f t="shared" si="44"/>
        <v>-573</v>
      </c>
      <c r="Q130" s="4">
        <v>0</v>
      </c>
      <c r="R130" s="4">
        <v>0</v>
      </c>
      <c r="S130" s="4">
        <v>0</v>
      </c>
      <c r="T130" s="6">
        <f t="shared" si="35"/>
        <v>1440</v>
      </c>
      <c r="U130" s="7">
        <f t="shared" si="46"/>
        <v>904</v>
      </c>
      <c r="V130" s="7">
        <f t="shared" si="47"/>
        <v>809</v>
      </c>
      <c r="W130" s="7">
        <f t="shared" si="45"/>
        <v>917</v>
      </c>
      <c r="X130" s="6"/>
      <c r="Y130" s="5"/>
      <c r="Z130" s="5"/>
      <c r="AA130" s="5"/>
      <c r="AB130" s="5"/>
    </row>
    <row r="131" spans="1:28" ht="13.15" customHeight="1">
      <c r="A131" s="12">
        <v>117</v>
      </c>
      <c r="B131" s="11">
        <f t="shared" si="36"/>
        <v>45387</v>
      </c>
      <c r="C131" s="9">
        <f t="shared" si="37"/>
        <v>842</v>
      </c>
      <c r="D131" s="8">
        <f t="shared" si="52"/>
        <v>1409</v>
      </c>
      <c r="E131" s="4">
        <f t="shared" si="29"/>
        <v>527</v>
      </c>
      <c r="F131" s="4">
        <f t="shared" si="30"/>
        <v>442</v>
      </c>
      <c r="G131" s="4">
        <f t="shared" si="31"/>
        <v>824</v>
      </c>
      <c r="H131" s="5">
        <f t="shared" si="32"/>
        <v>1724</v>
      </c>
      <c r="I131" s="5">
        <f t="shared" si="33"/>
        <v>1809</v>
      </c>
      <c r="J131" s="5">
        <f t="shared" si="34"/>
        <v>1427</v>
      </c>
      <c r="K131" s="5">
        <f t="shared" si="49"/>
        <v>2000</v>
      </c>
      <c r="L131" s="5">
        <f t="shared" si="50"/>
        <v>2000</v>
      </c>
      <c r="M131" s="5">
        <f t="shared" si="51"/>
        <v>2000</v>
      </c>
      <c r="N131" s="5">
        <f t="shared" si="42"/>
        <v>-276</v>
      </c>
      <c r="O131" s="5">
        <f t="shared" si="43"/>
        <v>-191</v>
      </c>
      <c r="P131" s="5">
        <f t="shared" si="44"/>
        <v>-573</v>
      </c>
      <c r="Q131" s="4">
        <v>0</v>
      </c>
      <c r="R131" s="4">
        <v>0</v>
      </c>
      <c r="S131" s="4">
        <v>0</v>
      </c>
      <c r="T131" s="6">
        <f t="shared" si="35"/>
        <v>1442</v>
      </c>
      <c r="U131" s="7">
        <f t="shared" si="46"/>
        <v>904</v>
      </c>
      <c r="V131" s="7">
        <f t="shared" si="47"/>
        <v>809</v>
      </c>
      <c r="W131" s="7">
        <f t="shared" si="45"/>
        <v>917</v>
      </c>
      <c r="X131" s="6"/>
      <c r="Y131" s="5"/>
      <c r="Z131" s="5"/>
      <c r="AA131" s="5"/>
      <c r="AB131" s="5"/>
    </row>
    <row r="132" spans="1:28" ht="13.15" customHeight="1">
      <c r="A132" s="12">
        <v>118</v>
      </c>
      <c r="B132" s="11">
        <f t="shared" si="36"/>
        <v>45388</v>
      </c>
      <c r="C132" s="9">
        <f t="shared" si="37"/>
        <v>842</v>
      </c>
      <c r="D132" s="8">
        <f t="shared" si="52"/>
        <v>1411</v>
      </c>
      <c r="E132" s="4">
        <f t="shared" si="29"/>
        <v>529</v>
      </c>
      <c r="F132" s="4">
        <f t="shared" si="30"/>
        <v>444</v>
      </c>
      <c r="G132" s="4">
        <f t="shared" si="31"/>
        <v>826</v>
      </c>
      <c r="H132" s="5">
        <f t="shared" si="32"/>
        <v>1724</v>
      </c>
      <c r="I132" s="5">
        <f t="shared" si="33"/>
        <v>1809</v>
      </c>
      <c r="J132" s="5">
        <f t="shared" si="34"/>
        <v>1427</v>
      </c>
      <c r="K132" s="5">
        <f t="shared" si="49"/>
        <v>2000</v>
      </c>
      <c r="L132" s="5">
        <f t="shared" si="50"/>
        <v>2000</v>
      </c>
      <c r="M132" s="5">
        <f t="shared" si="51"/>
        <v>2000</v>
      </c>
      <c r="N132" s="5">
        <f t="shared" si="42"/>
        <v>-276</v>
      </c>
      <c r="O132" s="5">
        <f t="shared" si="43"/>
        <v>-191</v>
      </c>
      <c r="P132" s="5">
        <f t="shared" si="44"/>
        <v>-573</v>
      </c>
      <c r="Q132" s="4">
        <v>0</v>
      </c>
      <c r="R132" s="4">
        <v>0</v>
      </c>
      <c r="S132" s="4">
        <v>0</v>
      </c>
      <c r="T132" s="6">
        <f t="shared" si="35"/>
        <v>1444</v>
      </c>
      <c r="U132" s="7">
        <f t="shared" si="46"/>
        <v>904</v>
      </c>
      <c r="V132" s="7">
        <f t="shared" si="47"/>
        <v>809</v>
      </c>
      <c r="W132" s="7">
        <f t="shared" si="45"/>
        <v>917</v>
      </c>
      <c r="X132" s="6"/>
      <c r="Y132" s="5"/>
      <c r="Z132" s="5"/>
      <c r="AA132" s="5"/>
      <c r="AB132" s="5"/>
    </row>
    <row r="133" spans="1:28" ht="13.15" customHeight="1">
      <c r="A133" s="12">
        <v>119</v>
      </c>
      <c r="B133" s="11">
        <f t="shared" si="36"/>
        <v>45389</v>
      </c>
      <c r="C133" s="9">
        <f t="shared" si="37"/>
        <v>842</v>
      </c>
      <c r="D133" s="8">
        <f t="shared" si="52"/>
        <v>1413</v>
      </c>
      <c r="E133" s="4">
        <f t="shared" si="29"/>
        <v>531</v>
      </c>
      <c r="F133" s="4">
        <f t="shared" si="30"/>
        <v>446</v>
      </c>
      <c r="G133" s="4">
        <f t="shared" si="31"/>
        <v>828</v>
      </c>
      <c r="H133" s="5">
        <f t="shared" si="32"/>
        <v>1724</v>
      </c>
      <c r="I133" s="5">
        <f t="shared" si="33"/>
        <v>1809</v>
      </c>
      <c r="J133" s="5">
        <f t="shared" si="34"/>
        <v>1427</v>
      </c>
      <c r="K133" s="5">
        <f t="shared" si="49"/>
        <v>2000</v>
      </c>
      <c r="L133" s="5">
        <f t="shared" si="50"/>
        <v>2000</v>
      </c>
      <c r="M133" s="5">
        <f t="shared" si="51"/>
        <v>2000</v>
      </c>
      <c r="N133" s="5">
        <f t="shared" si="42"/>
        <v>-276</v>
      </c>
      <c r="O133" s="5">
        <f t="shared" si="43"/>
        <v>-191</v>
      </c>
      <c r="P133" s="5">
        <f t="shared" si="44"/>
        <v>-573</v>
      </c>
      <c r="Q133" s="4">
        <v>0</v>
      </c>
      <c r="R133" s="4">
        <v>0</v>
      </c>
      <c r="S133" s="4">
        <v>0</v>
      </c>
      <c r="T133" s="6">
        <f t="shared" si="35"/>
        <v>1446</v>
      </c>
      <c r="U133" s="7">
        <f t="shared" si="46"/>
        <v>904</v>
      </c>
      <c r="V133" s="7">
        <f t="shared" si="47"/>
        <v>809</v>
      </c>
      <c r="W133" s="7">
        <f t="shared" si="45"/>
        <v>917</v>
      </c>
      <c r="X133" s="6"/>
      <c r="Y133" s="5"/>
      <c r="Z133" s="5"/>
      <c r="AA133" s="5"/>
      <c r="AB133" s="5"/>
    </row>
    <row r="134" spans="1:28" ht="13.15" customHeight="1">
      <c r="A134" s="12">
        <v>120</v>
      </c>
      <c r="B134" s="11">
        <f t="shared" si="36"/>
        <v>45390</v>
      </c>
      <c r="C134" s="9">
        <f t="shared" si="37"/>
        <v>842</v>
      </c>
      <c r="D134" s="8">
        <f t="shared" si="52"/>
        <v>1415</v>
      </c>
      <c r="E134" s="4">
        <f t="shared" si="29"/>
        <v>533</v>
      </c>
      <c r="F134" s="4">
        <f t="shared" si="30"/>
        <v>448</v>
      </c>
      <c r="G134" s="4">
        <f t="shared" si="31"/>
        <v>830</v>
      </c>
      <c r="H134" s="5">
        <f t="shared" si="32"/>
        <v>1724</v>
      </c>
      <c r="I134" s="5">
        <f t="shared" si="33"/>
        <v>1809</v>
      </c>
      <c r="J134" s="5">
        <f t="shared" si="34"/>
        <v>1427</v>
      </c>
      <c r="K134" s="5">
        <f t="shared" si="49"/>
        <v>2000</v>
      </c>
      <c r="L134" s="5">
        <f t="shared" si="50"/>
        <v>2000</v>
      </c>
      <c r="M134" s="5">
        <f t="shared" si="51"/>
        <v>2000</v>
      </c>
      <c r="N134" s="5">
        <f t="shared" si="42"/>
        <v>-276</v>
      </c>
      <c r="O134" s="5">
        <f t="shared" si="43"/>
        <v>-191</v>
      </c>
      <c r="P134" s="5">
        <f t="shared" si="44"/>
        <v>-573</v>
      </c>
      <c r="Q134" s="4">
        <v>0</v>
      </c>
      <c r="R134" s="4">
        <v>0</v>
      </c>
      <c r="S134" s="4">
        <v>0</v>
      </c>
      <c r="T134" s="6">
        <f t="shared" si="35"/>
        <v>1448</v>
      </c>
      <c r="U134" s="7">
        <f t="shared" si="46"/>
        <v>904</v>
      </c>
      <c r="V134" s="7">
        <f t="shared" si="47"/>
        <v>809</v>
      </c>
      <c r="W134" s="7">
        <f t="shared" si="45"/>
        <v>917</v>
      </c>
      <c r="X134" s="6"/>
      <c r="Y134" s="5"/>
      <c r="Z134" s="5"/>
      <c r="AA134" s="5"/>
      <c r="AB134" s="5"/>
    </row>
    <row r="135" spans="1:28" ht="13.15" customHeight="1">
      <c r="A135" s="12">
        <v>121</v>
      </c>
      <c r="B135" s="11">
        <f t="shared" si="36"/>
        <v>45391</v>
      </c>
      <c r="C135" s="9">
        <f t="shared" si="37"/>
        <v>842</v>
      </c>
      <c r="D135" s="8">
        <f t="shared" si="52"/>
        <v>1417</v>
      </c>
      <c r="E135" s="4">
        <f t="shared" si="29"/>
        <v>535</v>
      </c>
      <c r="F135" s="4">
        <f t="shared" si="30"/>
        <v>450</v>
      </c>
      <c r="G135" s="4">
        <f t="shared" si="31"/>
        <v>832</v>
      </c>
      <c r="H135" s="5">
        <f t="shared" si="32"/>
        <v>1724</v>
      </c>
      <c r="I135" s="5">
        <f t="shared" si="33"/>
        <v>1809</v>
      </c>
      <c r="J135" s="5">
        <f t="shared" si="34"/>
        <v>1427</v>
      </c>
      <c r="K135" s="5">
        <f t="shared" si="49"/>
        <v>2000</v>
      </c>
      <c r="L135" s="5">
        <f t="shared" si="50"/>
        <v>2000</v>
      </c>
      <c r="M135" s="5">
        <f t="shared" si="51"/>
        <v>2000</v>
      </c>
      <c r="N135" s="5">
        <f t="shared" si="42"/>
        <v>-276</v>
      </c>
      <c r="O135" s="5">
        <f t="shared" si="43"/>
        <v>-191</v>
      </c>
      <c r="P135" s="5">
        <f t="shared" si="44"/>
        <v>-573</v>
      </c>
      <c r="Q135" s="4">
        <v>0</v>
      </c>
      <c r="R135" s="4">
        <v>0</v>
      </c>
      <c r="S135" s="4">
        <v>0</v>
      </c>
      <c r="T135" s="6">
        <f t="shared" si="35"/>
        <v>1450</v>
      </c>
      <c r="U135" s="7">
        <f t="shared" si="46"/>
        <v>904</v>
      </c>
      <c r="V135" s="7">
        <f t="shared" si="47"/>
        <v>809</v>
      </c>
      <c r="W135" s="7">
        <f t="shared" si="45"/>
        <v>917</v>
      </c>
      <c r="X135" s="6"/>
      <c r="Y135" s="5"/>
      <c r="Z135" s="5"/>
      <c r="AA135" s="5"/>
      <c r="AB135" s="5"/>
    </row>
    <row r="136" spans="1:28" ht="13.15" customHeight="1">
      <c r="A136" s="12">
        <v>122</v>
      </c>
      <c r="B136" s="11">
        <f t="shared" si="36"/>
        <v>45392</v>
      </c>
      <c r="C136" s="9">
        <f t="shared" si="37"/>
        <v>842</v>
      </c>
      <c r="D136" s="8">
        <f t="shared" si="52"/>
        <v>1419</v>
      </c>
      <c r="E136" s="4">
        <f t="shared" si="29"/>
        <v>537</v>
      </c>
      <c r="F136" s="4">
        <f t="shared" si="30"/>
        <v>452</v>
      </c>
      <c r="G136" s="4">
        <f t="shared" si="31"/>
        <v>834</v>
      </c>
      <c r="H136" s="5">
        <f t="shared" si="32"/>
        <v>1724</v>
      </c>
      <c r="I136" s="5">
        <f t="shared" si="33"/>
        <v>1809</v>
      </c>
      <c r="J136" s="5">
        <f t="shared" si="34"/>
        <v>1427</v>
      </c>
      <c r="K136" s="5">
        <f t="shared" si="49"/>
        <v>2000</v>
      </c>
      <c r="L136" s="5">
        <f t="shared" si="50"/>
        <v>2000</v>
      </c>
      <c r="M136" s="5">
        <f t="shared" si="51"/>
        <v>2000</v>
      </c>
      <c r="N136" s="5">
        <f t="shared" si="42"/>
        <v>-276</v>
      </c>
      <c r="O136" s="5">
        <f t="shared" si="43"/>
        <v>-191</v>
      </c>
      <c r="P136" s="5">
        <f t="shared" si="44"/>
        <v>-573</v>
      </c>
      <c r="Q136" s="4">
        <v>0</v>
      </c>
      <c r="R136" s="4">
        <v>0</v>
      </c>
      <c r="S136" s="4">
        <v>0</v>
      </c>
      <c r="T136" s="6">
        <f t="shared" si="35"/>
        <v>1452</v>
      </c>
      <c r="U136" s="7">
        <f t="shared" si="46"/>
        <v>904</v>
      </c>
      <c r="V136" s="7">
        <f t="shared" si="47"/>
        <v>809</v>
      </c>
      <c r="W136" s="7">
        <f t="shared" si="45"/>
        <v>917</v>
      </c>
      <c r="X136" s="6"/>
      <c r="Y136" s="5"/>
      <c r="Z136" s="5"/>
      <c r="AA136" s="5"/>
      <c r="AB136" s="5"/>
    </row>
    <row r="137" spans="1:28" ht="13.15" customHeight="1">
      <c r="A137" s="12">
        <v>123</v>
      </c>
      <c r="B137" s="11">
        <f t="shared" si="36"/>
        <v>45393</v>
      </c>
      <c r="C137" s="9">
        <f t="shared" si="37"/>
        <v>842</v>
      </c>
      <c r="D137" s="8">
        <f t="shared" si="52"/>
        <v>1421</v>
      </c>
      <c r="E137" s="4">
        <f t="shared" si="29"/>
        <v>539</v>
      </c>
      <c r="F137" s="4">
        <f t="shared" si="30"/>
        <v>454</v>
      </c>
      <c r="G137" s="4">
        <f t="shared" si="31"/>
        <v>836</v>
      </c>
      <c r="H137" s="5">
        <f t="shared" si="32"/>
        <v>1724</v>
      </c>
      <c r="I137" s="5">
        <f t="shared" si="33"/>
        <v>1809</v>
      </c>
      <c r="J137" s="5">
        <f t="shared" si="34"/>
        <v>1427</v>
      </c>
      <c r="K137" s="5">
        <f t="shared" si="49"/>
        <v>2000</v>
      </c>
      <c r="L137" s="5">
        <f t="shared" si="50"/>
        <v>2000</v>
      </c>
      <c r="M137" s="5">
        <f t="shared" si="51"/>
        <v>2000</v>
      </c>
      <c r="N137" s="5">
        <f t="shared" si="42"/>
        <v>-276</v>
      </c>
      <c r="O137" s="5">
        <f t="shared" si="43"/>
        <v>-191</v>
      </c>
      <c r="P137" s="5">
        <f t="shared" si="44"/>
        <v>-573</v>
      </c>
      <c r="Q137" s="4">
        <v>0</v>
      </c>
      <c r="R137" s="4">
        <v>0</v>
      </c>
      <c r="S137" s="4">
        <v>0</v>
      </c>
      <c r="T137" s="6">
        <f t="shared" si="35"/>
        <v>1454</v>
      </c>
      <c r="U137" s="7">
        <f t="shared" si="46"/>
        <v>904</v>
      </c>
      <c r="V137" s="7">
        <f t="shared" si="47"/>
        <v>809</v>
      </c>
      <c r="W137" s="7">
        <f t="shared" si="45"/>
        <v>917</v>
      </c>
      <c r="X137" s="6"/>
      <c r="Y137" s="5"/>
      <c r="Z137" s="5"/>
      <c r="AA137" s="5"/>
      <c r="AB137" s="5"/>
    </row>
    <row r="138" spans="1:28" ht="13.15" customHeight="1">
      <c r="A138" s="12">
        <v>124</v>
      </c>
      <c r="B138" s="11">
        <f t="shared" si="36"/>
        <v>45394</v>
      </c>
      <c r="C138" s="9">
        <f t="shared" si="37"/>
        <v>842</v>
      </c>
      <c r="D138" s="8">
        <f t="shared" si="52"/>
        <v>1423</v>
      </c>
      <c r="E138" s="4">
        <f t="shared" si="29"/>
        <v>541</v>
      </c>
      <c r="F138" s="4">
        <f t="shared" si="30"/>
        <v>456</v>
      </c>
      <c r="G138" s="4">
        <f t="shared" si="31"/>
        <v>838</v>
      </c>
      <c r="H138" s="5">
        <f t="shared" si="32"/>
        <v>1724</v>
      </c>
      <c r="I138" s="5">
        <f t="shared" si="33"/>
        <v>1809</v>
      </c>
      <c r="J138" s="5">
        <f t="shared" si="34"/>
        <v>1427</v>
      </c>
      <c r="K138" s="5">
        <f t="shared" si="49"/>
        <v>2000</v>
      </c>
      <c r="L138" s="5">
        <f t="shared" si="50"/>
        <v>2000</v>
      </c>
      <c r="M138" s="5">
        <f t="shared" si="51"/>
        <v>2000</v>
      </c>
      <c r="N138" s="5">
        <f t="shared" si="42"/>
        <v>-276</v>
      </c>
      <c r="O138" s="5">
        <f t="shared" si="43"/>
        <v>-191</v>
      </c>
      <c r="P138" s="5">
        <f t="shared" si="44"/>
        <v>-573</v>
      </c>
      <c r="Q138" s="4">
        <v>0</v>
      </c>
      <c r="R138" s="4">
        <v>0</v>
      </c>
      <c r="S138" s="4">
        <v>0</v>
      </c>
      <c r="T138" s="6">
        <f t="shared" si="35"/>
        <v>1456</v>
      </c>
      <c r="U138" s="7">
        <f t="shared" si="46"/>
        <v>904</v>
      </c>
      <c r="V138" s="7">
        <f t="shared" si="47"/>
        <v>809</v>
      </c>
      <c r="W138" s="7">
        <f t="shared" si="45"/>
        <v>917</v>
      </c>
      <c r="X138" s="6"/>
      <c r="Y138" s="5"/>
      <c r="Z138" s="5"/>
      <c r="AA138" s="5"/>
      <c r="AB138" s="5"/>
    </row>
    <row r="139" spans="1:28" ht="13.15" customHeight="1">
      <c r="A139" s="12">
        <v>125</v>
      </c>
      <c r="B139" s="11">
        <f t="shared" si="36"/>
        <v>45395</v>
      </c>
      <c r="C139" s="9">
        <f t="shared" si="37"/>
        <v>842</v>
      </c>
      <c r="D139" s="8">
        <f t="shared" si="52"/>
        <v>1425</v>
      </c>
      <c r="E139" s="4">
        <f t="shared" si="29"/>
        <v>543</v>
      </c>
      <c r="F139" s="4">
        <f t="shared" si="30"/>
        <v>458</v>
      </c>
      <c r="G139" s="4">
        <f t="shared" si="31"/>
        <v>840</v>
      </c>
      <c r="H139" s="5">
        <f t="shared" si="32"/>
        <v>1724</v>
      </c>
      <c r="I139" s="5">
        <f t="shared" si="33"/>
        <v>1809</v>
      </c>
      <c r="J139" s="5">
        <f t="shared" si="34"/>
        <v>1427</v>
      </c>
      <c r="K139" s="5">
        <f t="shared" si="49"/>
        <v>2000</v>
      </c>
      <c r="L139" s="5">
        <f t="shared" si="50"/>
        <v>2000</v>
      </c>
      <c r="M139" s="5">
        <f t="shared" si="51"/>
        <v>2000</v>
      </c>
      <c r="N139" s="5">
        <f t="shared" si="42"/>
        <v>-276</v>
      </c>
      <c r="O139" s="5">
        <f t="shared" si="43"/>
        <v>-191</v>
      </c>
      <c r="P139" s="5">
        <f t="shared" si="44"/>
        <v>-573</v>
      </c>
      <c r="Q139" s="4">
        <v>0</v>
      </c>
      <c r="R139" s="4">
        <v>0</v>
      </c>
      <c r="S139" s="4">
        <v>0</v>
      </c>
      <c r="T139" s="6">
        <f t="shared" si="35"/>
        <v>1458</v>
      </c>
      <c r="U139" s="7">
        <f t="shared" si="46"/>
        <v>904</v>
      </c>
      <c r="V139" s="7">
        <f t="shared" si="47"/>
        <v>809</v>
      </c>
      <c r="W139" s="7">
        <f t="shared" si="45"/>
        <v>917</v>
      </c>
      <c r="X139" s="6"/>
      <c r="Y139" s="5"/>
      <c r="Z139" s="5"/>
      <c r="AA139" s="5"/>
      <c r="AB139" s="5"/>
    </row>
    <row r="140" spans="1:28" ht="13.15" customHeight="1">
      <c r="A140" s="12">
        <v>126</v>
      </c>
      <c r="B140" s="11">
        <f t="shared" si="36"/>
        <v>45396</v>
      </c>
      <c r="C140" s="9">
        <f t="shared" si="37"/>
        <v>842</v>
      </c>
      <c r="D140" s="8">
        <f t="shared" si="52"/>
        <v>1427</v>
      </c>
      <c r="E140" s="4">
        <f t="shared" si="29"/>
        <v>552</v>
      </c>
      <c r="F140" s="4">
        <f t="shared" si="30"/>
        <v>469</v>
      </c>
      <c r="G140" s="4">
        <f t="shared" si="31"/>
        <v>850</v>
      </c>
      <c r="H140" s="5">
        <f t="shared" si="32"/>
        <v>1717</v>
      </c>
      <c r="I140" s="5">
        <f t="shared" si="33"/>
        <v>1800</v>
      </c>
      <c r="J140" s="5">
        <f t="shared" si="34"/>
        <v>1419</v>
      </c>
      <c r="K140" s="5">
        <f t="shared" si="49"/>
        <v>2000</v>
      </c>
      <c r="L140" s="5">
        <f t="shared" si="50"/>
        <v>2000</v>
      </c>
      <c r="M140" s="5">
        <f t="shared" si="51"/>
        <v>2000</v>
      </c>
      <c r="N140" s="5">
        <f t="shared" si="42"/>
        <v>-283</v>
      </c>
      <c r="O140" s="5">
        <f t="shared" si="43"/>
        <v>-200</v>
      </c>
      <c r="P140" s="5">
        <f t="shared" si="44"/>
        <v>-581</v>
      </c>
      <c r="Q140" s="4">
        <v>7</v>
      </c>
      <c r="R140" s="4">
        <v>9</v>
      </c>
      <c r="S140" s="4">
        <v>8</v>
      </c>
      <c r="T140" s="6">
        <f t="shared" si="35"/>
        <v>1169</v>
      </c>
      <c r="U140" s="7">
        <f t="shared" si="46"/>
        <v>1197</v>
      </c>
      <c r="V140" s="7">
        <f t="shared" si="47"/>
        <v>1100</v>
      </c>
      <c r="W140" s="7">
        <f t="shared" si="45"/>
        <v>1209</v>
      </c>
      <c r="X140" s="13">
        <v>0.3</v>
      </c>
      <c r="Y140" s="5"/>
      <c r="Z140" s="5"/>
      <c r="AA140" s="5"/>
      <c r="AB140" s="14">
        <v>3</v>
      </c>
    </row>
    <row r="141" spans="1:28" ht="13.15" customHeight="1">
      <c r="A141" s="12">
        <v>127</v>
      </c>
      <c r="B141" s="11">
        <f t="shared" si="36"/>
        <v>45397</v>
      </c>
      <c r="C141" s="9">
        <f t="shared" si="37"/>
        <v>842</v>
      </c>
      <c r="D141" s="8">
        <f t="shared" si="52"/>
        <v>1429</v>
      </c>
      <c r="E141" s="4">
        <f t="shared" si="29"/>
        <v>557</v>
      </c>
      <c r="F141" s="4">
        <f t="shared" si="30"/>
        <v>474</v>
      </c>
      <c r="G141" s="4">
        <f t="shared" si="31"/>
        <v>855</v>
      </c>
      <c r="H141" s="5">
        <f t="shared" si="32"/>
        <v>1714</v>
      </c>
      <c r="I141" s="5">
        <f t="shared" si="33"/>
        <v>1797</v>
      </c>
      <c r="J141" s="5">
        <f t="shared" si="34"/>
        <v>1416</v>
      </c>
      <c r="K141" s="5">
        <f t="shared" si="49"/>
        <v>2000</v>
      </c>
      <c r="L141" s="5">
        <f t="shared" si="50"/>
        <v>2000</v>
      </c>
      <c r="M141" s="5">
        <f t="shared" si="51"/>
        <v>2000</v>
      </c>
      <c r="N141" s="5">
        <f t="shared" si="42"/>
        <v>-286</v>
      </c>
      <c r="O141" s="5">
        <f t="shared" si="43"/>
        <v>-203</v>
      </c>
      <c r="P141" s="5">
        <f t="shared" si="44"/>
        <v>-584</v>
      </c>
      <c r="Q141" s="4">
        <v>3</v>
      </c>
      <c r="R141" s="4">
        <v>3</v>
      </c>
      <c r="S141" s="4">
        <v>3</v>
      </c>
      <c r="T141" s="6">
        <f t="shared" si="35"/>
        <v>1174</v>
      </c>
      <c r="U141" s="7">
        <f t="shared" si="46"/>
        <v>1194</v>
      </c>
      <c r="V141" s="7">
        <f t="shared" si="47"/>
        <v>1097</v>
      </c>
      <c r="W141" s="7">
        <f t="shared" si="45"/>
        <v>1206</v>
      </c>
      <c r="X141" s="6"/>
      <c r="Y141" s="5"/>
      <c r="Z141" s="5"/>
      <c r="AA141" s="5"/>
      <c r="AB141" s="14"/>
    </row>
    <row r="142" spans="1:28" ht="13.15" customHeight="1">
      <c r="A142" s="12">
        <v>128</v>
      </c>
      <c r="B142" s="11">
        <f t="shared" si="36"/>
        <v>45398</v>
      </c>
      <c r="C142" s="9">
        <f t="shared" si="37"/>
        <v>842</v>
      </c>
      <c r="D142" s="8">
        <f t="shared" si="52"/>
        <v>1431</v>
      </c>
      <c r="E142" s="4">
        <f t="shared" ref="E142:E205" si="53">C142+D142-H142</f>
        <v>563</v>
      </c>
      <c r="F142" s="4">
        <f t="shared" ref="F142:F205" si="54">C142+D142-I142</f>
        <v>480</v>
      </c>
      <c r="G142" s="4">
        <f t="shared" ref="G142:G205" si="55">D142+C142-J142</f>
        <v>861</v>
      </c>
      <c r="H142" s="5">
        <f t="shared" ref="H142:H205" si="56">K142+N142</f>
        <v>1710</v>
      </c>
      <c r="I142" s="5">
        <f t="shared" ref="I142:I205" si="57">L142+O142</f>
        <v>1793</v>
      </c>
      <c r="J142" s="5">
        <f t="shared" ref="J142:J205" si="58">M142+P142</f>
        <v>1412</v>
      </c>
      <c r="K142" s="5">
        <f t="shared" si="49"/>
        <v>2000</v>
      </c>
      <c r="L142" s="5">
        <f t="shared" si="50"/>
        <v>2000</v>
      </c>
      <c r="M142" s="5">
        <f t="shared" si="51"/>
        <v>2000</v>
      </c>
      <c r="N142" s="5">
        <f t="shared" si="42"/>
        <v>-290</v>
      </c>
      <c r="O142" s="5">
        <f t="shared" si="43"/>
        <v>-207</v>
      </c>
      <c r="P142" s="5">
        <f t="shared" si="44"/>
        <v>-588</v>
      </c>
      <c r="Q142" s="4">
        <v>4</v>
      </c>
      <c r="R142" s="4">
        <v>4</v>
      </c>
      <c r="S142" s="4">
        <v>4</v>
      </c>
      <c r="T142" s="6">
        <f t="shared" ref="T142:T205" si="59">D142+C142-V142</f>
        <v>1180</v>
      </c>
      <c r="U142" s="7">
        <f t="shared" si="46"/>
        <v>1190</v>
      </c>
      <c r="V142" s="7">
        <f t="shared" si="47"/>
        <v>1093</v>
      </c>
      <c r="W142" s="7">
        <f t="shared" si="45"/>
        <v>1202</v>
      </c>
      <c r="X142" s="6"/>
      <c r="Y142" s="5"/>
      <c r="Z142" s="5"/>
      <c r="AA142" s="5"/>
      <c r="AB142" s="14"/>
    </row>
    <row r="143" spans="1:28" ht="13.15" customHeight="1">
      <c r="A143" s="12">
        <v>129</v>
      </c>
      <c r="B143" s="11">
        <f t="shared" ref="B143:B206" si="60">B142+1</f>
        <v>45399</v>
      </c>
      <c r="C143" s="9">
        <f t="shared" ref="C143:C206" si="61">C142</f>
        <v>842</v>
      </c>
      <c r="D143" s="8">
        <f t="shared" si="52"/>
        <v>1433</v>
      </c>
      <c r="E143" s="4">
        <f t="shared" si="53"/>
        <v>570</v>
      </c>
      <c r="F143" s="4">
        <f t="shared" si="54"/>
        <v>484</v>
      </c>
      <c r="G143" s="4">
        <f t="shared" si="55"/>
        <v>867</v>
      </c>
      <c r="H143" s="5">
        <f t="shared" si="56"/>
        <v>1705</v>
      </c>
      <c r="I143" s="5">
        <f t="shared" si="57"/>
        <v>1791</v>
      </c>
      <c r="J143" s="5">
        <f t="shared" si="58"/>
        <v>1408</v>
      </c>
      <c r="K143" s="5">
        <f t="shared" si="49"/>
        <v>2000</v>
      </c>
      <c r="L143" s="5">
        <f t="shared" si="50"/>
        <v>2000</v>
      </c>
      <c r="M143" s="5">
        <f t="shared" si="51"/>
        <v>2000</v>
      </c>
      <c r="N143" s="5">
        <f t="shared" ref="N143:N206" si="62">N142-Q143</f>
        <v>-295</v>
      </c>
      <c r="O143" s="5">
        <f t="shared" ref="O143:O206" si="63">O142-R143</f>
        <v>-209</v>
      </c>
      <c r="P143" s="5">
        <f t="shared" ref="P143:P206" si="64">P142-S143</f>
        <v>-592</v>
      </c>
      <c r="Q143" s="4">
        <v>5</v>
      </c>
      <c r="R143" s="4">
        <v>2</v>
      </c>
      <c r="S143" s="4">
        <v>4</v>
      </c>
      <c r="T143" s="6">
        <f t="shared" si="59"/>
        <v>1184</v>
      </c>
      <c r="U143" s="7">
        <f t="shared" si="46"/>
        <v>1185</v>
      </c>
      <c r="V143" s="7">
        <f t="shared" si="47"/>
        <v>1091</v>
      </c>
      <c r="W143" s="7">
        <f t="shared" si="45"/>
        <v>1198</v>
      </c>
      <c r="X143" s="6"/>
      <c r="Y143" s="5"/>
      <c r="Z143" s="5"/>
      <c r="AA143" s="5"/>
      <c r="AB143" s="14"/>
    </row>
    <row r="144" spans="1:28" ht="13.15" customHeight="1">
      <c r="A144" s="12">
        <v>130</v>
      </c>
      <c r="B144" s="11">
        <f t="shared" si="60"/>
        <v>45400</v>
      </c>
      <c r="C144" s="9">
        <f t="shared" si="61"/>
        <v>842</v>
      </c>
      <c r="D144" s="8">
        <f t="shared" si="52"/>
        <v>1435</v>
      </c>
      <c r="E144" s="4">
        <f t="shared" si="53"/>
        <v>581</v>
      </c>
      <c r="F144" s="4">
        <f t="shared" si="54"/>
        <v>495</v>
      </c>
      <c r="G144" s="4">
        <f t="shared" si="55"/>
        <v>878</v>
      </c>
      <c r="H144" s="5">
        <f t="shared" si="56"/>
        <v>1696</v>
      </c>
      <c r="I144" s="5">
        <f t="shared" si="57"/>
        <v>1782</v>
      </c>
      <c r="J144" s="5">
        <f t="shared" si="58"/>
        <v>1399</v>
      </c>
      <c r="K144" s="5">
        <f t="shared" si="49"/>
        <v>2000</v>
      </c>
      <c r="L144" s="5">
        <f t="shared" si="50"/>
        <v>2000</v>
      </c>
      <c r="M144" s="5">
        <f t="shared" si="51"/>
        <v>2000</v>
      </c>
      <c r="N144" s="5">
        <f t="shared" si="62"/>
        <v>-304</v>
      </c>
      <c r="O144" s="5">
        <f t="shared" si="63"/>
        <v>-218</v>
      </c>
      <c r="P144" s="5">
        <f t="shared" si="64"/>
        <v>-601</v>
      </c>
      <c r="Q144" s="4">
        <v>9</v>
      </c>
      <c r="R144" s="4">
        <v>9</v>
      </c>
      <c r="S144" s="4">
        <v>9</v>
      </c>
      <c r="T144" s="6">
        <f t="shared" si="59"/>
        <v>895</v>
      </c>
      <c r="U144" s="7">
        <f t="shared" si="46"/>
        <v>1476</v>
      </c>
      <c r="V144" s="7">
        <f t="shared" si="47"/>
        <v>1382</v>
      </c>
      <c r="W144" s="7">
        <f t="shared" si="45"/>
        <v>1489</v>
      </c>
      <c r="X144" s="13">
        <v>0.3</v>
      </c>
      <c r="Y144" s="5"/>
      <c r="Z144" s="5"/>
      <c r="AA144" s="5"/>
      <c r="AB144" s="14">
        <v>2</v>
      </c>
    </row>
    <row r="145" spans="1:28" ht="13.15" customHeight="1">
      <c r="A145" s="12">
        <v>131</v>
      </c>
      <c r="B145" s="11">
        <f t="shared" si="60"/>
        <v>45401</v>
      </c>
      <c r="C145" s="9">
        <f t="shared" si="61"/>
        <v>842</v>
      </c>
      <c r="D145" s="8">
        <f t="shared" si="52"/>
        <v>1437</v>
      </c>
      <c r="E145" s="4">
        <f t="shared" si="53"/>
        <v>587</v>
      </c>
      <c r="F145" s="4">
        <f t="shared" si="54"/>
        <v>500</v>
      </c>
      <c r="G145" s="4">
        <f t="shared" si="55"/>
        <v>883</v>
      </c>
      <c r="H145" s="5">
        <f t="shared" si="56"/>
        <v>1692</v>
      </c>
      <c r="I145" s="5">
        <f t="shared" si="57"/>
        <v>1779</v>
      </c>
      <c r="J145" s="5">
        <f t="shared" si="58"/>
        <v>1396</v>
      </c>
      <c r="K145" s="5">
        <f t="shared" si="49"/>
        <v>2000</v>
      </c>
      <c r="L145" s="5">
        <f t="shared" si="50"/>
        <v>2000</v>
      </c>
      <c r="M145" s="5">
        <f t="shared" si="51"/>
        <v>2000</v>
      </c>
      <c r="N145" s="5">
        <f t="shared" si="62"/>
        <v>-308</v>
      </c>
      <c r="O145" s="5">
        <f t="shared" si="63"/>
        <v>-221</v>
      </c>
      <c r="P145" s="5">
        <f t="shared" si="64"/>
        <v>-604</v>
      </c>
      <c r="Q145" s="4">
        <v>4</v>
      </c>
      <c r="R145" s="4">
        <v>3</v>
      </c>
      <c r="S145" s="4">
        <v>3</v>
      </c>
      <c r="T145" s="6">
        <f t="shared" si="59"/>
        <v>900</v>
      </c>
      <c r="U145" s="7">
        <f t="shared" si="46"/>
        <v>1472</v>
      </c>
      <c r="V145" s="7">
        <f t="shared" si="47"/>
        <v>1379</v>
      </c>
      <c r="W145" s="7">
        <f t="shared" si="45"/>
        <v>1486</v>
      </c>
      <c r="X145" s="6"/>
      <c r="Y145" s="5"/>
      <c r="Z145" s="5"/>
      <c r="AA145" s="5"/>
      <c r="AB145" s="14"/>
    </row>
    <row r="146" spans="1:28" ht="13.15" customHeight="1">
      <c r="A146" s="12">
        <v>132</v>
      </c>
      <c r="B146" s="11">
        <f t="shared" si="60"/>
        <v>45402</v>
      </c>
      <c r="C146" s="9">
        <f t="shared" si="61"/>
        <v>842</v>
      </c>
      <c r="D146" s="8">
        <f t="shared" si="52"/>
        <v>1439</v>
      </c>
      <c r="E146" s="4">
        <f t="shared" si="53"/>
        <v>592</v>
      </c>
      <c r="F146" s="4">
        <f t="shared" si="54"/>
        <v>506</v>
      </c>
      <c r="G146" s="4">
        <f t="shared" si="55"/>
        <v>889</v>
      </c>
      <c r="H146" s="5">
        <f t="shared" si="56"/>
        <v>1689</v>
      </c>
      <c r="I146" s="5">
        <f t="shared" si="57"/>
        <v>1775</v>
      </c>
      <c r="J146" s="5">
        <f t="shared" si="58"/>
        <v>1392</v>
      </c>
      <c r="K146" s="5">
        <f t="shared" si="49"/>
        <v>2000</v>
      </c>
      <c r="L146" s="5">
        <f t="shared" si="50"/>
        <v>2000</v>
      </c>
      <c r="M146" s="5">
        <f t="shared" si="51"/>
        <v>2000</v>
      </c>
      <c r="N146" s="5">
        <f t="shared" si="62"/>
        <v>-311</v>
      </c>
      <c r="O146" s="5">
        <f t="shared" si="63"/>
        <v>-225</v>
      </c>
      <c r="P146" s="5">
        <f t="shared" si="64"/>
        <v>-608</v>
      </c>
      <c r="Q146" s="4">
        <v>3</v>
      </c>
      <c r="R146" s="4">
        <v>4</v>
      </c>
      <c r="S146" s="4">
        <v>4</v>
      </c>
      <c r="T146" s="6">
        <f t="shared" si="59"/>
        <v>906</v>
      </c>
      <c r="U146" s="7">
        <f t="shared" si="46"/>
        <v>1469</v>
      </c>
      <c r="V146" s="7">
        <f t="shared" si="47"/>
        <v>1375</v>
      </c>
      <c r="W146" s="7">
        <f t="shared" si="45"/>
        <v>1482</v>
      </c>
      <c r="X146" s="6"/>
      <c r="Y146" s="5"/>
      <c r="Z146" s="5"/>
      <c r="AA146" s="5"/>
      <c r="AB146" s="14"/>
    </row>
    <row r="147" spans="1:28" ht="13.15" customHeight="1">
      <c r="A147" s="12">
        <v>133</v>
      </c>
      <c r="B147" s="11">
        <f t="shared" si="60"/>
        <v>45403</v>
      </c>
      <c r="C147" s="9">
        <f t="shared" si="61"/>
        <v>842</v>
      </c>
      <c r="D147" s="8">
        <f t="shared" si="52"/>
        <v>1441</v>
      </c>
      <c r="E147" s="4">
        <f t="shared" si="53"/>
        <v>596</v>
      </c>
      <c r="F147" s="4">
        <f t="shared" si="54"/>
        <v>513</v>
      </c>
      <c r="G147" s="4">
        <f t="shared" si="55"/>
        <v>893</v>
      </c>
      <c r="H147" s="5">
        <f t="shared" si="56"/>
        <v>1687</v>
      </c>
      <c r="I147" s="5">
        <f t="shared" si="57"/>
        <v>1770</v>
      </c>
      <c r="J147" s="5">
        <f t="shared" si="58"/>
        <v>1390</v>
      </c>
      <c r="K147" s="5">
        <f t="shared" si="49"/>
        <v>2000</v>
      </c>
      <c r="L147" s="5">
        <f t="shared" si="50"/>
        <v>2000</v>
      </c>
      <c r="M147" s="5">
        <f t="shared" si="51"/>
        <v>2000</v>
      </c>
      <c r="N147" s="5">
        <f t="shared" si="62"/>
        <v>-313</v>
      </c>
      <c r="O147" s="5">
        <f t="shared" si="63"/>
        <v>-230</v>
      </c>
      <c r="P147" s="5">
        <f t="shared" si="64"/>
        <v>-610</v>
      </c>
      <c r="Q147" s="4">
        <v>2</v>
      </c>
      <c r="R147" s="4">
        <v>5</v>
      </c>
      <c r="S147" s="4">
        <v>2</v>
      </c>
      <c r="T147" s="6">
        <f t="shared" si="59"/>
        <v>913</v>
      </c>
      <c r="U147" s="7">
        <f t="shared" si="46"/>
        <v>1467</v>
      </c>
      <c r="V147" s="7">
        <f t="shared" si="47"/>
        <v>1370</v>
      </c>
      <c r="W147" s="7">
        <f t="shared" si="45"/>
        <v>1480</v>
      </c>
      <c r="X147" s="6"/>
      <c r="Y147" s="5"/>
      <c r="Z147" s="5"/>
      <c r="AA147" s="5"/>
      <c r="AB147" s="15" t="s">
        <v>5</v>
      </c>
    </row>
    <row r="148" spans="1:28" ht="13.15" customHeight="1">
      <c r="A148" s="12">
        <v>134</v>
      </c>
      <c r="B148" s="11">
        <f t="shared" si="60"/>
        <v>45404</v>
      </c>
      <c r="C148" s="9">
        <f t="shared" si="61"/>
        <v>842</v>
      </c>
      <c r="D148" s="8">
        <f t="shared" si="52"/>
        <v>1443</v>
      </c>
      <c r="E148" s="4">
        <f t="shared" si="53"/>
        <v>-398</v>
      </c>
      <c r="F148" s="4">
        <f t="shared" si="54"/>
        <v>-480</v>
      </c>
      <c r="G148" s="4">
        <f t="shared" si="55"/>
        <v>-100</v>
      </c>
      <c r="H148" s="5">
        <f t="shared" si="56"/>
        <v>2683</v>
      </c>
      <c r="I148" s="5">
        <f t="shared" si="57"/>
        <v>2765</v>
      </c>
      <c r="J148" s="5">
        <f t="shared" si="58"/>
        <v>2385</v>
      </c>
      <c r="K148" s="5">
        <f>K147+1000</f>
        <v>3000</v>
      </c>
      <c r="L148" s="5">
        <f>L147+1000</f>
        <v>3000</v>
      </c>
      <c r="M148" s="5">
        <f>M147+1000</f>
        <v>3000</v>
      </c>
      <c r="N148" s="5">
        <f t="shared" si="62"/>
        <v>-317</v>
      </c>
      <c r="O148" s="5">
        <f t="shared" si="63"/>
        <v>-235</v>
      </c>
      <c r="P148" s="5">
        <f t="shared" si="64"/>
        <v>-615</v>
      </c>
      <c r="Q148" s="4">
        <v>4</v>
      </c>
      <c r="R148" s="4">
        <v>5</v>
      </c>
      <c r="S148" s="4">
        <v>5</v>
      </c>
      <c r="T148" s="6">
        <f t="shared" si="59"/>
        <v>920</v>
      </c>
      <c r="U148" s="7">
        <f t="shared" si="46"/>
        <v>1463</v>
      </c>
      <c r="V148" s="7">
        <f t="shared" si="47"/>
        <v>1365</v>
      </c>
      <c r="W148" s="7">
        <f t="shared" si="45"/>
        <v>1475</v>
      </c>
      <c r="X148" s="6"/>
      <c r="Y148" s="5"/>
      <c r="Z148" s="5"/>
      <c r="AA148" s="5"/>
      <c r="AB148" s="15" t="s">
        <v>4</v>
      </c>
    </row>
    <row r="149" spans="1:28" ht="13.15" customHeight="1">
      <c r="A149" s="12">
        <v>135</v>
      </c>
      <c r="B149" s="11">
        <f t="shared" si="60"/>
        <v>45405</v>
      </c>
      <c r="C149" s="9">
        <f t="shared" si="61"/>
        <v>842</v>
      </c>
      <c r="D149" s="8">
        <f t="shared" si="52"/>
        <v>1445</v>
      </c>
      <c r="E149" s="4">
        <f t="shared" si="53"/>
        <v>-388</v>
      </c>
      <c r="F149" s="4">
        <f t="shared" si="54"/>
        <v>-469</v>
      </c>
      <c r="G149" s="4">
        <f t="shared" si="55"/>
        <v>-90</v>
      </c>
      <c r="H149" s="5">
        <f t="shared" si="56"/>
        <v>2675</v>
      </c>
      <c r="I149" s="5">
        <f t="shared" si="57"/>
        <v>2756</v>
      </c>
      <c r="J149" s="5">
        <f t="shared" si="58"/>
        <v>2377</v>
      </c>
      <c r="K149" s="5">
        <f t="shared" ref="K149:K212" si="65">K148</f>
        <v>3000</v>
      </c>
      <c r="L149" s="5">
        <f t="shared" ref="L149:L212" si="66">L148</f>
        <v>3000</v>
      </c>
      <c r="M149" s="5">
        <f t="shared" ref="M149:M212" si="67">M148</f>
        <v>3000</v>
      </c>
      <c r="N149" s="5">
        <f t="shared" si="62"/>
        <v>-325</v>
      </c>
      <c r="O149" s="5">
        <f t="shared" si="63"/>
        <v>-244</v>
      </c>
      <c r="P149" s="5">
        <f t="shared" si="64"/>
        <v>-623</v>
      </c>
      <c r="Q149" s="4">
        <v>8</v>
      </c>
      <c r="R149" s="4">
        <v>9</v>
      </c>
      <c r="S149" s="4">
        <v>8</v>
      </c>
      <c r="T149" s="6">
        <f t="shared" si="59"/>
        <v>631</v>
      </c>
      <c r="U149" s="7">
        <f t="shared" si="46"/>
        <v>1755</v>
      </c>
      <c r="V149" s="7">
        <f t="shared" si="47"/>
        <v>1656</v>
      </c>
      <c r="W149" s="7">
        <f t="shared" si="45"/>
        <v>1767</v>
      </c>
      <c r="X149" s="13">
        <v>0.3</v>
      </c>
      <c r="Y149" s="5"/>
      <c r="Z149" s="5"/>
      <c r="AA149" s="5"/>
      <c r="AB149" s="14">
        <v>1</v>
      </c>
    </row>
    <row r="150" spans="1:28" ht="13.15" customHeight="1">
      <c r="A150" s="12">
        <v>136</v>
      </c>
      <c r="B150" s="11">
        <f t="shared" si="60"/>
        <v>45406</v>
      </c>
      <c r="C150" s="9">
        <f t="shared" si="61"/>
        <v>842</v>
      </c>
      <c r="D150" s="8">
        <f t="shared" si="52"/>
        <v>1447</v>
      </c>
      <c r="E150" s="4">
        <f t="shared" si="53"/>
        <v>-381</v>
      </c>
      <c r="F150" s="4">
        <f t="shared" si="54"/>
        <v>-462</v>
      </c>
      <c r="G150" s="4">
        <f t="shared" si="55"/>
        <v>-84</v>
      </c>
      <c r="H150" s="5">
        <f t="shared" si="56"/>
        <v>2670</v>
      </c>
      <c r="I150" s="5">
        <f t="shared" si="57"/>
        <v>2751</v>
      </c>
      <c r="J150" s="5">
        <f t="shared" si="58"/>
        <v>2373</v>
      </c>
      <c r="K150" s="5">
        <f t="shared" si="65"/>
        <v>3000</v>
      </c>
      <c r="L150" s="5">
        <f t="shared" si="66"/>
        <v>3000</v>
      </c>
      <c r="M150" s="5">
        <f t="shared" si="67"/>
        <v>3000</v>
      </c>
      <c r="N150" s="5">
        <f t="shared" si="62"/>
        <v>-330</v>
      </c>
      <c r="O150" s="5">
        <f t="shared" si="63"/>
        <v>-249</v>
      </c>
      <c r="P150" s="5">
        <f t="shared" si="64"/>
        <v>-627</v>
      </c>
      <c r="Q150" s="4">
        <v>5</v>
      </c>
      <c r="R150" s="4">
        <v>5</v>
      </c>
      <c r="S150" s="4">
        <v>4</v>
      </c>
      <c r="T150" s="6">
        <f t="shared" si="59"/>
        <v>638</v>
      </c>
      <c r="U150" s="7">
        <f t="shared" si="46"/>
        <v>1750</v>
      </c>
      <c r="V150" s="7">
        <f t="shared" si="47"/>
        <v>1651</v>
      </c>
      <c r="W150" s="7">
        <f t="shared" si="45"/>
        <v>1763</v>
      </c>
      <c r="X150" s="6"/>
      <c r="Y150" s="5"/>
      <c r="Z150" s="5"/>
      <c r="AA150" s="5"/>
      <c r="AB150" s="5"/>
    </row>
    <row r="151" spans="1:28" ht="13.15" customHeight="1">
      <c r="A151" s="12">
        <v>137</v>
      </c>
      <c r="B151" s="11">
        <f t="shared" si="60"/>
        <v>45407</v>
      </c>
      <c r="C151" s="9">
        <f t="shared" si="61"/>
        <v>842</v>
      </c>
      <c r="D151" s="8">
        <f t="shared" si="52"/>
        <v>1449</v>
      </c>
      <c r="E151" s="4">
        <f t="shared" si="53"/>
        <v>-374</v>
      </c>
      <c r="F151" s="4">
        <f t="shared" si="54"/>
        <v>-456</v>
      </c>
      <c r="G151" s="4">
        <f t="shared" si="55"/>
        <v>-79</v>
      </c>
      <c r="H151" s="5">
        <f t="shared" si="56"/>
        <v>2665</v>
      </c>
      <c r="I151" s="5">
        <f t="shared" si="57"/>
        <v>2747</v>
      </c>
      <c r="J151" s="5">
        <f t="shared" si="58"/>
        <v>2370</v>
      </c>
      <c r="K151" s="5">
        <f t="shared" si="65"/>
        <v>3000</v>
      </c>
      <c r="L151" s="5">
        <f t="shared" si="66"/>
        <v>3000</v>
      </c>
      <c r="M151" s="5">
        <f t="shared" si="67"/>
        <v>3000</v>
      </c>
      <c r="N151" s="5">
        <f t="shared" si="62"/>
        <v>-335</v>
      </c>
      <c r="O151" s="5">
        <f t="shared" si="63"/>
        <v>-253</v>
      </c>
      <c r="P151" s="5">
        <f t="shared" si="64"/>
        <v>-630</v>
      </c>
      <c r="Q151" s="4">
        <v>5</v>
      </c>
      <c r="R151" s="4">
        <v>4</v>
      </c>
      <c r="S151" s="4">
        <v>3</v>
      </c>
      <c r="T151" s="6">
        <f t="shared" si="59"/>
        <v>644</v>
      </c>
      <c r="U151" s="7">
        <f t="shared" si="46"/>
        <v>1745</v>
      </c>
      <c r="V151" s="7">
        <f t="shared" si="47"/>
        <v>1647</v>
      </c>
      <c r="W151" s="7">
        <f t="shared" si="45"/>
        <v>1760</v>
      </c>
      <c r="X151" s="6"/>
      <c r="Y151" s="5"/>
      <c r="Z151" s="5"/>
      <c r="AA151" s="5"/>
      <c r="AB151" s="5"/>
    </row>
    <row r="152" spans="1:28" ht="13.15" customHeight="1">
      <c r="A152" s="12">
        <v>138</v>
      </c>
      <c r="B152" s="11">
        <f t="shared" si="60"/>
        <v>45408</v>
      </c>
      <c r="C152" s="9">
        <f t="shared" si="61"/>
        <v>842</v>
      </c>
      <c r="D152" s="8">
        <f t="shared" si="52"/>
        <v>1451</v>
      </c>
      <c r="E152" s="4">
        <f t="shared" si="53"/>
        <v>-368</v>
      </c>
      <c r="F152" s="4">
        <f t="shared" si="54"/>
        <v>-450</v>
      </c>
      <c r="G152" s="4">
        <f t="shared" si="55"/>
        <v>-76</v>
      </c>
      <c r="H152" s="5">
        <f t="shared" si="56"/>
        <v>2661</v>
      </c>
      <c r="I152" s="5">
        <f t="shared" si="57"/>
        <v>2743</v>
      </c>
      <c r="J152" s="5">
        <f t="shared" si="58"/>
        <v>2369</v>
      </c>
      <c r="K152" s="5">
        <f t="shared" si="65"/>
        <v>3000</v>
      </c>
      <c r="L152" s="5">
        <f t="shared" si="66"/>
        <v>3000</v>
      </c>
      <c r="M152" s="5">
        <f t="shared" si="67"/>
        <v>3000</v>
      </c>
      <c r="N152" s="5">
        <f t="shared" si="62"/>
        <v>-339</v>
      </c>
      <c r="O152" s="5">
        <f t="shared" si="63"/>
        <v>-257</v>
      </c>
      <c r="P152" s="5">
        <f t="shared" si="64"/>
        <v>-631</v>
      </c>
      <c r="Q152" s="4">
        <v>4</v>
      </c>
      <c r="R152" s="4">
        <v>4</v>
      </c>
      <c r="S152" s="4">
        <v>1</v>
      </c>
      <c r="T152" s="6">
        <f t="shared" si="59"/>
        <v>650</v>
      </c>
      <c r="U152" s="7">
        <f t="shared" si="46"/>
        <v>1741</v>
      </c>
      <c r="V152" s="7">
        <f t="shared" si="47"/>
        <v>1643</v>
      </c>
      <c r="W152" s="7">
        <f t="shared" si="45"/>
        <v>1759</v>
      </c>
      <c r="X152" s="6"/>
      <c r="Y152" s="5"/>
      <c r="Z152" s="5"/>
      <c r="AA152" s="5"/>
      <c r="AB152" s="5"/>
    </row>
    <row r="153" spans="1:28" ht="13.15" customHeight="1">
      <c r="A153" s="12">
        <v>139</v>
      </c>
      <c r="B153" s="11">
        <f t="shared" si="60"/>
        <v>45409</v>
      </c>
      <c r="C153" s="9">
        <f t="shared" si="61"/>
        <v>842</v>
      </c>
      <c r="D153" s="8">
        <f t="shared" si="52"/>
        <v>1453</v>
      </c>
      <c r="E153" s="4">
        <f t="shared" si="53"/>
        <v>-363</v>
      </c>
      <c r="F153" s="4">
        <f t="shared" si="54"/>
        <v>-441</v>
      </c>
      <c r="G153" s="4">
        <f t="shared" si="55"/>
        <v>-73</v>
      </c>
      <c r="H153" s="5">
        <f t="shared" si="56"/>
        <v>2658</v>
      </c>
      <c r="I153" s="5">
        <f t="shared" si="57"/>
        <v>2736</v>
      </c>
      <c r="J153" s="5">
        <f t="shared" si="58"/>
        <v>2368</v>
      </c>
      <c r="K153" s="5">
        <f t="shared" si="65"/>
        <v>3000</v>
      </c>
      <c r="L153" s="5">
        <f t="shared" si="66"/>
        <v>3000</v>
      </c>
      <c r="M153" s="5">
        <f t="shared" si="67"/>
        <v>3000</v>
      </c>
      <c r="N153" s="5">
        <f t="shared" si="62"/>
        <v>-342</v>
      </c>
      <c r="O153" s="5">
        <f t="shared" si="63"/>
        <v>-264</v>
      </c>
      <c r="P153" s="5">
        <f t="shared" si="64"/>
        <v>-632</v>
      </c>
      <c r="Q153" s="4">
        <v>3</v>
      </c>
      <c r="R153" s="4">
        <v>7</v>
      </c>
      <c r="S153" s="4">
        <v>1</v>
      </c>
      <c r="T153" s="6">
        <f t="shared" si="59"/>
        <v>659</v>
      </c>
      <c r="U153" s="7">
        <f t="shared" si="46"/>
        <v>1738</v>
      </c>
      <c r="V153" s="7">
        <f t="shared" si="47"/>
        <v>1636</v>
      </c>
      <c r="W153" s="7">
        <f t="shared" si="45"/>
        <v>1758</v>
      </c>
      <c r="X153" s="6"/>
      <c r="Y153" s="5"/>
      <c r="Z153" s="5"/>
      <c r="AA153" s="5"/>
      <c r="AB153" s="5"/>
    </row>
    <row r="154" spans="1:28" ht="13.15" customHeight="1">
      <c r="A154" s="12">
        <v>140</v>
      </c>
      <c r="B154" s="11">
        <f t="shared" si="60"/>
        <v>45410</v>
      </c>
      <c r="C154" s="9">
        <f t="shared" si="61"/>
        <v>842</v>
      </c>
      <c r="D154" s="8">
        <f t="shared" si="52"/>
        <v>1455</v>
      </c>
      <c r="E154" s="4">
        <f t="shared" si="53"/>
        <v>-359</v>
      </c>
      <c r="F154" s="4">
        <f t="shared" si="54"/>
        <v>-434</v>
      </c>
      <c r="G154" s="4">
        <f t="shared" si="55"/>
        <v>-70</v>
      </c>
      <c r="H154" s="5">
        <f t="shared" si="56"/>
        <v>2656</v>
      </c>
      <c r="I154" s="5">
        <f t="shared" si="57"/>
        <v>2731</v>
      </c>
      <c r="J154" s="5">
        <f t="shared" si="58"/>
        <v>2367</v>
      </c>
      <c r="K154" s="5">
        <f t="shared" si="65"/>
        <v>3000</v>
      </c>
      <c r="L154" s="5">
        <f t="shared" si="66"/>
        <v>3000</v>
      </c>
      <c r="M154" s="5">
        <f t="shared" si="67"/>
        <v>3000</v>
      </c>
      <c r="N154" s="5">
        <f t="shared" si="62"/>
        <v>-344</v>
      </c>
      <c r="O154" s="5">
        <f t="shared" si="63"/>
        <v>-269</v>
      </c>
      <c r="P154" s="5">
        <f t="shared" si="64"/>
        <v>-633</v>
      </c>
      <c r="Q154" s="4">
        <v>2</v>
      </c>
      <c r="R154" s="4">
        <v>5</v>
      </c>
      <c r="S154" s="4">
        <v>1</v>
      </c>
      <c r="T154" s="6">
        <f t="shared" si="59"/>
        <v>666</v>
      </c>
      <c r="U154" s="7">
        <f t="shared" si="46"/>
        <v>1736</v>
      </c>
      <c r="V154" s="7">
        <f t="shared" si="47"/>
        <v>1631</v>
      </c>
      <c r="W154" s="7">
        <f t="shared" si="45"/>
        <v>1757</v>
      </c>
      <c r="X154" s="6"/>
      <c r="Y154" s="5"/>
      <c r="Z154" s="5"/>
      <c r="AA154" s="5"/>
      <c r="AB154" s="5"/>
    </row>
    <row r="155" spans="1:28" ht="13.15" customHeight="1">
      <c r="A155" s="12">
        <v>141</v>
      </c>
      <c r="B155" s="11">
        <f t="shared" si="60"/>
        <v>45411</v>
      </c>
      <c r="C155" s="9">
        <f t="shared" si="61"/>
        <v>842</v>
      </c>
      <c r="D155" s="8">
        <f t="shared" si="52"/>
        <v>1457</v>
      </c>
      <c r="E155" s="4">
        <f t="shared" si="53"/>
        <v>-353</v>
      </c>
      <c r="F155" s="4">
        <f t="shared" si="54"/>
        <v>-427</v>
      </c>
      <c r="G155" s="4">
        <f t="shared" si="55"/>
        <v>-65</v>
      </c>
      <c r="H155" s="5">
        <f t="shared" si="56"/>
        <v>2652</v>
      </c>
      <c r="I155" s="5">
        <f t="shared" si="57"/>
        <v>2726</v>
      </c>
      <c r="J155" s="5">
        <f t="shared" si="58"/>
        <v>2364</v>
      </c>
      <c r="K155" s="5">
        <f t="shared" si="65"/>
        <v>3000</v>
      </c>
      <c r="L155" s="5">
        <f t="shared" si="66"/>
        <v>3000</v>
      </c>
      <c r="M155" s="5">
        <f t="shared" si="67"/>
        <v>3000</v>
      </c>
      <c r="N155" s="5">
        <f t="shared" si="62"/>
        <v>-348</v>
      </c>
      <c r="O155" s="5">
        <f t="shared" si="63"/>
        <v>-274</v>
      </c>
      <c r="P155" s="5">
        <f t="shared" si="64"/>
        <v>-636</v>
      </c>
      <c r="Q155" s="4">
        <v>4</v>
      </c>
      <c r="R155" s="4">
        <v>5</v>
      </c>
      <c r="S155" s="4">
        <v>3</v>
      </c>
      <c r="T155" s="6">
        <f t="shared" si="59"/>
        <v>673</v>
      </c>
      <c r="U155" s="7">
        <f t="shared" si="46"/>
        <v>1732</v>
      </c>
      <c r="V155" s="7">
        <f t="shared" si="47"/>
        <v>1626</v>
      </c>
      <c r="W155" s="7">
        <f t="shared" si="45"/>
        <v>1754</v>
      </c>
      <c r="X155" s="6"/>
      <c r="Y155" s="5"/>
      <c r="Z155" s="5"/>
      <c r="AA155" s="5"/>
      <c r="AB155" s="5"/>
    </row>
    <row r="156" spans="1:28" ht="13.15" customHeight="1">
      <c r="A156" s="12">
        <v>142</v>
      </c>
      <c r="B156" s="11">
        <f t="shared" si="60"/>
        <v>45412</v>
      </c>
      <c r="C156" s="9">
        <f t="shared" si="61"/>
        <v>842</v>
      </c>
      <c r="D156" s="8">
        <f t="shared" si="52"/>
        <v>1459</v>
      </c>
      <c r="E156" s="4">
        <f t="shared" si="53"/>
        <v>-349</v>
      </c>
      <c r="F156" s="4">
        <f t="shared" si="54"/>
        <v>-421</v>
      </c>
      <c r="G156" s="4">
        <f t="shared" si="55"/>
        <v>-62</v>
      </c>
      <c r="H156" s="5">
        <f t="shared" si="56"/>
        <v>2650</v>
      </c>
      <c r="I156" s="5">
        <f t="shared" si="57"/>
        <v>2722</v>
      </c>
      <c r="J156" s="5">
        <f t="shared" si="58"/>
        <v>2363</v>
      </c>
      <c r="K156" s="5">
        <f t="shared" si="65"/>
        <v>3000</v>
      </c>
      <c r="L156" s="5">
        <f t="shared" si="66"/>
        <v>3000</v>
      </c>
      <c r="M156" s="5">
        <f t="shared" si="67"/>
        <v>3000</v>
      </c>
      <c r="N156" s="5">
        <f t="shared" si="62"/>
        <v>-350</v>
      </c>
      <c r="O156" s="5">
        <f t="shared" si="63"/>
        <v>-278</v>
      </c>
      <c r="P156" s="5">
        <f t="shared" si="64"/>
        <v>-637</v>
      </c>
      <c r="Q156" s="4">
        <v>2</v>
      </c>
      <c r="R156" s="4">
        <v>4</v>
      </c>
      <c r="S156" s="4">
        <v>1</v>
      </c>
      <c r="T156" s="6">
        <f t="shared" si="59"/>
        <v>679</v>
      </c>
      <c r="U156" s="7">
        <f t="shared" si="46"/>
        <v>1730</v>
      </c>
      <c r="V156" s="7">
        <f t="shared" si="47"/>
        <v>1622</v>
      </c>
      <c r="W156" s="7">
        <f t="shared" si="45"/>
        <v>1753</v>
      </c>
      <c r="X156" s="6"/>
      <c r="Y156" s="5"/>
      <c r="Z156" s="5"/>
      <c r="AA156" s="5"/>
      <c r="AB156" s="5"/>
    </row>
    <row r="157" spans="1:28" ht="13.15" customHeight="1">
      <c r="A157" s="12">
        <v>143</v>
      </c>
      <c r="B157" s="11">
        <f t="shared" si="60"/>
        <v>45413</v>
      </c>
      <c r="C157" s="9">
        <f t="shared" si="61"/>
        <v>842</v>
      </c>
      <c r="D157" s="8">
        <f t="shared" si="52"/>
        <v>1461</v>
      </c>
      <c r="E157" s="4">
        <f t="shared" si="53"/>
        <v>-343</v>
      </c>
      <c r="F157" s="4">
        <f t="shared" si="54"/>
        <v>-416</v>
      </c>
      <c r="G157" s="4">
        <f t="shared" si="55"/>
        <v>-58</v>
      </c>
      <c r="H157" s="5">
        <f t="shared" si="56"/>
        <v>2646</v>
      </c>
      <c r="I157" s="5">
        <f t="shared" si="57"/>
        <v>2719</v>
      </c>
      <c r="J157" s="5">
        <f t="shared" si="58"/>
        <v>2361</v>
      </c>
      <c r="K157" s="5">
        <f t="shared" si="65"/>
        <v>3000</v>
      </c>
      <c r="L157" s="5">
        <f t="shared" si="66"/>
        <v>3000</v>
      </c>
      <c r="M157" s="5">
        <f t="shared" si="67"/>
        <v>3000</v>
      </c>
      <c r="N157" s="5">
        <f t="shared" si="62"/>
        <v>-354</v>
      </c>
      <c r="O157" s="5">
        <f t="shared" si="63"/>
        <v>-281</v>
      </c>
      <c r="P157" s="5">
        <f t="shared" si="64"/>
        <v>-639</v>
      </c>
      <c r="Q157" s="4">
        <v>4</v>
      </c>
      <c r="R157" s="4">
        <v>3</v>
      </c>
      <c r="S157" s="4">
        <v>2</v>
      </c>
      <c r="T157" s="6">
        <f t="shared" si="59"/>
        <v>684</v>
      </c>
      <c r="U157" s="7">
        <f t="shared" si="46"/>
        <v>1726</v>
      </c>
      <c r="V157" s="7">
        <f t="shared" si="47"/>
        <v>1619</v>
      </c>
      <c r="W157" s="7">
        <f t="shared" si="45"/>
        <v>1751</v>
      </c>
      <c r="X157" s="6"/>
      <c r="Y157" s="5"/>
      <c r="Z157" s="5"/>
      <c r="AA157" s="5"/>
      <c r="AB157" s="5"/>
    </row>
    <row r="158" spans="1:28" ht="13.15" customHeight="1">
      <c r="A158" s="12">
        <v>144</v>
      </c>
      <c r="B158" s="11">
        <f t="shared" si="60"/>
        <v>45414</v>
      </c>
      <c r="C158" s="9">
        <f t="shared" si="61"/>
        <v>842</v>
      </c>
      <c r="D158" s="8">
        <f t="shared" si="52"/>
        <v>1463</v>
      </c>
      <c r="E158" s="4">
        <f t="shared" si="53"/>
        <v>-340</v>
      </c>
      <c r="F158" s="4">
        <f t="shared" si="54"/>
        <v>-412</v>
      </c>
      <c r="G158" s="4">
        <f t="shared" si="55"/>
        <v>-55</v>
      </c>
      <c r="H158" s="5">
        <f t="shared" si="56"/>
        <v>2645</v>
      </c>
      <c r="I158" s="5">
        <f t="shared" si="57"/>
        <v>2717</v>
      </c>
      <c r="J158" s="5">
        <f t="shared" si="58"/>
        <v>2360</v>
      </c>
      <c r="K158" s="5">
        <f t="shared" si="65"/>
        <v>3000</v>
      </c>
      <c r="L158" s="5">
        <f t="shared" si="66"/>
        <v>3000</v>
      </c>
      <c r="M158" s="5">
        <f t="shared" si="67"/>
        <v>3000</v>
      </c>
      <c r="N158" s="5">
        <f t="shared" si="62"/>
        <v>-355</v>
      </c>
      <c r="O158" s="5">
        <f t="shared" si="63"/>
        <v>-283</v>
      </c>
      <c r="P158" s="5">
        <f t="shared" si="64"/>
        <v>-640</v>
      </c>
      <c r="Q158" s="4">
        <v>1</v>
      </c>
      <c r="R158" s="4">
        <v>2</v>
      </c>
      <c r="S158" s="4">
        <v>1</v>
      </c>
      <c r="T158" s="6">
        <f t="shared" si="59"/>
        <v>688</v>
      </c>
      <c r="U158" s="7">
        <f t="shared" si="46"/>
        <v>1725</v>
      </c>
      <c r="V158" s="7">
        <f t="shared" si="47"/>
        <v>1617</v>
      </c>
      <c r="W158" s="7">
        <f t="shared" si="45"/>
        <v>1750</v>
      </c>
      <c r="X158" s="6"/>
      <c r="Y158" s="5"/>
      <c r="Z158" s="5"/>
      <c r="AA158" s="5"/>
      <c r="AB158" s="5"/>
    </row>
    <row r="159" spans="1:28" ht="13.15" customHeight="1">
      <c r="A159" s="12">
        <v>145</v>
      </c>
      <c r="B159" s="11">
        <f t="shared" si="60"/>
        <v>45415</v>
      </c>
      <c r="C159" s="9">
        <f t="shared" si="61"/>
        <v>842</v>
      </c>
      <c r="D159" s="8">
        <f t="shared" si="52"/>
        <v>1465</v>
      </c>
      <c r="E159" s="4">
        <f t="shared" si="53"/>
        <v>-337</v>
      </c>
      <c r="F159" s="4">
        <f t="shared" si="54"/>
        <v>-403</v>
      </c>
      <c r="G159" s="4">
        <f t="shared" si="55"/>
        <v>-51</v>
      </c>
      <c r="H159" s="5">
        <f t="shared" si="56"/>
        <v>2644</v>
      </c>
      <c r="I159" s="5">
        <f t="shared" si="57"/>
        <v>2710</v>
      </c>
      <c r="J159" s="5">
        <f t="shared" si="58"/>
        <v>2358</v>
      </c>
      <c r="K159" s="5">
        <f t="shared" si="65"/>
        <v>3000</v>
      </c>
      <c r="L159" s="5">
        <f t="shared" si="66"/>
        <v>3000</v>
      </c>
      <c r="M159" s="5">
        <f t="shared" si="67"/>
        <v>3000</v>
      </c>
      <c r="N159" s="5">
        <f t="shared" si="62"/>
        <v>-356</v>
      </c>
      <c r="O159" s="5">
        <f t="shared" si="63"/>
        <v>-290</v>
      </c>
      <c r="P159" s="5">
        <f t="shared" si="64"/>
        <v>-642</v>
      </c>
      <c r="Q159" s="4">
        <v>1</v>
      </c>
      <c r="R159" s="4">
        <v>7</v>
      </c>
      <c r="S159" s="4">
        <v>2</v>
      </c>
      <c r="T159" s="6">
        <f t="shared" si="59"/>
        <v>697</v>
      </c>
      <c r="U159" s="7">
        <f t="shared" si="46"/>
        <v>1724</v>
      </c>
      <c r="V159" s="7">
        <f t="shared" si="47"/>
        <v>1610</v>
      </c>
      <c r="W159" s="7">
        <f t="shared" si="45"/>
        <v>1748</v>
      </c>
      <c r="X159" s="6"/>
      <c r="Y159" s="5"/>
      <c r="Z159" s="5"/>
      <c r="AA159" s="5"/>
      <c r="AB159" s="5"/>
    </row>
    <row r="160" spans="1:28" ht="13.15" customHeight="1">
      <c r="A160" s="12">
        <v>146</v>
      </c>
      <c r="B160" s="11">
        <f t="shared" si="60"/>
        <v>45416</v>
      </c>
      <c r="C160" s="9">
        <f t="shared" si="61"/>
        <v>842</v>
      </c>
      <c r="D160" s="8">
        <f t="shared" si="52"/>
        <v>1467</v>
      </c>
      <c r="E160" s="4">
        <f t="shared" si="53"/>
        <v>-334</v>
      </c>
      <c r="F160" s="4">
        <f t="shared" si="54"/>
        <v>-396</v>
      </c>
      <c r="G160" s="4">
        <f t="shared" si="55"/>
        <v>-47</v>
      </c>
      <c r="H160" s="5">
        <f t="shared" si="56"/>
        <v>2643</v>
      </c>
      <c r="I160" s="5">
        <f t="shared" si="57"/>
        <v>2705</v>
      </c>
      <c r="J160" s="5">
        <f t="shared" si="58"/>
        <v>2356</v>
      </c>
      <c r="K160" s="5">
        <f t="shared" si="65"/>
        <v>3000</v>
      </c>
      <c r="L160" s="5">
        <f t="shared" si="66"/>
        <v>3000</v>
      </c>
      <c r="M160" s="5">
        <f t="shared" si="67"/>
        <v>3000</v>
      </c>
      <c r="N160" s="5">
        <f t="shared" si="62"/>
        <v>-357</v>
      </c>
      <c r="O160" s="5">
        <f t="shared" si="63"/>
        <v>-295</v>
      </c>
      <c r="P160" s="5">
        <f t="shared" si="64"/>
        <v>-644</v>
      </c>
      <c r="Q160" s="4">
        <v>1</v>
      </c>
      <c r="R160" s="4">
        <v>5</v>
      </c>
      <c r="S160" s="4">
        <v>2</v>
      </c>
      <c r="T160" s="6">
        <f t="shared" si="59"/>
        <v>704</v>
      </c>
      <c r="U160" s="7">
        <f t="shared" si="46"/>
        <v>1723</v>
      </c>
      <c r="V160" s="7">
        <f t="shared" si="47"/>
        <v>1605</v>
      </c>
      <c r="W160" s="7">
        <f t="shared" ref="W160:W223" si="68">W159+$X160*1000-S160</f>
        <v>1746</v>
      </c>
      <c r="X160" s="6"/>
      <c r="Y160" s="5"/>
      <c r="Z160" s="5"/>
      <c r="AA160" s="5"/>
      <c r="AB160" s="5"/>
    </row>
    <row r="161" spans="1:28" ht="13.15" customHeight="1">
      <c r="A161" s="12">
        <v>147</v>
      </c>
      <c r="B161" s="11">
        <f t="shared" si="60"/>
        <v>45417</v>
      </c>
      <c r="C161" s="9">
        <f t="shared" si="61"/>
        <v>842</v>
      </c>
      <c r="D161" s="8">
        <f t="shared" si="52"/>
        <v>1469</v>
      </c>
      <c r="E161" s="4">
        <f t="shared" si="53"/>
        <v>-332</v>
      </c>
      <c r="F161" s="4">
        <f t="shared" si="54"/>
        <v>-389</v>
      </c>
      <c r="G161" s="4">
        <f t="shared" si="55"/>
        <v>-45</v>
      </c>
      <c r="H161" s="5">
        <f t="shared" si="56"/>
        <v>2643</v>
      </c>
      <c r="I161" s="5">
        <f t="shared" si="57"/>
        <v>2700</v>
      </c>
      <c r="J161" s="5">
        <f t="shared" si="58"/>
        <v>2356</v>
      </c>
      <c r="K161" s="5">
        <f t="shared" si="65"/>
        <v>3000</v>
      </c>
      <c r="L161" s="5">
        <f t="shared" si="66"/>
        <v>3000</v>
      </c>
      <c r="M161" s="5">
        <f t="shared" si="67"/>
        <v>3000</v>
      </c>
      <c r="N161" s="5">
        <f t="shared" si="62"/>
        <v>-357</v>
      </c>
      <c r="O161" s="5">
        <f t="shared" si="63"/>
        <v>-300</v>
      </c>
      <c r="P161" s="5">
        <f t="shared" si="64"/>
        <v>-644</v>
      </c>
      <c r="Q161" s="4">
        <v>0</v>
      </c>
      <c r="R161" s="4">
        <v>5</v>
      </c>
      <c r="S161" s="4">
        <v>0</v>
      </c>
      <c r="T161" s="6">
        <f t="shared" si="59"/>
        <v>711</v>
      </c>
      <c r="U161" s="7">
        <f t="shared" si="46"/>
        <v>1723</v>
      </c>
      <c r="V161" s="7">
        <f t="shared" si="47"/>
        <v>1600</v>
      </c>
      <c r="W161" s="7">
        <f t="shared" si="68"/>
        <v>1746</v>
      </c>
      <c r="X161" s="6"/>
      <c r="Y161" s="5"/>
      <c r="Z161" s="5"/>
      <c r="AA161" s="5"/>
      <c r="AB161" s="5"/>
    </row>
    <row r="162" spans="1:28" ht="13.15" customHeight="1">
      <c r="A162" s="12">
        <v>148</v>
      </c>
      <c r="B162" s="11">
        <f t="shared" si="60"/>
        <v>45418</v>
      </c>
      <c r="C162" s="9">
        <f t="shared" si="61"/>
        <v>842</v>
      </c>
      <c r="D162" s="8">
        <f t="shared" si="52"/>
        <v>1471</v>
      </c>
      <c r="E162" s="4">
        <f t="shared" si="53"/>
        <v>-329</v>
      </c>
      <c r="F162" s="4">
        <f t="shared" si="54"/>
        <v>-380</v>
      </c>
      <c r="G162" s="4">
        <f t="shared" si="55"/>
        <v>-42</v>
      </c>
      <c r="H162" s="5">
        <f t="shared" si="56"/>
        <v>2642</v>
      </c>
      <c r="I162" s="5">
        <f t="shared" si="57"/>
        <v>2693</v>
      </c>
      <c r="J162" s="5">
        <f t="shared" si="58"/>
        <v>2355</v>
      </c>
      <c r="K162" s="5">
        <f t="shared" si="65"/>
        <v>3000</v>
      </c>
      <c r="L162" s="5">
        <f t="shared" si="66"/>
        <v>3000</v>
      </c>
      <c r="M162" s="5">
        <f t="shared" si="67"/>
        <v>3000</v>
      </c>
      <c r="N162" s="5">
        <f t="shared" si="62"/>
        <v>-358</v>
      </c>
      <c r="O162" s="5">
        <f t="shared" si="63"/>
        <v>-307</v>
      </c>
      <c r="P162" s="5">
        <f t="shared" si="64"/>
        <v>-645</v>
      </c>
      <c r="Q162" s="4">
        <v>1</v>
      </c>
      <c r="R162" s="4">
        <v>7</v>
      </c>
      <c r="S162" s="4">
        <v>1</v>
      </c>
      <c r="T162" s="6">
        <f t="shared" si="59"/>
        <v>720</v>
      </c>
      <c r="U162" s="7">
        <f t="shared" si="46"/>
        <v>1722</v>
      </c>
      <c r="V162" s="7">
        <f t="shared" si="47"/>
        <v>1593</v>
      </c>
      <c r="W162" s="7">
        <f t="shared" si="68"/>
        <v>1745</v>
      </c>
      <c r="X162" s="6"/>
      <c r="Y162" s="5"/>
      <c r="Z162" s="5"/>
      <c r="AA162" s="5"/>
      <c r="AB162" s="5"/>
    </row>
    <row r="163" spans="1:28" ht="13.15" customHeight="1">
      <c r="A163" s="12">
        <v>149</v>
      </c>
      <c r="B163" s="11">
        <f t="shared" si="60"/>
        <v>45419</v>
      </c>
      <c r="C163" s="9">
        <f t="shared" si="61"/>
        <v>842</v>
      </c>
      <c r="D163" s="8">
        <f t="shared" si="52"/>
        <v>1473</v>
      </c>
      <c r="E163" s="4">
        <f t="shared" si="53"/>
        <v>-327</v>
      </c>
      <c r="F163" s="4">
        <f t="shared" si="54"/>
        <v>-373</v>
      </c>
      <c r="G163" s="4">
        <f t="shared" si="55"/>
        <v>-40</v>
      </c>
      <c r="H163" s="5">
        <f t="shared" si="56"/>
        <v>2642</v>
      </c>
      <c r="I163" s="5">
        <f t="shared" si="57"/>
        <v>2688</v>
      </c>
      <c r="J163" s="5">
        <f t="shared" si="58"/>
        <v>2355</v>
      </c>
      <c r="K163" s="5">
        <f t="shared" si="65"/>
        <v>3000</v>
      </c>
      <c r="L163" s="5">
        <f t="shared" si="66"/>
        <v>3000</v>
      </c>
      <c r="M163" s="5">
        <f t="shared" si="67"/>
        <v>3000</v>
      </c>
      <c r="N163" s="5">
        <f t="shared" si="62"/>
        <v>-358</v>
      </c>
      <c r="O163" s="5">
        <f t="shared" si="63"/>
        <v>-312</v>
      </c>
      <c r="P163" s="5">
        <f t="shared" si="64"/>
        <v>-645</v>
      </c>
      <c r="Q163" s="4">
        <v>0</v>
      </c>
      <c r="R163" s="4">
        <v>5</v>
      </c>
      <c r="S163" s="4">
        <v>0</v>
      </c>
      <c r="T163" s="6">
        <f t="shared" si="59"/>
        <v>727</v>
      </c>
      <c r="U163" s="7">
        <f t="shared" si="46"/>
        <v>1722</v>
      </c>
      <c r="V163" s="7">
        <f t="shared" si="47"/>
        <v>1588</v>
      </c>
      <c r="W163" s="7">
        <f t="shared" si="68"/>
        <v>1745</v>
      </c>
      <c r="X163" s="6"/>
      <c r="Y163" s="5"/>
      <c r="Z163" s="5"/>
      <c r="AA163" s="5"/>
      <c r="AB163" s="5"/>
    </row>
    <row r="164" spans="1:28" ht="13.15" customHeight="1">
      <c r="A164" s="12">
        <v>150</v>
      </c>
      <c r="B164" s="11">
        <f t="shared" si="60"/>
        <v>45420</v>
      </c>
      <c r="C164" s="9">
        <f t="shared" si="61"/>
        <v>842</v>
      </c>
      <c r="D164" s="8">
        <f t="shared" si="52"/>
        <v>1475</v>
      </c>
      <c r="E164" s="4">
        <f t="shared" si="53"/>
        <v>-324</v>
      </c>
      <c r="F164" s="4">
        <f t="shared" si="54"/>
        <v>-366</v>
      </c>
      <c r="G164" s="4">
        <f t="shared" si="55"/>
        <v>-38</v>
      </c>
      <c r="H164" s="5">
        <f t="shared" si="56"/>
        <v>2641</v>
      </c>
      <c r="I164" s="5">
        <f t="shared" si="57"/>
        <v>2683</v>
      </c>
      <c r="J164" s="5">
        <f t="shared" si="58"/>
        <v>2355</v>
      </c>
      <c r="K164" s="5">
        <f t="shared" si="65"/>
        <v>3000</v>
      </c>
      <c r="L164" s="5">
        <f t="shared" si="66"/>
        <v>3000</v>
      </c>
      <c r="M164" s="5">
        <f t="shared" si="67"/>
        <v>3000</v>
      </c>
      <c r="N164" s="5">
        <f t="shared" si="62"/>
        <v>-359</v>
      </c>
      <c r="O164" s="5">
        <f t="shared" si="63"/>
        <v>-317</v>
      </c>
      <c r="P164" s="5">
        <f t="shared" si="64"/>
        <v>-645</v>
      </c>
      <c r="Q164" s="4">
        <v>1</v>
      </c>
      <c r="R164" s="4">
        <v>5</v>
      </c>
      <c r="S164" s="4">
        <v>0</v>
      </c>
      <c r="T164" s="6">
        <f t="shared" si="59"/>
        <v>734</v>
      </c>
      <c r="U164" s="7">
        <f t="shared" si="46"/>
        <v>1721</v>
      </c>
      <c r="V164" s="7">
        <f t="shared" si="47"/>
        <v>1583</v>
      </c>
      <c r="W164" s="7">
        <f t="shared" si="68"/>
        <v>1745</v>
      </c>
      <c r="X164" s="6"/>
      <c r="Y164" s="5"/>
      <c r="Z164" s="5"/>
      <c r="AA164" s="5"/>
      <c r="AB164" s="5"/>
    </row>
    <row r="165" spans="1:28" ht="13.15" customHeight="1">
      <c r="A165" s="12">
        <v>151</v>
      </c>
      <c r="B165" s="11">
        <f t="shared" si="60"/>
        <v>45421</v>
      </c>
      <c r="C165" s="9">
        <f t="shared" si="61"/>
        <v>842</v>
      </c>
      <c r="D165" s="8">
        <f t="shared" si="52"/>
        <v>1477</v>
      </c>
      <c r="E165" s="4">
        <f t="shared" si="53"/>
        <v>-322</v>
      </c>
      <c r="F165" s="4">
        <f t="shared" si="54"/>
        <v>-360</v>
      </c>
      <c r="G165" s="4">
        <f t="shared" si="55"/>
        <v>-35</v>
      </c>
      <c r="H165" s="5">
        <f t="shared" si="56"/>
        <v>2641</v>
      </c>
      <c r="I165" s="5">
        <f t="shared" si="57"/>
        <v>2679</v>
      </c>
      <c r="J165" s="5">
        <f t="shared" si="58"/>
        <v>2354</v>
      </c>
      <c r="K165" s="5">
        <f t="shared" si="65"/>
        <v>3000</v>
      </c>
      <c r="L165" s="5">
        <f t="shared" si="66"/>
        <v>3000</v>
      </c>
      <c r="M165" s="5">
        <f t="shared" si="67"/>
        <v>3000</v>
      </c>
      <c r="N165" s="5">
        <f t="shared" si="62"/>
        <v>-359</v>
      </c>
      <c r="O165" s="5">
        <f t="shared" si="63"/>
        <v>-321</v>
      </c>
      <c r="P165" s="5">
        <f t="shared" si="64"/>
        <v>-646</v>
      </c>
      <c r="Q165" s="4">
        <v>0</v>
      </c>
      <c r="R165" s="4">
        <v>4</v>
      </c>
      <c r="S165" s="4">
        <v>1</v>
      </c>
      <c r="T165" s="6">
        <f t="shared" si="59"/>
        <v>740</v>
      </c>
      <c r="U165" s="7">
        <f t="shared" si="46"/>
        <v>1721</v>
      </c>
      <c r="V165" s="7">
        <f t="shared" si="47"/>
        <v>1579</v>
      </c>
      <c r="W165" s="7">
        <f t="shared" si="68"/>
        <v>1744</v>
      </c>
      <c r="X165" s="6"/>
      <c r="Y165" s="5"/>
      <c r="Z165" s="5"/>
      <c r="AA165" s="5"/>
      <c r="AB165" s="5"/>
    </row>
    <row r="166" spans="1:28" ht="13.15" customHeight="1">
      <c r="A166" s="12">
        <v>152</v>
      </c>
      <c r="B166" s="11">
        <f t="shared" si="60"/>
        <v>45422</v>
      </c>
      <c r="C166" s="9">
        <f t="shared" si="61"/>
        <v>842</v>
      </c>
      <c r="D166" s="8">
        <f t="shared" si="52"/>
        <v>1479</v>
      </c>
      <c r="E166" s="4">
        <f t="shared" si="53"/>
        <v>-319</v>
      </c>
      <c r="F166" s="4">
        <f t="shared" si="54"/>
        <v>-355</v>
      </c>
      <c r="G166" s="4">
        <f t="shared" si="55"/>
        <v>-33</v>
      </c>
      <c r="H166" s="5">
        <f t="shared" si="56"/>
        <v>2640</v>
      </c>
      <c r="I166" s="5">
        <f t="shared" si="57"/>
        <v>2676</v>
      </c>
      <c r="J166" s="5">
        <f t="shared" si="58"/>
        <v>2354</v>
      </c>
      <c r="K166" s="5">
        <f t="shared" si="65"/>
        <v>3000</v>
      </c>
      <c r="L166" s="5">
        <f t="shared" si="66"/>
        <v>3000</v>
      </c>
      <c r="M166" s="5">
        <f t="shared" si="67"/>
        <v>3000</v>
      </c>
      <c r="N166" s="5">
        <f t="shared" si="62"/>
        <v>-360</v>
      </c>
      <c r="O166" s="5">
        <f t="shared" si="63"/>
        <v>-324</v>
      </c>
      <c r="P166" s="5">
        <f t="shared" si="64"/>
        <v>-646</v>
      </c>
      <c r="Q166" s="4">
        <v>1</v>
      </c>
      <c r="R166" s="4">
        <v>3</v>
      </c>
      <c r="S166" s="4">
        <v>0</v>
      </c>
      <c r="T166" s="6">
        <f t="shared" si="59"/>
        <v>745</v>
      </c>
      <c r="U166" s="7">
        <f t="shared" ref="U166:U229" si="69">U165+$X166*1000-Q166</f>
        <v>1720</v>
      </c>
      <c r="V166" s="7">
        <f t="shared" ref="V166:V229" si="70">V165+$X166*1000-R166</f>
        <v>1576</v>
      </c>
      <c r="W166" s="7">
        <f t="shared" si="68"/>
        <v>1744</v>
      </c>
      <c r="X166" s="6"/>
      <c r="Y166" s="5"/>
      <c r="Z166" s="5"/>
      <c r="AA166" s="5"/>
      <c r="AB166" s="5"/>
    </row>
    <row r="167" spans="1:28" ht="13.15" customHeight="1">
      <c r="A167" s="12">
        <v>153</v>
      </c>
      <c r="B167" s="11">
        <f t="shared" si="60"/>
        <v>45423</v>
      </c>
      <c r="C167" s="9">
        <f t="shared" si="61"/>
        <v>842</v>
      </c>
      <c r="D167" s="8">
        <f t="shared" si="52"/>
        <v>1481</v>
      </c>
      <c r="E167" s="4">
        <f t="shared" si="53"/>
        <v>-317</v>
      </c>
      <c r="F167" s="4">
        <f t="shared" si="54"/>
        <v>-351</v>
      </c>
      <c r="G167" s="4">
        <f t="shared" si="55"/>
        <v>-31</v>
      </c>
      <c r="H167" s="5">
        <f t="shared" si="56"/>
        <v>2640</v>
      </c>
      <c r="I167" s="5">
        <f t="shared" si="57"/>
        <v>2674</v>
      </c>
      <c r="J167" s="5">
        <f t="shared" si="58"/>
        <v>2354</v>
      </c>
      <c r="K167" s="5">
        <f t="shared" si="65"/>
        <v>3000</v>
      </c>
      <c r="L167" s="5">
        <f t="shared" si="66"/>
        <v>3000</v>
      </c>
      <c r="M167" s="5">
        <f t="shared" si="67"/>
        <v>3000</v>
      </c>
      <c r="N167" s="5">
        <f t="shared" si="62"/>
        <v>-360</v>
      </c>
      <c r="O167" s="5">
        <f t="shared" si="63"/>
        <v>-326</v>
      </c>
      <c r="P167" s="5">
        <f t="shared" si="64"/>
        <v>-646</v>
      </c>
      <c r="Q167" s="4">
        <v>0</v>
      </c>
      <c r="R167" s="4">
        <v>2</v>
      </c>
      <c r="S167" s="4">
        <v>0</v>
      </c>
      <c r="T167" s="6">
        <f t="shared" si="59"/>
        <v>749</v>
      </c>
      <c r="U167" s="7">
        <f t="shared" si="69"/>
        <v>1720</v>
      </c>
      <c r="V167" s="7">
        <f t="shared" si="70"/>
        <v>1574</v>
      </c>
      <c r="W167" s="7">
        <f t="shared" si="68"/>
        <v>1744</v>
      </c>
      <c r="X167" s="6"/>
      <c r="Y167" s="5"/>
      <c r="Z167" s="5"/>
      <c r="AA167" s="5"/>
      <c r="AB167" s="5"/>
    </row>
    <row r="168" spans="1:28" ht="13.15" customHeight="1">
      <c r="A168" s="12">
        <v>154</v>
      </c>
      <c r="B168" s="11">
        <f t="shared" si="60"/>
        <v>45424</v>
      </c>
      <c r="C168" s="9">
        <f t="shared" si="61"/>
        <v>842</v>
      </c>
      <c r="D168" s="8">
        <f t="shared" si="52"/>
        <v>1483</v>
      </c>
      <c r="E168" s="4">
        <f t="shared" si="53"/>
        <v>-314</v>
      </c>
      <c r="F168" s="4">
        <f t="shared" si="54"/>
        <v>-342</v>
      </c>
      <c r="G168" s="4">
        <f t="shared" si="55"/>
        <v>-28</v>
      </c>
      <c r="H168" s="5">
        <f t="shared" si="56"/>
        <v>2639</v>
      </c>
      <c r="I168" s="5">
        <f t="shared" si="57"/>
        <v>2667</v>
      </c>
      <c r="J168" s="5">
        <f t="shared" si="58"/>
        <v>2353</v>
      </c>
      <c r="K168" s="5">
        <f t="shared" si="65"/>
        <v>3000</v>
      </c>
      <c r="L168" s="5">
        <f t="shared" si="66"/>
        <v>3000</v>
      </c>
      <c r="M168" s="5">
        <f t="shared" si="67"/>
        <v>3000</v>
      </c>
      <c r="N168" s="5">
        <f t="shared" si="62"/>
        <v>-361</v>
      </c>
      <c r="O168" s="5">
        <f t="shared" si="63"/>
        <v>-333</v>
      </c>
      <c r="P168" s="5">
        <f t="shared" si="64"/>
        <v>-647</v>
      </c>
      <c r="Q168" s="4">
        <v>1</v>
      </c>
      <c r="R168" s="4">
        <v>7</v>
      </c>
      <c r="S168" s="4">
        <v>1</v>
      </c>
      <c r="T168" s="6">
        <f t="shared" si="59"/>
        <v>758</v>
      </c>
      <c r="U168" s="7">
        <f t="shared" si="69"/>
        <v>1719</v>
      </c>
      <c r="V168" s="7">
        <f t="shared" si="70"/>
        <v>1567</v>
      </c>
      <c r="W168" s="7">
        <f t="shared" si="68"/>
        <v>1743</v>
      </c>
      <c r="X168" s="6"/>
      <c r="Y168" s="5"/>
      <c r="Z168" s="5"/>
      <c r="AA168" s="5"/>
      <c r="AB168" s="5"/>
    </row>
    <row r="169" spans="1:28" ht="13.15" customHeight="1">
      <c r="A169" s="12">
        <v>155</v>
      </c>
      <c r="B169" s="11">
        <f t="shared" si="60"/>
        <v>45425</v>
      </c>
      <c r="C169" s="9">
        <f t="shared" si="61"/>
        <v>842</v>
      </c>
      <c r="D169" s="8">
        <f t="shared" si="52"/>
        <v>1485</v>
      </c>
      <c r="E169" s="4">
        <f t="shared" si="53"/>
        <v>-312</v>
      </c>
      <c r="F169" s="4">
        <f t="shared" si="54"/>
        <v>-335</v>
      </c>
      <c r="G169" s="4">
        <f t="shared" si="55"/>
        <v>-26</v>
      </c>
      <c r="H169" s="5">
        <f t="shared" si="56"/>
        <v>2639</v>
      </c>
      <c r="I169" s="5">
        <f t="shared" si="57"/>
        <v>2662</v>
      </c>
      <c r="J169" s="5">
        <f t="shared" si="58"/>
        <v>2353</v>
      </c>
      <c r="K169" s="5">
        <f t="shared" si="65"/>
        <v>3000</v>
      </c>
      <c r="L169" s="5">
        <f t="shared" si="66"/>
        <v>3000</v>
      </c>
      <c r="M169" s="5">
        <f t="shared" si="67"/>
        <v>3000</v>
      </c>
      <c r="N169" s="5">
        <f t="shared" si="62"/>
        <v>-361</v>
      </c>
      <c r="O169" s="5">
        <f t="shared" si="63"/>
        <v>-338</v>
      </c>
      <c r="P169" s="5">
        <f t="shared" si="64"/>
        <v>-647</v>
      </c>
      <c r="Q169" s="4">
        <v>0</v>
      </c>
      <c r="R169" s="4">
        <v>5</v>
      </c>
      <c r="S169" s="4">
        <v>0</v>
      </c>
      <c r="T169" s="6">
        <f t="shared" si="59"/>
        <v>765</v>
      </c>
      <c r="U169" s="7">
        <f t="shared" si="69"/>
        <v>1719</v>
      </c>
      <c r="V169" s="7">
        <f t="shared" si="70"/>
        <v>1562</v>
      </c>
      <c r="W169" s="7">
        <f t="shared" si="68"/>
        <v>1743</v>
      </c>
      <c r="X169" s="6"/>
      <c r="Y169" s="5"/>
      <c r="Z169" s="5"/>
      <c r="AA169" s="5"/>
      <c r="AB169" s="5"/>
    </row>
    <row r="170" spans="1:28" ht="13.15" customHeight="1">
      <c r="A170" s="12">
        <v>156</v>
      </c>
      <c r="B170" s="11">
        <f t="shared" si="60"/>
        <v>45426</v>
      </c>
      <c r="C170" s="9">
        <f t="shared" si="61"/>
        <v>842</v>
      </c>
      <c r="D170" s="8">
        <f t="shared" si="52"/>
        <v>1487</v>
      </c>
      <c r="E170" s="4">
        <f t="shared" si="53"/>
        <v>-310</v>
      </c>
      <c r="F170" s="4">
        <f t="shared" si="54"/>
        <v>-328</v>
      </c>
      <c r="G170" s="4">
        <f t="shared" si="55"/>
        <v>-24</v>
      </c>
      <c r="H170" s="5">
        <f t="shared" si="56"/>
        <v>2639</v>
      </c>
      <c r="I170" s="5">
        <f t="shared" si="57"/>
        <v>2657</v>
      </c>
      <c r="J170" s="5">
        <f t="shared" si="58"/>
        <v>2353</v>
      </c>
      <c r="K170" s="5">
        <f t="shared" si="65"/>
        <v>3000</v>
      </c>
      <c r="L170" s="5">
        <f t="shared" si="66"/>
        <v>3000</v>
      </c>
      <c r="M170" s="5">
        <f t="shared" si="67"/>
        <v>3000</v>
      </c>
      <c r="N170" s="5">
        <f t="shared" si="62"/>
        <v>-361</v>
      </c>
      <c r="O170" s="5">
        <f t="shared" si="63"/>
        <v>-343</v>
      </c>
      <c r="P170" s="5">
        <f t="shared" si="64"/>
        <v>-647</v>
      </c>
      <c r="Q170" s="4">
        <v>0</v>
      </c>
      <c r="R170" s="4">
        <v>5</v>
      </c>
      <c r="S170" s="4">
        <v>0</v>
      </c>
      <c r="T170" s="6">
        <f t="shared" si="59"/>
        <v>772</v>
      </c>
      <c r="U170" s="7">
        <f t="shared" si="69"/>
        <v>1719</v>
      </c>
      <c r="V170" s="7">
        <f t="shared" si="70"/>
        <v>1557</v>
      </c>
      <c r="W170" s="7">
        <f t="shared" si="68"/>
        <v>1743</v>
      </c>
      <c r="X170" s="6"/>
      <c r="Y170" s="5"/>
      <c r="Z170" s="5"/>
      <c r="AA170" s="5"/>
      <c r="AB170" s="5"/>
    </row>
    <row r="171" spans="1:28" ht="13.15" customHeight="1">
      <c r="A171" s="12">
        <v>157</v>
      </c>
      <c r="B171" s="11">
        <f t="shared" si="60"/>
        <v>45427</v>
      </c>
      <c r="C171" s="9">
        <f t="shared" si="61"/>
        <v>842</v>
      </c>
      <c r="D171" s="8">
        <f t="shared" si="52"/>
        <v>1489</v>
      </c>
      <c r="E171" s="4">
        <f t="shared" si="53"/>
        <v>-308</v>
      </c>
      <c r="F171" s="4">
        <f t="shared" si="54"/>
        <v>-321</v>
      </c>
      <c r="G171" s="4">
        <f t="shared" si="55"/>
        <v>-21</v>
      </c>
      <c r="H171" s="5">
        <f t="shared" si="56"/>
        <v>2639</v>
      </c>
      <c r="I171" s="5">
        <f t="shared" si="57"/>
        <v>2652</v>
      </c>
      <c r="J171" s="5">
        <f t="shared" si="58"/>
        <v>2352</v>
      </c>
      <c r="K171" s="5">
        <f t="shared" si="65"/>
        <v>3000</v>
      </c>
      <c r="L171" s="5">
        <f t="shared" si="66"/>
        <v>3000</v>
      </c>
      <c r="M171" s="5">
        <f t="shared" si="67"/>
        <v>3000</v>
      </c>
      <c r="N171" s="5">
        <f t="shared" si="62"/>
        <v>-361</v>
      </c>
      <c r="O171" s="5">
        <f t="shared" si="63"/>
        <v>-348</v>
      </c>
      <c r="P171" s="5">
        <f t="shared" si="64"/>
        <v>-648</v>
      </c>
      <c r="Q171" s="4">
        <v>0</v>
      </c>
      <c r="R171" s="4">
        <v>5</v>
      </c>
      <c r="S171" s="4">
        <v>1</v>
      </c>
      <c r="T171" s="6">
        <f t="shared" si="59"/>
        <v>779</v>
      </c>
      <c r="U171" s="7">
        <f t="shared" si="69"/>
        <v>1719</v>
      </c>
      <c r="V171" s="7">
        <f t="shared" si="70"/>
        <v>1552</v>
      </c>
      <c r="W171" s="7">
        <f t="shared" si="68"/>
        <v>1742</v>
      </c>
      <c r="X171" s="6"/>
      <c r="Y171" s="5"/>
      <c r="Z171" s="5"/>
      <c r="AA171" s="5"/>
      <c r="AB171" s="5"/>
    </row>
    <row r="172" spans="1:28" ht="13.15" customHeight="1">
      <c r="A172" s="12">
        <v>158</v>
      </c>
      <c r="B172" s="11">
        <f t="shared" si="60"/>
        <v>45428</v>
      </c>
      <c r="C172" s="9">
        <f t="shared" si="61"/>
        <v>842</v>
      </c>
      <c r="D172" s="8">
        <f t="shared" si="52"/>
        <v>1491</v>
      </c>
      <c r="E172" s="4">
        <f t="shared" si="53"/>
        <v>-306</v>
      </c>
      <c r="F172" s="4">
        <f t="shared" si="54"/>
        <v>-314</v>
      </c>
      <c r="G172" s="4">
        <f t="shared" si="55"/>
        <v>-19</v>
      </c>
      <c r="H172" s="5">
        <f t="shared" si="56"/>
        <v>2639</v>
      </c>
      <c r="I172" s="5">
        <f t="shared" si="57"/>
        <v>2647</v>
      </c>
      <c r="J172" s="5">
        <f t="shared" si="58"/>
        <v>2352</v>
      </c>
      <c r="K172" s="5">
        <f t="shared" si="65"/>
        <v>3000</v>
      </c>
      <c r="L172" s="5">
        <f t="shared" si="66"/>
        <v>3000</v>
      </c>
      <c r="M172" s="5">
        <f t="shared" si="67"/>
        <v>3000</v>
      </c>
      <c r="N172" s="5">
        <f t="shared" si="62"/>
        <v>-361</v>
      </c>
      <c r="O172" s="5">
        <f t="shared" si="63"/>
        <v>-353</v>
      </c>
      <c r="P172" s="5">
        <f t="shared" si="64"/>
        <v>-648</v>
      </c>
      <c r="Q172" s="4">
        <v>0</v>
      </c>
      <c r="R172" s="4">
        <v>5</v>
      </c>
      <c r="S172" s="4">
        <v>0</v>
      </c>
      <c r="T172" s="6">
        <f t="shared" si="59"/>
        <v>786</v>
      </c>
      <c r="U172" s="7">
        <f t="shared" si="69"/>
        <v>1719</v>
      </c>
      <c r="V172" s="7">
        <f t="shared" si="70"/>
        <v>1547</v>
      </c>
      <c r="W172" s="7">
        <f t="shared" si="68"/>
        <v>1742</v>
      </c>
      <c r="X172" s="6"/>
      <c r="Y172" s="5"/>
      <c r="Z172" s="5"/>
      <c r="AA172" s="5"/>
      <c r="AB172" s="5"/>
    </row>
    <row r="173" spans="1:28" ht="13.15" customHeight="1">
      <c r="A173" s="12">
        <v>159</v>
      </c>
      <c r="B173" s="11">
        <f t="shared" si="60"/>
        <v>45429</v>
      </c>
      <c r="C173" s="9">
        <f t="shared" si="61"/>
        <v>842</v>
      </c>
      <c r="D173" s="8">
        <f t="shared" si="52"/>
        <v>1493</v>
      </c>
      <c r="E173" s="4">
        <f t="shared" si="53"/>
        <v>-304</v>
      </c>
      <c r="F173" s="4">
        <f t="shared" si="54"/>
        <v>-308</v>
      </c>
      <c r="G173" s="4">
        <f t="shared" si="55"/>
        <v>-17</v>
      </c>
      <c r="H173" s="5">
        <f t="shared" si="56"/>
        <v>2639</v>
      </c>
      <c r="I173" s="5">
        <f t="shared" si="57"/>
        <v>2643</v>
      </c>
      <c r="J173" s="5">
        <f t="shared" si="58"/>
        <v>2352</v>
      </c>
      <c r="K173" s="5">
        <f t="shared" si="65"/>
        <v>3000</v>
      </c>
      <c r="L173" s="5">
        <f t="shared" si="66"/>
        <v>3000</v>
      </c>
      <c r="M173" s="5">
        <f t="shared" si="67"/>
        <v>3000</v>
      </c>
      <c r="N173" s="5">
        <f t="shared" si="62"/>
        <v>-361</v>
      </c>
      <c r="O173" s="5">
        <f t="shared" si="63"/>
        <v>-357</v>
      </c>
      <c r="P173" s="5">
        <f t="shared" si="64"/>
        <v>-648</v>
      </c>
      <c r="Q173" s="4">
        <v>0</v>
      </c>
      <c r="R173" s="4">
        <v>4</v>
      </c>
      <c r="S173" s="4">
        <v>0</v>
      </c>
      <c r="T173" s="6">
        <f t="shared" si="59"/>
        <v>792</v>
      </c>
      <c r="U173" s="7">
        <f t="shared" si="69"/>
        <v>1719</v>
      </c>
      <c r="V173" s="7">
        <f t="shared" si="70"/>
        <v>1543</v>
      </c>
      <c r="W173" s="7">
        <f t="shared" si="68"/>
        <v>1742</v>
      </c>
      <c r="X173" s="6"/>
      <c r="Y173" s="5"/>
      <c r="Z173" s="5"/>
      <c r="AA173" s="5"/>
      <c r="AB173" s="5"/>
    </row>
    <row r="174" spans="1:28" ht="13.15" customHeight="1">
      <c r="A174" s="12">
        <v>160</v>
      </c>
      <c r="B174" s="11">
        <f t="shared" si="60"/>
        <v>45430</v>
      </c>
      <c r="C174" s="9">
        <f t="shared" si="61"/>
        <v>842</v>
      </c>
      <c r="D174" s="8">
        <f t="shared" si="52"/>
        <v>1495</v>
      </c>
      <c r="E174" s="4">
        <f t="shared" si="53"/>
        <v>-302</v>
      </c>
      <c r="F174" s="4">
        <f t="shared" si="54"/>
        <v>-303</v>
      </c>
      <c r="G174" s="4">
        <f t="shared" si="55"/>
        <v>-15</v>
      </c>
      <c r="H174" s="5">
        <f t="shared" si="56"/>
        <v>2639</v>
      </c>
      <c r="I174" s="5">
        <f t="shared" si="57"/>
        <v>2640</v>
      </c>
      <c r="J174" s="5">
        <f t="shared" si="58"/>
        <v>2352</v>
      </c>
      <c r="K174" s="5">
        <f t="shared" si="65"/>
        <v>3000</v>
      </c>
      <c r="L174" s="5">
        <f t="shared" si="66"/>
        <v>3000</v>
      </c>
      <c r="M174" s="5">
        <f t="shared" si="67"/>
        <v>3000</v>
      </c>
      <c r="N174" s="5">
        <f t="shared" si="62"/>
        <v>-361</v>
      </c>
      <c r="O174" s="5">
        <f t="shared" si="63"/>
        <v>-360</v>
      </c>
      <c r="P174" s="5">
        <f t="shared" si="64"/>
        <v>-648</v>
      </c>
      <c r="Q174" s="4">
        <v>0</v>
      </c>
      <c r="R174" s="4">
        <v>3</v>
      </c>
      <c r="S174" s="4">
        <v>0</v>
      </c>
      <c r="T174" s="6">
        <f t="shared" si="59"/>
        <v>797</v>
      </c>
      <c r="U174" s="7">
        <f t="shared" si="69"/>
        <v>1719</v>
      </c>
      <c r="V174" s="7">
        <f t="shared" si="70"/>
        <v>1540</v>
      </c>
      <c r="W174" s="7">
        <f t="shared" si="68"/>
        <v>1742</v>
      </c>
      <c r="X174" s="6"/>
      <c r="Y174" s="5"/>
      <c r="Z174" s="5"/>
      <c r="AA174" s="5"/>
      <c r="AB174" s="5"/>
    </row>
    <row r="175" spans="1:28" ht="13.15" customHeight="1">
      <c r="A175" s="12">
        <v>161</v>
      </c>
      <c r="B175" s="11">
        <f t="shared" si="60"/>
        <v>45431</v>
      </c>
      <c r="C175" s="9">
        <f t="shared" si="61"/>
        <v>842</v>
      </c>
      <c r="D175" s="8">
        <f t="shared" si="52"/>
        <v>1497</v>
      </c>
      <c r="E175" s="4">
        <f t="shared" si="53"/>
        <v>-300</v>
      </c>
      <c r="F175" s="4">
        <f t="shared" si="54"/>
        <v>-299</v>
      </c>
      <c r="G175" s="4">
        <f t="shared" si="55"/>
        <v>-13</v>
      </c>
      <c r="H175" s="5">
        <f t="shared" si="56"/>
        <v>2639</v>
      </c>
      <c r="I175" s="5">
        <f t="shared" si="57"/>
        <v>2638</v>
      </c>
      <c r="J175" s="5">
        <f t="shared" si="58"/>
        <v>2352</v>
      </c>
      <c r="K175" s="5">
        <f t="shared" si="65"/>
        <v>3000</v>
      </c>
      <c r="L175" s="5">
        <f t="shared" si="66"/>
        <v>3000</v>
      </c>
      <c r="M175" s="5">
        <f t="shared" si="67"/>
        <v>3000</v>
      </c>
      <c r="N175" s="5">
        <f t="shared" si="62"/>
        <v>-361</v>
      </c>
      <c r="O175" s="5">
        <f t="shared" si="63"/>
        <v>-362</v>
      </c>
      <c r="P175" s="5">
        <f t="shared" si="64"/>
        <v>-648</v>
      </c>
      <c r="Q175" s="4">
        <v>0</v>
      </c>
      <c r="R175" s="4">
        <v>2</v>
      </c>
      <c r="S175" s="4">
        <v>0</v>
      </c>
      <c r="T175" s="6">
        <f t="shared" si="59"/>
        <v>801</v>
      </c>
      <c r="U175" s="7">
        <f t="shared" si="69"/>
        <v>1719</v>
      </c>
      <c r="V175" s="7">
        <f t="shared" si="70"/>
        <v>1538</v>
      </c>
      <c r="W175" s="7">
        <f t="shared" si="68"/>
        <v>1742</v>
      </c>
      <c r="X175" s="6"/>
      <c r="Y175" s="5"/>
      <c r="Z175" s="5"/>
      <c r="AA175" s="5"/>
      <c r="AB175" s="5"/>
    </row>
    <row r="176" spans="1:28" ht="13.15" customHeight="1">
      <c r="A176" s="12">
        <v>162</v>
      </c>
      <c r="B176" s="11">
        <f t="shared" si="60"/>
        <v>45432</v>
      </c>
      <c r="C176" s="9">
        <f t="shared" si="61"/>
        <v>842</v>
      </c>
      <c r="D176" s="8">
        <f t="shared" si="52"/>
        <v>1499</v>
      </c>
      <c r="E176" s="4">
        <f t="shared" si="53"/>
        <v>-298</v>
      </c>
      <c r="F176" s="4">
        <f t="shared" si="54"/>
        <v>-294</v>
      </c>
      <c r="G176" s="4">
        <f t="shared" si="55"/>
        <v>-11</v>
      </c>
      <c r="H176" s="5">
        <f t="shared" si="56"/>
        <v>2639</v>
      </c>
      <c r="I176" s="5">
        <f t="shared" si="57"/>
        <v>2635</v>
      </c>
      <c r="J176" s="5">
        <f t="shared" si="58"/>
        <v>2352</v>
      </c>
      <c r="K176" s="5">
        <f t="shared" si="65"/>
        <v>3000</v>
      </c>
      <c r="L176" s="5">
        <f t="shared" si="66"/>
        <v>3000</v>
      </c>
      <c r="M176" s="5">
        <f t="shared" si="67"/>
        <v>3000</v>
      </c>
      <c r="N176" s="5">
        <f t="shared" si="62"/>
        <v>-361</v>
      </c>
      <c r="O176" s="5">
        <f t="shared" si="63"/>
        <v>-365</v>
      </c>
      <c r="P176" s="5">
        <f t="shared" si="64"/>
        <v>-648</v>
      </c>
      <c r="Q176" s="4">
        <v>0</v>
      </c>
      <c r="R176" s="4">
        <v>3</v>
      </c>
      <c r="S176" s="4">
        <v>0</v>
      </c>
      <c r="T176" s="6">
        <f t="shared" si="59"/>
        <v>806</v>
      </c>
      <c r="U176" s="7">
        <f t="shared" si="69"/>
        <v>1719</v>
      </c>
      <c r="V176" s="7">
        <f t="shared" si="70"/>
        <v>1535</v>
      </c>
      <c r="W176" s="7">
        <f t="shared" si="68"/>
        <v>1742</v>
      </c>
      <c r="X176" s="6"/>
      <c r="Y176" s="5"/>
      <c r="Z176" s="5"/>
      <c r="AA176" s="5"/>
      <c r="AB176" s="5"/>
    </row>
    <row r="177" spans="1:28" ht="13.15" customHeight="1">
      <c r="A177" s="12">
        <v>163</v>
      </c>
      <c r="B177" s="11">
        <f t="shared" si="60"/>
        <v>45433</v>
      </c>
      <c r="C177" s="9">
        <f t="shared" si="61"/>
        <v>842</v>
      </c>
      <c r="D177" s="8">
        <f t="shared" si="52"/>
        <v>1501</v>
      </c>
      <c r="E177" s="4">
        <f t="shared" si="53"/>
        <v>-296</v>
      </c>
      <c r="F177" s="4">
        <f t="shared" si="54"/>
        <v>-291</v>
      </c>
      <c r="G177" s="4">
        <f t="shared" si="55"/>
        <v>-9</v>
      </c>
      <c r="H177" s="5">
        <f t="shared" si="56"/>
        <v>2639</v>
      </c>
      <c r="I177" s="5">
        <f t="shared" si="57"/>
        <v>2634</v>
      </c>
      <c r="J177" s="5">
        <f t="shared" si="58"/>
        <v>2352</v>
      </c>
      <c r="K177" s="5">
        <f t="shared" si="65"/>
        <v>3000</v>
      </c>
      <c r="L177" s="5">
        <f t="shared" si="66"/>
        <v>3000</v>
      </c>
      <c r="M177" s="5">
        <f t="shared" si="67"/>
        <v>3000</v>
      </c>
      <c r="N177" s="5">
        <f t="shared" si="62"/>
        <v>-361</v>
      </c>
      <c r="O177" s="5">
        <f t="shared" si="63"/>
        <v>-366</v>
      </c>
      <c r="P177" s="5">
        <f t="shared" si="64"/>
        <v>-648</v>
      </c>
      <c r="Q177" s="4">
        <v>0</v>
      </c>
      <c r="R177" s="4">
        <v>1</v>
      </c>
      <c r="S177" s="4">
        <v>0</v>
      </c>
      <c r="T177" s="6">
        <f t="shared" si="59"/>
        <v>809</v>
      </c>
      <c r="U177" s="7">
        <f t="shared" si="69"/>
        <v>1719</v>
      </c>
      <c r="V177" s="7">
        <f t="shared" si="70"/>
        <v>1534</v>
      </c>
      <c r="W177" s="7">
        <f t="shared" si="68"/>
        <v>1742</v>
      </c>
      <c r="X177" s="6"/>
      <c r="Y177" s="5"/>
      <c r="Z177" s="5"/>
      <c r="AA177" s="5"/>
      <c r="AB177" s="5"/>
    </row>
    <row r="178" spans="1:28" ht="13.15" customHeight="1">
      <c r="A178" s="12">
        <v>164</v>
      </c>
      <c r="B178" s="11">
        <f t="shared" si="60"/>
        <v>45434</v>
      </c>
      <c r="C178" s="9">
        <f t="shared" si="61"/>
        <v>842</v>
      </c>
      <c r="D178" s="8">
        <f t="shared" si="52"/>
        <v>1503</v>
      </c>
      <c r="E178" s="4">
        <f t="shared" si="53"/>
        <v>-294</v>
      </c>
      <c r="F178" s="4">
        <f t="shared" si="54"/>
        <v>-287</v>
      </c>
      <c r="G178" s="4">
        <f t="shared" si="55"/>
        <v>-7</v>
      </c>
      <c r="H178" s="5">
        <f t="shared" si="56"/>
        <v>2639</v>
      </c>
      <c r="I178" s="5">
        <f t="shared" si="57"/>
        <v>2632</v>
      </c>
      <c r="J178" s="5">
        <f t="shared" si="58"/>
        <v>2352</v>
      </c>
      <c r="K178" s="5">
        <f t="shared" si="65"/>
        <v>3000</v>
      </c>
      <c r="L178" s="5">
        <f t="shared" si="66"/>
        <v>3000</v>
      </c>
      <c r="M178" s="5">
        <f t="shared" si="67"/>
        <v>3000</v>
      </c>
      <c r="N178" s="5">
        <f t="shared" si="62"/>
        <v>-361</v>
      </c>
      <c r="O178" s="5">
        <f t="shared" si="63"/>
        <v>-368</v>
      </c>
      <c r="P178" s="5">
        <f t="shared" si="64"/>
        <v>-648</v>
      </c>
      <c r="Q178" s="4">
        <v>0</v>
      </c>
      <c r="R178" s="4">
        <v>2</v>
      </c>
      <c r="S178" s="4">
        <v>0</v>
      </c>
      <c r="T178" s="6">
        <f t="shared" si="59"/>
        <v>813</v>
      </c>
      <c r="U178" s="7">
        <f t="shared" si="69"/>
        <v>1719</v>
      </c>
      <c r="V178" s="7">
        <f t="shared" si="70"/>
        <v>1532</v>
      </c>
      <c r="W178" s="7">
        <f t="shared" si="68"/>
        <v>1742</v>
      </c>
      <c r="X178" s="6"/>
      <c r="Y178" s="5"/>
      <c r="Z178" s="5"/>
      <c r="AA178" s="5"/>
      <c r="AB178" s="5"/>
    </row>
    <row r="179" spans="1:28" ht="13.15" customHeight="1">
      <c r="A179" s="12">
        <v>165</v>
      </c>
      <c r="B179" s="11">
        <f t="shared" si="60"/>
        <v>45435</v>
      </c>
      <c r="C179" s="9">
        <f t="shared" si="61"/>
        <v>842</v>
      </c>
      <c r="D179" s="8">
        <f t="shared" si="52"/>
        <v>1505</v>
      </c>
      <c r="E179" s="4">
        <f t="shared" si="53"/>
        <v>-292</v>
      </c>
      <c r="F179" s="4">
        <f t="shared" si="54"/>
        <v>-284</v>
      </c>
      <c r="G179" s="4">
        <f t="shared" si="55"/>
        <v>-5</v>
      </c>
      <c r="H179" s="5">
        <f t="shared" si="56"/>
        <v>2639</v>
      </c>
      <c r="I179" s="5">
        <f t="shared" si="57"/>
        <v>2631</v>
      </c>
      <c r="J179" s="5">
        <f t="shared" si="58"/>
        <v>2352</v>
      </c>
      <c r="K179" s="5">
        <f t="shared" si="65"/>
        <v>3000</v>
      </c>
      <c r="L179" s="5">
        <f t="shared" si="66"/>
        <v>3000</v>
      </c>
      <c r="M179" s="5">
        <f t="shared" si="67"/>
        <v>3000</v>
      </c>
      <c r="N179" s="5">
        <f t="shared" si="62"/>
        <v>-361</v>
      </c>
      <c r="O179" s="5">
        <f t="shared" si="63"/>
        <v>-369</v>
      </c>
      <c r="P179" s="5">
        <f t="shared" si="64"/>
        <v>-648</v>
      </c>
      <c r="Q179" s="4">
        <v>0</v>
      </c>
      <c r="R179" s="4">
        <v>1</v>
      </c>
      <c r="S179" s="4">
        <v>0</v>
      </c>
      <c r="T179" s="6">
        <f t="shared" si="59"/>
        <v>816</v>
      </c>
      <c r="U179" s="7">
        <f t="shared" si="69"/>
        <v>1719</v>
      </c>
      <c r="V179" s="7">
        <f t="shared" si="70"/>
        <v>1531</v>
      </c>
      <c r="W179" s="7">
        <f t="shared" si="68"/>
        <v>1742</v>
      </c>
      <c r="X179" s="6"/>
      <c r="Y179" s="5"/>
      <c r="Z179" s="5"/>
      <c r="AA179" s="5"/>
      <c r="AB179" s="5"/>
    </row>
    <row r="180" spans="1:28" ht="13.15" customHeight="1">
      <c r="A180" s="12">
        <v>166</v>
      </c>
      <c r="B180" s="11">
        <f t="shared" si="60"/>
        <v>45436</v>
      </c>
      <c r="C180" s="9">
        <f t="shared" si="61"/>
        <v>842</v>
      </c>
      <c r="D180" s="8">
        <f t="shared" si="52"/>
        <v>1507</v>
      </c>
      <c r="E180" s="4">
        <f t="shared" si="53"/>
        <v>-290</v>
      </c>
      <c r="F180" s="4">
        <f t="shared" si="54"/>
        <v>-280</v>
      </c>
      <c r="G180" s="4">
        <f t="shared" si="55"/>
        <v>-3</v>
      </c>
      <c r="H180" s="5">
        <f t="shared" si="56"/>
        <v>2639</v>
      </c>
      <c r="I180" s="5">
        <f t="shared" si="57"/>
        <v>2629</v>
      </c>
      <c r="J180" s="5">
        <f t="shared" si="58"/>
        <v>2352</v>
      </c>
      <c r="K180" s="5">
        <f t="shared" si="65"/>
        <v>3000</v>
      </c>
      <c r="L180" s="5">
        <f t="shared" si="66"/>
        <v>3000</v>
      </c>
      <c r="M180" s="5">
        <f t="shared" si="67"/>
        <v>3000</v>
      </c>
      <c r="N180" s="5">
        <f t="shared" si="62"/>
        <v>-361</v>
      </c>
      <c r="O180" s="5">
        <f t="shared" si="63"/>
        <v>-371</v>
      </c>
      <c r="P180" s="5">
        <f t="shared" si="64"/>
        <v>-648</v>
      </c>
      <c r="Q180" s="4">
        <v>0</v>
      </c>
      <c r="R180" s="4">
        <v>2</v>
      </c>
      <c r="S180" s="4">
        <v>0</v>
      </c>
      <c r="T180" s="6">
        <f t="shared" si="59"/>
        <v>820</v>
      </c>
      <c r="U180" s="7">
        <f t="shared" si="69"/>
        <v>1719</v>
      </c>
      <c r="V180" s="7">
        <f t="shared" si="70"/>
        <v>1529</v>
      </c>
      <c r="W180" s="7">
        <f t="shared" si="68"/>
        <v>1742</v>
      </c>
      <c r="X180" s="6"/>
      <c r="Y180" s="5"/>
      <c r="Z180" s="5"/>
      <c r="AA180" s="5"/>
      <c r="AB180" s="5"/>
    </row>
    <row r="181" spans="1:28" ht="13.15" customHeight="1">
      <c r="A181" s="12">
        <v>167</v>
      </c>
      <c r="B181" s="11">
        <f t="shared" si="60"/>
        <v>45437</v>
      </c>
      <c r="C181" s="9">
        <f t="shared" si="61"/>
        <v>842</v>
      </c>
      <c r="D181" s="8">
        <f t="shared" si="52"/>
        <v>1509</v>
      </c>
      <c r="E181" s="4">
        <f t="shared" si="53"/>
        <v>-288</v>
      </c>
      <c r="F181" s="4">
        <f t="shared" si="54"/>
        <v>-276</v>
      </c>
      <c r="G181" s="4">
        <f t="shared" si="55"/>
        <v>-1</v>
      </c>
      <c r="H181" s="5">
        <f t="shared" si="56"/>
        <v>2639</v>
      </c>
      <c r="I181" s="5">
        <f t="shared" si="57"/>
        <v>2627</v>
      </c>
      <c r="J181" s="5">
        <f t="shared" si="58"/>
        <v>2352</v>
      </c>
      <c r="K181" s="5">
        <f t="shared" si="65"/>
        <v>3000</v>
      </c>
      <c r="L181" s="5">
        <f t="shared" si="66"/>
        <v>3000</v>
      </c>
      <c r="M181" s="5">
        <f t="shared" si="67"/>
        <v>3000</v>
      </c>
      <c r="N181" s="5">
        <f t="shared" si="62"/>
        <v>-361</v>
      </c>
      <c r="O181" s="5">
        <f t="shared" si="63"/>
        <v>-373</v>
      </c>
      <c r="P181" s="5">
        <f t="shared" si="64"/>
        <v>-648</v>
      </c>
      <c r="Q181" s="4">
        <v>0</v>
      </c>
      <c r="R181" s="4">
        <v>2</v>
      </c>
      <c r="S181" s="4">
        <v>0</v>
      </c>
      <c r="T181" s="6">
        <f t="shared" si="59"/>
        <v>824</v>
      </c>
      <c r="U181" s="7">
        <f t="shared" si="69"/>
        <v>1719</v>
      </c>
      <c r="V181" s="7">
        <f t="shared" si="70"/>
        <v>1527</v>
      </c>
      <c r="W181" s="7">
        <f t="shared" si="68"/>
        <v>1742</v>
      </c>
      <c r="X181" s="6"/>
      <c r="Y181" s="5"/>
      <c r="Z181" s="5"/>
      <c r="AA181" s="5"/>
      <c r="AB181" s="5"/>
    </row>
    <row r="182" spans="1:28" ht="13.15" customHeight="1">
      <c r="A182" s="12">
        <v>168</v>
      </c>
      <c r="B182" s="11">
        <f t="shared" si="60"/>
        <v>45438</v>
      </c>
      <c r="C182" s="9">
        <f t="shared" si="61"/>
        <v>842</v>
      </c>
      <c r="D182" s="8">
        <f t="shared" si="52"/>
        <v>1511</v>
      </c>
      <c r="E182" s="4">
        <f t="shared" si="53"/>
        <v>-286</v>
      </c>
      <c r="F182" s="4">
        <f t="shared" si="54"/>
        <v>-274</v>
      </c>
      <c r="G182" s="4">
        <f t="shared" si="55"/>
        <v>1</v>
      </c>
      <c r="H182" s="5">
        <f t="shared" si="56"/>
        <v>2639</v>
      </c>
      <c r="I182" s="5">
        <f t="shared" si="57"/>
        <v>2627</v>
      </c>
      <c r="J182" s="5">
        <f t="shared" si="58"/>
        <v>2352</v>
      </c>
      <c r="K182" s="5">
        <f t="shared" si="65"/>
        <v>3000</v>
      </c>
      <c r="L182" s="5">
        <f t="shared" si="66"/>
        <v>3000</v>
      </c>
      <c r="M182" s="5">
        <f t="shared" si="67"/>
        <v>3000</v>
      </c>
      <c r="N182" s="5">
        <f t="shared" si="62"/>
        <v>-361</v>
      </c>
      <c r="O182" s="5">
        <f t="shared" si="63"/>
        <v>-373</v>
      </c>
      <c r="P182" s="5">
        <f t="shared" si="64"/>
        <v>-648</v>
      </c>
      <c r="Q182" s="4">
        <v>0</v>
      </c>
      <c r="R182" s="4">
        <v>0</v>
      </c>
      <c r="S182" s="4">
        <v>0</v>
      </c>
      <c r="T182" s="6">
        <f t="shared" si="59"/>
        <v>826</v>
      </c>
      <c r="U182" s="7">
        <f t="shared" si="69"/>
        <v>1719</v>
      </c>
      <c r="V182" s="7">
        <f t="shared" si="70"/>
        <v>1527</v>
      </c>
      <c r="W182" s="7">
        <f t="shared" si="68"/>
        <v>1742</v>
      </c>
      <c r="X182" s="6"/>
      <c r="Y182" s="5"/>
      <c r="Z182" s="5"/>
      <c r="AA182" s="5"/>
      <c r="AB182" s="5"/>
    </row>
    <row r="183" spans="1:28" ht="13.15" customHeight="1">
      <c r="A183" s="12">
        <v>169</v>
      </c>
      <c r="B183" s="11">
        <f t="shared" si="60"/>
        <v>45439</v>
      </c>
      <c r="C183" s="9">
        <f t="shared" si="61"/>
        <v>842</v>
      </c>
      <c r="D183" s="8">
        <f t="shared" si="52"/>
        <v>1513</v>
      </c>
      <c r="E183" s="4">
        <f t="shared" si="53"/>
        <v>-284</v>
      </c>
      <c r="F183" s="4">
        <f t="shared" si="54"/>
        <v>-272</v>
      </c>
      <c r="G183" s="4">
        <f t="shared" si="55"/>
        <v>3</v>
      </c>
      <c r="H183" s="5">
        <f t="shared" si="56"/>
        <v>2639</v>
      </c>
      <c r="I183" s="5">
        <f t="shared" si="57"/>
        <v>2627</v>
      </c>
      <c r="J183" s="5">
        <f t="shared" si="58"/>
        <v>2352</v>
      </c>
      <c r="K183" s="5">
        <f t="shared" si="65"/>
        <v>3000</v>
      </c>
      <c r="L183" s="5">
        <f t="shared" si="66"/>
        <v>3000</v>
      </c>
      <c r="M183" s="5">
        <f t="shared" si="67"/>
        <v>3000</v>
      </c>
      <c r="N183" s="5">
        <f t="shared" si="62"/>
        <v>-361</v>
      </c>
      <c r="O183" s="5">
        <f t="shared" si="63"/>
        <v>-373</v>
      </c>
      <c r="P183" s="5">
        <f t="shared" si="64"/>
        <v>-648</v>
      </c>
      <c r="Q183" s="4">
        <v>0</v>
      </c>
      <c r="R183" s="4">
        <v>0</v>
      </c>
      <c r="S183" s="4">
        <v>0</v>
      </c>
      <c r="T183" s="6">
        <f t="shared" si="59"/>
        <v>828</v>
      </c>
      <c r="U183" s="7">
        <f t="shared" si="69"/>
        <v>1719</v>
      </c>
      <c r="V183" s="7">
        <f t="shared" si="70"/>
        <v>1527</v>
      </c>
      <c r="W183" s="7">
        <f t="shared" si="68"/>
        <v>1742</v>
      </c>
      <c r="X183" s="6"/>
      <c r="Y183" s="5"/>
      <c r="Z183" s="5"/>
      <c r="AA183" s="5"/>
      <c r="AB183" s="5"/>
    </row>
    <row r="184" spans="1:28" ht="13.15" customHeight="1">
      <c r="A184" s="12">
        <v>170</v>
      </c>
      <c r="B184" s="11">
        <f t="shared" si="60"/>
        <v>45440</v>
      </c>
      <c r="C184" s="9">
        <f t="shared" si="61"/>
        <v>842</v>
      </c>
      <c r="D184" s="8">
        <f t="shared" si="52"/>
        <v>1515</v>
      </c>
      <c r="E184" s="4">
        <f t="shared" si="53"/>
        <v>-282</v>
      </c>
      <c r="F184" s="4">
        <f t="shared" si="54"/>
        <v>-270</v>
      </c>
      <c r="G184" s="4">
        <f t="shared" si="55"/>
        <v>5</v>
      </c>
      <c r="H184" s="5">
        <f t="shared" si="56"/>
        <v>2639</v>
      </c>
      <c r="I184" s="5">
        <f t="shared" si="57"/>
        <v>2627</v>
      </c>
      <c r="J184" s="5">
        <f t="shared" si="58"/>
        <v>2352</v>
      </c>
      <c r="K184" s="5">
        <f t="shared" si="65"/>
        <v>3000</v>
      </c>
      <c r="L184" s="5">
        <f t="shared" si="66"/>
        <v>3000</v>
      </c>
      <c r="M184" s="5">
        <f t="shared" si="67"/>
        <v>3000</v>
      </c>
      <c r="N184" s="5">
        <f t="shared" si="62"/>
        <v>-361</v>
      </c>
      <c r="O184" s="5">
        <f t="shared" si="63"/>
        <v>-373</v>
      </c>
      <c r="P184" s="5">
        <f t="shared" si="64"/>
        <v>-648</v>
      </c>
      <c r="Q184" s="4">
        <v>0</v>
      </c>
      <c r="R184" s="4">
        <v>0</v>
      </c>
      <c r="S184" s="4">
        <v>0</v>
      </c>
      <c r="T184" s="6">
        <f t="shared" si="59"/>
        <v>830</v>
      </c>
      <c r="U184" s="7">
        <f t="shared" si="69"/>
        <v>1719</v>
      </c>
      <c r="V184" s="7">
        <f t="shared" si="70"/>
        <v>1527</v>
      </c>
      <c r="W184" s="7">
        <f t="shared" si="68"/>
        <v>1742</v>
      </c>
      <c r="X184" s="6"/>
      <c r="Y184" s="5"/>
      <c r="Z184" s="5"/>
      <c r="AA184" s="5"/>
      <c r="AB184" s="5"/>
    </row>
    <row r="185" spans="1:28" ht="13.15" customHeight="1">
      <c r="A185" s="12">
        <v>171</v>
      </c>
      <c r="B185" s="11">
        <f t="shared" si="60"/>
        <v>45441</v>
      </c>
      <c r="C185" s="9">
        <f t="shared" si="61"/>
        <v>842</v>
      </c>
      <c r="D185" s="8">
        <f t="shared" si="52"/>
        <v>1517</v>
      </c>
      <c r="E185" s="4">
        <f t="shared" si="53"/>
        <v>-280</v>
      </c>
      <c r="F185" s="4">
        <f t="shared" si="54"/>
        <v>-268</v>
      </c>
      <c r="G185" s="4">
        <f t="shared" si="55"/>
        <v>7</v>
      </c>
      <c r="H185" s="5">
        <f t="shared" si="56"/>
        <v>2639</v>
      </c>
      <c r="I185" s="5">
        <f t="shared" si="57"/>
        <v>2627</v>
      </c>
      <c r="J185" s="5">
        <f t="shared" si="58"/>
        <v>2352</v>
      </c>
      <c r="K185" s="5">
        <f t="shared" si="65"/>
        <v>3000</v>
      </c>
      <c r="L185" s="5">
        <f t="shared" si="66"/>
        <v>3000</v>
      </c>
      <c r="M185" s="5">
        <f t="shared" si="67"/>
        <v>3000</v>
      </c>
      <c r="N185" s="5">
        <f t="shared" si="62"/>
        <v>-361</v>
      </c>
      <c r="O185" s="5">
        <f t="shared" si="63"/>
        <v>-373</v>
      </c>
      <c r="P185" s="5">
        <f t="shared" si="64"/>
        <v>-648</v>
      </c>
      <c r="Q185" s="4">
        <v>0</v>
      </c>
      <c r="R185" s="4">
        <v>0</v>
      </c>
      <c r="S185" s="4">
        <v>0</v>
      </c>
      <c r="T185" s="6">
        <f t="shared" si="59"/>
        <v>832</v>
      </c>
      <c r="U185" s="7">
        <f t="shared" si="69"/>
        <v>1719</v>
      </c>
      <c r="V185" s="7">
        <f t="shared" si="70"/>
        <v>1527</v>
      </c>
      <c r="W185" s="7">
        <f t="shared" si="68"/>
        <v>1742</v>
      </c>
      <c r="X185" s="6"/>
      <c r="Y185" s="5"/>
      <c r="Z185" s="5"/>
      <c r="AA185" s="5"/>
      <c r="AB185" s="5"/>
    </row>
    <row r="186" spans="1:28" ht="13.15" customHeight="1">
      <c r="A186" s="12">
        <v>172</v>
      </c>
      <c r="B186" s="11">
        <f t="shared" si="60"/>
        <v>45442</v>
      </c>
      <c r="C186" s="9">
        <f t="shared" si="61"/>
        <v>842</v>
      </c>
      <c r="D186" s="8">
        <f t="shared" si="52"/>
        <v>1519</v>
      </c>
      <c r="E186" s="4">
        <f t="shared" si="53"/>
        <v>-278</v>
      </c>
      <c r="F186" s="4">
        <f t="shared" si="54"/>
        <v>-266</v>
      </c>
      <c r="G186" s="4">
        <f t="shared" si="55"/>
        <v>9</v>
      </c>
      <c r="H186" s="5">
        <f t="shared" si="56"/>
        <v>2639</v>
      </c>
      <c r="I186" s="5">
        <f t="shared" si="57"/>
        <v>2627</v>
      </c>
      <c r="J186" s="5">
        <f t="shared" si="58"/>
        <v>2352</v>
      </c>
      <c r="K186" s="5">
        <f t="shared" si="65"/>
        <v>3000</v>
      </c>
      <c r="L186" s="5">
        <f t="shared" si="66"/>
        <v>3000</v>
      </c>
      <c r="M186" s="5">
        <f t="shared" si="67"/>
        <v>3000</v>
      </c>
      <c r="N186" s="5">
        <f t="shared" si="62"/>
        <v>-361</v>
      </c>
      <c r="O186" s="5">
        <f t="shared" si="63"/>
        <v>-373</v>
      </c>
      <c r="P186" s="5">
        <f t="shared" si="64"/>
        <v>-648</v>
      </c>
      <c r="Q186" s="4">
        <v>0</v>
      </c>
      <c r="R186" s="4">
        <v>0</v>
      </c>
      <c r="S186" s="4">
        <v>0</v>
      </c>
      <c r="T186" s="6">
        <f t="shared" si="59"/>
        <v>834</v>
      </c>
      <c r="U186" s="7">
        <f t="shared" si="69"/>
        <v>1719</v>
      </c>
      <c r="V186" s="7">
        <f t="shared" si="70"/>
        <v>1527</v>
      </c>
      <c r="W186" s="7">
        <f t="shared" si="68"/>
        <v>1742</v>
      </c>
      <c r="X186" s="6"/>
      <c r="Y186" s="5"/>
      <c r="Z186" s="5"/>
      <c r="AA186" s="5"/>
      <c r="AB186" s="5"/>
    </row>
    <row r="187" spans="1:28" ht="13.15" customHeight="1">
      <c r="A187" s="12">
        <v>173</v>
      </c>
      <c r="B187" s="11">
        <f t="shared" si="60"/>
        <v>45443</v>
      </c>
      <c r="C187" s="9">
        <f t="shared" si="61"/>
        <v>842</v>
      </c>
      <c r="D187" s="8">
        <f t="shared" si="52"/>
        <v>1521</v>
      </c>
      <c r="E187" s="4">
        <f t="shared" si="53"/>
        <v>-276</v>
      </c>
      <c r="F187" s="4">
        <f t="shared" si="54"/>
        <v>-264</v>
      </c>
      <c r="G187" s="4">
        <f t="shared" si="55"/>
        <v>11</v>
      </c>
      <c r="H187" s="5">
        <f t="shared" si="56"/>
        <v>2639</v>
      </c>
      <c r="I187" s="5">
        <f t="shared" si="57"/>
        <v>2627</v>
      </c>
      <c r="J187" s="5">
        <f t="shared" si="58"/>
        <v>2352</v>
      </c>
      <c r="K187" s="5">
        <f t="shared" si="65"/>
        <v>3000</v>
      </c>
      <c r="L187" s="5">
        <f t="shared" si="66"/>
        <v>3000</v>
      </c>
      <c r="M187" s="5">
        <f t="shared" si="67"/>
        <v>3000</v>
      </c>
      <c r="N187" s="5">
        <f t="shared" si="62"/>
        <v>-361</v>
      </c>
      <c r="O187" s="5">
        <f t="shared" si="63"/>
        <v>-373</v>
      </c>
      <c r="P187" s="5">
        <f t="shared" si="64"/>
        <v>-648</v>
      </c>
      <c r="Q187" s="4">
        <v>0</v>
      </c>
      <c r="R187" s="4">
        <v>0</v>
      </c>
      <c r="S187" s="4">
        <v>0</v>
      </c>
      <c r="T187" s="6">
        <f t="shared" si="59"/>
        <v>836</v>
      </c>
      <c r="U187" s="7">
        <f t="shared" si="69"/>
        <v>1719</v>
      </c>
      <c r="V187" s="7">
        <f t="shared" si="70"/>
        <v>1527</v>
      </c>
      <c r="W187" s="7">
        <f t="shared" si="68"/>
        <v>1742</v>
      </c>
      <c r="X187" s="6"/>
      <c r="Y187" s="5"/>
      <c r="Z187" s="5"/>
      <c r="AA187" s="5"/>
      <c r="AB187" s="5"/>
    </row>
    <row r="188" spans="1:28" ht="13.15" customHeight="1">
      <c r="A188" s="12">
        <v>174</v>
      </c>
      <c r="B188" s="11">
        <f t="shared" si="60"/>
        <v>45444</v>
      </c>
      <c r="C188" s="9">
        <f t="shared" si="61"/>
        <v>842</v>
      </c>
      <c r="D188" s="8">
        <f t="shared" si="52"/>
        <v>1523</v>
      </c>
      <c r="E188" s="4">
        <f t="shared" si="53"/>
        <v>-274</v>
      </c>
      <c r="F188" s="4">
        <f t="shared" si="54"/>
        <v>-262</v>
      </c>
      <c r="G188" s="4">
        <f t="shared" si="55"/>
        <v>13</v>
      </c>
      <c r="H188" s="5">
        <f t="shared" si="56"/>
        <v>2639</v>
      </c>
      <c r="I188" s="5">
        <f t="shared" si="57"/>
        <v>2627</v>
      </c>
      <c r="J188" s="5">
        <f t="shared" si="58"/>
        <v>2352</v>
      </c>
      <c r="K188" s="5">
        <f t="shared" si="65"/>
        <v>3000</v>
      </c>
      <c r="L188" s="5">
        <f t="shared" si="66"/>
        <v>3000</v>
      </c>
      <c r="M188" s="5">
        <f t="shared" si="67"/>
        <v>3000</v>
      </c>
      <c r="N188" s="5">
        <f t="shared" si="62"/>
        <v>-361</v>
      </c>
      <c r="O188" s="5">
        <f t="shared" si="63"/>
        <v>-373</v>
      </c>
      <c r="P188" s="5">
        <f t="shared" si="64"/>
        <v>-648</v>
      </c>
      <c r="Q188" s="4">
        <v>0</v>
      </c>
      <c r="R188" s="4">
        <v>0</v>
      </c>
      <c r="S188" s="4">
        <v>0</v>
      </c>
      <c r="T188" s="6">
        <f t="shared" si="59"/>
        <v>838</v>
      </c>
      <c r="U188" s="7">
        <f t="shared" si="69"/>
        <v>1719</v>
      </c>
      <c r="V188" s="7">
        <f t="shared" si="70"/>
        <v>1527</v>
      </c>
      <c r="W188" s="7">
        <f t="shared" si="68"/>
        <v>1742</v>
      </c>
      <c r="X188" s="6"/>
      <c r="Y188" s="5"/>
      <c r="Z188" s="5"/>
      <c r="AA188" s="5"/>
      <c r="AB188" s="5"/>
    </row>
    <row r="189" spans="1:28" ht="13.15" customHeight="1">
      <c r="A189" s="12">
        <v>175</v>
      </c>
      <c r="B189" s="11">
        <f t="shared" si="60"/>
        <v>45445</v>
      </c>
      <c r="C189" s="9">
        <f t="shared" si="61"/>
        <v>842</v>
      </c>
      <c r="D189" s="8">
        <f t="shared" si="52"/>
        <v>1525</v>
      </c>
      <c r="E189" s="4">
        <f t="shared" si="53"/>
        <v>-272</v>
      </c>
      <c r="F189" s="4">
        <f t="shared" si="54"/>
        <v>-260</v>
      </c>
      <c r="G189" s="4">
        <f t="shared" si="55"/>
        <v>15</v>
      </c>
      <c r="H189" s="5">
        <f t="shared" si="56"/>
        <v>2639</v>
      </c>
      <c r="I189" s="5">
        <f t="shared" si="57"/>
        <v>2627</v>
      </c>
      <c r="J189" s="5">
        <f t="shared" si="58"/>
        <v>2352</v>
      </c>
      <c r="K189" s="5">
        <f t="shared" si="65"/>
        <v>3000</v>
      </c>
      <c r="L189" s="5">
        <f t="shared" si="66"/>
        <v>3000</v>
      </c>
      <c r="M189" s="5">
        <f t="shared" si="67"/>
        <v>3000</v>
      </c>
      <c r="N189" s="5">
        <f t="shared" si="62"/>
        <v>-361</v>
      </c>
      <c r="O189" s="5">
        <f t="shared" si="63"/>
        <v>-373</v>
      </c>
      <c r="P189" s="5">
        <f t="shared" si="64"/>
        <v>-648</v>
      </c>
      <c r="Q189" s="4">
        <v>0</v>
      </c>
      <c r="R189" s="4">
        <v>0</v>
      </c>
      <c r="S189" s="4">
        <v>0</v>
      </c>
      <c r="T189" s="6">
        <f t="shared" si="59"/>
        <v>840</v>
      </c>
      <c r="U189" s="7">
        <f t="shared" si="69"/>
        <v>1719</v>
      </c>
      <c r="V189" s="7">
        <f t="shared" si="70"/>
        <v>1527</v>
      </c>
      <c r="W189" s="7">
        <f t="shared" si="68"/>
        <v>1742</v>
      </c>
      <c r="X189" s="6"/>
      <c r="Y189" s="5"/>
      <c r="Z189" s="5"/>
      <c r="AA189" s="5"/>
      <c r="AB189" s="5"/>
    </row>
    <row r="190" spans="1:28" ht="13.15" customHeight="1">
      <c r="A190" s="12">
        <v>176</v>
      </c>
      <c r="B190" s="11">
        <f t="shared" si="60"/>
        <v>45446</v>
      </c>
      <c r="C190" s="9">
        <f t="shared" si="61"/>
        <v>842</v>
      </c>
      <c r="D190" s="8">
        <f t="shared" si="52"/>
        <v>1527</v>
      </c>
      <c r="E190" s="4">
        <f t="shared" si="53"/>
        <v>-270</v>
      </c>
      <c r="F190" s="4">
        <f t="shared" si="54"/>
        <v>-258</v>
      </c>
      <c r="G190" s="4">
        <f t="shared" si="55"/>
        <v>17</v>
      </c>
      <c r="H190" s="5">
        <f t="shared" si="56"/>
        <v>2639</v>
      </c>
      <c r="I190" s="5">
        <f t="shared" si="57"/>
        <v>2627</v>
      </c>
      <c r="J190" s="5">
        <f t="shared" si="58"/>
        <v>2352</v>
      </c>
      <c r="K190" s="5">
        <f t="shared" si="65"/>
        <v>3000</v>
      </c>
      <c r="L190" s="5">
        <f t="shared" si="66"/>
        <v>3000</v>
      </c>
      <c r="M190" s="5">
        <f t="shared" si="67"/>
        <v>3000</v>
      </c>
      <c r="N190" s="5">
        <f t="shared" si="62"/>
        <v>-361</v>
      </c>
      <c r="O190" s="5">
        <f t="shared" si="63"/>
        <v>-373</v>
      </c>
      <c r="P190" s="5">
        <f t="shared" si="64"/>
        <v>-648</v>
      </c>
      <c r="Q190" s="4">
        <v>0</v>
      </c>
      <c r="R190" s="4">
        <v>0</v>
      </c>
      <c r="S190" s="4">
        <v>0</v>
      </c>
      <c r="T190" s="6">
        <f t="shared" si="59"/>
        <v>842</v>
      </c>
      <c r="U190" s="7">
        <f t="shared" si="69"/>
        <v>1719</v>
      </c>
      <c r="V190" s="7">
        <f t="shared" si="70"/>
        <v>1527</v>
      </c>
      <c r="W190" s="7">
        <f t="shared" si="68"/>
        <v>1742</v>
      </c>
      <c r="X190" s="6"/>
      <c r="Y190" s="5"/>
      <c r="Z190" s="5"/>
      <c r="AA190" s="5"/>
      <c r="AB190" s="5"/>
    </row>
    <row r="191" spans="1:28" ht="13.15" customHeight="1">
      <c r="A191" s="12">
        <v>177</v>
      </c>
      <c r="B191" s="11">
        <f t="shared" si="60"/>
        <v>45447</v>
      </c>
      <c r="C191" s="9">
        <f t="shared" si="61"/>
        <v>842</v>
      </c>
      <c r="D191" s="8">
        <f t="shared" ref="D191:D254" si="71">D190+2</f>
        <v>1529</v>
      </c>
      <c r="E191" s="4">
        <f t="shared" si="53"/>
        <v>-268</v>
      </c>
      <c r="F191" s="4">
        <f t="shared" si="54"/>
        <v>-256</v>
      </c>
      <c r="G191" s="4">
        <f t="shared" si="55"/>
        <v>19</v>
      </c>
      <c r="H191" s="5">
        <f t="shared" si="56"/>
        <v>2639</v>
      </c>
      <c r="I191" s="5">
        <f t="shared" si="57"/>
        <v>2627</v>
      </c>
      <c r="J191" s="5">
        <f t="shared" si="58"/>
        <v>2352</v>
      </c>
      <c r="K191" s="5">
        <f t="shared" si="65"/>
        <v>3000</v>
      </c>
      <c r="L191" s="5">
        <f t="shared" si="66"/>
        <v>3000</v>
      </c>
      <c r="M191" s="5">
        <f t="shared" si="67"/>
        <v>3000</v>
      </c>
      <c r="N191" s="5">
        <f t="shared" si="62"/>
        <v>-361</v>
      </c>
      <c r="O191" s="5">
        <f t="shared" si="63"/>
        <v>-373</v>
      </c>
      <c r="P191" s="5">
        <f t="shared" si="64"/>
        <v>-648</v>
      </c>
      <c r="Q191" s="4">
        <v>0</v>
      </c>
      <c r="R191" s="4">
        <v>0</v>
      </c>
      <c r="S191" s="4">
        <v>0</v>
      </c>
      <c r="T191" s="6">
        <f t="shared" si="59"/>
        <v>844</v>
      </c>
      <c r="U191" s="7">
        <f t="shared" si="69"/>
        <v>1719</v>
      </c>
      <c r="V191" s="7">
        <f t="shared" si="70"/>
        <v>1527</v>
      </c>
      <c r="W191" s="7">
        <f t="shared" si="68"/>
        <v>1742</v>
      </c>
      <c r="X191" s="6"/>
      <c r="Y191" s="5"/>
      <c r="Z191" s="5"/>
      <c r="AA191" s="5"/>
      <c r="AB191" s="5"/>
    </row>
    <row r="192" spans="1:28" ht="13.15" customHeight="1">
      <c r="A192" s="12">
        <v>178</v>
      </c>
      <c r="B192" s="11">
        <f t="shared" si="60"/>
        <v>45448</v>
      </c>
      <c r="C192" s="9">
        <f t="shared" si="61"/>
        <v>842</v>
      </c>
      <c r="D192" s="8">
        <f t="shared" si="71"/>
        <v>1531</v>
      </c>
      <c r="E192" s="4">
        <f t="shared" si="53"/>
        <v>-266</v>
      </c>
      <c r="F192" s="4">
        <f t="shared" si="54"/>
        <v>-254</v>
      </c>
      <c r="G192" s="4">
        <f t="shared" si="55"/>
        <v>21</v>
      </c>
      <c r="H192" s="5">
        <f t="shared" si="56"/>
        <v>2639</v>
      </c>
      <c r="I192" s="5">
        <f t="shared" si="57"/>
        <v>2627</v>
      </c>
      <c r="J192" s="5">
        <f t="shared" si="58"/>
        <v>2352</v>
      </c>
      <c r="K192" s="5">
        <f t="shared" si="65"/>
        <v>3000</v>
      </c>
      <c r="L192" s="5">
        <f t="shared" si="66"/>
        <v>3000</v>
      </c>
      <c r="M192" s="5">
        <f t="shared" si="67"/>
        <v>3000</v>
      </c>
      <c r="N192" s="5">
        <f t="shared" si="62"/>
        <v>-361</v>
      </c>
      <c r="O192" s="5">
        <f t="shared" si="63"/>
        <v>-373</v>
      </c>
      <c r="P192" s="5">
        <f t="shared" si="64"/>
        <v>-648</v>
      </c>
      <c r="Q192" s="4">
        <v>0</v>
      </c>
      <c r="R192" s="4">
        <v>0</v>
      </c>
      <c r="S192" s="4">
        <v>0</v>
      </c>
      <c r="T192" s="6">
        <f t="shared" si="59"/>
        <v>846</v>
      </c>
      <c r="U192" s="7">
        <f t="shared" si="69"/>
        <v>1719</v>
      </c>
      <c r="V192" s="7">
        <f t="shared" si="70"/>
        <v>1527</v>
      </c>
      <c r="W192" s="7">
        <f t="shared" si="68"/>
        <v>1742</v>
      </c>
      <c r="X192" s="6"/>
      <c r="Y192" s="5"/>
      <c r="Z192" s="5"/>
      <c r="AA192" s="5"/>
      <c r="AB192" s="5"/>
    </row>
    <row r="193" spans="1:28" ht="13.15" customHeight="1">
      <c r="A193" s="12">
        <v>179</v>
      </c>
      <c r="B193" s="11">
        <f t="shared" si="60"/>
        <v>45449</v>
      </c>
      <c r="C193" s="9">
        <f t="shared" si="61"/>
        <v>842</v>
      </c>
      <c r="D193" s="8">
        <f t="shared" si="71"/>
        <v>1533</v>
      </c>
      <c r="E193" s="4">
        <f t="shared" si="53"/>
        <v>-264</v>
      </c>
      <c r="F193" s="4">
        <f t="shared" si="54"/>
        <v>-252</v>
      </c>
      <c r="G193" s="4">
        <f t="shared" si="55"/>
        <v>23</v>
      </c>
      <c r="H193" s="5">
        <f t="shared" si="56"/>
        <v>2639</v>
      </c>
      <c r="I193" s="5">
        <f t="shared" si="57"/>
        <v>2627</v>
      </c>
      <c r="J193" s="5">
        <f t="shared" si="58"/>
        <v>2352</v>
      </c>
      <c r="K193" s="5">
        <f t="shared" si="65"/>
        <v>3000</v>
      </c>
      <c r="L193" s="5">
        <f t="shared" si="66"/>
        <v>3000</v>
      </c>
      <c r="M193" s="5">
        <f t="shared" si="67"/>
        <v>3000</v>
      </c>
      <c r="N193" s="5">
        <f t="shared" si="62"/>
        <v>-361</v>
      </c>
      <c r="O193" s="5">
        <f t="shared" si="63"/>
        <v>-373</v>
      </c>
      <c r="P193" s="5">
        <f t="shared" si="64"/>
        <v>-648</v>
      </c>
      <c r="Q193" s="4">
        <v>0</v>
      </c>
      <c r="R193" s="4">
        <v>0</v>
      </c>
      <c r="S193" s="4">
        <v>0</v>
      </c>
      <c r="T193" s="6">
        <f t="shared" si="59"/>
        <v>848</v>
      </c>
      <c r="U193" s="7">
        <f t="shared" si="69"/>
        <v>1719</v>
      </c>
      <c r="V193" s="7">
        <f t="shared" si="70"/>
        <v>1527</v>
      </c>
      <c r="W193" s="7">
        <f t="shared" si="68"/>
        <v>1742</v>
      </c>
      <c r="X193" s="6"/>
      <c r="Y193" s="5"/>
      <c r="Z193" s="5"/>
      <c r="AA193" s="5"/>
      <c r="AB193" s="5"/>
    </row>
    <row r="194" spans="1:28" ht="13.15" customHeight="1">
      <c r="A194" s="12">
        <v>180</v>
      </c>
      <c r="B194" s="11">
        <f t="shared" si="60"/>
        <v>45450</v>
      </c>
      <c r="C194" s="9">
        <f t="shared" si="61"/>
        <v>842</v>
      </c>
      <c r="D194" s="8">
        <f t="shared" si="71"/>
        <v>1535</v>
      </c>
      <c r="E194" s="4">
        <f t="shared" si="53"/>
        <v>-262</v>
      </c>
      <c r="F194" s="4">
        <f t="shared" si="54"/>
        <v>-250</v>
      </c>
      <c r="G194" s="4">
        <f t="shared" si="55"/>
        <v>25</v>
      </c>
      <c r="H194" s="5">
        <f t="shared" si="56"/>
        <v>2639</v>
      </c>
      <c r="I194" s="5">
        <f t="shared" si="57"/>
        <v>2627</v>
      </c>
      <c r="J194" s="5">
        <f t="shared" si="58"/>
        <v>2352</v>
      </c>
      <c r="K194" s="5">
        <f t="shared" si="65"/>
        <v>3000</v>
      </c>
      <c r="L194" s="5">
        <f t="shared" si="66"/>
        <v>3000</v>
      </c>
      <c r="M194" s="5">
        <f t="shared" si="67"/>
        <v>3000</v>
      </c>
      <c r="N194" s="5">
        <f t="shared" si="62"/>
        <v>-361</v>
      </c>
      <c r="O194" s="5">
        <f t="shared" si="63"/>
        <v>-373</v>
      </c>
      <c r="P194" s="5">
        <f t="shared" si="64"/>
        <v>-648</v>
      </c>
      <c r="Q194" s="4">
        <v>0</v>
      </c>
      <c r="R194" s="4">
        <v>0</v>
      </c>
      <c r="S194" s="4">
        <v>0</v>
      </c>
      <c r="T194" s="6">
        <f t="shared" si="59"/>
        <v>850</v>
      </c>
      <c r="U194" s="7">
        <f t="shared" si="69"/>
        <v>1719</v>
      </c>
      <c r="V194" s="7">
        <f t="shared" si="70"/>
        <v>1527</v>
      </c>
      <c r="W194" s="7">
        <f t="shared" si="68"/>
        <v>1742</v>
      </c>
      <c r="X194" s="6"/>
      <c r="Y194" s="5"/>
      <c r="Z194" s="5"/>
      <c r="AA194" s="5"/>
      <c r="AB194" s="5"/>
    </row>
    <row r="195" spans="1:28" ht="13.15" customHeight="1">
      <c r="A195" s="12">
        <v>181</v>
      </c>
      <c r="B195" s="11">
        <f t="shared" si="60"/>
        <v>45451</v>
      </c>
      <c r="C195" s="9">
        <f t="shared" si="61"/>
        <v>842</v>
      </c>
      <c r="D195" s="8">
        <f t="shared" si="71"/>
        <v>1537</v>
      </c>
      <c r="E195" s="4">
        <f t="shared" si="53"/>
        <v>-260</v>
      </c>
      <c r="F195" s="4">
        <f t="shared" si="54"/>
        <v>-248</v>
      </c>
      <c r="G195" s="4">
        <f t="shared" si="55"/>
        <v>27</v>
      </c>
      <c r="H195" s="5">
        <f t="shared" si="56"/>
        <v>2639</v>
      </c>
      <c r="I195" s="5">
        <f t="shared" si="57"/>
        <v>2627</v>
      </c>
      <c r="J195" s="5">
        <f t="shared" si="58"/>
        <v>2352</v>
      </c>
      <c r="K195" s="5">
        <f t="shared" si="65"/>
        <v>3000</v>
      </c>
      <c r="L195" s="5">
        <f t="shared" si="66"/>
        <v>3000</v>
      </c>
      <c r="M195" s="5">
        <f t="shared" si="67"/>
        <v>3000</v>
      </c>
      <c r="N195" s="5">
        <f t="shared" si="62"/>
        <v>-361</v>
      </c>
      <c r="O195" s="5">
        <f t="shared" si="63"/>
        <v>-373</v>
      </c>
      <c r="P195" s="5">
        <f t="shared" si="64"/>
        <v>-648</v>
      </c>
      <c r="Q195" s="4">
        <v>0</v>
      </c>
      <c r="R195" s="4">
        <v>0</v>
      </c>
      <c r="S195" s="4">
        <v>0</v>
      </c>
      <c r="T195" s="6">
        <f t="shared" si="59"/>
        <v>852</v>
      </c>
      <c r="U195" s="7">
        <f t="shared" si="69"/>
        <v>1719</v>
      </c>
      <c r="V195" s="7">
        <f t="shared" si="70"/>
        <v>1527</v>
      </c>
      <c r="W195" s="7">
        <f t="shared" si="68"/>
        <v>1742</v>
      </c>
      <c r="X195" s="6"/>
      <c r="Y195" s="5"/>
      <c r="Z195" s="5"/>
      <c r="AA195" s="5"/>
      <c r="AB195" s="5"/>
    </row>
    <row r="196" spans="1:28" ht="13.15" customHeight="1">
      <c r="A196" s="12">
        <v>182</v>
      </c>
      <c r="B196" s="11">
        <f t="shared" si="60"/>
        <v>45452</v>
      </c>
      <c r="C196" s="9">
        <f t="shared" si="61"/>
        <v>842</v>
      </c>
      <c r="D196" s="8">
        <f t="shared" si="71"/>
        <v>1539</v>
      </c>
      <c r="E196" s="4">
        <f t="shared" si="53"/>
        <v>-258</v>
      </c>
      <c r="F196" s="4">
        <f t="shared" si="54"/>
        <v>-246</v>
      </c>
      <c r="G196" s="4">
        <f t="shared" si="55"/>
        <v>29</v>
      </c>
      <c r="H196" s="5">
        <f t="shared" si="56"/>
        <v>2639</v>
      </c>
      <c r="I196" s="5">
        <f t="shared" si="57"/>
        <v>2627</v>
      </c>
      <c r="J196" s="5">
        <f t="shared" si="58"/>
        <v>2352</v>
      </c>
      <c r="K196" s="5">
        <f t="shared" si="65"/>
        <v>3000</v>
      </c>
      <c r="L196" s="5">
        <f t="shared" si="66"/>
        <v>3000</v>
      </c>
      <c r="M196" s="5">
        <f t="shared" si="67"/>
        <v>3000</v>
      </c>
      <c r="N196" s="5">
        <f t="shared" si="62"/>
        <v>-361</v>
      </c>
      <c r="O196" s="5">
        <f t="shared" si="63"/>
        <v>-373</v>
      </c>
      <c r="P196" s="5">
        <f t="shared" si="64"/>
        <v>-648</v>
      </c>
      <c r="Q196" s="4">
        <v>0</v>
      </c>
      <c r="R196" s="4">
        <v>0</v>
      </c>
      <c r="S196" s="4">
        <v>0</v>
      </c>
      <c r="T196" s="6">
        <f t="shared" si="59"/>
        <v>854</v>
      </c>
      <c r="U196" s="7">
        <f t="shared" si="69"/>
        <v>1719</v>
      </c>
      <c r="V196" s="7">
        <f t="shared" si="70"/>
        <v>1527</v>
      </c>
      <c r="W196" s="7">
        <f t="shared" si="68"/>
        <v>1742</v>
      </c>
      <c r="X196" s="6"/>
      <c r="Y196" s="5"/>
      <c r="Z196" s="5"/>
      <c r="AA196" s="5"/>
      <c r="AB196" s="5"/>
    </row>
    <row r="197" spans="1:28" ht="13.15" customHeight="1">
      <c r="A197" s="12">
        <v>183</v>
      </c>
      <c r="B197" s="11">
        <f t="shared" si="60"/>
        <v>45453</v>
      </c>
      <c r="C197" s="9">
        <f t="shared" si="61"/>
        <v>842</v>
      </c>
      <c r="D197" s="8">
        <f t="shared" si="71"/>
        <v>1541</v>
      </c>
      <c r="E197" s="4">
        <f t="shared" si="53"/>
        <v>-256</v>
      </c>
      <c r="F197" s="4">
        <f t="shared" si="54"/>
        <v>-244</v>
      </c>
      <c r="G197" s="4">
        <f t="shared" si="55"/>
        <v>31</v>
      </c>
      <c r="H197" s="5">
        <f t="shared" si="56"/>
        <v>2639</v>
      </c>
      <c r="I197" s="5">
        <f t="shared" si="57"/>
        <v>2627</v>
      </c>
      <c r="J197" s="5">
        <f t="shared" si="58"/>
        <v>2352</v>
      </c>
      <c r="K197" s="5">
        <f t="shared" si="65"/>
        <v>3000</v>
      </c>
      <c r="L197" s="5">
        <f t="shared" si="66"/>
        <v>3000</v>
      </c>
      <c r="M197" s="5">
        <f t="shared" si="67"/>
        <v>3000</v>
      </c>
      <c r="N197" s="5">
        <f t="shared" si="62"/>
        <v>-361</v>
      </c>
      <c r="O197" s="5">
        <f t="shared" si="63"/>
        <v>-373</v>
      </c>
      <c r="P197" s="5">
        <f t="shared" si="64"/>
        <v>-648</v>
      </c>
      <c r="Q197" s="4">
        <v>0</v>
      </c>
      <c r="R197" s="4">
        <v>0</v>
      </c>
      <c r="S197" s="4">
        <v>0</v>
      </c>
      <c r="T197" s="6">
        <f t="shared" si="59"/>
        <v>856</v>
      </c>
      <c r="U197" s="7">
        <f t="shared" si="69"/>
        <v>1719</v>
      </c>
      <c r="V197" s="7">
        <f t="shared" si="70"/>
        <v>1527</v>
      </c>
      <c r="W197" s="7">
        <f t="shared" si="68"/>
        <v>1742</v>
      </c>
      <c r="X197" s="6"/>
      <c r="Y197" s="5"/>
      <c r="Z197" s="5"/>
      <c r="AA197" s="5"/>
      <c r="AB197" s="5"/>
    </row>
    <row r="198" spans="1:28" ht="13.15" customHeight="1">
      <c r="A198" s="12">
        <v>184</v>
      </c>
      <c r="B198" s="11">
        <f t="shared" si="60"/>
        <v>45454</v>
      </c>
      <c r="C198" s="9">
        <f t="shared" si="61"/>
        <v>842</v>
      </c>
      <c r="D198" s="8">
        <f t="shared" si="71"/>
        <v>1543</v>
      </c>
      <c r="E198" s="4">
        <f t="shared" si="53"/>
        <v>-254</v>
      </c>
      <c r="F198" s="4">
        <f t="shared" si="54"/>
        <v>-242</v>
      </c>
      <c r="G198" s="4">
        <f t="shared" si="55"/>
        <v>33</v>
      </c>
      <c r="H198" s="5">
        <f t="shared" si="56"/>
        <v>2639</v>
      </c>
      <c r="I198" s="5">
        <f t="shared" si="57"/>
        <v>2627</v>
      </c>
      <c r="J198" s="5">
        <f t="shared" si="58"/>
        <v>2352</v>
      </c>
      <c r="K198" s="5">
        <f t="shared" si="65"/>
        <v>3000</v>
      </c>
      <c r="L198" s="5">
        <f t="shared" si="66"/>
        <v>3000</v>
      </c>
      <c r="M198" s="5">
        <f t="shared" si="67"/>
        <v>3000</v>
      </c>
      <c r="N198" s="5">
        <f t="shared" si="62"/>
        <v>-361</v>
      </c>
      <c r="O198" s="5">
        <f t="shared" si="63"/>
        <v>-373</v>
      </c>
      <c r="P198" s="5">
        <f t="shared" si="64"/>
        <v>-648</v>
      </c>
      <c r="Q198" s="4">
        <v>0</v>
      </c>
      <c r="R198" s="4">
        <v>0</v>
      </c>
      <c r="S198" s="4">
        <v>0</v>
      </c>
      <c r="T198" s="6">
        <f t="shared" si="59"/>
        <v>858</v>
      </c>
      <c r="U198" s="7">
        <f t="shared" si="69"/>
        <v>1719</v>
      </c>
      <c r="V198" s="7">
        <f t="shared" si="70"/>
        <v>1527</v>
      </c>
      <c r="W198" s="7">
        <f t="shared" si="68"/>
        <v>1742</v>
      </c>
      <c r="X198" s="6"/>
      <c r="Y198" s="5"/>
      <c r="Z198" s="5"/>
      <c r="AA198" s="5"/>
      <c r="AB198" s="5"/>
    </row>
    <row r="199" spans="1:28" ht="13.15" customHeight="1">
      <c r="A199" s="12">
        <v>185</v>
      </c>
      <c r="B199" s="11">
        <f t="shared" si="60"/>
        <v>45455</v>
      </c>
      <c r="C199" s="9">
        <f t="shared" si="61"/>
        <v>842</v>
      </c>
      <c r="D199" s="8">
        <f t="shared" si="71"/>
        <v>1545</v>
      </c>
      <c r="E199" s="4">
        <f t="shared" si="53"/>
        <v>-252</v>
      </c>
      <c r="F199" s="4">
        <f t="shared" si="54"/>
        <v>-240</v>
      </c>
      <c r="G199" s="4">
        <f t="shared" si="55"/>
        <v>35</v>
      </c>
      <c r="H199" s="5">
        <f t="shared" si="56"/>
        <v>2639</v>
      </c>
      <c r="I199" s="5">
        <f t="shared" si="57"/>
        <v>2627</v>
      </c>
      <c r="J199" s="5">
        <f t="shared" si="58"/>
        <v>2352</v>
      </c>
      <c r="K199" s="5">
        <f t="shared" si="65"/>
        <v>3000</v>
      </c>
      <c r="L199" s="5">
        <f t="shared" si="66"/>
        <v>3000</v>
      </c>
      <c r="M199" s="5">
        <f t="shared" si="67"/>
        <v>3000</v>
      </c>
      <c r="N199" s="5">
        <f t="shared" si="62"/>
        <v>-361</v>
      </c>
      <c r="O199" s="5">
        <f t="shared" si="63"/>
        <v>-373</v>
      </c>
      <c r="P199" s="5">
        <f t="shared" si="64"/>
        <v>-648</v>
      </c>
      <c r="Q199" s="4">
        <v>0</v>
      </c>
      <c r="R199" s="4">
        <v>0</v>
      </c>
      <c r="S199" s="4">
        <v>0</v>
      </c>
      <c r="T199" s="6">
        <f t="shared" si="59"/>
        <v>860</v>
      </c>
      <c r="U199" s="7">
        <f t="shared" si="69"/>
        <v>1719</v>
      </c>
      <c r="V199" s="7">
        <f t="shared" si="70"/>
        <v>1527</v>
      </c>
      <c r="W199" s="7">
        <f t="shared" si="68"/>
        <v>1742</v>
      </c>
      <c r="X199" s="6"/>
      <c r="Y199" s="5"/>
      <c r="Z199" s="5"/>
      <c r="AA199" s="5"/>
      <c r="AB199" s="5"/>
    </row>
    <row r="200" spans="1:28" ht="13.15" customHeight="1">
      <c r="A200" s="12">
        <v>186</v>
      </c>
      <c r="B200" s="11">
        <f t="shared" si="60"/>
        <v>45456</v>
      </c>
      <c r="C200" s="9">
        <f t="shared" si="61"/>
        <v>842</v>
      </c>
      <c r="D200" s="8">
        <f t="shared" si="71"/>
        <v>1547</v>
      </c>
      <c r="E200" s="4">
        <f t="shared" si="53"/>
        <v>-250</v>
      </c>
      <c r="F200" s="4">
        <f t="shared" si="54"/>
        <v>-238</v>
      </c>
      <c r="G200" s="4">
        <f t="shared" si="55"/>
        <v>37</v>
      </c>
      <c r="H200" s="5">
        <f t="shared" si="56"/>
        <v>2639</v>
      </c>
      <c r="I200" s="5">
        <f t="shared" si="57"/>
        <v>2627</v>
      </c>
      <c r="J200" s="5">
        <f t="shared" si="58"/>
        <v>2352</v>
      </c>
      <c r="K200" s="5">
        <f t="shared" si="65"/>
        <v>3000</v>
      </c>
      <c r="L200" s="5">
        <f t="shared" si="66"/>
        <v>3000</v>
      </c>
      <c r="M200" s="5">
        <f t="shared" si="67"/>
        <v>3000</v>
      </c>
      <c r="N200" s="5">
        <f t="shared" si="62"/>
        <v>-361</v>
      </c>
      <c r="O200" s="5">
        <f t="shared" si="63"/>
        <v>-373</v>
      </c>
      <c r="P200" s="5">
        <f t="shared" si="64"/>
        <v>-648</v>
      </c>
      <c r="Q200" s="4">
        <v>0</v>
      </c>
      <c r="R200" s="4">
        <v>0</v>
      </c>
      <c r="S200" s="4">
        <v>0</v>
      </c>
      <c r="T200" s="6">
        <f t="shared" si="59"/>
        <v>862</v>
      </c>
      <c r="U200" s="7">
        <f t="shared" si="69"/>
        <v>1719</v>
      </c>
      <c r="V200" s="7">
        <f t="shared" si="70"/>
        <v>1527</v>
      </c>
      <c r="W200" s="7">
        <f t="shared" si="68"/>
        <v>1742</v>
      </c>
      <c r="X200" s="6"/>
      <c r="Y200" s="5"/>
      <c r="Z200" s="5"/>
      <c r="AA200" s="5"/>
      <c r="AB200" s="5"/>
    </row>
    <row r="201" spans="1:28" ht="13.15" customHeight="1">
      <c r="A201" s="12">
        <v>187</v>
      </c>
      <c r="B201" s="11">
        <f t="shared" si="60"/>
        <v>45457</v>
      </c>
      <c r="C201" s="9">
        <f t="shared" si="61"/>
        <v>842</v>
      </c>
      <c r="D201" s="8">
        <f t="shared" si="71"/>
        <v>1549</v>
      </c>
      <c r="E201" s="4">
        <f t="shared" si="53"/>
        <v>-248</v>
      </c>
      <c r="F201" s="4">
        <f t="shared" si="54"/>
        <v>-236</v>
      </c>
      <c r="G201" s="4">
        <f t="shared" si="55"/>
        <v>39</v>
      </c>
      <c r="H201" s="5">
        <f t="shared" si="56"/>
        <v>2639</v>
      </c>
      <c r="I201" s="5">
        <f t="shared" si="57"/>
        <v>2627</v>
      </c>
      <c r="J201" s="5">
        <f t="shared" si="58"/>
        <v>2352</v>
      </c>
      <c r="K201" s="5">
        <f t="shared" si="65"/>
        <v>3000</v>
      </c>
      <c r="L201" s="5">
        <f t="shared" si="66"/>
        <v>3000</v>
      </c>
      <c r="M201" s="5">
        <f t="shared" si="67"/>
        <v>3000</v>
      </c>
      <c r="N201" s="5">
        <f t="shared" si="62"/>
        <v>-361</v>
      </c>
      <c r="O201" s="5">
        <f t="shared" si="63"/>
        <v>-373</v>
      </c>
      <c r="P201" s="5">
        <f t="shared" si="64"/>
        <v>-648</v>
      </c>
      <c r="Q201" s="4">
        <v>0</v>
      </c>
      <c r="R201" s="4">
        <v>0</v>
      </c>
      <c r="S201" s="4">
        <v>0</v>
      </c>
      <c r="T201" s="6">
        <f t="shared" si="59"/>
        <v>864</v>
      </c>
      <c r="U201" s="7">
        <f t="shared" si="69"/>
        <v>1719</v>
      </c>
      <c r="V201" s="7">
        <f t="shared" si="70"/>
        <v>1527</v>
      </c>
      <c r="W201" s="7">
        <f t="shared" si="68"/>
        <v>1742</v>
      </c>
      <c r="X201" s="6"/>
      <c r="Y201" s="5"/>
      <c r="Z201" s="5"/>
      <c r="AA201" s="5"/>
      <c r="AB201" s="5"/>
    </row>
    <row r="202" spans="1:28" ht="13.15" customHeight="1">
      <c r="A202" s="12">
        <v>188</v>
      </c>
      <c r="B202" s="11">
        <f t="shared" si="60"/>
        <v>45458</v>
      </c>
      <c r="C202" s="9">
        <f t="shared" si="61"/>
        <v>842</v>
      </c>
      <c r="D202" s="8">
        <f t="shared" si="71"/>
        <v>1551</v>
      </c>
      <c r="E202" s="4">
        <f t="shared" si="53"/>
        <v>-246</v>
      </c>
      <c r="F202" s="4">
        <f t="shared" si="54"/>
        <v>-234</v>
      </c>
      <c r="G202" s="4">
        <f t="shared" si="55"/>
        <v>41</v>
      </c>
      <c r="H202" s="5">
        <f t="shared" si="56"/>
        <v>2639</v>
      </c>
      <c r="I202" s="5">
        <f t="shared" si="57"/>
        <v>2627</v>
      </c>
      <c r="J202" s="5">
        <f t="shared" si="58"/>
        <v>2352</v>
      </c>
      <c r="K202" s="5">
        <f t="shared" si="65"/>
        <v>3000</v>
      </c>
      <c r="L202" s="5">
        <f t="shared" si="66"/>
        <v>3000</v>
      </c>
      <c r="M202" s="5">
        <f t="shared" si="67"/>
        <v>3000</v>
      </c>
      <c r="N202" s="5">
        <f t="shared" si="62"/>
        <v>-361</v>
      </c>
      <c r="O202" s="5">
        <f t="shared" si="63"/>
        <v>-373</v>
      </c>
      <c r="P202" s="5">
        <f t="shared" si="64"/>
        <v>-648</v>
      </c>
      <c r="Q202" s="4">
        <v>0</v>
      </c>
      <c r="R202" s="4">
        <v>0</v>
      </c>
      <c r="S202" s="4">
        <v>0</v>
      </c>
      <c r="T202" s="6">
        <f t="shared" si="59"/>
        <v>866</v>
      </c>
      <c r="U202" s="7">
        <f t="shared" si="69"/>
        <v>1719</v>
      </c>
      <c r="V202" s="7">
        <f t="shared" si="70"/>
        <v>1527</v>
      </c>
      <c r="W202" s="7">
        <f t="shared" si="68"/>
        <v>1742</v>
      </c>
      <c r="X202" s="6"/>
      <c r="Y202" s="5"/>
      <c r="Z202" s="5"/>
      <c r="AA202" s="5"/>
      <c r="AB202" s="5"/>
    </row>
    <row r="203" spans="1:28" ht="13.15" customHeight="1">
      <c r="A203" s="12">
        <v>189</v>
      </c>
      <c r="B203" s="11">
        <f t="shared" si="60"/>
        <v>45459</v>
      </c>
      <c r="C203" s="9">
        <f t="shared" si="61"/>
        <v>842</v>
      </c>
      <c r="D203" s="8">
        <f t="shared" si="71"/>
        <v>1553</v>
      </c>
      <c r="E203" s="4">
        <f t="shared" si="53"/>
        <v>-244</v>
      </c>
      <c r="F203" s="4">
        <f t="shared" si="54"/>
        <v>-232</v>
      </c>
      <c r="G203" s="4">
        <f t="shared" si="55"/>
        <v>43</v>
      </c>
      <c r="H203" s="5">
        <f t="shared" si="56"/>
        <v>2639</v>
      </c>
      <c r="I203" s="5">
        <f t="shared" si="57"/>
        <v>2627</v>
      </c>
      <c r="J203" s="5">
        <f t="shared" si="58"/>
        <v>2352</v>
      </c>
      <c r="K203" s="5">
        <f t="shared" si="65"/>
        <v>3000</v>
      </c>
      <c r="L203" s="5">
        <f t="shared" si="66"/>
        <v>3000</v>
      </c>
      <c r="M203" s="5">
        <f t="shared" si="67"/>
        <v>3000</v>
      </c>
      <c r="N203" s="5">
        <f t="shared" si="62"/>
        <v>-361</v>
      </c>
      <c r="O203" s="5">
        <f t="shared" si="63"/>
        <v>-373</v>
      </c>
      <c r="P203" s="5">
        <f t="shared" si="64"/>
        <v>-648</v>
      </c>
      <c r="Q203" s="4">
        <v>0</v>
      </c>
      <c r="R203" s="4">
        <v>0</v>
      </c>
      <c r="S203" s="4">
        <v>0</v>
      </c>
      <c r="T203" s="6">
        <f t="shared" si="59"/>
        <v>868</v>
      </c>
      <c r="U203" s="7">
        <f t="shared" si="69"/>
        <v>1719</v>
      </c>
      <c r="V203" s="7">
        <f t="shared" si="70"/>
        <v>1527</v>
      </c>
      <c r="W203" s="7">
        <f t="shared" si="68"/>
        <v>1742</v>
      </c>
      <c r="X203" s="6"/>
      <c r="Y203" s="5"/>
      <c r="Z203" s="5"/>
      <c r="AA203" s="5"/>
      <c r="AB203" s="5"/>
    </row>
    <row r="204" spans="1:28" ht="13.15" customHeight="1">
      <c r="A204" s="12">
        <v>190</v>
      </c>
      <c r="B204" s="11">
        <f t="shared" si="60"/>
        <v>45460</v>
      </c>
      <c r="C204" s="9">
        <f t="shared" si="61"/>
        <v>842</v>
      </c>
      <c r="D204" s="8">
        <f t="shared" si="71"/>
        <v>1555</v>
      </c>
      <c r="E204" s="4">
        <f t="shared" si="53"/>
        <v>-242</v>
      </c>
      <c r="F204" s="4">
        <f t="shared" si="54"/>
        <v>-230</v>
      </c>
      <c r="G204" s="4">
        <f t="shared" si="55"/>
        <v>45</v>
      </c>
      <c r="H204" s="5">
        <f t="shared" si="56"/>
        <v>2639</v>
      </c>
      <c r="I204" s="5">
        <f t="shared" si="57"/>
        <v>2627</v>
      </c>
      <c r="J204" s="5">
        <f t="shared" si="58"/>
        <v>2352</v>
      </c>
      <c r="K204" s="5">
        <f t="shared" si="65"/>
        <v>3000</v>
      </c>
      <c r="L204" s="5">
        <f t="shared" si="66"/>
        <v>3000</v>
      </c>
      <c r="M204" s="5">
        <f t="shared" si="67"/>
        <v>3000</v>
      </c>
      <c r="N204" s="5">
        <f t="shared" si="62"/>
        <v>-361</v>
      </c>
      <c r="O204" s="5">
        <f t="shared" si="63"/>
        <v>-373</v>
      </c>
      <c r="P204" s="5">
        <f t="shared" si="64"/>
        <v>-648</v>
      </c>
      <c r="Q204" s="4">
        <v>0</v>
      </c>
      <c r="R204" s="4">
        <v>0</v>
      </c>
      <c r="S204" s="4">
        <v>0</v>
      </c>
      <c r="T204" s="6">
        <f t="shared" si="59"/>
        <v>870</v>
      </c>
      <c r="U204" s="7">
        <f t="shared" si="69"/>
        <v>1719</v>
      </c>
      <c r="V204" s="7">
        <f t="shared" si="70"/>
        <v>1527</v>
      </c>
      <c r="W204" s="7">
        <f t="shared" si="68"/>
        <v>1742</v>
      </c>
      <c r="X204" s="6"/>
      <c r="Y204" s="5"/>
      <c r="Z204" s="5"/>
      <c r="AA204" s="5"/>
      <c r="AB204" s="5"/>
    </row>
    <row r="205" spans="1:28" ht="13.15" customHeight="1">
      <c r="A205" s="12">
        <v>191</v>
      </c>
      <c r="B205" s="11">
        <f t="shared" si="60"/>
        <v>45461</v>
      </c>
      <c r="C205" s="9">
        <f t="shared" si="61"/>
        <v>842</v>
      </c>
      <c r="D205" s="8">
        <f t="shared" si="71"/>
        <v>1557</v>
      </c>
      <c r="E205" s="4">
        <f t="shared" si="53"/>
        <v>-240</v>
      </c>
      <c r="F205" s="4">
        <f t="shared" si="54"/>
        <v>-228</v>
      </c>
      <c r="G205" s="4">
        <f t="shared" si="55"/>
        <v>47</v>
      </c>
      <c r="H205" s="5">
        <f t="shared" si="56"/>
        <v>2639</v>
      </c>
      <c r="I205" s="5">
        <f t="shared" si="57"/>
        <v>2627</v>
      </c>
      <c r="J205" s="5">
        <f t="shared" si="58"/>
        <v>2352</v>
      </c>
      <c r="K205" s="5">
        <f t="shared" si="65"/>
        <v>3000</v>
      </c>
      <c r="L205" s="5">
        <f t="shared" si="66"/>
        <v>3000</v>
      </c>
      <c r="M205" s="5">
        <f t="shared" si="67"/>
        <v>3000</v>
      </c>
      <c r="N205" s="5">
        <f t="shared" si="62"/>
        <v>-361</v>
      </c>
      <c r="O205" s="5">
        <f t="shared" si="63"/>
        <v>-373</v>
      </c>
      <c r="P205" s="5">
        <f t="shared" si="64"/>
        <v>-648</v>
      </c>
      <c r="Q205" s="4">
        <v>0</v>
      </c>
      <c r="R205" s="4">
        <v>0</v>
      </c>
      <c r="S205" s="4">
        <v>0</v>
      </c>
      <c r="T205" s="6">
        <f t="shared" si="59"/>
        <v>872</v>
      </c>
      <c r="U205" s="7">
        <f t="shared" si="69"/>
        <v>1719</v>
      </c>
      <c r="V205" s="7">
        <f t="shared" si="70"/>
        <v>1527</v>
      </c>
      <c r="W205" s="7">
        <f t="shared" si="68"/>
        <v>1742</v>
      </c>
      <c r="X205" s="6"/>
      <c r="Y205" s="5"/>
      <c r="Z205" s="5"/>
      <c r="AA205" s="5"/>
      <c r="AB205" s="5"/>
    </row>
    <row r="206" spans="1:28" ht="13.15" customHeight="1">
      <c r="A206" s="12">
        <v>192</v>
      </c>
      <c r="B206" s="11">
        <f t="shared" si="60"/>
        <v>45462</v>
      </c>
      <c r="C206" s="9">
        <f t="shared" si="61"/>
        <v>842</v>
      </c>
      <c r="D206" s="8">
        <f t="shared" si="71"/>
        <v>1559</v>
      </c>
      <c r="E206" s="4">
        <f t="shared" ref="E206:E269" si="72">C206+D206-H206</f>
        <v>-238</v>
      </c>
      <c r="F206" s="4">
        <f t="shared" ref="F206:F269" si="73">C206+D206-I206</f>
        <v>-226</v>
      </c>
      <c r="G206" s="4">
        <f t="shared" ref="G206:G269" si="74">D206+C206-J206</f>
        <v>49</v>
      </c>
      <c r="H206" s="5">
        <f t="shared" ref="H206:H269" si="75">K206+N206</f>
        <v>2639</v>
      </c>
      <c r="I206" s="5">
        <f t="shared" ref="I206:I269" si="76">L206+O206</f>
        <v>2627</v>
      </c>
      <c r="J206" s="5">
        <f t="shared" ref="J206:J269" si="77">M206+P206</f>
        <v>2352</v>
      </c>
      <c r="K206" s="5">
        <f t="shared" si="65"/>
        <v>3000</v>
      </c>
      <c r="L206" s="5">
        <f t="shared" si="66"/>
        <v>3000</v>
      </c>
      <c r="M206" s="5">
        <f t="shared" si="67"/>
        <v>3000</v>
      </c>
      <c r="N206" s="5">
        <f t="shared" si="62"/>
        <v>-361</v>
      </c>
      <c r="O206" s="5">
        <f t="shared" si="63"/>
        <v>-373</v>
      </c>
      <c r="P206" s="5">
        <f t="shared" si="64"/>
        <v>-648</v>
      </c>
      <c r="Q206" s="4">
        <v>0</v>
      </c>
      <c r="R206" s="4">
        <v>0</v>
      </c>
      <c r="S206" s="4">
        <v>0</v>
      </c>
      <c r="T206" s="6">
        <f t="shared" ref="T206:T269" si="78">D206+C206-V206</f>
        <v>874</v>
      </c>
      <c r="U206" s="7">
        <f t="shared" si="69"/>
        <v>1719</v>
      </c>
      <c r="V206" s="7">
        <f t="shared" si="70"/>
        <v>1527</v>
      </c>
      <c r="W206" s="7">
        <f t="shared" si="68"/>
        <v>1742</v>
      </c>
      <c r="X206" s="6"/>
      <c r="Y206" s="5"/>
      <c r="Z206" s="5"/>
      <c r="AA206" s="5"/>
      <c r="AB206" s="5"/>
    </row>
    <row r="207" spans="1:28" ht="13.15" customHeight="1">
      <c r="A207" s="12">
        <v>193</v>
      </c>
      <c r="B207" s="11">
        <f t="shared" ref="B207:B270" si="79">B206+1</f>
        <v>45463</v>
      </c>
      <c r="C207" s="9">
        <f t="shared" ref="C207:C270" si="80">C206</f>
        <v>842</v>
      </c>
      <c r="D207" s="8">
        <f t="shared" si="71"/>
        <v>1561</v>
      </c>
      <c r="E207" s="4">
        <f t="shared" si="72"/>
        <v>-236</v>
      </c>
      <c r="F207" s="4">
        <f t="shared" si="73"/>
        <v>-224</v>
      </c>
      <c r="G207" s="4">
        <f t="shared" si="74"/>
        <v>51</v>
      </c>
      <c r="H207" s="5">
        <f t="shared" si="75"/>
        <v>2639</v>
      </c>
      <c r="I207" s="5">
        <f t="shared" si="76"/>
        <v>2627</v>
      </c>
      <c r="J207" s="5">
        <f t="shared" si="77"/>
        <v>2352</v>
      </c>
      <c r="K207" s="5">
        <f t="shared" si="65"/>
        <v>3000</v>
      </c>
      <c r="L207" s="5">
        <f t="shared" si="66"/>
        <v>3000</v>
      </c>
      <c r="M207" s="5">
        <f t="shared" si="67"/>
        <v>3000</v>
      </c>
      <c r="N207" s="5">
        <f t="shared" ref="N207:N270" si="81">N206-Q207</f>
        <v>-361</v>
      </c>
      <c r="O207" s="5">
        <f t="shared" ref="O207:O270" si="82">O206-R207</f>
        <v>-373</v>
      </c>
      <c r="P207" s="5">
        <f t="shared" ref="P207:P270" si="83">P206-S207</f>
        <v>-648</v>
      </c>
      <c r="Q207" s="4">
        <v>0</v>
      </c>
      <c r="R207" s="4">
        <v>0</v>
      </c>
      <c r="S207" s="4">
        <v>0</v>
      </c>
      <c r="T207" s="6">
        <f t="shared" si="78"/>
        <v>876</v>
      </c>
      <c r="U207" s="7">
        <f t="shared" si="69"/>
        <v>1719</v>
      </c>
      <c r="V207" s="7">
        <f t="shared" si="70"/>
        <v>1527</v>
      </c>
      <c r="W207" s="7">
        <f t="shared" si="68"/>
        <v>1742</v>
      </c>
      <c r="X207" s="6"/>
      <c r="Y207" s="5"/>
      <c r="Z207" s="5"/>
      <c r="AA207" s="5"/>
      <c r="AB207" s="5"/>
    </row>
    <row r="208" spans="1:28" ht="13.15" customHeight="1">
      <c r="A208" s="12">
        <v>194</v>
      </c>
      <c r="B208" s="11">
        <f t="shared" si="79"/>
        <v>45464</v>
      </c>
      <c r="C208" s="9">
        <f t="shared" si="80"/>
        <v>842</v>
      </c>
      <c r="D208" s="8">
        <f t="shared" si="71"/>
        <v>1563</v>
      </c>
      <c r="E208" s="4">
        <f t="shared" si="72"/>
        <v>-234</v>
      </c>
      <c r="F208" s="4">
        <f t="shared" si="73"/>
        <v>-222</v>
      </c>
      <c r="G208" s="4">
        <f t="shared" si="74"/>
        <v>53</v>
      </c>
      <c r="H208" s="5">
        <f t="shared" si="75"/>
        <v>2639</v>
      </c>
      <c r="I208" s="5">
        <f t="shared" si="76"/>
        <v>2627</v>
      </c>
      <c r="J208" s="5">
        <f t="shared" si="77"/>
        <v>2352</v>
      </c>
      <c r="K208" s="5">
        <f t="shared" si="65"/>
        <v>3000</v>
      </c>
      <c r="L208" s="5">
        <f t="shared" si="66"/>
        <v>3000</v>
      </c>
      <c r="M208" s="5">
        <f t="shared" si="67"/>
        <v>3000</v>
      </c>
      <c r="N208" s="5">
        <f t="shared" si="81"/>
        <v>-361</v>
      </c>
      <c r="O208" s="5">
        <f t="shared" si="82"/>
        <v>-373</v>
      </c>
      <c r="P208" s="5">
        <f t="shared" si="83"/>
        <v>-648</v>
      </c>
      <c r="Q208" s="4">
        <v>0</v>
      </c>
      <c r="R208" s="4">
        <v>0</v>
      </c>
      <c r="S208" s="4">
        <v>0</v>
      </c>
      <c r="T208" s="6">
        <f t="shared" si="78"/>
        <v>878</v>
      </c>
      <c r="U208" s="7">
        <f t="shared" si="69"/>
        <v>1719</v>
      </c>
      <c r="V208" s="7">
        <f t="shared" si="70"/>
        <v>1527</v>
      </c>
      <c r="W208" s="7">
        <f t="shared" si="68"/>
        <v>1742</v>
      </c>
      <c r="X208" s="6"/>
      <c r="Y208" s="5"/>
      <c r="Z208" s="5"/>
      <c r="AA208" s="5"/>
      <c r="AB208" s="5"/>
    </row>
    <row r="209" spans="1:28" ht="13.15" customHeight="1">
      <c r="A209" s="12">
        <v>195</v>
      </c>
      <c r="B209" s="11">
        <f t="shared" si="79"/>
        <v>45465</v>
      </c>
      <c r="C209" s="9">
        <f t="shared" si="80"/>
        <v>842</v>
      </c>
      <c r="D209" s="8">
        <f t="shared" si="71"/>
        <v>1565</v>
      </c>
      <c r="E209" s="4">
        <f t="shared" si="72"/>
        <v>-232</v>
      </c>
      <c r="F209" s="4">
        <f t="shared" si="73"/>
        <v>-220</v>
      </c>
      <c r="G209" s="4">
        <f t="shared" si="74"/>
        <v>55</v>
      </c>
      <c r="H209" s="5">
        <f t="shared" si="75"/>
        <v>2639</v>
      </c>
      <c r="I209" s="5">
        <f t="shared" si="76"/>
        <v>2627</v>
      </c>
      <c r="J209" s="5">
        <f t="shared" si="77"/>
        <v>2352</v>
      </c>
      <c r="K209" s="5">
        <f t="shared" si="65"/>
        <v>3000</v>
      </c>
      <c r="L209" s="5">
        <f t="shared" si="66"/>
        <v>3000</v>
      </c>
      <c r="M209" s="5">
        <f t="shared" si="67"/>
        <v>3000</v>
      </c>
      <c r="N209" s="5">
        <f t="shared" si="81"/>
        <v>-361</v>
      </c>
      <c r="O209" s="5">
        <f t="shared" si="82"/>
        <v>-373</v>
      </c>
      <c r="P209" s="5">
        <f t="shared" si="83"/>
        <v>-648</v>
      </c>
      <c r="Q209" s="4">
        <v>0</v>
      </c>
      <c r="R209" s="4">
        <v>0</v>
      </c>
      <c r="S209" s="4">
        <v>0</v>
      </c>
      <c r="T209" s="6">
        <f t="shared" si="78"/>
        <v>880</v>
      </c>
      <c r="U209" s="7">
        <f t="shared" si="69"/>
        <v>1719</v>
      </c>
      <c r="V209" s="7">
        <f t="shared" si="70"/>
        <v>1527</v>
      </c>
      <c r="W209" s="7">
        <f t="shared" si="68"/>
        <v>1742</v>
      </c>
      <c r="X209" s="6"/>
      <c r="Y209" s="5"/>
      <c r="Z209" s="5"/>
      <c r="AA209" s="5"/>
      <c r="AB209" s="5"/>
    </row>
    <row r="210" spans="1:28" ht="13.15" customHeight="1">
      <c r="A210" s="12">
        <v>196</v>
      </c>
      <c r="B210" s="11">
        <f t="shared" si="79"/>
        <v>45466</v>
      </c>
      <c r="C210" s="9">
        <f t="shared" si="80"/>
        <v>842</v>
      </c>
      <c r="D210" s="8">
        <f t="shared" si="71"/>
        <v>1567</v>
      </c>
      <c r="E210" s="4">
        <f t="shared" si="72"/>
        <v>-230</v>
      </c>
      <c r="F210" s="4">
        <f t="shared" si="73"/>
        <v>-218</v>
      </c>
      <c r="G210" s="4">
        <f t="shared" si="74"/>
        <v>57</v>
      </c>
      <c r="H210" s="5">
        <f t="shared" si="75"/>
        <v>2639</v>
      </c>
      <c r="I210" s="5">
        <f t="shared" si="76"/>
        <v>2627</v>
      </c>
      <c r="J210" s="5">
        <f t="shared" si="77"/>
        <v>2352</v>
      </c>
      <c r="K210" s="5">
        <f t="shared" si="65"/>
        <v>3000</v>
      </c>
      <c r="L210" s="5">
        <f t="shared" si="66"/>
        <v>3000</v>
      </c>
      <c r="M210" s="5">
        <f t="shared" si="67"/>
        <v>3000</v>
      </c>
      <c r="N210" s="5">
        <f t="shared" si="81"/>
        <v>-361</v>
      </c>
      <c r="O210" s="5">
        <f t="shared" si="82"/>
        <v>-373</v>
      </c>
      <c r="P210" s="5">
        <f t="shared" si="83"/>
        <v>-648</v>
      </c>
      <c r="Q210" s="4">
        <v>0</v>
      </c>
      <c r="R210" s="4">
        <v>0</v>
      </c>
      <c r="S210" s="4">
        <v>0</v>
      </c>
      <c r="T210" s="6">
        <f t="shared" si="78"/>
        <v>882</v>
      </c>
      <c r="U210" s="7">
        <f t="shared" si="69"/>
        <v>1719</v>
      </c>
      <c r="V210" s="7">
        <f t="shared" si="70"/>
        <v>1527</v>
      </c>
      <c r="W210" s="7">
        <f t="shared" si="68"/>
        <v>1742</v>
      </c>
      <c r="X210" s="6"/>
      <c r="Y210" s="5"/>
      <c r="Z210" s="5"/>
      <c r="AA210" s="5"/>
      <c r="AB210" s="5"/>
    </row>
    <row r="211" spans="1:28" ht="13.15" customHeight="1">
      <c r="A211" s="12">
        <v>197</v>
      </c>
      <c r="B211" s="11">
        <f t="shared" si="79"/>
        <v>45467</v>
      </c>
      <c r="C211" s="9">
        <f t="shared" si="80"/>
        <v>842</v>
      </c>
      <c r="D211" s="8">
        <f t="shared" si="71"/>
        <v>1569</v>
      </c>
      <c r="E211" s="4">
        <f t="shared" si="72"/>
        <v>-228</v>
      </c>
      <c r="F211" s="4">
        <f t="shared" si="73"/>
        <v>-216</v>
      </c>
      <c r="G211" s="4">
        <f t="shared" si="74"/>
        <v>59</v>
      </c>
      <c r="H211" s="5">
        <f t="shared" si="75"/>
        <v>2639</v>
      </c>
      <c r="I211" s="5">
        <f t="shared" si="76"/>
        <v>2627</v>
      </c>
      <c r="J211" s="5">
        <f t="shared" si="77"/>
        <v>2352</v>
      </c>
      <c r="K211" s="5">
        <f t="shared" si="65"/>
        <v>3000</v>
      </c>
      <c r="L211" s="5">
        <f t="shared" si="66"/>
        <v>3000</v>
      </c>
      <c r="M211" s="5">
        <f t="shared" si="67"/>
        <v>3000</v>
      </c>
      <c r="N211" s="5">
        <f t="shared" si="81"/>
        <v>-361</v>
      </c>
      <c r="O211" s="5">
        <f t="shared" si="82"/>
        <v>-373</v>
      </c>
      <c r="P211" s="5">
        <f t="shared" si="83"/>
        <v>-648</v>
      </c>
      <c r="Q211" s="4">
        <v>0</v>
      </c>
      <c r="R211" s="4">
        <v>0</v>
      </c>
      <c r="S211" s="4">
        <v>0</v>
      </c>
      <c r="T211" s="6">
        <f t="shared" si="78"/>
        <v>884</v>
      </c>
      <c r="U211" s="7">
        <f t="shared" si="69"/>
        <v>1719</v>
      </c>
      <c r="V211" s="7">
        <f t="shared" si="70"/>
        <v>1527</v>
      </c>
      <c r="W211" s="7">
        <f t="shared" si="68"/>
        <v>1742</v>
      </c>
      <c r="X211" s="6"/>
      <c r="Y211" s="5"/>
      <c r="Z211" s="5"/>
      <c r="AA211" s="5"/>
      <c r="AB211" s="5"/>
    </row>
    <row r="212" spans="1:28" ht="13.15" customHeight="1">
      <c r="A212" s="12">
        <v>198</v>
      </c>
      <c r="B212" s="11">
        <f t="shared" si="79"/>
        <v>45468</v>
      </c>
      <c r="C212" s="9">
        <f t="shared" si="80"/>
        <v>842</v>
      </c>
      <c r="D212" s="8">
        <f t="shared" si="71"/>
        <v>1571</v>
      </c>
      <c r="E212" s="4">
        <f t="shared" si="72"/>
        <v>-226</v>
      </c>
      <c r="F212" s="4">
        <f t="shared" si="73"/>
        <v>-214</v>
      </c>
      <c r="G212" s="4">
        <f t="shared" si="74"/>
        <v>61</v>
      </c>
      <c r="H212" s="5">
        <f t="shared" si="75"/>
        <v>2639</v>
      </c>
      <c r="I212" s="5">
        <f t="shared" si="76"/>
        <v>2627</v>
      </c>
      <c r="J212" s="5">
        <f t="shared" si="77"/>
        <v>2352</v>
      </c>
      <c r="K212" s="5">
        <f t="shared" si="65"/>
        <v>3000</v>
      </c>
      <c r="L212" s="5">
        <f t="shared" si="66"/>
        <v>3000</v>
      </c>
      <c r="M212" s="5">
        <f t="shared" si="67"/>
        <v>3000</v>
      </c>
      <c r="N212" s="5">
        <f t="shared" si="81"/>
        <v>-361</v>
      </c>
      <c r="O212" s="5">
        <f t="shared" si="82"/>
        <v>-373</v>
      </c>
      <c r="P212" s="5">
        <f t="shared" si="83"/>
        <v>-648</v>
      </c>
      <c r="Q212" s="4">
        <v>0</v>
      </c>
      <c r="R212" s="4">
        <v>0</v>
      </c>
      <c r="S212" s="4">
        <v>0</v>
      </c>
      <c r="T212" s="6">
        <f t="shared" si="78"/>
        <v>886</v>
      </c>
      <c r="U212" s="7">
        <f t="shared" si="69"/>
        <v>1719</v>
      </c>
      <c r="V212" s="7">
        <f t="shared" si="70"/>
        <v>1527</v>
      </c>
      <c r="W212" s="7">
        <f t="shared" si="68"/>
        <v>1742</v>
      </c>
      <c r="X212" s="6"/>
      <c r="Y212" s="5"/>
      <c r="Z212" s="5"/>
      <c r="AA212" s="5"/>
      <c r="AB212" s="5"/>
    </row>
    <row r="213" spans="1:28" ht="13.15" customHeight="1">
      <c r="A213" s="12">
        <v>199</v>
      </c>
      <c r="B213" s="11">
        <f t="shared" si="79"/>
        <v>45469</v>
      </c>
      <c r="C213" s="9">
        <f t="shared" si="80"/>
        <v>842</v>
      </c>
      <c r="D213" s="8">
        <f t="shared" si="71"/>
        <v>1573</v>
      </c>
      <c r="E213" s="4">
        <f t="shared" si="72"/>
        <v>-224</v>
      </c>
      <c r="F213" s="4">
        <f t="shared" si="73"/>
        <v>-212</v>
      </c>
      <c r="G213" s="4">
        <f t="shared" si="74"/>
        <v>63</v>
      </c>
      <c r="H213" s="5">
        <f t="shared" si="75"/>
        <v>2639</v>
      </c>
      <c r="I213" s="5">
        <f t="shared" si="76"/>
        <v>2627</v>
      </c>
      <c r="J213" s="5">
        <f t="shared" si="77"/>
        <v>2352</v>
      </c>
      <c r="K213" s="5">
        <f t="shared" ref="K213:K276" si="84">K212</f>
        <v>3000</v>
      </c>
      <c r="L213" s="5">
        <f t="shared" ref="L213:L276" si="85">L212</f>
        <v>3000</v>
      </c>
      <c r="M213" s="5">
        <f t="shared" ref="M213:M276" si="86">M212</f>
        <v>3000</v>
      </c>
      <c r="N213" s="5">
        <f t="shared" si="81"/>
        <v>-361</v>
      </c>
      <c r="O213" s="5">
        <f t="shared" si="82"/>
        <v>-373</v>
      </c>
      <c r="P213" s="5">
        <f t="shared" si="83"/>
        <v>-648</v>
      </c>
      <c r="Q213" s="4">
        <v>0</v>
      </c>
      <c r="R213" s="4">
        <v>0</v>
      </c>
      <c r="S213" s="4">
        <v>0</v>
      </c>
      <c r="T213" s="6">
        <f t="shared" si="78"/>
        <v>888</v>
      </c>
      <c r="U213" s="7">
        <f t="shared" si="69"/>
        <v>1719</v>
      </c>
      <c r="V213" s="7">
        <f t="shared" si="70"/>
        <v>1527</v>
      </c>
      <c r="W213" s="7">
        <f t="shared" si="68"/>
        <v>1742</v>
      </c>
      <c r="X213" s="6"/>
      <c r="Y213" s="5"/>
      <c r="Z213" s="5"/>
      <c r="AA213" s="5"/>
      <c r="AB213" s="5"/>
    </row>
    <row r="214" spans="1:28" ht="13.15" customHeight="1">
      <c r="A214" s="12">
        <v>200</v>
      </c>
      <c r="B214" s="11">
        <f t="shared" si="79"/>
        <v>45470</v>
      </c>
      <c r="C214" s="9">
        <f t="shared" si="80"/>
        <v>842</v>
      </c>
      <c r="D214" s="8">
        <f t="shared" si="71"/>
        <v>1575</v>
      </c>
      <c r="E214" s="4">
        <f t="shared" si="72"/>
        <v>-222</v>
      </c>
      <c r="F214" s="4">
        <f t="shared" si="73"/>
        <v>-210</v>
      </c>
      <c r="G214" s="4">
        <f t="shared" si="74"/>
        <v>65</v>
      </c>
      <c r="H214" s="5">
        <f t="shared" si="75"/>
        <v>2639</v>
      </c>
      <c r="I214" s="5">
        <f t="shared" si="76"/>
        <v>2627</v>
      </c>
      <c r="J214" s="5">
        <f t="shared" si="77"/>
        <v>2352</v>
      </c>
      <c r="K214" s="5">
        <f t="shared" si="84"/>
        <v>3000</v>
      </c>
      <c r="L214" s="5">
        <f t="shared" si="85"/>
        <v>3000</v>
      </c>
      <c r="M214" s="5">
        <f t="shared" si="86"/>
        <v>3000</v>
      </c>
      <c r="N214" s="5">
        <f t="shared" si="81"/>
        <v>-361</v>
      </c>
      <c r="O214" s="5">
        <f t="shared" si="82"/>
        <v>-373</v>
      </c>
      <c r="P214" s="5">
        <f t="shared" si="83"/>
        <v>-648</v>
      </c>
      <c r="Q214" s="4">
        <v>0</v>
      </c>
      <c r="R214" s="4">
        <v>0</v>
      </c>
      <c r="S214" s="4">
        <v>0</v>
      </c>
      <c r="T214" s="6">
        <f t="shared" si="78"/>
        <v>890</v>
      </c>
      <c r="U214" s="7">
        <f t="shared" si="69"/>
        <v>1719</v>
      </c>
      <c r="V214" s="7">
        <f t="shared" si="70"/>
        <v>1527</v>
      </c>
      <c r="W214" s="7">
        <f t="shared" si="68"/>
        <v>1742</v>
      </c>
      <c r="X214" s="6"/>
      <c r="Y214" s="5"/>
      <c r="Z214" s="5"/>
      <c r="AA214" s="5"/>
      <c r="AB214" s="5"/>
    </row>
    <row r="215" spans="1:28" ht="13.15" customHeight="1">
      <c r="A215" s="12">
        <v>201</v>
      </c>
      <c r="B215" s="11">
        <f t="shared" si="79"/>
        <v>45471</v>
      </c>
      <c r="C215" s="9">
        <f t="shared" si="80"/>
        <v>842</v>
      </c>
      <c r="D215" s="8">
        <f t="shared" si="71"/>
        <v>1577</v>
      </c>
      <c r="E215" s="4">
        <f t="shared" si="72"/>
        <v>-220</v>
      </c>
      <c r="F215" s="4">
        <f t="shared" si="73"/>
        <v>-208</v>
      </c>
      <c r="G215" s="4">
        <f t="shared" si="74"/>
        <v>67</v>
      </c>
      <c r="H215" s="5">
        <f t="shared" si="75"/>
        <v>2639</v>
      </c>
      <c r="I215" s="5">
        <f t="shared" si="76"/>
        <v>2627</v>
      </c>
      <c r="J215" s="5">
        <f t="shared" si="77"/>
        <v>2352</v>
      </c>
      <c r="K215" s="5">
        <f t="shared" si="84"/>
        <v>3000</v>
      </c>
      <c r="L215" s="5">
        <f t="shared" si="85"/>
        <v>3000</v>
      </c>
      <c r="M215" s="5">
        <f t="shared" si="86"/>
        <v>3000</v>
      </c>
      <c r="N215" s="5">
        <f t="shared" si="81"/>
        <v>-361</v>
      </c>
      <c r="O215" s="5">
        <f t="shared" si="82"/>
        <v>-373</v>
      </c>
      <c r="P215" s="5">
        <f t="shared" si="83"/>
        <v>-648</v>
      </c>
      <c r="Q215" s="4">
        <v>0</v>
      </c>
      <c r="R215" s="4">
        <v>0</v>
      </c>
      <c r="S215" s="4">
        <v>0</v>
      </c>
      <c r="T215" s="6">
        <f t="shared" si="78"/>
        <v>892</v>
      </c>
      <c r="U215" s="7">
        <f t="shared" si="69"/>
        <v>1719</v>
      </c>
      <c r="V215" s="7">
        <f t="shared" si="70"/>
        <v>1527</v>
      </c>
      <c r="W215" s="7">
        <f t="shared" si="68"/>
        <v>1742</v>
      </c>
      <c r="X215" s="6"/>
      <c r="Y215" s="5"/>
      <c r="Z215" s="5"/>
      <c r="AA215" s="5"/>
      <c r="AB215" s="5"/>
    </row>
    <row r="216" spans="1:28" ht="13.15" customHeight="1">
      <c r="A216" s="12">
        <v>202</v>
      </c>
      <c r="B216" s="11">
        <f t="shared" si="79"/>
        <v>45472</v>
      </c>
      <c r="C216" s="9">
        <f t="shared" si="80"/>
        <v>842</v>
      </c>
      <c r="D216" s="8">
        <f t="shared" si="71"/>
        <v>1579</v>
      </c>
      <c r="E216" s="4">
        <f t="shared" si="72"/>
        <v>-218</v>
      </c>
      <c r="F216" s="4">
        <f t="shared" si="73"/>
        <v>-206</v>
      </c>
      <c r="G216" s="4">
        <f t="shared" si="74"/>
        <v>69</v>
      </c>
      <c r="H216" s="5">
        <f t="shared" si="75"/>
        <v>2639</v>
      </c>
      <c r="I216" s="5">
        <f t="shared" si="76"/>
        <v>2627</v>
      </c>
      <c r="J216" s="5">
        <f t="shared" si="77"/>
        <v>2352</v>
      </c>
      <c r="K216" s="5">
        <f t="shared" si="84"/>
        <v>3000</v>
      </c>
      <c r="L216" s="5">
        <f t="shared" si="85"/>
        <v>3000</v>
      </c>
      <c r="M216" s="5">
        <f t="shared" si="86"/>
        <v>3000</v>
      </c>
      <c r="N216" s="5">
        <f t="shared" si="81"/>
        <v>-361</v>
      </c>
      <c r="O216" s="5">
        <f t="shared" si="82"/>
        <v>-373</v>
      </c>
      <c r="P216" s="5">
        <f t="shared" si="83"/>
        <v>-648</v>
      </c>
      <c r="Q216" s="4">
        <v>0</v>
      </c>
      <c r="R216" s="4">
        <v>0</v>
      </c>
      <c r="S216" s="4">
        <v>0</v>
      </c>
      <c r="T216" s="6">
        <f t="shared" si="78"/>
        <v>894</v>
      </c>
      <c r="U216" s="7">
        <f t="shared" si="69"/>
        <v>1719</v>
      </c>
      <c r="V216" s="7">
        <f t="shared" si="70"/>
        <v>1527</v>
      </c>
      <c r="W216" s="7">
        <f t="shared" si="68"/>
        <v>1742</v>
      </c>
      <c r="X216" s="6"/>
      <c r="Y216" s="5"/>
      <c r="Z216" s="5"/>
      <c r="AA216" s="5"/>
      <c r="AB216" s="5"/>
    </row>
    <row r="217" spans="1:28" ht="13.15" customHeight="1">
      <c r="A217" s="12">
        <v>203</v>
      </c>
      <c r="B217" s="11">
        <f t="shared" si="79"/>
        <v>45473</v>
      </c>
      <c r="C217" s="9">
        <f t="shared" si="80"/>
        <v>842</v>
      </c>
      <c r="D217" s="8">
        <f t="shared" si="71"/>
        <v>1581</v>
      </c>
      <c r="E217" s="4">
        <f t="shared" si="72"/>
        <v>-216</v>
      </c>
      <c r="F217" s="4">
        <f t="shared" si="73"/>
        <v>-204</v>
      </c>
      <c r="G217" s="4">
        <f t="shared" si="74"/>
        <v>71</v>
      </c>
      <c r="H217" s="5">
        <f t="shared" si="75"/>
        <v>2639</v>
      </c>
      <c r="I217" s="5">
        <f t="shared" si="76"/>
        <v>2627</v>
      </c>
      <c r="J217" s="5">
        <f t="shared" si="77"/>
        <v>2352</v>
      </c>
      <c r="K217" s="5">
        <f t="shared" si="84"/>
        <v>3000</v>
      </c>
      <c r="L217" s="5">
        <f t="shared" si="85"/>
        <v>3000</v>
      </c>
      <c r="M217" s="5">
        <f t="shared" si="86"/>
        <v>3000</v>
      </c>
      <c r="N217" s="5">
        <f t="shared" si="81"/>
        <v>-361</v>
      </c>
      <c r="O217" s="5">
        <f t="shared" si="82"/>
        <v>-373</v>
      </c>
      <c r="P217" s="5">
        <f t="shared" si="83"/>
        <v>-648</v>
      </c>
      <c r="Q217" s="4">
        <v>0</v>
      </c>
      <c r="R217" s="4">
        <v>0</v>
      </c>
      <c r="S217" s="4">
        <v>0</v>
      </c>
      <c r="T217" s="6">
        <f t="shared" si="78"/>
        <v>896</v>
      </c>
      <c r="U217" s="7">
        <f t="shared" si="69"/>
        <v>1719</v>
      </c>
      <c r="V217" s="7">
        <f t="shared" si="70"/>
        <v>1527</v>
      </c>
      <c r="W217" s="7">
        <f t="shared" si="68"/>
        <v>1742</v>
      </c>
      <c r="X217" s="6"/>
      <c r="Y217" s="5"/>
      <c r="Z217" s="5"/>
      <c r="AA217" s="5"/>
      <c r="AB217" s="5"/>
    </row>
    <row r="218" spans="1:28" ht="13.15" customHeight="1">
      <c r="A218" s="12">
        <v>204</v>
      </c>
      <c r="B218" s="11">
        <f t="shared" si="79"/>
        <v>45474</v>
      </c>
      <c r="C218" s="9">
        <f t="shared" si="80"/>
        <v>842</v>
      </c>
      <c r="D218" s="8">
        <f t="shared" si="71"/>
        <v>1583</v>
      </c>
      <c r="E218" s="4">
        <f t="shared" si="72"/>
        <v>-214</v>
      </c>
      <c r="F218" s="4">
        <f t="shared" si="73"/>
        <v>-202</v>
      </c>
      <c r="G218" s="4">
        <f t="shared" si="74"/>
        <v>73</v>
      </c>
      <c r="H218" s="5">
        <f t="shared" si="75"/>
        <v>2639</v>
      </c>
      <c r="I218" s="5">
        <f t="shared" si="76"/>
        <v>2627</v>
      </c>
      <c r="J218" s="5">
        <f t="shared" si="77"/>
        <v>2352</v>
      </c>
      <c r="K218" s="5">
        <f t="shared" si="84"/>
        <v>3000</v>
      </c>
      <c r="L218" s="5">
        <f t="shared" si="85"/>
        <v>3000</v>
      </c>
      <c r="M218" s="5">
        <f t="shared" si="86"/>
        <v>3000</v>
      </c>
      <c r="N218" s="5">
        <f t="shared" si="81"/>
        <v>-361</v>
      </c>
      <c r="O218" s="5">
        <f t="shared" si="82"/>
        <v>-373</v>
      </c>
      <c r="P218" s="5">
        <f t="shared" si="83"/>
        <v>-648</v>
      </c>
      <c r="Q218" s="4">
        <v>0</v>
      </c>
      <c r="R218" s="4">
        <v>0</v>
      </c>
      <c r="S218" s="4">
        <v>0</v>
      </c>
      <c r="T218" s="6">
        <f t="shared" si="78"/>
        <v>898</v>
      </c>
      <c r="U218" s="7">
        <f t="shared" si="69"/>
        <v>1719</v>
      </c>
      <c r="V218" s="7">
        <f t="shared" si="70"/>
        <v>1527</v>
      </c>
      <c r="W218" s="7">
        <f t="shared" si="68"/>
        <v>1742</v>
      </c>
      <c r="X218" s="6"/>
      <c r="Y218" s="5"/>
      <c r="Z218" s="5"/>
      <c r="AA218" s="5"/>
      <c r="AB218" s="5"/>
    </row>
    <row r="219" spans="1:28" ht="13.15" customHeight="1">
      <c r="A219" s="12">
        <v>205</v>
      </c>
      <c r="B219" s="11">
        <f t="shared" si="79"/>
        <v>45475</v>
      </c>
      <c r="C219" s="9">
        <f t="shared" si="80"/>
        <v>842</v>
      </c>
      <c r="D219" s="8">
        <f t="shared" si="71"/>
        <v>1585</v>
      </c>
      <c r="E219" s="4">
        <f t="shared" si="72"/>
        <v>-212</v>
      </c>
      <c r="F219" s="4">
        <f t="shared" si="73"/>
        <v>-200</v>
      </c>
      <c r="G219" s="4">
        <f t="shared" si="74"/>
        <v>75</v>
      </c>
      <c r="H219" s="5">
        <f t="shared" si="75"/>
        <v>2639</v>
      </c>
      <c r="I219" s="5">
        <f t="shared" si="76"/>
        <v>2627</v>
      </c>
      <c r="J219" s="5">
        <f t="shared" si="77"/>
        <v>2352</v>
      </c>
      <c r="K219" s="5">
        <f t="shared" si="84"/>
        <v>3000</v>
      </c>
      <c r="L219" s="5">
        <f t="shared" si="85"/>
        <v>3000</v>
      </c>
      <c r="M219" s="5">
        <f t="shared" si="86"/>
        <v>3000</v>
      </c>
      <c r="N219" s="5">
        <f t="shared" si="81"/>
        <v>-361</v>
      </c>
      <c r="O219" s="5">
        <f t="shared" si="82"/>
        <v>-373</v>
      </c>
      <c r="P219" s="5">
        <f t="shared" si="83"/>
        <v>-648</v>
      </c>
      <c r="Q219" s="4">
        <v>0</v>
      </c>
      <c r="R219" s="4">
        <v>0</v>
      </c>
      <c r="S219" s="4">
        <v>0</v>
      </c>
      <c r="T219" s="6">
        <f t="shared" si="78"/>
        <v>900</v>
      </c>
      <c r="U219" s="7">
        <f t="shared" si="69"/>
        <v>1719</v>
      </c>
      <c r="V219" s="7">
        <f t="shared" si="70"/>
        <v>1527</v>
      </c>
      <c r="W219" s="7">
        <f t="shared" si="68"/>
        <v>1742</v>
      </c>
      <c r="X219" s="6"/>
      <c r="Y219" s="5"/>
      <c r="Z219" s="5"/>
      <c r="AA219" s="5"/>
      <c r="AB219" s="5"/>
    </row>
    <row r="220" spans="1:28" ht="13.15" customHeight="1">
      <c r="A220" s="12">
        <v>206</v>
      </c>
      <c r="B220" s="11">
        <f t="shared" si="79"/>
        <v>45476</v>
      </c>
      <c r="C220" s="9">
        <f t="shared" si="80"/>
        <v>842</v>
      </c>
      <c r="D220" s="8">
        <f t="shared" si="71"/>
        <v>1587</v>
      </c>
      <c r="E220" s="4">
        <f t="shared" si="72"/>
        <v>-210</v>
      </c>
      <c r="F220" s="4">
        <f t="shared" si="73"/>
        <v>-198</v>
      </c>
      <c r="G220" s="4">
        <f t="shared" si="74"/>
        <v>77</v>
      </c>
      <c r="H220" s="5">
        <f t="shared" si="75"/>
        <v>2639</v>
      </c>
      <c r="I220" s="5">
        <f t="shared" si="76"/>
        <v>2627</v>
      </c>
      <c r="J220" s="5">
        <f t="shared" si="77"/>
        <v>2352</v>
      </c>
      <c r="K220" s="5">
        <f t="shared" si="84"/>
        <v>3000</v>
      </c>
      <c r="L220" s="5">
        <f t="shared" si="85"/>
        <v>3000</v>
      </c>
      <c r="M220" s="5">
        <f t="shared" si="86"/>
        <v>3000</v>
      </c>
      <c r="N220" s="5">
        <f t="shared" si="81"/>
        <v>-361</v>
      </c>
      <c r="O220" s="5">
        <f t="shared" si="82"/>
        <v>-373</v>
      </c>
      <c r="P220" s="5">
        <f t="shared" si="83"/>
        <v>-648</v>
      </c>
      <c r="Q220" s="4">
        <v>0</v>
      </c>
      <c r="R220" s="4">
        <v>0</v>
      </c>
      <c r="S220" s="4">
        <v>0</v>
      </c>
      <c r="T220" s="6">
        <f t="shared" si="78"/>
        <v>902</v>
      </c>
      <c r="U220" s="7">
        <f t="shared" si="69"/>
        <v>1719</v>
      </c>
      <c r="V220" s="7">
        <f t="shared" si="70"/>
        <v>1527</v>
      </c>
      <c r="W220" s="7">
        <f t="shared" si="68"/>
        <v>1742</v>
      </c>
      <c r="X220" s="6"/>
      <c r="Y220" s="5"/>
      <c r="Z220" s="5"/>
      <c r="AA220" s="5"/>
      <c r="AB220" s="5"/>
    </row>
    <row r="221" spans="1:28" ht="13.15" customHeight="1">
      <c r="A221" s="12">
        <v>207</v>
      </c>
      <c r="B221" s="11">
        <f t="shared" si="79"/>
        <v>45477</v>
      </c>
      <c r="C221" s="9">
        <f t="shared" si="80"/>
        <v>842</v>
      </c>
      <c r="D221" s="8">
        <f t="shared" si="71"/>
        <v>1589</v>
      </c>
      <c r="E221" s="4">
        <f t="shared" si="72"/>
        <v>-208</v>
      </c>
      <c r="F221" s="4">
        <f t="shared" si="73"/>
        <v>-196</v>
      </c>
      <c r="G221" s="4">
        <f t="shared" si="74"/>
        <v>79</v>
      </c>
      <c r="H221" s="5">
        <f t="shared" si="75"/>
        <v>2639</v>
      </c>
      <c r="I221" s="5">
        <f t="shared" si="76"/>
        <v>2627</v>
      </c>
      <c r="J221" s="5">
        <f t="shared" si="77"/>
        <v>2352</v>
      </c>
      <c r="K221" s="5">
        <f t="shared" si="84"/>
        <v>3000</v>
      </c>
      <c r="L221" s="5">
        <f t="shared" si="85"/>
        <v>3000</v>
      </c>
      <c r="M221" s="5">
        <f t="shared" si="86"/>
        <v>3000</v>
      </c>
      <c r="N221" s="5">
        <f t="shared" si="81"/>
        <v>-361</v>
      </c>
      <c r="O221" s="5">
        <f t="shared" si="82"/>
        <v>-373</v>
      </c>
      <c r="P221" s="5">
        <f t="shared" si="83"/>
        <v>-648</v>
      </c>
      <c r="Q221" s="4">
        <v>0</v>
      </c>
      <c r="R221" s="4">
        <v>0</v>
      </c>
      <c r="S221" s="4">
        <v>0</v>
      </c>
      <c r="T221" s="6">
        <f t="shared" si="78"/>
        <v>904</v>
      </c>
      <c r="U221" s="7">
        <f t="shared" si="69"/>
        <v>1719</v>
      </c>
      <c r="V221" s="7">
        <f t="shared" si="70"/>
        <v>1527</v>
      </c>
      <c r="W221" s="7">
        <f t="shared" si="68"/>
        <v>1742</v>
      </c>
      <c r="X221" s="6"/>
      <c r="Y221" s="5"/>
      <c r="Z221" s="5"/>
      <c r="AA221" s="5"/>
      <c r="AB221" s="5"/>
    </row>
    <row r="222" spans="1:28" ht="13.15" customHeight="1">
      <c r="A222" s="12">
        <v>208</v>
      </c>
      <c r="B222" s="11">
        <f t="shared" si="79"/>
        <v>45478</v>
      </c>
      <c r="C222" s="9">
        <f t="shared" si="80"/>
        <v>842</v>
      </c>
      <c r="D222" s="8">
        <f t="shared" si="71"/>
        <v>1591</v>
      </c>
      <c r="E222" s="4">
        <f t="shared" si="72"/>
        <v>-206</v>
      </c>
      <c r="F222" s="4">
        <f t="shared" si="73"/>
        <v>-194</v>
      </c>
      <c r="G222" s="4">
        <f t="shared" si="74"/>
        <v>81</v>
      </c>
      <c r="H222" s="5">
        <f t="shared" si="75"/>
        <v>2639</v>
      </c>
      <c r="I222" s="5">
        <f t="shared" si="76"/>
        <v>2627</v>
      </c>
      <c r="J222" s="5">
        <f t="shared" si="77"/>
        <v>2352</v>
      </c>
      <c r="K222" s="5">
        <f t="shared" si="84"/>
        <v>3000</v>
      </c>
      <c r="L222" s="5">
        <f t="shared" si="85"/>
        <v>3000</v>
      </c>
      <c r="M222" s="5">
        <f t="shared" si="86"/>
        <v>3000</v>
      </c>
      <c r="N222" s="5">
        <f t="shared" si="81"/>
        <v>-361</v>
      </c>
      <c r="O222" s="5">
        <f t="shared" si="82"/>
        <v>-373</v>
      </c>
      <c r="P222" s="5">
        <f t="shared" si="83"/>
        <v>-648</v>
      </c>
      <c r="Q222" s="4">
        <v>0</v>
      </c>
      <c r="R222" s="4">
        <v>0</v>
      </c>
      <c r="S222" s="4">
        <v>0</v>
      </c>
      <c r="T222" s="6">
        <f t="shared" si="78"/>
        <v>906</v>
      </c>
      <c r="U222" s="7">
        <f t="shared" si="69"/>
        <v>1719</v>
      </c>
      <c r="V222" s="7">
        <f t="shared" si="70"/>
        <v>1527</v>
      </c>
      <c r="W222" s="7">
        <f t="shared" si="68"/>
        <v>1742</v>
      </c>
      <c r="X222" s="6"/>
      <c r="Y222" s="5"/>
      <c r="Z222" s="5"/>
      <c r="AA222" s="5"/>
      <c r="AB222" s="5"/>
    </row>
    <row r="223" spans="1:28" ht="13.15" customHeight="1">
      <c r="A223" s="12">
        <v>209</v>
      </c>
      <c r="B223" s="11">
        <f t="shared" si="79"/>
        <v>45479</v>
      </c>
      <c r="C223" s="9">
        <f t="shared" si="80"/>
        <v>842</v>
      </c>
      <c r="D223" s="8">
        <f t="shared" si="71"/>
        <v>1593</v>
      </c>
      <c r="E223" s="4">
        <f t="shared" si="72"/>
        <v>-204</v>
      </c>
      <c r="F223" s="4">
        <f t="shared" si="73"/>
        <v>-192</v>
      </c>
      <c r="G223" s="4">
        <f t="shared" si="74"/>
        <v>83</v>
      </c>
      <c r="H223" s="5">
        <f t="shared" si="75"/>
        <v>2639</v>
      </c>
      <c r="I223" s="5">
        <f t="shared" si="76"/>
        <v>2627</v>
      </c>
      <c r="J223" s="5">
        <f t="shared" si="77"/>
        <v>2352</v>
      </c>
      <c r="K223" s="5">
        <f t="shared" si="84"/>
        <v>3000</v>
      </c>
      <c r="L223" s="5">
        <f t="shared" si="85"/>
        <v>3000</v>
      </c>
      <c r="M223" s="5">
        <f t="shared" si="86"/>
        <v>3000</v>
      </c>
      <c r="N223" s="5">
        <f t="shared" si="81"/>
        <v>-361</v>
      </c>
      <c r="O223" s="5">
        <f t="shared" si="82"/>
        <v>-373</v>
      </c>
      <c r="P223" s="5">
        <f t="shared" si="83"/>
        <v>-648</v>
      </c>
      <c r="Q223" s="4">
        <v>0</v>
      </c>
      <c r="R223" s="4">
        <v>0</v>
      </c>
      <c r="S223" s="4">
        <v>0</v>
      </c>
      <c r="T223" s="6">
        <f t="shared" si="78"/>
        <v>908</v>
      </c>
      <c r="U223" s="7">
        <f t="shared" si="69"/>
        <v>1719</v>
      </c>
      <c r="V223" s="7">
        <f t="shared" si="70"/>
        <v>1527</v>
      </c>
      <c r="W223" s="7">
        <f t="shared" si="68"/>
        <v>1742</v>
      </c>
      <c r="X223" s="6"/>
      <c r="Y223" s="5"/>
      <c r="Z223" s="5"/>
      <c r="AA223" s="5"/>
      <c r="AB223" s="5"/>
    </row>
    <row r="224" spans="1:28" ht="13.15" customHeight="1">
      <c r="A224" s="12">
        <v>210</v>
      </c>
      <c r="B224" s="11">
        <f t="shared" si="79"/>
        <v>45480</v>
      </c>
      <c r="C224" s="9">
        <f t="shared" si="80"/>
        <v>842</v>
      </c>
      <c r="D224" s="8">
        <f t="shared" si="71"/>
        <v>1595</v>
      </c>
      <c r="E224" s="4">
        <f t="shared" si="72"/>
        <v>-202</v>
      </c>
      <c r="F224" s="4">
        <f t="shared" si="73"/>
        <v>-190</v>
      </c>
      <c r="G224" s="4">
        <f t="shared" si="74"/>
        <v>85</v>
      </c>
      <c r="H224" s="5">
        <f t="shared" si="75"/>
        <v>2639</v>
      </c>
      <c r="I224" s="5">
        <f t="shared" si="76"/>
        <v>2627</v>
      </c>
      <c r="J224" s="5">
        <f t="shared" si="77"/>
        <v>2352</v>
      </c>
      <c r="K224" s="5">
        <f t="shared" si="84"/>
        <v>3000</v>
      </c>
      <c r="L224" s="5">
        <f t="shared" si="85"/>
        <v>3000</v>
      </c>
      <c r="M224" s="5">
        <f t="shared" si="86"/>
        <v>3000</v>
      </c>
      <c r="N224" s="5">
        <f t="shared" si="81"/>
        <v>-361</v>
      </c>
      <c r="O224" s="5">
        <f t="shared" si="82"/>
        <v>-373</v>
      </c>
      <c r="P224" s="5">
        <f t="shared" si="83"/>
        <v>-648</v>
      </c>
      <c r="Q224" s="4">
        <v>0</v>
      </c>
      <c r="R224" s="4">
        <v>0</v>
      </c>
      <c r="S224" s="4">
        <v>0</v>
      </c>
      <c r="T224" s="6">
        <f t="shared" si="78"/>
        <v>910</v>
      </c>
      <c r="U224" s="7">
        <f t="shared" si="69"/>
        <v>1719</v>
      </c>
      <c r="V224" s="7">
        <f t="shared" si="70"/>
        <v>1527</v>
      </c>
      <c r="W224" s="7">
        <f t="shared" ref="W224:W287" si="87">W223+$X224*1000-S224</f>
        <v>1742</v>
      </c>
      <c r="X224" s="6"/>
      <c r="Y224" s="5"/>
      <c r="Z224" s="5"/>
      <c r="AA224" s="5"/>
      <c r="AB224" s="5"/>
    </row>
    <row r="225" spans="1:28" ht="13.15" customHeight="1">
      <c r="A225" s="12">
        <v>211</v>
      </c>
      <c r="B225" s="11">
        <f t="shared" si="79"/>
        <v>45481</v>
      </c>
      <c r="C225" s="9">
        <f t="shared" si="80"/>
        <v>842</v>
      </c>
      <c r="D225" s="8">
        <f t="shared" si="71"/>
        <v>1597</v>
      </c>
      <c r="E225" s="4">
        <f t="shared" si="72"/>
        <v>-200</v>
      </c>
      <c r="F225" s="4">
        <f t="shared" si="73"/>
        <v>-188</v>
      </c>
      <c r="G225" s="4">
        <f t="shared" si="74"/>
        <v>87</v>
      </c>
      <c r="H225" s="5">
        <f t="shared" si="75"/>
        <v>2639</v>
      </c>
      <c r="I225" s="5">
        <f t="shared" si="76"/>
        <v>2627</v>
      </c>
      <c r="J225" s="5">
        <f t="shared" si="77"/>
        <v>2352</v>
      </c>
      <c r="K225" s="5">
        <f t="shared" si="84"/>
        <v>3000</v>
      </c>
      <c r="L225" s="5">
        <f t="shared" si="85"/>
        <v>3000</v>
      </c>
      <c r="M225" s="5">
        <f t="shared" si="86"/>
        <v>3000</v>
      </c>
      <c r="N225" s="5">
        <f t="shared" si="81"/>
        <v>-361</v>
      </c>
      <c r="O225" s="5">
        <f t="shared" si="82"/>
        <v>-373</v>
      </c>
      <c r="P225" s="5">
        <f t="shared" si="83"/>
        <v>-648</v>
      </c>
      <c r="Q225" s="4">
        <v>0</v>
      </c>
      <c r="R225" s="4">
        <v>0</v>
      </c>
      <c r="S225" s="4">
        <v>0</v>
      </c>
      <c r="T225" s="6">
        <f t="shared" si="78"/>
        <v>912</v>
      </c>
      <c r="U225" s="7">
        <f t="shared" si="69"/>
        <v>1719</v>
      </c>
      <c r="V225" s="7">
        <f t="shared" si="70"/>
        <v>1527</v>
      </c>
      <c r="W225" s="7">
        <f t="shared" si="87"/>
        <v>1742</v>
      </c>
      <c r="X225" s="6"/>
      <c r="Y225" s="5"/>
      <c r="Z225" s="5"/>
      <c r="AA225" s="5"/>
      <c r="AB225" s="5"/>
    </row>
    <row r="226" spans="1:28" ht="13.15" customHeight="1">
      <c r="A226" s="12">
        <v>212</v>
      </c>
      <c r="B226" s="11">
        <f t="shared" si="79"/>
        <v>45482</v>
      </c>
      <c r="C226" s="9">
        <f t="shared" si="80"/>
        <v>842</v>
      </c>
      <c r="D226" s="8">
        <f t="shared" si="71"/>
        <v>1599</v>
      </c>
      <c r="E226" s="4">
        <f t="shared" si="72"/>
        <v>-198</v>
      </c>
      <c r="F226" s="4">
        <f t="shared" si="73"/>
        <v>-186</v>
      </c>
      <c r="G226" s="4">
        <f t="shared" si="74"/>
        <v>89</v>
      </c>
      <c r="H226" s="5">
        <f t="shared" si="75"/>
        <v>2639</v>
      </c>
      <c r="I226" s="5">
        <f t="shared" si="76"/>
        <v>2627</v>
      </c>
      <c r="J226" s="5">
        <f t="shared" si="77"/>
        <v>2352</v>
      </c>
      <c r="K226" s="5">
        <f t="shared" si="84"/>
        <v>3000</v>
      </c>
      <c r="L226" s="5">
        <f t="shared" si="85"/>
        <v>3000</v>
      </c>
      <c r="M226" s="5">
        <f t="shared" si="86"/>
        <v>3000</v>
      </c>
      <c r="N226" s="5">
        <f t="shared" si="81"/>
        <v>-361</v>
      </c>
      <c r="O226" s="5">
        <f t="shared" si="82"/>
        <v>-373</v>
      </c>
      <c r="P226" s="5">
        <f t="shared" si="83"/>
        <v>-648</v>
      </c>
      <c r="Q226" s="4">
        <v>0</v>
      </c>
      <c r="R226" s="4">
        <v>0</v>
      </c>
      <c r="S226" s="4">
        <v>0</v>
      </c>
      <c r="T226" s="6">
        <f t="shared" si="78"/>
        <v>914</v>
      </c>
      <c r="U226" s="7">
        <f t="shared" si="69"/>
        <v>1719</v>
      </c>
      <c r="V226" s="7">
        <f t="shared" si="70"/>
        <v>1527</v>
      </c>
      <c r="W226" s="7">
        <f t="shared" si="87"/>
        <v>1742</v>
      </c>
      <c r="X226" s="6"/>
      <c r="Y226" s="5"/>
      <c r="Z226" s="5"/>
      <c r="AA226" s="5"/>
      <c r="AB226" s="5"/>
    </row>
    <row r="227" spans="1:28" ht="13.15" customHeight="1">
      <c r="A227" s="12">
        <v>213</v>
      </c>
      <c r="B227" s="11">
        <f t="shared" si="79"/>
        <v>45483</v>
      </c>
      <c r="C227" s="9">
        <f t="shared" si="80"/>
        <v>842</v>
      </c>
      <c r="D227" s="8">
        <f t="shared" si="71"/>
        <v>1601</v>
      </c>
      <c r="E227" s="4">
        <f t="shared" si="72"/>
        <v>-196</v>
      </c>
      <c r="F227" s="4">
        <f t="shared" si="73"/>
        <v>-184</v>
      </c>
      <c r="G227" s="4">
        <f t="shared" si="74"/>
        <v>91</v>
      </c>
      <c r="H227" s="5">
        <f t="shared" si="75"/>
        <v>2639</v>
      </c>
      <c r="I227" s="5">
        <f t="shared" si="76"/>
        <v>2627</v>
      </c>
      <c r="J227" s="5">
        <f t="shared" si="77"/>
        <v>2352</v>
      </c>
      <c r="K227" s="5">
        <f t="shared" si="84"/>
        <v>3000</v>
      </c>
      <c r="L227" s="5">
        <f t="shared" si="85"/>
        <v>3000</v>
      </c>
      <c r="M227" s="5">
        <f t="shared" si="86"/>
        <v>3000</v>
      </c>
      <c r="N227" s="5">
        <f t="shared" si="81"/>
        <v>-361</v>
      </c>
      <c r="O227" s="5">
        <f t="shared" si="82"/>
        <v>-373</v>
      </c>
      <c r="P227" s="5">
        <f t="shared" si="83"/>
        <v>-648</v>
      </c>
      <c r="Q227" s="4">
        <v>0</v>
      </c>
      <c r="R227" s="4">
        <v>0</v>
      </c>
      <c r="S227" s="4">
        <v>0</v>
      </c>
      <c r="T227" s="6">
        <f t="shared" si="78"/>
        <v>916</v>
      </c>
      <c r="U227" s="7">
        <f t="shared" si="69"/>
        <v>1719</v>
      </c>
      <c r="V227" s="7">
        <f t="shared" si="70"/>
        <v>1527</v>
      </c>
      <c r="W227" s="7">
        <f t="shared" si="87"/>
        <v>1742</v>
      </c>
      <c r="X227" s="6"/>
      <c r="Y227" s="5"/>
      <c r="Z227" s="5"/>
      <c r="AA227" s="5"/>
      <c r="AB227" s="5"/>
    </row>
    <row r="228" spans="1:28" ht="13.15" customHeight="1">
      <c r="A228" s="12">
        <v>214</v>
      </c>
      <c r="B228" s="11">
        <f t="shared" si="79"/>
        <v>45484</v>
      </c>
      <c r="C228" s="9">
        <f t="shared" si="80"/>
        <v>842</v>
      </c>
      <c r="D228" s="8">
        <f t="shared" si="71"/>
        <v>1603</v>
      </c>
      <c r="E228" s="4">
        <f t="shared" si="72"/>
        <v>-194</v>
      </c>
      <c r="F228" s="4">
        <f t="shared" si="73"/>
        <v>-182</v>
      </c>
      <c r="G228" s="4">
        <f t="shared" si="74"/>
        <v>93</v>
      </c>
      <c r="H228" s="5">
        <f t="shared" si="75"/>
        <v>2639</v>
      </c>
      <c r="I228" s="5">
        <f t="shared" si="76"/>
        <v>2627</v>
      </c>
      <c r="J228" s="5">
        <f t="shared" si="77"/>
        <v>2352</v>
      </c>
      <c r="K228" s="5">
        <f t="shared" si="84"/>
        <v>3000</v>
      </c>
      <c r="L228" s="5">
        <f t="shared" si="85"/>
        <v>3000</v>
      </c>
      <c r="M228" s="5">
        <f t="shared" si="86"/>
        <v>3000</v>
      </c>
      <c r="N228" s="5">
        <f t="shared" si="81"/>
        <v>-361</v>
      </c>
      <c r="O228" s="5">
        <f t="shared" si="82"/>
        <v>-373</v>
      </c>
      <c r="P228" s="5">
        <f t="shared" si="83"/>
        <v>-648</v>
      </c>
      <c r="Q228" s="4">
        <v>0</v>
      </c>
      <c r="R228" s="4">
        <v>0</v>
      </c>
      <c r="S228" s="4">
        <v>0</v>
      </c>
      <c r="T228" s="6">
        <f t="shared" si="78"/>
        <v>918</v>
      </c>
      <c r="U228" s="7">
        <f t="shared" si="69"/>
        <v>1719</v>
      </c>
      <c r="V228" s="7">
        <f t="shared" si="70"/>
        <v>1527</v>
      </c>
      <c r="W228" s="7">
        <f t="shared" si="87"/>
        <v>1742</v>
      </c>
      <c r="X228" s="6"/>
      <c r="Y228" s="5"/>
      <c r="Z228" s="5"/>
      <c r="AA228" s="5"/>
      <c r="AB228" s="5"/>
    </row>
    <row r="229" spans="1:28" ht="13.15" customHeight="1">
      <c r="A229" s="12">
        <v>215</v>
      </c>
      <c r="B229" s="11">
        <f t="shared" si="79"/>
        <v>45485</v>
      </c>
      <c r="C229" s="9">
        <f t="shared" si="80"/>
        <v>842</v>
      </c>
      <c r="D229" s="8">
        <f t="shared" si="71"/>
        <v>1605</v>
      </c>
      <c r="E229" s="4">
        <f t="shared" si="72"/>
        <v>-192</v>
      </c>
      <c r="F229" s="4">
        <f t="shared" si="73"/>
        <v>-180</v>
      </c>
      <c r="G229" s="4">
        <f t="shared" si="74"/>
        <v>95</v>
      </c>
      <c r="H229" s="5">
        <f t="shared" si="75"/>
        <v>2639</v>
      </c>
      <c r="I229" s="5">
        <f t="shared" si="76"/>
        <v>2627</v>
      </c>
      <c r="J229" s="5">
        <f t="shared" si="77"/>
        <v>2352</v>
      </c>
      <c r="K229" s="5">
        <f t="shared" si="84"/>
        <v>3000</v>
      </c>
      <c r="L229" s="5">
        <f t="shared" si="85"/>
        <v>3000</v>
      </c>
      <c r="M229" s="5">
        <f t="shared" si="86"/>
        <v>3000</v>
      </c>
      <c r="N229" s="5">
        <f t="shared" si="81"/>
        <v>-361</v>
      </c>
      <c r="O229" s="5">
        <f t="shared" si="82"/>
        <v>-373</v>
      </c>
      <c r="P229" s="5">
        <f t="shared" si="83"/>
        <v>-648</v>
      </c>
      <c r="Q229" s="4">
        <v>0</v>
      </c>
      <c r="R229" s="4">
        <v>0</v>
      </c>
      <c r="S229" s="4">
        <v>0</v>
      </c>
      <c r="T229" s="6">
        <f t="shared" si="78"/>
        <v>920</v>
      </c>
      <c r="U229" s="7">
        <f t="shared" si="69"/>
        <v>1719</v>
      </c>
      <c r="V229" s="7">
        <f t="shared" si="70"/>
        <v>1527</v>
      </c>
      <c r="W229" s="7">
        <f t="shared" si="87"/>
        <v>1742</v>
      </c>
      <c r="X229" s="6"/>
      <c r="Y229" s="5"/>
      <c r="Z229" s="5"/>
      <c r="AA229" s="5"/>
      <c r="AB229" s="5"/>
    </row>
    <row r="230" spans="1:28" ht="13.15" customHeight="1">
      <c r="A230" s="12">
        <v>216</v>
      </c>
      <c r="B230" s="11">
        <f t="shared" si="79"/>
        <v>45486</v>
      </c>
      <c r="C230" s="9">
        <f t="shared" si="80"/>
        <v>842</v>
      </c>
      <c r="D230" s="8">
        <f t="shared" si="71"/>
        <v>1607</v>
      </c>
      <c r="E230" s="4">
        <f t="shared" si="72"/>
        <v>-190</v>
      </c>
      <c r="F230" s="4">
        <f t="shared" si="73"/>
        <v>-178</v>
      </c>
      <c r="G230" s="4">
        <f t="shared" si="74"/>
        <v>97</v>
      </c>
      <c r="H230" s="5">
        <f t="shared" si="75"/>
        <v>2639</v>
      </c>
      <c r="I230" s="5">
        <f t="shared" si="76"/>
        <v>2627</v>
      </c>
      <c r="J230" s="5">
        <f t="shared" si="77"/>
        <v>2352</v>
      </c>
      <c r="K230" s="5">
        <f t="shared" si="84"/>
        <v>3000</v>
      </c>
      <c r="L230" s="5">
        <f t="shared" si="85"/>
        <v>3000</v>
      </c>
      <c r="M230" s="5">
        <f t="shared" si="86"/>
        <v>3000</v>
      </c>
      <c r="N230" s="5">
        <f t="shared" si="81"/>
        <v>-361</v>
      </c>
      <c r="O230" s="5">
        <f t="shared" si="82"/>
        <v>-373</v>
      </c>
      <c r="P230" s="5">
        <f t="shared" si="83"/>
        <v>-648</v>
      </c>
      <c r="Q230" s="4">
        <v>0</v>
      </c>
      <c r="R230" s="4">
        <v>0</v>
      </c>
      <c r="S230" s="4">
        <v>0</v>
      </c>
      <c r="T230" s="6">
        <f t="shared" si="78"/>
        <v>922</v>
      </c>
      <c r="U230" s="7">
        <f t="shared" ref="U230:U293" si="88">U229+$X230*1000-Q230</f>
        <v>1719</v>
      </c>
      <c r="V230" s="7">
        <f t="shared" ref="V230:V293" si="89">V229+$X230*1000-R230</f>
        <v>1527</v>
      </c>
      <c r="W230" s="7">
        <f t="shared" si="87"/>
        <v>1742</v>
      </c>
      <c r="X230" s="6"/>
      <c r="Y230" s="5"/>
      <c r="Z230" s="5"/>
      <c r="AA230" s="5"/>
      <c r="AB230" s="5"/>
    </row>
    <row r="231" spans="1:28" ht="13.15" customHeight="1">
      <c r="A231" s="12">
        <v>217</v>
      </c>
      <c r="B231" s="11">
        <f t="shared" si="79"/>
        <v>45487</v>
      </c>
      <c r="C231" s="9">
        <f t="shared" si="80"/>
        <v>842</v>
      </c>
      <c r="D231" s="8">
        <f t="shared" si="71"/>
        <v>1609</v>
      </c>
      <c r="E231" s="4">
        <f t="shared" si="72"/>
        <v>-188</v>
      </c>
      <c r="F231" s="4">
        <f t="shared" si="73"/>
        <v>-176</v>
      </c>
      <c r="G231" s="4">
        <f t="shared" si="74"/>
        <v>99</v>
      </c>
      <c r="H231" s="5">
        <f t="shared" si="75"/>
        <v>2639</v>
      </c>
      <c r="I231" s="5">
        <f t="shared" si="76"/>
        <v>2627</v>
      </c>
      <c r="J231" s="5">
        <f t="shared" si="77"/>
        <v>2352</v>
      </c>
      <c r="K231" s="5">
        <f t="shared" si="84"/>
        <v>3000</v>
      </c>
      <c r="L231" s="5">
        <f t="shared" si="85"/>
        <v>3000</v>
      </c>
      <c r="M231" s="5">
        <f t="shared" si="86"/>
        <v>3000</v>
      </c>
      <c r="N231" s="5">
        <f t="shared" si="81"/>
        <v>-361</v>
      </c>
      <c r="O231" s="5">
        <f t="shared" si="82"/>
        <v>-373</v>
      </c>
      <c r="P231" s="5">
        <f t="shared" si="83"/>
        <v>-648</v>
      </c>
      <c r="Q231" s="4">
        <v>0</v>
      </c>
      <c r="R231" s="4">
        <v>0</v>
      </c>
      <c r="S231" s="4">
        <v>0</v>
      </c>
      <c r="T231" s="6">
        <f t="shared" si="78"/>
        <v>924</v>
      </c>
      <c r="U231" s="7">
        <f t="shared" si="88"/>
        <v>1719</v>
      </c>
      <c r="V231" s="7">
        <f t="shared" si="89"/>
        <v>1527</v>
      </c>
      <c r="W231" s="7">
        <f t="shared" si="87"/>
        <v>1742</v>
      </c>
      <c r="X231" s="6"/>
      <c r="Y231" s="5"/>
      <c r="Z231" s="5"/>
      <c r="AA231" s="5"/>
      <c r="AB231" s="5"/>
    </row>
    <row r="232" spans="1:28" ht="13.15" customHeight="1">
      <c r="A232" s="12">
        <v>218</v>
      </c>
      <c r="B232" s="11">
        <f t="shared" si="79"/>
        <v>45488</v>
      </c>
      <c r="C232" s="9">
        <f t="shared" si="80"/>
        <v>842</v>
      </c>
      <c r="D232" s="8">
        <f t="shared" si="71"/>
        <v>1611</v>
      </c>
      <c r="E232" s="4">
        <f t="shared" si="72"/>
        <v>-186</v>
      </c>
      <c r="F232" s="4">
        <f t="shared" si="73"/>
        <v>-174</v>
      </c>
      <c r="G232" s="4">
        <f t="shared" si="74"/>
        <v>101</v>
      </c>
      <c r="H232" s="5">
        <f t="shared" si="75"/>
        <v>2639</v>
      </c>
      <c r="I232" s="5">
        <f t="shared" si="76"/>
        <v>2627</v>
      </c>
      <c r="J232" s="5">
        <f t="shared" si="77"/>
        <v>2352</v>
      </c>
      <c r="K232" s="5">
        <f t="shared" si="84"/>
        <v>3000</v>
      </c>
      <c r="L232" s="5">
        <f t="shared" si="85"/>
        <v>3000</v>
      </c>
      <c r="M232" s="5">
        <f t="shared" si="86"/>
        <v>3000</v>
      </c>
      <c r="N232" s="5">
        <f t="shared" si="81"/>
        <v>-361</v>
      </c>
      <c r="O232" s="5">
        <f t="shared" si="82"/>
        <v>-373</v>
      </c>
      <c r="P232" s="5">
        <f t="shared" si="83"/>
        <v>-648</v>
      </c>
      <c r="Q232" s="4">
        <v>0</v>
      </c>
      <c r="R232" s="4">
        <v>0</v>
      </c>
      <c r="S232" s="4">
        <v>0</v>
      </c>
      <c r="T232" s="6">
        <f t="shared" si="78"/>
        <v>926</v>
      </c>
      <c r="U232" s="7">
        <f t="shared" si="88"/>
        <v>1719</v>
      </c>
      <c r="V232" s="7">
        <f t="shared" si="89"/>
        <v>1527</v>
      </c>
      <c r="W232" s="7">
        <f t="shared" si="87"/>
        <v>1742</v>
      </c>
      <c r="X232" s="6"/>
      <c r="Y232" s="5"/>
      <c r="Z232" s="5"/>
      <c r="AA232" s="5"/>
      <c r="AB232" s="5"/>
    </row>
    <row r="233" spans="1:28" ht="13.15" customHeight="1">
      <c r="A233" s="12">
        <v>219</v>
      </c>
      <c r="B233" s="11">
        <f t="shared" si="79"/>
        <v>45489</v>
      </c>
      <c r="C233" s="9">
        <f t="shared" si="80"/>
        <v>842</v>
      </c>
      <c r="D233" s="8">
        <f t="shared" si="71"/>
        <v>1613</v>
      </c>
      <c r="E233" s="4">
        <f t="shared" si="72"/>
        <v>-184</v>
      </c>
      <c r="F233" s="4">
        <f t="shared" si="73"/>
        <v>-172</v>
      </c>
      <c r="G233" s="4">
        <f t="shared" si="74"/>
        <v>103</v>
      </c>
      <c r="H233" s="5">
        <f t="shared" si="75"/>
        <v>2639</v>
      </c>
      <c r="I233" s="5">
        <f t="shared" si="76"/>
        <v>2627</v>
      </c>
      <c r="J233" s="5">
        <f t="shared" si="77"/>
        <v>2352</v>
      </c>
      <c r="K233" s="5">
        <f t="shared" si="84"/>
        <v>3000</v>
      </c>
      <c r="L233" s="5">
        <f t="shared" si="85"/>
        <v>3000</v>
      </c>
      <c r="M233" s="5">
        <f t="shared" si="86"/>
        <v>3000</v>
      </c>
      <c r="N233" s="5">
        <f t="shared" si="81"/>
        <v>-361</v>
      </c>
      <c r="O233" s="5">
        <f t="shared" si="82"/>
        <v>-373</v>
      </c>
      <c r="P233" s="5">
        <f t="shared" si="83"/>
        <v>-648</v>
      </c>
      <c r="Q233" s="4">
        <v>0</v>
      </c>
      <c r="R233" s="4">
        <v>0</v>
      </c>
      <c r="S233" s="4">
        <v>0</v>
      </c>
      <c r="T233" s="6">
        <f t="shared" si="78"/>
        <v>928</v>
      </c>
      <c r="U233" s="7">
        <f t="shared" si="88"/>
        <v>1719</v>
      </c>
      <c r="V233" s="7">
        <f t="shared" si="89"/>
        <v>1527</v>
      </c>
      <c r="W233" s="7">
        <f t="shared" si="87"/>
        <v>1742</v>
      </c>
      <c r="X233" s="6"/>
      <c r="Y233" s="5"/>
      <c r="Z233" s="5"/>
      <c r="AA233" s="5"/>
      <c r="AB233" s="5"/>
    </row>
    <row r="234" spans="1:28" ht="13.15" customHeight="1">
      <c r="A234" s="12">
        <v>220</v>
      </c>
      <c r="B234" s="11">
        <f t="shared" si="79"/>
        <v>45490</v>
      </c>
      <c r="C234" s="9">
        <f t="shared" si="80"/>
        <v>842</v>
      </c>
      <c r="D234" s="8">
        <f t="shared" si="71"/>
        <v>1615</v>
      </c>
      <c r="E234" s="4">
        <f t="shared" si="72"/>
        <v>-182</v>
      </c>
      <c r="F234" s="4">
        <f t="shared" si="73"/>
        <v>-170</v>
      </c>
      <c r="G234" s="4">
        <f t="shared" si="74"/>
        <v>105</v>
      </c>
      <c r="H234" s="5">
        <f t="shared" si="75"/>
        <v>2639</v>
      </c>
      <c r="I234" s="5">
        <f t="shared" si="76"/>
        <v>2627</v>
      </c>
      <c r="J234" s="5">
        <f t="shared" si="77"/>
        <v>2352</v>
      </c>
      <c r="K234" s="5">
        <f t="shared" si="84"/>
        <v>3000</v>
      </c>
      <c r="L234" s="5">
        <f t="shared" si="85"/>
        <v>3000</v>
      </c>
      <c r="M234" s="5">
        <f t="shared" si="86"/>
        <v>3000</v>
      </c>
      <c r="N234" s="5">
        <f t="shared" si="81"/>
        <v>-361</v>
      </c>
      <c r="O234" s="5">
        <f t="shared" si="82"/>
        <v>-373</v>
      </c>
      <c r="P234" s="5">
        <f t="shared" si="83"/>
        <v>-648</v>
      </c>
      <c r="Q234" s="4">
        <v>0</v>
      </c>
      <c r="R234" s="4">
        <v>0</v>
      </c>
      <c r="S234" s="4">
        <v>0</v>
      </c>
      <c r="T234" s="6">
        <f t="shared" si="78"/>
        <v>930</v>
      </c>
      <c r="U234" s="7">
        <f t="shared" si="88"/>
        <v>1719</v>
      </c>
      <c r="V234" s="7">
        <f t="shared" si="89"/>
        <v>1527</v>
      </c>
      <c r="W234" s="7">
        <f t="shared" si="87"/>
        <v>1742</v>
      </c>
      <c r="X234" s="6"/>
      <c r="Y234" s="5"/>
      <c r="Z234" s="5"/>
      <c r="AA234" s="5"/>
      <c r="AB234" s="5"/>
    </row>
    <row r="235" spans="1:28" ht="13.15" customHeight="1">
      <c r="A235" s="12">
        <v>221</v>
      </c>
      <c r="B235" s="11">
        <f t="shared" si="79"/>
        <v>45491</v>
      </c>
      <c r="C235" s="9">
        <f t="shared" si="80"/>
        <v>842</v>
      </c>
      <c r="D235" s="8">
        <f t="shared" si="71"/>
        <v>1617</v>
      </c>
      <c r="E235" s="4">
        <f t="shared" si="72"/>
        <v>-180</v>
      </c>
      <c r="F235" s="4">
        <f t="shared" si="73"/>
        <v>-168</v>
      </c>
      <c r="G235" s="4">
        <f t="shared" si="74"/>
        <v>107</v>
      </c>
      <c r="H235" s="5">
        <f t="shared" si="75"/>
        <v>2639</v>
      </c>
      <c r="I235" s="5">
        <f t="shared" si="76"/>
        <v>2627</v>
      </c>
      <c r="J235" s="5">
        <f t="shared" si="77"/>
        <v>2352</v>
      </c>
      <c r="K235" s="5">
        <f t="shared" si="84"/>
        <v>3000</v>
      </c>
      <c r="L235" s="5">
        <f t="shared" si="85"/>
        <v>3000</v>
      </c>
      <c r="M235" s="5">
        <f t="shared" si="86"/>
        <v>3000</v>
      </c>
      <c r="N235" s="5">
        <f t="shared" si="81"/>
        <v>-361</v>
      </c>
      <c r="O235" s="5">
        <f t="shared" si="82"/>
        <v>-373</v>
      </c>
      <c r="P235" s="5">
        <f t="shared" si="83"/>
        <v>-648</v>
      </c>
      <c r="Q235" s="4">
        <v>0</v>
      </c>
      <c r="R235" s="4">
        <v>0</v>
      </c>
      <c r="S235" s="4">
        <v>0</v>
      </c>
      <c r="T235" s="6">
        <f t="shared" si="78"/>
        <v>932</v>
      </c>
      <c r="U235" s="7">
        <f t="shared" si="88"/>
        <v>1719</v>
      </c>
      <c r="V235" s="7">
        <f t="shared" si="89"/>
        <v>1527</v>
      </c>
      <c r="W235" s="7">
        <f t="shared" si="87"/>
        <v>1742</v>
      </c>
      <c r="X235" s="6"/>
      <c r="Y235" s="5"/>
      <c r="Z235" s="5"/>
      <c r="AA235" s="5"/>
      <c r="AB235" s="5"/>
    </row>
    <row r="236" spans="1:28" ht="13.15" customHeight="1">
      <c r="A236" s="12">
        <v>222</v>
      </c>
      <c r="B236" s="11">
        <f t="shared" si="79"/>
        <v>45492</v>
      </c>
      <c r="C236" s="9">
        <f t="shared" si="80"/>
        <v>842</v>
      </c>
      <c r="D236" s="8">
        <f t="shared" si="71"/>
        <v>1619</v>
      </c>
      <c r="E236" s="4">
        <f t="shared" si="72"/>
        <v>-178</v>
      </c>
      <c r="F236" s="4">
        <f t="shared" si="73"/>
        <v>-166</v>
      </c>
      <c r="G236" s="4">
        <f t="shared" si="74"/>
        <v>109</v>
      </c>
      <c r="H236" s="5">
        <f t="shared" si="75"/>
        <v>2639</v>
      </c>
      <c r="I236" s="5">
        <f t="shared" si="76"/>
        <v>2627</v>
      </c>
      <c r="J236" s="5">
        <f t="shared" si="77"/>
        <v>2352</v>
      </c>
      <c r="K236" s="5">
        <f t="shared" si="84"/>
        <v>3000</v>
      </c>
      <c r="L236" s="5">
        <f t="shared" si="85"/>
        <v>3000</v>
      </c>
      <c r="M236" s="5">
        <f t="shared" si="86"/>
        <v>3000</v>
      </c>
      <c r="N236" s="5">
        <f t="shared" si="81"/>
        <v>-361</v>
      </c>
      <c r="O236" s="5">
        <f t="shared" si="82"/>
        <v>-373</v>
      </c>
      <c r="P236" s="5">
        <f t="shared" si="83"/>
        <v>-648</v>
      </c>
      <c r="Q236" s="4">
        <v>0</v>
      </c>
      <c r="R236" s="4">
        <v>0</v>
      </c>
      <c r="S236" s="4">
        <v>0</v>
      </c>
      <c r="T236" s="6">
        <f t="shared" si="78"/>
        <v>934</v>
      </c>
      <c r="U236" s="7">
        <f t="shared" si="88"/>
        <v>1719</v>
      </c>
      <c r="V236" s="7">
        <f t="shared" si="89"/>
        <v>1527</v>
      </c>
      <c r="W236" s="7">
        <f t="shared" si="87"/>
        <v>1742</v>
      </c>
      <c r="X236" s="6"/>
      <c r="Y236" s="5"/>
      <c r="Z236" s="5"/>
      <c r="AA236" s="5"/>
      <c r="AB236" s="5"/>
    </row>
    <row r="237" spans="1:28" ht="13.15" customHeight="1">
      <c r="A237" s="12">
        <v>223</v>
      </c>
      <c r="B237" s="11">
        <f t="shared" si="79"/>
        <v>45493</v>
      </c>
      <c r="C237" s="9">
        <f t="shared" si="80"/>
        <v>842</v>
      </c>
      <c r="D237" s="8">
        <f t="shared" si="71"/>
        <v>1621</v>
      </c>
      <c r="E237" s="4">
        <f t="shared" si="72"/>
        <v>-176</v>
      </c>
      <c r="F237" s="4">
        <f t="shared" si="73"/>
        <v>-164</v>
      </c>
      <c r="G237" s="4">
        <f t="shared" si="74"/>
        <v>111</v>
      </c>
      <c r="H237" s="5">
        <f t="shared" si="75"/>
        <v>2639</v>
      </c>
      <c r="I237" s="5">
        <f t="shared" si="76"/>
        <v>2627</v>
      </c>
      <c r="J237" s="5">
        <f t="shared" si="77"/>
        <v>2352</v>
      </c>
      <c r="K237" s="5">
        <f t="shared" si="84"/>
        <v>3000</v>
      </c>
      <c r="L237" s="5">
        <f t="shared" si="85"/>
        <v>3000</v>
      </c>
      <c r="M237" s="5">
        <f t="shared" si="86"/>
        <v>3000</v>
      </c>
      <c r="N237" s="5">
        <f t="shared" si="81"/>
        <v>-361</v>
      </c>
      <c r="O237" s="5">
        <f t="shared" si="82"/>
        <v>-373</v>
      </c>
      <c r="P237" s="5">
        <f t="shared" si="83"/>
        <v>-648</v>
      </c>
      <c r="Q237" s="4">
        <v>0</v>
      </c>
      <c r="R237" s="4">
        <v>0</v>
      </c>
      <c r="S237" s="4">
        <v>0</v>
      </c>
      <c r="T237" s="6">
        <f t="shared" si="78"/>
        <v>936</v>
      </c>
      <c r="U237" s="7">
        <f t="shared" si="88"/>
        <v>1719</v>
      </c>
      <c r="V237" s="7">
        <f t="shared" si="89"/>
        <v>1527</v>
      </c>
      <c r="W237" s="7">
        <f t="shared" si="87"/>
        <v>1742</v>
      </c>
      <c r="X237" s="6"/>
      <c r="Y237" s="5"/>
      <c r="Z237" s="5"/>
      <c r="AA237" s="5"/>
      <c r="AB237" s="5"/>
    </row>
    <row r="238" spans="1:28" ht="13.15" customHeight="1">
      <c r="A238" s="12">
        <v>224</v>
      </c>
      <c r="B238" s="11">
        <f t="shared" si="79"/>
        <v>45494</v>
      </c>
      <c r="C238" s="9">
        <f t="shared" si="80"/>
        <v>842</v>
      </c>
      <c r="D238" s="8">
        <f t="shared" si="71"/>
        <v>1623</v>
      </c>
      <c r="E238" s="4">
        <f t="shared" si="72"/>
        <v>-174</v>
      </c>
      <c r="F238" s="4">
        <f t="shared" si="73"/>
        <v>-162</v>
      </c>
      <c r="G238" s="4">
        <f t="shared" si="74"/>
        <v>113</v>
      </c>
      <c r="H238" s="5">
        <f t="shared" si="75"/>
        <v>2639</v>
      </c>
      <c r="I238" s="5">
        <f t="shared" si="76"/>
        <v>2627</v>
      </c>
      <c r="J238" s="5">
        <f t="shared" si="77"/>
        <v>2352</v>
      </c>
      <c r="K238" s="5">
        <f t="shared" si="84"/>
        <v>3000</v>
      </c>
      <c r="L238" s="5">
        <f t="shared" si="85"/>
        <v>3000</v>
      </c>
      <c r="M238" s="5">
        <f t="shared" si="86"/>
        <v>3000</v>
      </c>
      <c r="N238" s="5">
        <f t="shared" si="81"/>
        <v>-361</v>
      </c>
      <c r="O238" s="5">
        <f t="shared" si="82"/>
        <v>-373</v>
      </c>
      <c r="P238" s="5">
        <f t="shared" si="83"/>
        <v>-648</v>
      </c>
      <c r="Q238" s="4">
        <v>0</v>
      </c>
      <c r="R238" s="4">
        <v>0</v>
      </c>
      <c r="S238" s="4">
        <v>0</v>
      </c>
      <c r="T238" s="6">
        <f t="shared" si="78"/>
        <v>938</v>
      </c>
      <c r="U238" s="7">
        <f t="shared" si="88"/>
        <v>1719</v>
      </c>
      <c r="V238" s="7">
        <f t="shared" si="89"/>
        <v>1527</v>
      </c>
      <c r="W238" s="7">
        <f t="shared" si="87"/>
        <v>1742</v>
      </c>
      <c r="X238" s="6"/>
      <c r="Y238" s="5"/>
      <c r="Z238" s="5"/>
      <c r="AA238" s="5"/>
      <c r="AB238" s="5"/>
    </row>
    <row r="239" spans="1:28" ht="13.15" customHeight="1">
      <c r="A239" s="12">
        <v>225</v>
      </c>
      <c r="B239" s="11">
        <f t="shared" si="79"/>
        <v>45495</v>
      </c>
      <c r="C239" s="9">
        <f t="shared" si="80"/>
        <v>842</v>
      </c>
      <c r="D239" s="8">
        <f t="shared" si="71"/>
        <v>1625</v>
      </c>
      <c r="E239" s="4">
        <f t="shared" si="72"/>
        <v>-172</v>
      </c>
      <c r="F239" s="4">
        <f t="shared" si="73"/>
        <v>-160</v>
      </c>
      <c r="G239" s="4">
        <f t="shared" si="74"/>
        <v>115</v>
      </c>
      <c r="H239" s="5">
        <f t="shared" si="75"/>
        <v>2639</v>
      </c>
      <c r="I239" s="5">
        <f t="shared" si="76"/>
        <v>2627</v>
      </c>
      <c r="J239" s="5">
        <f t="shared" si="77"/>
        <v>2352</v>
      </c>
      <c r="K239" s="5">
        <f t="shared" si="84"/>
        <v>3000</v>
      </c>
      <c r="L239" s="5">
        <f t="shared" si="85"/>
        <v>3000</v>
      </c>
      <c r="M239" s="5">
        <f t="shared" si="86"/>
        <v>3000</v>
      </c>
      <c r="N239" s="5">
        <f t="shared" si="81"/>
        <v>-361</v>
      </c>
      <c r="O239" s="5">
        <f t="shared" si="82"/>
        <v>-373</v>
      </c>
      <c r="P239" s="5">
        <f t="shared" si="83"/>
        <v>-648</v>
      </c>
      <c r="Q239" s="4">
        <v>0</v>
      </c>
      <c r="R239" s="4">
        <v>0</v>
      </c>
      <c r="S239" s="4">
        <v>0</v>
      </c>
      <c r="T239" s="6">
        <f t="shared" si="78"/>
        <v>940</v>
      </c>
      <c r="U239" s="7">
        <f t="shared" si="88"/>
        <v>1719</v>
      </c>
      <c r="V239" s="7">
        <f t="shared" si="89"/>
        <v>1527</v>
      </c>
      <c r="W239" s="7">
        <f t="shared" si="87"/>
        <v>1742</v>
      </c>
      <c r="X239" s="6"/>
      <c r="Y239" s="5"/>
      <c r="Z239" s="5"/>
      <c r="AA239" s="5"/>
      <c r="AB239" s="5"/>
    </row>
    <row r="240" spans="1:28" ht="13.15" customHeight="1">
      <c r="A240" s="12">
        <v>226</v>
      </c>
      <c r="B240" s="11">
        <f t="shared" si="79"/>
        <v>45496</v>
      </c>
      <c r="C240" s="9">
        <f t="shared" si="80"/>
        <v>842</v>
      </c>
      <c r="D240" s="8">
        <f t="shared" si="71"/>
        <v>1627</v>
      </c>
      <c r="E240" s="4">
        <f t="shared" si="72"/>
        <v>-170</v>
      </c>
      <c r="F240" s="4">
        <f t="shared" si="73"/>
        <v>-158</v>
      </c>
      <c r="G240" s="4">
        <f t="shared" si="74"/>
        <v>117</v>
      </c>
      <c r="H240" s="5">
        <f t="shared" si="75"/>
        <v>2639</v>
      </c>
      <c r="I240" s="5">
        <f t="shared" si="76"/>
        <v>2627</v>
      </c>
      <c r="J240" s="5">
        <f t="shared" si="77"/>
        <v>2352</v>
      </c>
      <c r="K240" s="5">
        <f t="shared" si="84"/>
        <v>3000</v>
      </c>
      <c r="L240" s="5">
        <f t="shared" si="85"/>
        <v>3000</v>
      </c>
      <c r="M240" s="5">
        <f t="shared" si="86"/>
        <v>3000</v>
      </c>
      <c r="N240" s="5">
        <f t="shared" si="81"/>
        <v>-361</v>
      </c>
      <c r="O240" s="5">
        <f t="shared" si="82"/>
        <v>-373</v>
      </c>
      <c r="P240" s="5">
        <f t="shared" si="83"/>
        <v>-648</v>
      </c>
      <c r="Q240" s="4">
        <v>0</v>
      </c>
      <c r="R240" s="4">
        <v>0</v>
      </c>
      <c r="S240" s="4">
        <v>0</v>
      </c>
      <c r="T240" s="6">
        <f t="shared" si="78"/>
        <v>942</v>
      </c>
      <c r="U240" s="7">
        <f t="shared" si="88"/>
        <v>1719</v>
      </c>
      <c r="V240" s="7">
        <f t="shared" si="89"/>
        <v>1527</v>
      </c>
      <c r="W240" s="7">
        <f t="shared" si="87"/>
        <v>1742</v>
      </c>
      <c r="X240" s="6"/>
      <c r="Y240" s="5"/>
      <c r="Z240" s="5"/>
      <c r="AA240" s="5"/>
      <c r="AB240" s="5"/>
    </row>
    <row r="241" spans="1:28" ht="13.15" customHeight="1">
      <c r="A241" s="12">
        <v>227</v>
      </c>
      <c r="B241" s="11">
        <f t="shared" si="79"/>
        <v>45497</v>
      </c>
      <c r="C241" s="9">
        <f t="shared" si="80"/>
        <v>842</v>
      </c>
      <c r="D241" s="8">
        <f t="shared" si="71"/>
        <v>1629</v>
      </c>
      <c r="E241" s="4">
        <f t="shared" si="72"/>
        <v>-168</v>
      </c>
      <c r="F241" s="4">
        <f t="shared" si="73"/>
        <v>-156</v>
      </c>
      <c r="G241" s="4">
        <f t="shared" si="74"/>
        <v>119</v>
      </c>
      <c r="H241" s="5">
        <f t="shared" si="75"/>
        <v>2639</v>
      </c>
      <c r="I241" s="5">
        <f t="shared" si="76"/>
        <v>2627</v>
      </c>
      <c r="J241" s="5">
        <f t="shared" si="77"/>
        <v>2352</v>
      </c>
      <c r="K241" s="5">
        <f t="shared" si="84"/>
        <v>3000</v>
      </c>
      <c r="L241" s="5">
        <f t="shared" si="85"/>
        <v>3000</v>
      </c>
      <c r="M241" s="5">
        <f t="shared" si="86"/>
        <v>3000</v>
      </c>
      <c r="N241" s="5">
        <f t="shared" si="81"/>
        <v>-361</v>
      </c>
      <c r="O241" s="5">
        <f t="shared" si="82"/>
        <v>-373</v>
      </c>
      <c r="P241" s="5">
        <f t="shared" si="83"/>
        <v>-648</v>
      </c>
      <c r="Q241" s="4">
        <v>0</v>
      </c>
      <c r="R241" s="4">
        <v>0</v>
      </c>
      <c r="S241" s="4">
        <v>0</v>
      </c>
      <c r="T241" s="6">
        <f t="shared" si="78"/>
        <v>944</v>
      </c>
      <c r="U241" s="7">
        <f t="shared" si="88"/>
        <v>1719</v>
      </c>
      <c r="V241" s="7">
        <f t="shared" si="89"/>
        <v>1527</v>
      </c>
      <c r="W241" s="7">
        <f t="shared" si="87"/>
        <v>1742</v>
      </c>
      <c r="X241" s="6"/>
      <c r="Y241" s="5"/>
      <c r="Z241" s="5"/>
      <c r="AA241" s="5"/>
      <c r="AB241" s="5"/>
    </row>
    <row r="242" spans="1:28" ht="13.15" customHeight="1">
      <c r="A242" s="12">
        <v>228</v>
      </c>
      <c r="B242" s="11">
        <f t="shared" si="79"/>
        <v>45498</v>
      </c>
      <c r="C242" s="9">
        <f t="shared" si="80"/>
        <v>842</v>
      </c>
      <c r="D242" s="8">
        <f t="shared" si="71"/>
        <v>1631</v>
      </c>
      <c r="E242" s="4">
        <f t="shared" si="72"/>
        <v>-166</v>
      </c>
      <c r="F242" s="4">
        <f t="shared" si="73"/>
        <v>-154</v>
      </c>
      <c r="G242" s="4">
        <f t="shared" si="74"/>
        <v>121</v>
      </c>
      <c r="H242" s="5">
        <f t="shared" si="75"/>
        <v>2639</v>
      </c>
      <c r="I242" s="5">
        <f t="shared" si="76"/>
        <v>2627</v>
      </c>
      <c r="J242" s="5">
        <f t="shared" si="77"/>
        <v>2352</v>
      </c>
      <c r="K242" s="5">
        <f t="shared" si="84"/>
        <v>3000</v>
      </c>
      <c r="L242" s="5">
        <f t="shared" si="85"/>
        <v>3000</v>
      </c>
      <c r="M242" s="5">
        <f t="shared" si="86"/>
        <v>3000</v>
      </c>
      <c r="N242" s="5">
        <f t="shared" si="81"/>
        <v>-361</v>
      </c>
      <c r="O242" s="5">
        <f t="shared" si="82"/>
        <v>-373</v>
      </c>
      <c r="P242" s="5">
        <f t="shared" si="83"/>
        <v>-648</v>
      </c>
      <c r="Q242" s="4">
        <v>0</v>
      </c>
      <c r="R242" s="4">
        <v>0</v>
      </c>
      <c r="S242" s="4">
        <v>0</v>
      </c>
      <c r="T242" s="6">
        <f t="shared" si="78"/>
        <v>946</v>
      </c>
      <c r="U242" s="7">
        <f t="shared" si="88"/>
        <v>1719</v>
      </c>
      <c r="V242" s="7">
        <f t="shared" si="89"/>
        <v>1527</v>
      </c>
      <c r="W242" s="7">
        <f t="shared" si="87"/>
        <v>1742</v>
      </c>
      <c r="X242" s="6"/>
      <c r="Y242" s="5"/>
      <c r="Z242" s="5"/>
      <c r="AA242" s="5"/>
      <c r="AB242" s="5"/>
    </row>
    <row r="243" spans="1:28" ht="13.15" customHeight="1">
      <c r="A243" s="12">
        <v>229</v>
      </c>
      <c r="B243" s="11">
        <f t="shared" si="79"/>
        <v>45499</v>
      </c>
      <c r="C243" s="9">
        <f t="shared" si="80"/>
        <v>842</v>
      </c>
      <c r="D243" s="8">
        <f t="shared" si="71"/>
        <v>1633</v>
      </c>
      <c r="E243" s="4">
        <f t="shared" si="72"/>
        <v>-164</v>
      </c>
      <c r="F243" s="4">
        <f t="shared" si="73"/>
        <v>-152</v>
      </c>
      <c r="G243" s="4">
        <f t="shared" si="74"/>
        <v>123</v>
      </c>
      <c r="H243" s="5">
        <f t="shared" si="75"/>
        <v>2639</v>
      </c>
      <c r="I243" s="5">
        <f t="shared" si="76"/>
        <v>2627</v>
      </c>
      <c r="J243" s="5">
        <f t="shared" si="77"/>
        <v>2352</v>
      </c>
      <c r="K243" s="5">
        <f t="shared" si="84"/>
        <v>3000</v>
      </c>
      <c r="L243" s="5">
        <f t="shared" si="85"/>
        <v>3000</v>
      </c>
      <c r="M243" s="5">
        <f t="shared" si="86"/>
        <v>3000</v>
      </c>
      <c r="N243" s="5">
        <f t="shared" si="81"/>
        <v>-361</v>
      </c>
      <c r="O243" s="5">
        <f t="shared" si="82"/>
        <v>-373</v>
      </c>
      <c r="P243" s="5">
        <f t="shared" si="83"/>
        <v>-648</v>
      </c>
      <c r="Q243" s="4">
        <v>0</v>
      </c>
      <c r="R243" s="4">
        <v>0</v>
      </c>
      <c r="S243" s="4">
        <v>0</v>
      </c>
      <c r="T243" s="6">
        <f t="shared" si="78"/>
        <v>948</v>
      </c>
      <c r="U243" s="7">
        <f t="shared" si="88"/>
        <v>1719</v>
      </c>
      <c r="V243" s="7">
        <f t="shared" si="89"/>
        <v>1527</v>
      </c>
      <c r="W243" s="7">
        <f t="shared" si="87"/>
        <v>1742</v>
      </c>
      <c r="X243" s="6"/>
      <c r="Y243" s="5"/>
      <c r="Z243" s="5"/>
      <c r="AA243" s="5"/>
      <c r="AB243" s="5"/>
    </row>
    <row r="244" spans="1:28" ht="13.15" customHeight="1">
      <c r="A244" s="12">
        <v>230</v>
      </c>
      <c r="B244" s="11">
        <f t="shared" si="79"/>
        <v>45500</v>
      </c>
      <c r="C244" s="9">
        <f t="shared" si="80"/>
        <v>842</v>
      </c>
      <c r="D244" s="8">
        <f t="shared" si="71"/>
        <v>1635</v>
      </c>
      <c r="E244" s="4">
        <f t="shared" si="72"/>
        <v>-162</v>
      </c>
      <c r="F244" s="4">
        <f t="shared" si="73"/>
        <v>-150</v>
      </c>
      <c r="G244" s="4">
        <f t="shared" si="74"/>
        <v>125</v>
      </c>
      <c r="H244" s="5">
        <f t="shared" si="75"/>
        <v>2639</v>
      </c>
      <c r="I244" s="5">
        <f t="shared" si="76"/>
        <v>2627</v>
      </c>
      <c r="J244" s="5">
        <f t="shared" si="77"/>
        <v>2352</v>
      </c>
      <c r="K244" s="5">
        <f t="shared" si="84"/>
        <v>3000</v>
      </c>
      <c r="L244" s="5">
        <f t="shared" si="85"/>
        <v>3000</v>
      </c>
      <c r="M244" s="5">
        <f t="shared" si="86"/>
        <v>3000</v>
      </c>
      <c r="N244" s="5">
        <f t="shared" si="81"/>
        <v>-361</v>
      </c>
      <c r="O244" s="5">
        <f t="shared" si="82"/>
        <v>-373</v>
      </c>
      <c r="P244" s="5">
        <f t="shared" si="83"/>
        <v>-648</v>
      </c>
      <c r="Q244" s="4">
        <v>0</v>
      </c>
      <c r="R244" s="4">
        <v>0</v>
      </c>
      <c r="S244" s="4">
        <v>0</v>
      </c>
      <c r="T244" s="6">
        <f t="shared" si="78"/>
        <v>950</v>
      </c>
      <c r="U244" s="7">
        <f t="shared" si="88"/>
        <v>1719</v>
      </c>
      <c r="V244" s="7">
        <f t="shared" si="89"/>
        <v>1527</v>
      </c>
      <c r="W244" s="7">
        <f t="shared" si="87"/>
        <v>1742</v>
      </c>
      <c r="X244" s="6"/>
      <c r="Y244" s="5"/>
      <c r="Z244" s="5"/>
      <c r="AA244" s="5"/>
      <c r="AB244" s="5"/>
    </row>
    <row r="245" spans="1:28" ht="13.15" customHeight="1">
      <c r="A245" s="12">
        <v>231</v>
      </c>
      <c r="B245" s="11">
        <f t="shared" si="79"/>
        <v>45501</v>
      </c>
      <c r="C245" s="9">
        <f t="shared" si="80"/>
        <v>842</v>
      </c>
      <c r="D245" s="8">
        <f t="shared" si="71"/>
        <v>1637</v>
      </c>
      <c r="E245" s="4">
        <f t="shared" si="72"/>
        <v>-160</v>
      </c>
      <c r="F245" s="4">
        <f t="shared" si="73"/>
        <v>-148</v>
      </c>
      <c r="G245" s="4">
        <f t="shared" si="74"/>
        <v>127</v>
      </c>
      <c r="H245" s="5">
        <f t="shared" si="75"/>
        <v>2639</v>
      </c>
      <c r="I245" s="5">
        <f t="shared" si="76"/>
        <v>2627</v>
      </c>
      <c r="J245" s="5">
        <f t="shared" si="77"/>
        <v>2352</v>
      </c>
      <c r="K245" s="5">
        <f t="shared" si="84"/>
        <v>3000</v>
      </c>
      <c r="L245" s="5">
        <f t="shared" si="85"/>
        <v>3000</v>
      </c>
      <c r="M245" s="5">
        <f t="shared" si="86"/>
        <v>3000</v>
      </c>
      <c r="N245" s="5">
        <f t="shared" si="81"/>
        <v>-361</v>
      </c>
      <c r="O245" s="5">
        <f t="shared" si="82"/>
        <v>-373</v>
      </c>
      <c r="P245" s="5">
        <f t="shared" si="83"/>
        <v>-648</v>
      </c>
      <c r="Q245" s="4">
        <v>0</v>
      </c>
      <c r="R245" s="4">
        <v>0</v>
      </c>
      <c r="S245" s="4">
        <v>0</v>
      </c>
      <c r="T245" s="6">
        <f t="shared" si="78"/>
        <v>952</v>
      </c>
      <c r="U245" s="7">
        <f t="shared" si="88"/>
        <v>1719</v>
      </c>
      <c r="V245" s="7">
        <f t="shared" si="89"/>
        <v>1527</v>
      </c>
      <c r="W245" s="7">
        <f t="shared" si="87"/>
        <v>1742</v>
      </c>
      <c r="X245" s="6"/>
      <c r="Y245" s="5"/>
      <c r="Z245" s="5"/>
      <c r="AA245" s="5"/>
      <c r="AB245" s="5"/>
    </row>
    <row r="246" spans="1:28" ht="13.15" customHeight="1">
      <c r="A246" s="12">
        <v>232</v>
      </c>
      <c r="B246" s="11">
        <f t="shared" si="79"/>
        <v>45502</v>
      </c>
      <c r="C246" s="9">
        <f t="shared" si="80"/>
        <v>842</v>
      </c>
      <c r="D246" s="8">
        <f t="shared" si="71"/>
        <v>1639</v>
      </c>
      <c r="E246" s="4">
        <f t="shared" si="72"/>
        <v>-158</v>
      </c>
      <c r="F246" s="4">
        <f t="shared" si="73"/>
        <v>-146</v>
      </c>
      <c r="G246" s="4">
        <f t="shared" si="74"/>
        <v>129</v>
      </c>
      <c r="H246" s="5">
        <f t="shared" si="75"/>
        <v>2639</v>
      </c>
      <c r="I246" s="5">
        <f t="shared" si="76"/>
        <v>2627</v>
      </c>
      <c r="J246" s="5">
        <f t="shared" si="77"/>
        <v>2352</v>
      </c>
      <c r="K246" s="5">
        <f t="shared" si="84"/>
        <v>3000</v>
      </c>
      <c r="L246" s="5">
        <f t="shared" si="85"/>
        <v>3000</v>
      </c>
      <c r="M246" s="5">
        <f t="shared" si="86"/>
        <v>3000</v>
      </c>
      <c r="N246" s="5">
        <f t="shared" si="81"/>
        <v>-361</v>
      </c>
      <c r="O246" s="5">
        <f t="shared" si="82"/>
        <v>-373</v>
      </c>
      <c r="P246" s="5">
        <f t="shared" si="83"/>
        <v>-648</v>
      </c>
      <c r="Q246" s="4">
        <v>0</v>
      </c>
      <c r="R246" s="4">
        <v>0</v>
      </c>
      <c r="S246" s="4">
        <v>0</v>
      </c>
      <c r="T246" s="6">
        <f t="shared" si="78"/>
        <v>954</v>
      </c>
      <c r="U246" s="7">
        <f t="shared" si="88"/>
        <v>1719</v>
      </c>
      <c r="V246" s="7">
        <f t="shared" si="89"/>
        <v>1527</v>
      </c>
      <c r="W246" s="7">
        <f t="shared" si="87"/>
        <v>1742</v>
      </c>
      <c r="X246" s="6"/>
      <c r="Y246" s="5"/>
      <c r="Z246" s="5"/>
      <c r="AA246" s="5"/>
      <c r="AB246" s="5"/>
    </row>
    <row r="247" spans="1:28" ht="13.15" customHeight="1">
      <c r="A247" s="12">
        <v>233</v>
      </c>
      <c r="B247" s="11">
        <f t="shared" si="79"/>
        <v>45503</v>
      </c>
      <c r="C247" s="9">
        <f t="shared" si="80"/>
        <v>842</v>
      </c>
      <c r="D247" s="8">
        <f t="shared" si="71"/>
        <v>1641</v>
      </c>
      <c r="E247" s="4">
        <f t="shared" si="72"/>
        <v>-156</v>
      </c>
      <c r="F247" s="4">
        <f t="shared" si="73"/>
        <v>-144</v>
      </c>
      <c r="G247" s="4">
        <f t="shared" si="74"/>
        <v>131</v>
      </c>
      <c r="H247" s="5">
        <f t="shared" si="75"/>
        <v>2639</v>
      </c>
      <c r="I247" s="5">
        <f t="shared" si="76"/>
        <v>2627</v>
      </c>
      <c r="J247" s="5">
        <f t="shared" si="77"/>
        <v>2352</v>
      </c>
      <c r="K247" s="5">
        <f t="shared" si="84"/>
        <v>3000</v>
      </c>
      <c r="L247" s="5">
        <f t="shared" si="85"/>
        <v>3000</v>
      </c>
      <c r="M247" s="5">
        <f t="shared" si="86"/>
        <v>3000</v>
      </c>
      <c r="N247" s="5">
        <f t="shared" si="81"/>
        <v>-361</v>
      </c>
      <c r="O247" s="5">
        <f t="shared" si="82"/>
        <v>-373</v>
      </c>
      <c r="P247" s="5">
        <f t="shared" si="83"/>
        <v>-648</v>
      </c>
      <c r="Q247" s="4">
        <v>0</v>
      </c>
      <c r="R247" s="4">
        <v>0</v>
      </c>
      <c r="S247" s="4">
        <v>0</v>
      </c>
      <c r="T247" s="6">
        <f t="shared" si="78"/>
        <v>956</v>
      </c>
      <c r="U247" s="7">
        <f t="shared" si="88"/>
        <v>1719</v>
      </c>
      <c r="V247" s="7">
        <f t="shared" si="89"/>
        <v>1527</v>
      </c>
      <c r="W247" s="7">
        <f t="shared" si="87"/>
        <v>1742</v>
      </c>
      <c r="X247" s="6"/>
      <c r="Y247" s="5"/>
      <c r="Z247" s="5"/>
      <c r="AA247" s="5"/>
      <c r="AB247" s="5"/>
    </row>
    <row r="248" spans="1:28" ht="13.15" customHeight="1">
      <c r="A248" s="12">
        <v>234</v>
      </c>
      <c r="B248" s="11">
        <f t="shared" si="79"/>
        <v>45504</v>
      </c>
      <c r="C248" s="9">
        <f t="shared" si="80"/>
        <v>842</v>
      </c>
      <c r="D248" s="8">
        <f t="shared" si="71"/>
        <v>1643</v>
      </c>
      <c r="E248" s="4">
        <f t="shared" si="72"/>
        <v>-154</v>
      </c>
      <c r="F248" s="4">
        <f t="shared" si="73"/>
        <v>-142</v>
      </c>
      <c r="G248" s="4">
        <f t="shared" si="74"/>
        <v>133</v>
      </c>
      <c r="H248" s="5">
        <f t="shared" si="75"/>
        <v>2639</v>
      </c>
      <c r="I248" s="5">
        <f t="shared" si="76"/>
        <v>2627</v>
      </c>
      <c r="J248" s="5">
        <f t="shared" si="77"/>
        <v>2352</v>
      </c>
      <c r="K248" s="5">
        <f t="shared" si="84"/>
        <v>3000</v>
      </c>
      <c r="L248" s="5">
        <f t="shared" si="85"/>
        <v>3000</v>
      </c>
      <c r="M248" s="5">
        <f t="shared" si="86"/>
        <v>3000</v>
      </c>
      <c r="N248" s="5">
        <f t="shared" si="81"/>
        <v>-361</v>
      </c>
      <c r="O248" s="5">
        <f t="shared" si="82"/>
        <v>-373</v>
      </c>
      <c r="P248" s="5">
        <f t="shared" si="83"/>
        <v>-648</v>
      </c>
      <c r="Q248" s="4">
        <v>0</v>
      </c>
      <c r="R248" s="4">
        <v>0</v>
      </c>
      <c r="S248" s="4">
        <v>0</v>
      </c>
      <c r="T248" s="6">
        <f t="shared" si="78"/>
        <v>958</v>
      </c>
      <c r="U248" s="7">
        <f t="shared" si="88"/>
        <v>1719</v>
      </c>
      <c r="V248" s="7">
        <f t="shared" si="89"/>
        <v>1527</v>
      </c>
      <c r="W248" s="7">
        <f t="shared" si="87"/>
        <v>1742</v>
      </c>
      <c r="X248" s="6"/>
      <c r="Y248" s="5"/>
      <c r="Z248" s="5"/>
      <c r="AA248" s="5"/>
      <c r="AB248" s="5"/>
    </row>
    <row r="249" spans="1:28" ht="13.15" customHeight="1">
      <c r="A249" s="12">
        <v>235</v>
      </c>
      <c r="B249" s="11">
        <f t="shared" si="79"/>
        <v>45505</v>
      </c>
      <c r="C249" s="9">
        <f t="shared" si="80"/>
        <v>842</v>
      </c>
      <c r="D249" s="8">
        <f t="shared" si="71"/>
        <v>1645</v>
      </c>
      <c r="E249" s="4">
        <f t="shared" si="72"/>
        <v>-152</v>
      </c>
      <c r="F249" s="4">
        <f t="shared" si="73"/>
        <v>-140</v>
      </c>
      <c r="G249" s="4">
        <f t="shared" si="74"/>
        <v>135</v>
      </c>
      <c r="H249" s="5">
        <f t="shared" si="75"/>
        <v>2639</v>
      </c>
      <c r="I249" s="5">
        <f t="shared" si="76"/>
        <v>2627</v>
      </c>
      <c r="J249" s="5">
        <f t="shared" si="77"/>
        <v>2352</v>
      </c>
      <c r="K249" s="5">
        <f t="shared" si="84"/>
        <v>3000</v>
      </c>
      <c r="L249" s="5">
        <f t="shared" si="85"/>
        <v>3000</v>
      </c>
      <c r="M249" s="5">
        <f t="shared" si="86"/>
        <v>3000</v>
      </c>
      <c r="N249" s="5">
        <f t="shared" si="81"/>
        <v>-361</v>
      </c>
      <c r="O249" s="5">
        <f t="shared" si="82"/>
        <v>-373</v>
      </c>
      <c r="P249" s="5">
        <f t="shared" si="83"/>
        <v>-648</v>
      </c>
      <c r="Q249" s="4">
        <v>0</v>
      </c>
      <c r="R249" s="4">
        <v>0</v>
      </c>
      <c r="S249" s="4">
        <v>0</v>
      </c>
      <c r="T249" s="6">
        <f t="shared" si="78"/>
        <v>960</v>
      </c>
      <c r="U249" s="7">
        <f t="shared" si="88"/>
        <v>1719</v>
      </c>
      <c r="V249" s="7">
        <f t="shared" si="89"/>
        <v>1527</v>
      </c>
      <c r="W249" s="7">
        <f t="shared" si="87"/>
        <v>1742</v>
      </c>
      <c r="X249" s="6"/>
      <c r="Y249" s="5"/>
      <c r="Z249" s="5"/>
      <c r="AA249" s="5"/>
      <c r="AB249" s="5"/>
    </row>
    <row r="250" spans="1:28" ht="13.15" customHeight="1">
      <c r="A250" s="12">
        <v>236</v>
      </c>
      <c r="B250" s="11">
        <f t="shared" si="79"/>
        <v>45506</v>
      </c>
      <c r="C250" s="9">
        <f t="shared" si="80"/>
        <v>842</v>
      </c>
      <c r="D250" s="8">
        <f t="shared" si="71"/>
        <v>1647</v>
      </c>
      <c r="E250" s="4">
        <f t="shared" si="72"/>
        <v>-150</v>
      </c>
      <c r="F250" s="4">
        <f t="shared" si="73"/>
        <v>-138</v>
      </c>
      <c r="G250" s="4">
        <f t="shared" si="74"/>
        <v>137</v>
      </c>
      <c r="H250" s="5">
        <f t="shared" si="75"/>
        <v>2639</v>
      </c>
      <c r="I250" s="5">
        <f t="shared" si="76"/>
        <v>2627</v>
      </c>
      <c r="J250" s="5">
        <f t="shared" si="77"/>
        <v>2352</v>
      </c>
      <c r="K250" s="5">
        <f t="shared" si="84"/>
        <v>3000</v>
      </c>
      <c r="L250" s="5">
        <f t="shared" si="85"/>
        <v>3000</v>
      </c>
      <c r="M250" s="5">
        <f t="shared" si="86"/>
        <v>3000</v>
      </c>
      <c r="N250" s="5">
        <f t="shared" si="81"/>
        <v>-361</v>
      </c>
      <c r="O250" s="5">
        <f t="shared" si="82"/>
        <v>-373</v>
      </c>
      <c r="P250" s="5">
        <f t="shared" si="83"/>
        <v>-648</v>
      </c>
      <c r="Q250" s="4">
        <v>0</v>
      </c>
      <c r="R250" s="4">
        <v>0</v>
      </c>
      <c r="S250" s="4">
        <v>0</v>
      </c>
      <c r="T250" s="6">
        <f t="shared" si="78"/>
        <v>962</v>
      </c>
      <c r="U250" s="7">
        <f t="shared" si="88"/>
        <v>1719</v>
      </c>
      <c r="V250" s="7">
        <f t="shared" si="89"/>
        <v>1527</v>
      </c>
      <c r="W250" s="7">
        <f t="shared" si="87"/>
        <v>1742</v>
      </c>
      <c r="X250" s="6"/>
      <c r="Y250" s="5"/>
      <c r="Z250" s="5"/>
      <c r="AA250" s="5"/>
      <c r="AB250" s="5"/>
    </row>
    <row r="251" spans="1:28" ht="13.15" customHeight="1">
      <c r="A251" s="12">
        <v>237</v>
      </c>
      <c r="B251" s="11">
        <f t="shared" si="79"/>
        <v>45507</v>
      </c>
      <c r="C251" s="9">
        <f t="shared" si="80"/>
        <v>842</v>
      </c>
      <c r="D251" s="8">
        <f t="shared" si="71"/>
        <v>1649</v>
      </c>
      <c r="E251" s="4">
        <f t="shared" si="72"/>
        <v>-148</v>
      </c>
      <c r="F251" s="4">
        <f t="shared" si="73"/>
        <v>-136</v>
      </c>
      <c r="G251" s="4">
        <f t="shared" si="74"/>
        <v>139</v>
      </c>
      <c r="H251" s="5">
        <f t="shared" si="75"/>
        <v>2639</v>
      </c>
      <c r="I251" s="5">
        <f t="shared" si="76"/>
        <v>2627</v>
      </c>
      <c r="J251" s="5">
        <f t="shared" si="77"/>
        <v>2352</v>
      </c>
      <c r="K251" s="5">
        <f t="shared" si="84"/>
        <v>3000</v>
      </c>
      <c r="L251" s="5">
        <f t="shared" si="85"/>
        <v>3000</v>
      </c>
      <c r="M251" s="5">
        <f t="shared" si="86"/>
        <v>3000</v>
      </c>
      <c r="N251" s="5">
        <f t="shared" si="81"/>
        <v>-361</v>
      </c>
      <c r="O251" s="5">
        <f t="shared" si="82"/>
        <v>-373</v>
      </c>
      <c r="P251" s="5">
        <f t="shared" si="83"/>
        <v>-648</v>
      </c>
      <c r="Q251" s="4">
        <v>0</v>
      </c>
      <c r="R251" s="4">
        <v>0</v>
      </c>
      <c r="S251" s="4">
        <v>0</v>
      </c>
      <c r="T251" s="6">
        <f t="shared" si="78"/>
        <v>964</v>
      </c>
      <c r="U251" s="7">
        <f t="shared" si="88"/>
        <v>1719</v>
      </c>
      <c r="V251" s="7">
        <f t="shared" si="89"/>
        <v>1527</v>
      </c>
      <c r="W251" s="7">
        <f t="shared" si="87"/>
        <v>1742</v>
      </c>
      <c r="X251" s="6"/>
      <c r="Y251" s="5"/>
      <c r="Z251" s="5"/>
      <c r="AA251" s="5"/>
      <c r="AB251" s="5"/>
    </row>
    <row r="252" spans="1:28" ht="13.15" customHeight="1">
      <c r="A252" s="12">
        <v>238</v>
      </c>
      <c r="B252" s="11">
        <f t="shared" si="79"/>
        <v>45508</v>
      </c>
      <c r="C252" s="9">
        <f t="shared" si="80"/>
        <v>842</v>
      </c>
      <c r="D252" s="8">
        <f t="shared" si="71"/>
        <v>1651</v>
      </c>
      <c r="E252" s="4">
        <f t="shared" si="72"/>
        <v>-146</v>
      </c>
      <c r="F252" s="4">
        <f t="shared" si="73"/>
        <v>-134</v>
      </c>
      <c r="G252" s="4">
        <f t="shared" si="74"/>
        <v>141</v>
      </c>
      <c r="H252" s="5">
        <f t="shared" si="75"/>
        <v>2639</v>
      </c>
      <c r="I252" s="5">
        <f t="shared" si="76"/>
        <v>2627</v>
      </c>
      <c r="J252" s="5">
        <f t="shared" si="77"/>
        <v>2352</v>
      </c>
      <c r="K252" s="5">
        <f t="shared" si="84"/>
        <v>3000</v>
      </c>
      <c r="L252" s="5">
        <f t="shared" si="85"/>
        <v>3000</v>
      </c>
      <c r="M252" s="5">
        <f t="shared" si="86"/>
        <v>3000</v>
      </c>
      <c r="N252" s="5">
        <f t="shared" si="81"/>
        <v>-361</v>
      </c>
      <c r="O252" s="5">
        <f t="shared" si="82"/>
        <v>-373</v>
      </c>
      <c r="P252" s="5">
        <f t="shared" si="83"/>
        <v>-648</v>
      </c>
      <c r="Q252" s="4">
        <v>0</v>
      </c>
      <c r="R252" s="4">
        <v>0</v>
      </c>
      <c r="S252" s="4">
        <v>0</v>
      </c>
      <c r="T252" s="6">
        <f t="shared" si="78"/>
        <v>966</v>
      </c>
      <c r="U252" s="7">
        <f t="shared" si="88"/>
        <v>1719</v>
      </c>
      <c r="V252" s="7">
        <f t="shared" si="89"/>
        <v>1527</v>
      </c>
      <c r="W252" s="7">
        <f t="shared" si="87"/>
        <v>1742</v>
      </c>
      <c r="X252" s="6"/>
      <c r="Y252" s="5"/>
      <c r="Z252" s="5"/>
      <c r="AA252" s="5"/>
      <c r="AB252" s="5"/>
    </row>
    <row r="253" spans="1:28" ht="13.15" customHeight="1">
      <c r="A253" s="12">
        <v>239</v>
      </c>
      <c r="B253" s="11">
        <f t="shared" si="79"/>
        <v>45509</v>
      </c>
      <c r="C253" s="9">
        <f t="shared" si="80"/>
        <v>842</v>
      </c>
      <c r="D253" s="8">
        <f t="shared" si="71"/>
        <v>1653</v>
      </c>
      <c r="E253" s="4">
        <f t="shared" si="72"/>
        <v>-144</v>
      </c>
      <c r="F253" s="4">
        <f t="shared" si="73"/>
        <v>-132</v>
      </c>
      <c r="G253" s="4">
        <f t="shared" si="74"/>
        <v>143</v>
      </c>
      <c r="H253" s="5">
        <f t="shared" si="75"/>
        <v>2639</v>
      </c>
      <c r="I253" s="5">
        <f t="shared" si="76"/>
        <v>2627</v>
      </c>
      <c r="J253" s="5">
        <f t="shared" si="77"/>
        <v>2352</v>
      </c>
      <c r="K253" s="5">
        <f t="shared" si="84"/>
        <v>3000</v>
      </c>
      <c r="L253" s="5">
        <f t="shared" si="85"/>
        <v>3000</v>
      </c>
      <c r="M253" s="5">
        <f t="shared" si="86"/>
        <v>3000</v>
      </c>
      <c r="N253" s="5">
        <f t="shared" si="81"/>
        <v>-361</v>
      </c>
      <c r="O253" s="5">
        <f t="shared" si="82"/>
        <v>-373</v>
      </c>
      <c r="P253" s="5">
        <f t="shared" si="83"/>
        <v>-648</v>
      </c>
      <c r="Q253" s="4">
        <v>0</v>
      </c>
      <c r="R253" s="4">
        <v>0</v>
      </c>
      <c r="S253" s="4">
        <v>0</v>
      </c>
      <c r="T253" s="6">
        <f t="shared" si="78"/>
        <v>968</v>
      </c>
      <c r="U253" s="7">
        <f t="shared" si="88"/>
        <v>1719</v>
      </c>
      <c r="V253" s="7">
        <f t="shared" si="89"/>
        <v>1527</v>
      </c>
      <c r="W253" s="7">
        <f t="shared" si="87"/>
        <v>1742</v>
      </c>
      <c r="X253" s="6"/>
      <c r="Y253" s="5"/>
      <c r="Z253" s="5"/>
      <c r="AA253" s="5"/>
      <c r="AB253" s="5"/>
    </row>
    <row r="254" spans="1:28" ht="13.15" customHeight="1">
      <c r="A254" s="12">
        <v>240</v>
      </c>
      <c r="B254" s="11">
        <f t="shared" si="79"/>
        <v>45510</v>
      </c>
      <c r="C254" s="9">
        <f t="shared" si="80"/>
        <v>842</v>
      </c>
      <c r="D254" s="8">
        <f t="shared" si="71"/>
        <v>1655</v>
      </c>
      <c r="E254" s="4">
        <f t="shared" si="72"/>
        <v>-142</v>
      </c>
      <c r="F254" s="4">
        <f t="shared" si="73"/>
        <v>-130</v>
      </c>
      <c r="G254" s="4">
        <f t="shared" si="74"/>
        <v>145</v>
      </c>
      <c r="H254" s="5">
        <f t="shared" si="75"/>
        <v>2639</v>
      </c>
      <c r="I254" s="5">
        <f t="shared" si="76"/>
        <v>2627</v>
      </c>
      <c r="J254" s="5">
        <f t="shared" si="77"/>
        <v>2352</v>
      </c>
      <c r="K254" s="5">
        <f t="shared" si="84"/>
        <v>3000</v>
      </c>
      <c r="L254" s="5">
        <f t="shared" si="85"/>
        <v>3000</v>
      </c>
      <c r="M254" s="5">
        <f t="shared" si="86"/>
        <v>3000</v>
      </c>
      <c r="N254" s="5">
        <f t="shared" si="81"/>
        <v>-361</v>
      </c>
      <c r="O254" s="5">
        <f t="shared" si="82"/>
        <v>-373</v>
      </c>
      <c r="P254" s="5">
        <f t="shared" si="83"/>
        <v>-648</v>
      </c>
      <c r="Q254" s="4">
        <v>0</v>
      </c>
      <c r="R254" s="4">
        <v>0</v>
      </c>
      <c r="S254" s="4">
        <v>0</v>
      </c>
      <c r="T254" s="6">
        <f t="shared" si="78"/>
        <v>970</v>
      </c>
      <c r="U254" s="7">
        <f t="shared" si="88"/>
        <v>1719</v>
      </c>
      <c r="V254" s="7">
        <f t="shared" si="89"/>
        <v>1527</v>
      </c>
      <c r="W254" s="7">
        <f t="shared" si="87"/>
        <v>1742</v>
      </c>
      <c r="X254" s="6"/>
      <c r="Y254" s="5"/>
      <c r="Z254" s="5"/>
      <c r="AA254" s="5"/>
      <c r="AB254" s="5"/>
    </row>
    <row r="255" spans="1:28" ht="13.15" customHeight="1">
      <c r="A255" s="12">
        <v>241</v>
      </c>
      <c r="B255" s="11">
        <f t="shared" si="79"/>
        <v>45511</v>
      </c>
      <c r="C255" s="9">
        <f t="shared" si="80"/>
        <v>842</v>
      </c>
      <c r="D255" s="8">
        <f t="shared" ref="D255:D318" si="90">D254+2</f>
        <v>1657</v>
      </c>
      <c r="E255" s="4">
        <f t="shared" si="72"/>
        <v>-140</v>
      </c>
      <c r="F255" s="4">
        <f t="shared" si="73"/>
        <v>-128</v>
      </c>
      <c r="G255" s="4">
        <f t="shared" si="74"/>
        <v>147</v>
      </c>
      <c r="H255" s="5">
        <f t="shared" si="75"/>
        <v>2639</v>
      </c>
      <c r="I255" s="5">
        <f t="shared" si="76"/>
        <v>2627</v>
      </c>
      <c r="J255" s="5">
        <f t="shared" si="77"/>
        <v>2352</v>
      </c>
      <c r="K255" s="5">
        <f t="shared" si="84"/>
        <v>3000</v>
      </c>
      <c r="L255" s="5">
        <f t="shared" si="85"/>
        <v>3000</v>
      </c>
      <c r="M255" s="5">
        <f t="shared" si="86"/>
        <v>3000</v>
      </c>
      <c r="N255" s="5">
        <f t="shared" si="81"/>
        <v>-361</v>
      </c>
      <c r="O255" s="5">
        <f t="shared" si="82"/>
        <v>-373</v>
      </c>
      <c r="P255" s="5">
        <f t="shared" si="83"/>
        <v>-648</v>
      </c>
      <c r="Q255" s="4">
        <v>0</v>
      </c>
      <c r="R255" s="4">
        <v>0</v>
      </c>
      <c r="S255" s="4">
        <v>0</v>
      </c>
      <c r="T255" s="6">
        <f t="shared" si="78"/>
        <v>972</v>
      </c>
      <c r="U255" s="7">
        <f t="shared" si="88"/>
        <v>1719</v>
      </c>
      <c r="V255" s="7">
        <f t="shared" si="89"/>
        <v>1527</v>
      </c>
      <c r="W255" s="7">
        <f t="shared" si="87"/>
        <v>1742</v>
      </c>
      <c r="X255" s="6"/>
      <c r="Y255" s="5"/>
      <c r="Z255" s="5"/>
      <c r="AA255" s="5"/>
      <c r="AB255" s="5"/>
    </row>
    <row r="256" spans="1:28" ht="13.15" customHeight="1">
      <c r="A256" s="12">
        <v>242</v>
      </c>
      <c r="B256" s="11">
        <f t="shared" si="79"/>
        <v>45512</v>
      </c>
      <c r="C256" s="9">
        <f t="shared" si="80"/>
        <v>842</v>
      </c>
      <c r="D256" s="8">
        <f t="shared" si="90"/>
        <v>1659</v>
      </c>
      <c r="E256" s="4">
        <f t="shared" si="72"/>
        <v>-138</v>
      </c>
      <c r="F256" s="4">
        <f t="shared" si="73"/>
        <v>-126</v>
      </c>
      <c r="G256" s="4">
        <f t="shared" si="74"/>
        <v>149</v>
      </c>
      <c r="H256" s="5">
        <f t="shared" si="75"/>
        <v>2639</v>
      </c>
      <c r="I256" s="5">
        <f t="shared" si="76"/>
        <v>2627</v>
      </c>
      <c r="J256" s="5">
        <f t="shared" si="77"/>
        <v>2352</v>
      </c>
      <c r="K256" s="5">
        <f t="shared" si="84"/>
        <v>3000</v>
      </c>
      <c r="L256" s="5">
        <f t="shared" si="85"/>
        <v>3000</v>
      </c>
      <c r="M256" s="5">
        <f t="shared" si="86"/>
        <v>3000</v>
      </c>
      <c r="N256" s="5">
        <f t="shared" si="81"/>
        <v>-361</v>
      </c>
      <c r="O256" s="5">
        <f t="shared" si="82"/>
        <v>-373</v>
      </c>
      <c r="P256" s="5">
        <f t="shared" si="83"/>
        <v>-648</v>
      </c>
      <c r="Q256" s="4">
        <v>0</v>
      </c>
      <c r="R256" s="4">
        <v>0</v>
      </c>
      <c r="S256" s="4">
        <v>0</v>
      </c>
      <c r="T256" s="6">
        <f t="shared" si="78"/>
        <v>974</v>
      </c>
      <c r="U256" s="7">
        <f t="shared" si="88"/>
        <v>1719</v>
      </c>
      <c r="V256" s="7">
        <f t="shared" si="89"/>
        <v>1527</v>
      </c>
      <c r="W256" s="7">
        <f t="shared" si="87"/>
        <v>1742</v>
      </c>
      <c r="X256" s="6"/>
      <c r="Y256" s="5"/>
      <c r="Z256" s="5"/>
      <c r="AA256" s="5"/>
      <c r="AB256" s="5"/>
    </row>
    <row r="257" spans="1:28" ht="13.15" customHeight="1">
      <c r="A257" s="12">
        <v>243</v>
      </c>
      <c r="B257" s="11">
        <f t="shared" si="79"/>
        <v>45513</v>
      </c>
      <c r="C257" s="9">
        <f t="shared" si="80"/>
        <v>842</v>
      </c>
      <c r="D257" s="8">
        <f t="shared" si="90"/>
        <v>1661</v>
      </c>
      <c r="E257" s="4">
        <f t="shared" si="72"/>
        <v>-136</v>
      </c>
      <c r="F257" s="4">
        <f t="shared" si="73"/>
        <v>-124</v>
      </c>
      <c r="G257" s="4">
        <f t="shared" si="74"/>
        <v>151</v>
      </c>
      <c r="H257" s="5">
        <f t="shared" si="75"/>
        <v>2639</v>
      </c>
      <c r="I257" s="5">
        <f t="shared" si="76"/>
        <v>2627</v>
      </c>
      <c r="J257" s="5">
        <f t="shared" si="77"/>
        <v>2352</v>
      </c>
      <c r="K257" s="5">
        <f t="shared" si="84"/>
        <v>3000</v>
      </c>
      <c r="L257" s="5">
        <f t="shared" si="85"/>
        <v>3000</v>
      </c>
      <c r="M257" s="5">
        <f t="shared" si="86"/>
        <v>3000</v>
      </c>
      <c r="N257" s="5">
        <f t="shared" si="81"/>
        <v>-361</v>
      </c>
      <c r="O257" s="5">
        <f t="shared" si="82"/>
        <v>-373</v>
      </c>
      <c r="P257" s="5">
        <f t="shared" si="83"/>
        <v>-648</v>
      </c>
      <c r="Q257" s="4">
        <v>0</v>
      </c>
      <c r="R257" s="4">
        <v>0</v>
      </c>
      <c r="S257" s="4">
        <v>0</v>
      </c>
      <c r="T257" s="6">
        <f t="shared" si="78"/>
        <v>976</v>
      </c>
      <c r="U257" s="7">
        <f t="shared" si="88"/>
        <v>1719</v>
      </c>
      <c r="V257" s="7">
        <f t="shared" si="89"/>
        <v>1527</v>
      </c>
      <c r="W257" s="7">
        <f t="shared" si="87"/>
        <v>1742</v>
      </c>
      <c r="X257" s="6"/>
      <c r="Y257" s="5"/>
      <c r="Z257" s="5"/>
      <c r="AA257" s="5"/>
      <c r="AB257" s="5"/>
    </row>
    <row r="258" spans="1:28" ht="13.15" customHeight="1">
      <c r="A258" s="12">
        <v>244</v>
      </c>
      <c r="B258" s="11">
        <f t="shared" si="79"/>
        <v>45514</v>
      </c>
      <c r="C258" s="9">
        <f t="shared" si="80"/>
        <v>842</v>
      </c>
      <c r="D258" s="8">
        <f t="shared" si="90"/>
        <v>1663</v>
      </c>
      <c r="E258" s="4">
        <f t="shared" si="72"/>
        <v>-134</v>
      </c>
      <c r="F258" s="4">
        <f t="shared" si="73"/>
        <v>-122</v>
      </c>
      <c r="G258" s="4">
        <f t="shared" si="74"/>
        <v>153</v>
      </c>
      <c r="H258" s="5">
        <f t="shared" si="75"/>
        <v>2639</v>
      </c>
      <c r="I258" s="5">
        <f t="shared" si="76"/>
        <v>2627</v>
      </c>
      <c r="J258" s="5">
        <f t="shared" si="77"/>
        <v>2352</v>
      </c>
      <c r="K258" s="5">
        <f t="shared" si="84"/>
        <v>3000</v>
      </c>
      <c r="L258" s="5">
        <f t="shared" si="85"/>
        <v>3000</v>
      </c>
      <c r="M258" s="5">
        <f t="shared" si="86"/>
        <v>3000</v>
      </c>
      <c r="N258" s="5">
        <f t="shared" si="81"/>
        <v>-361</v>
      </c>
      <c r="O258" s="5">
        <f t="shared" si="82"/>
        <v>-373</v>
      </c>
      <c r="P258" s="5">
        <f t="shared" si="83"/>
        <v>-648</v>
      </c>
      <c r="Q258" s="4">
        <v>0</v>
      </c>
      <c r="R258" s="4">
        <v>0</v>
      </c>
      <c r="S258" s="4">
        <v>0</v>
      </c>
      <c r="T258" s="6">
        <f t="shared" si="78"/>
        <v>978</v>
      </c>
      <c r="U258" s="7">
        <f t="shared" si="88"/>
        <v>1719</v>
      </c>
      <c r="V258" s="7">
        <f t="shared" si="89"/>
        <v>1527</v>
      </c>
      <c r="W258" s="7">
        <f t="shared" si="87"/>
        <v>1742</v>
      </c>
      <c r="X258" s="6"/>
      <c r="Y258" s="5"/>
      <c r="Z258" s="5"/>
      <c r="AA258" s="5"/>
      <c r="AB258" s="5"/>
    </row>
    <row r="259" spans="1:28" ht="13.15" customHeight="1">
      <c r="A259" s="12">
        <v>245</v>
      </c>
      <c r="B259" s="11">
        <f t="shared" si="79"/>
        <v>45515</v>
      </c>
      <c r="C259" s="9">
        <f t="shared" si="80"/>
        <v>842</v>
      </c>
      <c r="D259" s="8">
        <f t="shared" si="90"/>
        <v>1665</v>
      </c>
      <c r="E259" s="4">
        <f t="shared" si="72"/>
        <v>-132</v>
      </c>
      <c r="F259" s="4">
        <f t="shared" si="73"/>
        <v>-120</v>
      </c>
      <c r="G259" s="4">
        <f t="shared" si="74"/>
        <v>155</v>
      </c>
      <c r="H259" s="5">
        <f t="shared" si="75"/>
        <v>2639</v>
      </c>
      <c r="I259" s="5">
        <f t="shared" si="76"/>
        <v>2627</v>
      </c>
      <c r="J259" s="5">
        <f t="shared" si="77"/>
        <v>2352</v>
      </c>
      <c r="K259" s="5">
        <f t="shared" si="84"/>
        <v>3000</v>
      </c>
      <c r="L259" s="5">
        <f t="shared" si="85"/>
        <v>3000</v>
      </c>
      <c r="M259" s="5">
        <f t="shared" si="86"/>
        <v>3000</v>
      </c>
      <c r="N259" s="5">
        <f t="shared" si="81"/>
        <v>-361</v>
      </c>
      <c r="O259" s="5">
        <f t="shared" si="82"/>
        <v>-373</v>
      </c>
      <c r="P259" s="5">
        <f t="shared" si="83"/>
        <v>-648</v>
      </c>
      <c r="Q259" s="4">
        <v>0</v>
      </c>
      <c r="R259" s="4">
        <v>0</v>
      </c>
      <c r="S259" s="4">
        <v>0</v>
      </c>
      <c r="T259" s="6">
        <f t="shared" si="78"/>
        <v>980</v>
      </c>
      <c r="U259" s="7">
        <f t="shared" si="88"/>
        <v>1719</v>
      </c>
      <c r="V259" s="7">
        <f t="shared" si="89"/>
        <v>1527</v>
      </c>
      <c r="W259" s="7">
        <f t="shared" si="87"/>
        <v>1742</v>
      </c>
      <c r="X259" s="6"/>
      <c r="Y259" s="5"/>
      <c r="Z259" s="5"/>
      <c r="AA259" s="5"/>
      <c r="AB259" s="5"/>
    </row>
    <row r="260" spans="1:28" ht="13.15" customHeight="1">
      <c r="A260" s="12">
        <v>246</v>
      </c>
      <c r="B260" s="11">
        <f t="shared" si="79"/>
        <v>45516</v>
      </c>
      <c r="C260" s="9">
        <f t="shared" si="80"/>
        <v>842</v>
      </c>
      <c r="D260" s="8">
        <f t="shared" si="90"/>
        <v>1667</v>
      </c>
      <c r="E260" s="4">
        <f t="shared" si="72"/>
        <v>-130</v>
      </c>
      <c r="F260" s="4">
        <f t="shared" si="73"/>
        <v>-118</v>
      </c>
      <c r="G260" s="4">
        <f t="shared" si="74"/>
        <v>157</v>
      </c>
      <c r="H260" s="5">
        <f t="shared" si="75"/>
        <v>2639</v>
      </c>
      <c r="I260" s="5">
        <f t="shared" si="76"/>
        <v>2627</v>
      </c>
      <c r="J260" s="5">
        <f t="shared" si="77"/>
        <v>2352</v>
      </c>
      <c r="K260" s="5">
        <f t="shared" si="84"/>
        <v>3000</v>
      </c>
      <c r="L260" s="5">
        <f t="shared" si="85"/>
        <v>3000</v>
      </c>
      <c r="M260" s="5">
        <f t="shared" si="86"/>
        <v>3000</v>
      </c>
      <c r="N260" s="5">
        <f t="shared" si="81"/>
        <v>-361</v>
      </c>
      <c r="O260" s="5">
        <f t="shared" si="82"/>
        <v>-373</v>
      </c>
      <c r="P260" s="5">
        <f t="shared" si="83"/>
        <v>-648</v>
      </c>
      <c r="Q260" s="4">
        <v>0</v>
      </c>
      <c r="R260" s="4">
        <v>0</v>
      </c>
      <c r="S260" s="4">
        <v>0</v>
      </c>
      <c r="T260" s="6">
        <f t="shared" si="78"/>
        <v>982</v>
      </c>
      <c r="U260" s="7">
        <f t="shared" si="88"/>
        <v>1719</v>
      </c>
      <c r="V260" s="7">
        <f t="shared" si="89"/>
        <v>1527</v>
      </c>
      <c r="W260" s="7">
        <f t="shared" si="87"/>
        <v>1742</v>
      </c>
      <c r="X260" s="6"/>
      <c r="Y260" s="5"/>
      <c r="Z260" s="5"/>
      <c r="AA260" s="5"/>
      <c r="AB260" s="5"/>
    </row>
    <row r="261" spans="1:28" ht="13.15" customHeight="1">
      <c r="A261" s="12">
        <v>247</v>
      </c>
      <c r="B261" s="11">
        <f t="shared" si="79"/>
        <v>45517</v>
      </c>
      <c r="C261" s="9">
        <f t="shared" si="80"/>
        <v>842</v>
      </c>
      <c r="D261" s="8">
        <f t="shared" si="90"/>
        <v>1669</v>
      </c>
      <c r="E261" s="4">
        <f t="shared" si="72"/>
        <v>-128</v>
      </c>
      <c r="F261" s="4">
        <f t="shared" si="73"/>
        <v>-116</v>
      </c>
      <c r="G261" s="4">
        <f t="shared" si="74"/>
        <v>159</v>
      </c>
      <c r="H261" s="5">
        <f t="shared" si="75"/>
        <v>2639</v>
      </c>
      <c r="I261" s="5">
        <f t="shared" si="76"/>
        <v>2627</v>
      </c>
      <c r="J261" s="5">
        <f t="shared" si="77"/>
        <v>2352</v>
      </c>
      <c r="K261" s="5">
        <f t="shared" si="84"/>
        <v>3000</v>
      </c>
      <c r="L261" s="5">
        <f t="shared" si="85"/>
        <v>3000</v>
      </c>
      <c r="M261" s="5">
        <f t="shared" si="86"/>
        <v>3000</v>
      </c>
      <c r="N261" s="5">
        <f t="shared" si="81"/>
        <v>-361</v>
      </c>
      <c r="O261" s="5">
        <f t="shared" si="82"/>
        <v>-373</v>
      </c>
      <c r="P261" s="5">
        <f t="shared" si="83"/>
        <v>-648</v>
      </c>
      <c r="Q261" s="4">
        <v>0</v>
      </c>
      <c r="R261" s="4">
        <v>0</v>
      </c>
      <c r="S261" s="4">
        <v>0</v>
      </c>
      <c r="T261" s="6">
        <f t="shared" si="78"/>
        <v>984</v>
      </c>
      <c r="U261" s="7">
        <f t="shared" si="88"/>
        <v>1719</v>
      </c>
      <c r="V261" s="7">
        <f t="shared" si="89"/>
        <v>1527</v>
      </c>
      <c r="W261" s="7">
        <f t="shared" si="87"/>
        <v>1742</v>
      </c>
      <c r="X261" s="6"/>
      <c r="Y261" s="5"/>
      <c r="Z261" s="5"/>
      <c r="AA261" s="5"/>
      <c r="AB261" s="5"/>
    </row>
    <row r="262" spans="1:28" ht="13.15" customHeight="1">
      <c r="A262" s="12">
        <v>248</v>
      </c>
      <c r="B262" s="11">
        <f t="shared" si="79"/>
        <v>45518</v>
      </c>
      <c r="C262" s="9">
        <f t="shared" si="80"/>
        <v>842</v>
      </c>
      <c r="D262" s="8">
        <f t="shared" si="90"/>
        <v>1671</v>
      </c>
      <c r="E262" s="4">
        <f t="shared" si="72"/>
        <v>-126</v>
      </c>
      <c r="F262" s="4">
        <f t="shared" si="73"/>
        <v>-114</v>
      </c>
      <c r="G262" s="4">
        <f t="shared" si="74"/>
        <v>161</v>
      </c>
      <c r="H262" s="5">
        <f t="shared" si="75"/>
        <v>2639</v>
      </c>
      <c r="I262" s="5">
        <f t="shared" si="76"/>
        <v>2627</v>
      </c>
      <c r="J262" s="5">
        <f t="shared" si="77"/>
        <v>2352</v>
      </c>
      <c r="K262" s="5">
        <f t="shared" si="84"/>
        <v>3000</v>
      </c>
      <c r="L262" s="5">
        <f t="shared" si="85"/>
        <v>3000</v>
      </c>
      <c r="M262" s="5">
        <f t="shared" si="86"/>
        <v>3000</v>
      </c>
      <c r="N262" s="5">
        <f t="shared" si="81"/>
        <v>-361</v>
      </c>
      <c r="O262" s="5">
        <f t="shared" si="82"/>
        <v>-373</v>
      </c>
      <c r="P262" s="5">
        <f t="shared" si="83"/>
        <v>-648</v>
      </c>
      <c r="Q262" s="4">
        <v>0</v>
      </c>
      <c r="R262" s="4">
        <v>0</v>
      </c>
      <c r="S262" s="4">
        <v>0</v>
      </c>
      <c r="T262" s="6">
        <f t="shared" si="78"/>
        <v>986</v>
      </c>
      <c r="U262" s="7">
        <f t="shared" si="88"/>
        <v>1719</v>
      </c>
      <c r="V262" s="7">
        <f t="shared" si="89"/>
        <v>1527</v>
      </c>
      <c r="W262" s="7">
        <f t="shared" si="87"/>
        <v>1742</v>
      </c>
      <c r="X262" s="6"/>
      <c r="Y262" s="5"/>
      <c r="Z262" s="5"/>
      <c r="AA262" s="5"/>
      <c r="AB262" s="5"/>
    </row>
    <row r="263" spans="1:28" ht="13.15" customHeight="1">
      <c r="A263" s="12">
        <v>249</v>
      </c>
      <c r="B263" s="11">
        <f t="shared" si="79"/>
        <v>45519</v>
      </c>
      <c r="C263" s="9">
        <f t="shared" si="80"/>
        <v>842</v>
      </c>
      <c r="D263" s="8">
        <f t="shared" si="90"/>
        <v>1673</v>
      </c>
      <c r="E263" s="4">
        <f t="shared" si="72"/>
        <v>-124</v>
      </c>
      <c r="F263" s="4">
        <f t="shared" si="73"/>
        <v>-112</v>
      </c>
      <c r="G263" s="4">
        <f t="shared" si="74"/>
        <v>163</v>
      </c>
      <c r="H263" s="5">
        <f t="shared" si="75"/>
        <v>2639</v>
      </c>
      <c r="I263" s="5">
        <f t="shared" si="76"/>
        <v>2627</v>
      </c>
      <c r="J263" s="5">
        <f t="shared" si="77"/>
        <v>2352</v>
      </c>
      <c r="K263" s="5">
        <f t="shared" si="84"/>
        <v>3000</v>
      </c>
      <c r="L263" s="5">
        <f t="shared" si="85"/>
        <v>3000</v>
      </c>
      <c r="M263" s="5">
        <f t="shared" si="86"/>
        <v>3000</v>
      </c>
      <c r="N263" s="5">
        <f t="shared" si="81"/>
        <v>-361</v>
      </c>
      <c r="O263" s="5">
        <f t="shared" si="82"/>
        <v>-373</v>
      </c>
      <c r="P263" s="5">
        <f t="shared" si="83"/>
        <v>-648</v>
      </c>
      <c r="Q263" s="4">
        <v>0</v>
      </c>
      <c r="R263" s="4">
        <v>0</v>
      </c>
      <c r="S263" s="4">
        <v>0</v>
      </c>
      <c r="T263" s="6">
        <f t="shared" si="78"/>
        <v>988</v>
      </c>
      <c r="U263" s="7">
        <f t="shared" si="88"/>
        <v>1719</v>
      </c>
      <c r="V263" s="7">
        <f t="shared" si="89"/>
        <v>1527</v>
      </c>
      <c r="W263" s="7">
        <f t="shared" si="87"/>
        <v>1742</v>
      </c>
      <c r="X263" s="6"/>
      <c r="Y263" s="5"/>
      <c r="Z263" s="5"/>
      <c r="AA263" s="5"/>
      <c r="AB263" s="5"/>
    </row>
    <row r="264" spans="1:28" ht="13.15" customHeight="1">
      <c r="A264" s="12">
        <v>250</v>
      </c>
      <c r="B264" s="11">
        <f t="shared" si="79"/>
        <v>45520</v>
      </c>
      <c r="C264" s="9">
        <f t="shared" si="80"/>
        <v>842</v>
      </c>
      <c r="D264" s="8">
        <f t="shared" si="90"/>
        <v>1675</v>
      </c>
      <c r="E264" s="4">
        <f t="shared" si="72"/>
        <v>-122</v>
      </c>
      <c r="F264" s="4">
        <f t="shared" si="73"/>
        <v>-110</v>
      </c>
      <c r="G264" s="4">
        <f t="shared" si="74"/>
        <v>165</v>
      </c>
      <c r="H264" s="5">
        <f t="shared" si="75"/>
        <v>2639</v>
      </c>
      <c r="I264" s="5">
        <f t="shared" si="76"/>
        <v>2627</v>
      </c>
      <c r="J264" s="5">
        <f t="shared" si="77"/>
        <v>2352</v>
      </c>
      <c r="K264" s="5">
        <f t="shared" si="84"/>
        <v>3000</v>
      </c>
      <c r="L264" s="5">
        <f t="shared" si="85"/>
        <v>3000</v>
      </c>
      <c r="M264" s="5">
        <f t="shared" si="86"/>
        <v>3000</v>
      </c>
      <c r="N264" s="5">
        <f t="shared" si="81"/>
        <v>-361</v>
      </c>
      <c r="O264" s="5">
        <f t="shared" si="82"/>
        <v>-373</v>
      </c>
      <c r="P264" s="5">
        <f t="shared" si="83"/>
        <v>-648</v>
      </c>
      <c r="Q264" s="4">
        <v>0</v>
      </c>
      <c r="R264" s="4">
        <v>0</v>
      </c>
      <c r="S264" s="4">
        <v>0</v>
      </c>
      <c r="T264" s="6">
        <f t="shared" si="78"/>
        <v>990</v>
      </c>
      <c r="U264" s="7">
        <f t="shared" si="88"/>
        <v>1719</v>
      </c>
      <c r="V264" s="7">
        <f t="shared" si="89"/>
        <v>1527</v>
      </c>
      <c r="W264" s="7">
        <f t="shared" si="87"/>
        <v>1742</v>
      </c>
      <c r="X264" s="6"/>
      <c r="Y264" s="5"/>
      <c r="Z264" s="5"/>
      <c r="AA264" s="5"/>
      <c r="AB264" s="5"/>
    </row>
    <row r="265" spans="1:28" ht="13.15" customHeight="1">
      <c r="A265" s="12">
        <v>251</v>
      </c>
      <c r="B265" s="11">
        <f t="shared" si="79"/>
        <v>45521</v>
      </c>
      <c r="C265" s="9">
        <f t="shared" si="80"/>
        <v>842</v>
      </c>
      <c r="D265" s="8">
        <f t="shared" si="90"/>
        <v>1677</v>
      </c>
      <c r="E265" s="4">
        <f t="shared" si="72"/>
        <v>-120</v>
      </c>
      <c r="F265" s="4">
        <f t="shared" si="73"/>
        <v>-108</v>
      </c>
      <c r="G265" s="4">
        <f t="shared" si="74"/>
        <v>167</v>
      </c>
      <c r="H265" s="5">
        <f t="shared" si="75"/>
        <v>2639</v>
      </c>
      <c r="I265" s="5">
        <f t="shared" si="76"/>
        <v>2627</v>
      </c>
      <c r="J265" s="5">
        <f t="shared" si="77"/>
        <v>2352</v>
      </c>
      <c r="K265" s="5">
        <f t="shared" si="84"/>
        <v>3000</v>
      </c>
      <c r="L265" s="5">
        <f t="shared" si="85"/>
        <v>3000</v>
      </c>
      <c r="M265" s="5">
        <f t="shared" si="86"/>
        <v>3000</v>
      </c>
      <c r="N265" s="5">
        <f t="shared" si="81"/>
        <v>-361</v>
      </c>
      <c r="O265" s="5">
        <f t="shared" si="82"/>
        <v>-373</v>
      </c>
      <c r="P265" s="5">
        <f t="shared" si="83"/>
        <v>-648</v>
      </c>
      <c r="Q265" s="4">
        <v>0</v>
      </c>
      <c r="R265" s="4">
        <v>0</v>
      </c>
      <c r="S265" s="4">
        <v>0</v>
      </c>
      <c r="T265" s="6">
        <f t="shared" si="78"/>
        <v>992</v>
      </c>
      <c r="U265" s="7">
        <f t="shared" si="88"/>
        <v>1719</v>
      </c>
      <c r="V265" s="7">
        <f t="shared" si="89"/>
        <v>1527</v>
      </c>
      <c r="W265" s="7">
        <f t="shared" si="87"/>
        <v>1742</v>
      </c>
      <c r="X265" s="6"/>
      <c r="Y265" s="5"/>
      <c r="Z265" s="5"/>
      <c r="AA265" s="5"/>
      <c r="AB265" s="5"/>
    </row>
    <row r="266" spans="1:28" ht="13.15" customHeight="1">
      <c r="A266" s="12">
        <v>252</v>
      </c>
      <c r="B266" s="11">
        <f t="shared" si="79"/>
        <v>45522</v>
      </c>
      <c r="C266" s="9">
        <f t="shared" si="80"/>
        <v>842</v>
      </c>
      <c r="D266" s="8">
        <f t="shared" si="90"/>
        <v>1679</v>
      </c>
      <c r="E266" s="4">
        <f t="shared" si="72"/>
        <v>-118</v>
      </c>
      <c r="F266" s="4">
        <f t="shared" si="73"/>
        <v>-106</v>
      </c>
      <c r="G266" s="4">
        <f t="shared" si="74"/>
        <v>169</v>
      </c>
      <c r="H266" s="5">
        <f t="shared" si="75"/>
        <v>2639</v>
      </c>
      <c r="I266" s="5">
        <f t="shared" si="76"/>
        <v>2627</v>
      </c>
      <c r="J266" s="5">
        <f t="shared" si="77"/>
        <v>2352</v>
      </c>
      <c r="K266" s="5">
        <f t="shared" si="84"/>
        <v>3000</v>
      </c>
      <c r="L266" s="5">
        <f t="shared" si="85"/>
        <v>3000</v>
      </c>
      <c r="M266" s="5">
        <f t="shared" si="86"/>
        <v>3000</v>
      </c>
      <c r="N266" s="5">
        <f t="shared" si="81"/>
        <v>-361</v>
      </c>
      <c r="O266" s="5">
        <f t="shared" si="82"/>
        <v>-373</v>
      </c>
      <c r="P266" s="5">
        <f t="shared" si="83"/>
        <v>-648</v>
      </c>
      <c r="Q266" s="4">
        <v>0</v>
      </c>
      <c r="R266" s="4">
        <v>0</v>
      </c>
      <c r="S266" s="4">
        <v>0</v>
      </c>
      <c r="T266" s="6">
        <f t="shared" si="78"/>
        <v>994</v>
      </c>
      <c r="U266" s="7">
        <f t="shared" si="88"/>
        <v>1719</v>
      </c>
      <c r="V266" s="7">
        <f t="shared" si="89"/>
        <v>1527</v>
      </c>
      <c r="W266" s="7">
        <f t="shared" si="87"/>
        <v>1742</v>
      </c>
      <c r="X266" s="6"/>
      <c r="Y266" s="5"/>
      <c r="Z266" s="5"/>
      <c r="AA266" s="5"/>
      <c r="AB266" s="5"/>
    </row>
    <row r="267" spans="1:28" ht="13.15" customHeight="1">
      <c r="A267" s="12">
        <v>253</v>
      </c>
      <c r="B267" s="11">
        <f t="shared" si="79"/>
        <v>45523</v>
      </c>
      <c r="C267" s="9">
        <f t="shared" si="80"/>
        <v>842</v>
      </c>
      <c r="D267" s="8">
        <f t="shared" si="90"/>
        <v>1681</v>
      </c>
      <c r="E267" s="4">
        <f t="shared" si="72"/>
        <v>-116</v>
      </c>
      <c r="F267" s="4">
        <f t="shared" si="73"/>
        <v>-104</v>
      </c>
      <c r="G267" s="4">
        <f t="shared" si="74"/>
        <v>171</v>
      </c>
      <c r="H267" s="5">
        <f t="shared" si="75"/>
        <v>2639</v>
      </c>
      <c r="I267" s="5">
        <f t="shared" si="76"/>
        <v>2627</v>
      </c>
      <c r="J267" s="5">
        <f t="shared" si="77"/>
        <v>2352</v>
      </c>
      <c r="K267" s="5">
        <f t="shared" si="84"/>
        <v>3000</v>
      </c>
      <c r="L267" s="5">
        <f t="shared" si="85"/>
        <v>3000</v>
      </c>
      <c r="M267" s="5">
        <f t="shared" si="86"/>
        <v>3000</v>
      </c>
      <c r="N267" s="5">
        <f t="shared" si="81"/>
        <v>-361</v>
      </c>
      <c r="O267" s="5">
        <f t="shared" si="82"/>
        <v>-373</v>
      </c>
      <c r="P267" s="5">
        <f t="shared" si="83"/>
        <v>-648</v>
      </c>
      <c r="Q267" s="4">
        <v>0</v>
      </c>
      <c r="R267" s="4">
        <v>0</v>
      </c>
      <c r="S267" s="4">
        <v>0</v>
      </c>
      <c r="T267" s="6">
        <f t="shared" si="78"/>
        <v>996</v>
      </c>
      <c r="U267" s="7">
        <f t="shared" si="88"/>
        <v>1719</v>
      </c>
      <c r="V267" s="7">
        <f t="shared" si="89"/>
        <v>1527</v>
      </c>
      <c r="W267" s="7">
        <f t="shared" si="87"/>
        <v>1742</v>
      </c>
      <c r="X267" s="6"/>
      <c r="Y267" s="5"/>
      <c r="Z267" s="5"/>
      <c r="AA267" s="5"/>
      <c r="AB267" s="5"/>
    </row>
    <row r="268" spans="1:28" ht="13.15" customHeight="1">
      <c r="A268" s="12">
        <v>254</v>
      </c>
      <c r="B268" s="11">
        <f t="shared" si="79"/>
        <v>45524</v>
      </c>
      <c r="C268" s="9">
        <f t="shared" si="80"/>
        <v>842</v>
      </c>
      <c r="D268" s="8">
        <f t="shared" si="90"/>
        <v>1683</v>
      </c>
      <c r="E268" s="4">
        <f t="shared" si="72"/>
        <v>-114</v>
      </c>
      <c r="F268" s="4">
        <f t="shared" si="73"/>
        <v>-102</v>
      </c>
      <c r="G268" s="4">
        <f t="shared" si="74"/>
        <v>173</v>
      </c>
      <c r="H268" s="5">
        <f t="shared" si="75"/>
        <v>2639</v>
      </c>
      <c r="I268" s="5">
        <f t="shared" si="76"/>
        <v>2627</v>
      </c>
      <c r="J268" s="5">
        <f t="shared" si="77"/>
        <v>2352</v>
      </c>
      <c r="K268" s="5">
        <f t="shared" si="84"/>
        <v>3000</v>
      </c>
      <c r="L268" s="5">
        <f t="shared" si="85"/>
        <v>3000</v>
      </c>
      <c r="M268" s="5">
        <f t="shared" si="86"/>
        <v>3000</v>
      </c>
      <c r="N268" s="5">
        <f t="shared" si="81"/>
        <v>-361</v>
      </c>
      <c r="O268" s="5">
        <f t="shared" si="82"/>
        <v>-373</v>
      </c>
      <c r="P268" s="5">
        <f t="shared" si="83"/>
        <v>-648</v>
      </c>
      <c r="Q268" s="4">
        <v>0</v>
      </c>
      <c r="R268" s="4">
        <v>0</v>
      </c>
      <c r="S268" s="4">
        <v>0</v>
      </c>
      <c r="T268" s="6">
        <f t="shared" si="78"/>
        <v>998</v>
      </c>
      <c r="U268" s="7">
        <f t="shared" si="88"/>
        <v>1719</v>
      </c>
      <c r="V268" s="7">
        <f t="shared" si="89"/>
        <v>1527</v>
      </c>
      <c r="W268" s="7">
        <f t="shared" si="87"/>
        <v>1742</v>
      </c>
      <c r="X268" s="6"/>
      <c r="Y268" s="5"/>
      <c r="Z268" s="5"/>
      <c r="AA268" s="5"/>
      <c r="AB268" s="5"/>
    </row>
    <row r="269" spans="1:28" ht="13.15" customHeight="1">
      <c r="A269" s="12">
        <v>255</v>
      </c>
      <c r="B269" s="11">
        <f t="shared" si="79"/>
        <v>45525</v>
      </c>
      <c r="C269" s="9">
        <f t="shared" si="80"/>
        <v>842</v>
      </c>
      <c r="D269" s="8">
        <f t="shared" si="90"/>
        <v>1685</v>
      </c>
      <c r="E269" s="4">
        <f t="shared" si="72"/>
        <v>-112</v>
      </c>
      <c r="F269" s="4">
        <f t="shared" si="73"/>
        <v>-100</v>
      </c>
      <c r="G269" s="4">
        <f t="shared" si="74"/>
        <v>175</v>
      </c>
      <c r="H269" s="5">
        <f t="shared" si="75"/>
        <v>2639</v>
      </c>
      <c r="I269" s="5">
        <f t="shared" si="76"/>
        <v>2627</v>
      </c>
      <c r="J269" s="5">
        <f t="shared" si="77"/>
        <v>2352</v>
      </c>
      <c r="K269" s="5">
        <f t="shared" si="84"/>
        <v>3000</v>
      </c>
      <c r="L269" s="5">
        <f t="shared" si="85"/>
        <v>3000</v>
      </c>
      <c r="M269" s="5">
        <f t="shared" si="86"/>
        <v>3000</v>
      </c>
      <c r="N269" s="5">
        <f t="shared" si="81"/>
        <v>-361</v>
      </c>
      <c r="O269" s="5">
        <f t="shared" si="82"/>
        <v>-373</v>
      </c>
      <c r="P269" s="5">
        <f t="shared" si="83"/>
        <v>-648</v>
      </c>
      <c r="Q269" s="4">
        <v>0</v>
      </c>
      <c r="R269" s="4">
        <v>0</v>
      </c>
      <c r="S269" s="4">
        <v>0</v>
      </c>
      <c r="T269" s="6">
        <f t="shared" si="78"/>
        <v>1000</v>
      </c>
      <c r="U269" s="7">
        <f t="shared" si="88"/>
        <v>1719</v>
      </c>
      <c r="V269" s="7">
        <f t="shared" si="89"/>
        <v>1527</v>
      </c>
      <c r="W269" s="7">
        <f t="shared" si="87"/>
        <v>1742</v>
      </c>
      <c r="X269" s="6"/>
      <c r="Y269" s="5"/>
      <c r="Z269" s="5"/>
      <c r="AA269" s="5"/>
      <c r="AB269" s="5"/>
    </row>
    <row r="270" spans="1:28" ht="13.15" customHeight="1">
      <c r="A270" s="12">
        <v>256</v>
      </c>
      <c r="B270" s="11">
        <f t="shared" si="79"/>
        <v>45526</v>
      </c>
      <c r="C270" s="9">
        <f t="shared" si="80"/>
        <v>842</v>
      </c>
      <c r="D270" s="8">
        <f t="shared" si="90"/>
        <v>1687</v>
      </c>
      <c r="E270" s="4">
        <f t="shared" ref="E270:E333" si="91">C270+D270-H270</f>
        <v>-110</v>
      </c>
      <c r="F270" s="4">
        <f t="shared" ref="F270:F333" si="92">C270+D270-I270</f>
        <v>-98</v>
      </c>
      <c r="G270" s="4">
        <f t="shared" ref="G270:G333" si="93">D270+C270-J270</f>
        <v>177</v>
      </c>
      <c r="H270" s="5">
        <f t="shared" ref="H270:H333" si="94">K270+N270</f>
        <v>2639</v>
      </c>
      <c r="I270" s="5">
        <f t="shared" ref="I270:I333" si="95">L270+O270</f>
        <v>2627</v>
      </c>
      <c r="J270" s="5">
        <f t="shared" ref="J270:J333" si="96">M270+P270</f>
        <v>2352</v>
      </c>
      <c r="K270" s="5">
        <f t="shared" si="84"/>
        <v>3000</v>
      </c>
      <c r="L270" s="5">
        <f t="shared" si="85"/>
        <v>3000</v>
      </c>
      <c r="M270" s="5">
        <f t="shared" si="86"/>
        <v>3000</v>
      </c>
      <c r="N270" s="5">
        <f t="shared" si="81"/>
        <v>-361</v>
      </c>
      <c r="O270" s="5">
        <f t="shared" si="82"/>
        <v>-373</v>
      </c>
      <c r="P270" s="5">
        <f t="shared" si="83"/>
        <v>-648</v>
      </c>
      <c r="Q270" s="4">
        <v>0</v>
      </c>
      <c r="R270" s="4">
        <v>0</v>
      </c>
      <c r="S270" s="4">
        <v>0</v>
      </c>
      <c r="T270" s="6">
        <f t="shared" ref="T270:T333" si="97">D270+C270-V270</f>
        <v>1002</v>
      </c>
      <c r="U270" s="7">
        <f t="shared" si="88"/>
        <v>1719</v>
      </c>
      <c r="V270" s="7">
        <f t="shared" si="89"/>
        <v>1527</v>
      </c>
      <c r="W270" s="7">
        <f t="shared" si="87"/>
        <v>1742</v>
      </c>
      <c r="X270" s="6"/>
      <c r="Y270" s="5"/>
      <c r="Z270" s="5"/>
      <c r="AA270" s="5"/>
      <c r="AB270" s="5"/>
    </row>
    <row r="271" spans="1:28" ht="13.15" customHeight="1">
      <c r="A271" s="12">
        <v>257</v>
      </c>
      <c r="B271" s="11">
        <f t="shared" ref="B271:B334" si="98">B270+1</f>
        <v>45527</v>
      </c>
      <c r="C271" s="9">
        <f t="shared" ref="C271:C334" si="99">C270</f>
        <v>842</v>
      </c>
      <c r="D271" s="8">
        <f t="shared" si="90"/>
        <v>1689</v>
      </c>
      <c r="E271" s="4">
        <f t="shared" si="91"/>
        <v>-108</v>
      </c>
      <c r="F271" s="4">
        <f t="shared" si="92"/>
        <v>-96</v>
      </c>
      <c r="G271" s="4">
        <f t="shared" si="93"/>
        <v>179</v>
      </c>
      <c r="H271" s="5">
        <f t="shared" si="94"/>
        <v>2639</v>
      </c>
      <c r="I271" s="5">
        <f t="shared" si="95"/>
        <v>2627</v>
      </c>
      <c r="J271" s="5">
        <f t="shared" si="96"/>
        <v>2352</v>
      </c>
      <c r="K271" s="5">
        <f t="shared" si="84"/>
        <v>3000</v>
      </c>
      <c r="L271" s="5">
        <f t="shared" si="85"/>
        <v>3000</v>
      </c>
      <c r="M271" s="5">
        <f t="shared" si="86"/>
        <v>3000</v>
      </c>
      <c r="N271" s="5">
        <f t="shared" ref="N271:N334" si="100">N270-Q271</f>
        <v>-361</v>
      </c>
      <c r="O271" s="5">
        <f t="shared" ref="O271:O334" si="101">O270-R271</f>
        <v>-373</v>
      </c>
      <c r="P271" s="5">
        <f t="shared" ref="P271:P334" si="102">P270-S271</f>
        <v>-648</v>
      </c>
      <c r="Q271" s="4">
        <v>0</v>
      </c>
      <c r="R271" s="4">
        <v>0</v>
      </c>
      <c r="S271" s="4">
        <v>0</v>
      </c>
      <c r="T271" s="6">
        <f t="shared" si="97"/>
        <v>1004</v>
      </c>
      <c r="U271" s="7">
        <f t="shared" si="88"/>
        <v>1719</v>
      </c>
      <c r="V271" s="7">
        <f t="shared" si="89"/>
        <v>1527</v>
      </c>
      <c r="W271" s="7">
        <f t="shared" si="87"/>
        <v>1742</v>
      </c>
      <c r="X271" s="6"/>
      <c r="Y271" s="5"/>
      <c r="Z271" s="5"/>
      <c r="AA271" s="5"/>
      <c r="AB271" s="5"/>
    </row>
    <row r="272" spans="1:28" ht="13.15" customHeight="1">
      <c r="A272" s="12">
        <v>258</v>
      </c>
      <c r="B272" s="11">
        <f t="shared" si="98"/>
        <v>45528</v>
      </c>
      <c r="C272" s="9">
        <f t="shared" si="99"/>
        <v>842</v>
      </c>
      <c r="D272" s="8">
        <f t="shared" si="90"/>
        <v>1691</v>
      </c>
      <c r="E272" s="4">
        <f t="shared" si="91"/>
        <v>-106</v>
      </c>
      <c r="F272" s="4">
        <f t="shared" si="92"/>
        <v>-94</v>
      </c>
      <c r="G272" s="4">
        <f t="shared" si="93"/>
        <v>181</v>
      </c>
      <c r="H272" s="5">
        <f t="shared" si="94"/>
        <v>2639</v>
      </c>
      <c r="I272" s="5">
        <f t="shared" si="95"/>
        <v>2627</v>
      </c>
      <c r="J272" s="5">
        <f t="shared" si="96"/>
        <v>2352</v>
      </c>
      <c r="K272" s="5">
        <f t="shared" si="84"/>
        <v>3000</v>
      </c>
      <c r="L272" s="5">
        <f t="shared" si="85"/>
        <v>3000</v>
      </c>
      <c r="M272" s="5">
        <f t="shared" si="86"/>
        <v>3000</v>
      </c>
      <c r="N272" s="5">
        <f t="shared" si="100"/>
        <v>-361</v>
      </c>
      <c r="O272" s="5">
        <f t="shared" si="101"/>
        <v>-373</v>
      </c>
      <c r="P272" s="5">
        <f t="shared" si="102"/>
        <v>-648</v>
      </c>
      <c r="Q272" s="4">
        <v>0</v>
      </c>
      <c r="R272" s="4">
        <v>0</v>
      </c>
      <c r="S272" s="4">
        <v>0</v>
      </c>
      <c r="T272" s="6">
        <f t="shared" si="97"/>
        <v>1006</v>
      </c>
      <c r="U272" s="7">
        <f t="shared" si="88"/>
        <v>1719</v>
      </c>
      <c r="V272" s="7">
        <f t="shared" si="89"/>
        <v>1527</v>
      </c>
      <c r="W272" s="7">
        <f t="shared" si="87"/>
        <v>1742</v>
      </c>
      <c r="X272" s="6"/>
      <c r="Y272" s="5"/>
      <c r="Z272" s="5"/>
      <c r="AA272" s="5"/>
      <c r="AB272" s="5"/>
    </row>
    <row r="273" spans="1:28" ht="13.15" customHeight="1">
      <c r="A273" s="12">
        <v>259</v>
      </c>
      <c r="B273" s="11">
        <f t="shared" si="98"/>
        <v>45529</v>
      </c>
      <c r="C273" s="9">
        <f t="shared" si="99"/>
        <v>842</v>
      </c>
      <c r="D273" s="8">
        <f t="shared" si="90"/>
        <v>1693</v>
      </c>
      <c r="E273" s="4">
        <f t="shared" si="91"/>
        <v>-104</v>
      </c>
      <c r="F273" s="4">
        <f t="shared" si="92"/>
        <v>-92</v>
      </c>
      <c r="G273" s="4">
        <f t="shared" si="93"/>
        <v>183</v>
      </c>
      <c r="H273" s="5">
        <f t="shared" si="94"/>
        <v>2639</v>
      </c>
      <c r="I273" s="5">
        <f t="shared" si="95"/>
        <v>2627</v>
      </c>
      <c r="J273" s="5">
        <f t="shared" si="96"/>
        <v>2352</v>
      </c>
      <c r="K273" s="5">
        <f t="shared" si="84"/>
        <v>3000</v>
      </c>
      <c r="L273" s="5">
        <f t="shared" si="85"/>
        <v>3000</v>
      </c>
      <c r="M273" s="5">
        <f t="shared" si="86"/>
        <v>3000</v>
      </c>
      <c r="N273" s="5">
        <f t="shared" si="100"/>
        <v>-361</v>
      </c>
      <c r="O273" s="5">
        <f t="shared" si="101"/>
        <v>-373</v>
      </c>
      <c r="P273" s="5">
        <f t="shared" si="102"/>
        <v>-648</v>
      </c>
      <c r="Q273" s="4">
        <v>0</v>
      </c>
      <c r="R273" s="4">
        <v>0</v>
      </c>
      <c r="S273" s="4">
        <v>0</v>
      </c>
      <c r="T273" s="6">
        <f t="shared" si="97"/>
        <v>1008</v>
      </c>
      <c r="U273" s="7">
        <f t="shared" si="88"/>
        <v>1719</v>
      </c>
      <c r="V273" s="7">
        <f t="shared" si="89"/>
        <v>1527</v>
      </c>
      <c r="W273" s="7">
        <f t="shared" si="87"/>
        <v>1742</v>
      </c>
      <c r="X273" s="6"/>
      <c r="Y273" s="5"/>
      <c r="Z273" s="5"/>
      <c r="AA273" s="5"/>
      <c r="AB273" s="5"/>
    </row>
    <row r="274" spans="1:28" ht="13.15" customHeight="1">
      <c r="A274" s="12">
        <v>260</v>
      </c>
      <c r="B274" s="11">
        <f t="shared" si="98"/>
        <v>45530</v>
      </c>
      <c r="C274" s="9">
        <f t="shared" si="99"/>
        <v>842</v>
      </c>
      <c r="D274" s="8">
        <f t="shared" si="90"/>
        <v>1695</v>
      </c>
      <c r="E274" s="4">
        <f t="shared" si="91"/>
        <v>-102</v>
      </c>
      <c r="F274" s="4">
        <f t="shared" si="92"/>
        <v>-90</v>
      </c>
      <c r="G274" s="4">
        <f t="shared" si="93"/>
        <v>185</v>
      </c>
      <c r="H274" s="5">
        <f t="shared" si="94"/>
        <v>2639</v>
      </c>
      <c r="I274" s="5">
        <f t="shared" si="95"/>
        <v>2627</v>
      </c>
      <c r="J274" s="5">
        <f t="shared" si="96"/>
        <v>2352</v>
      </c>
      <c r="K274" s="5">
        <f t="shared" si="84"/>
        <v>3000</v>
      </c>
      <c r="L274" s="5">
        <f t="shared" si="85"/>
        <v>3000</v>
      </c>
      <c r="M274" s="5">
        <f t="shared" si="86"/>
        <v>3000</v>
      </c>
      <c r="N274" s="5">
        <f t="shared" si="100"/>
        <v>-361</v>
      </c>
      <c r="O274" s="5">
        <f t="shared" si="101"/>
        <v>-373</v>
      </c>
      <c r="P274" s="5">
        <f t="shared" si="102"/>
        <v>-648</v>
      </c>
      <c r="Q274" s="4">
        <v>0</v>
      </c>
      <c r="R274" s="4">
        <v>0</v>
      </c>
      <c r="S274" s="4">
        <v>0</v>
      </c>
      <c r="T274" s="6">
        <f t="shared" si="97"/>
        <v>1010</v>
      </c>
      <c r="U274" s="7">
        <f t="shared" si="88"/>
        <v>1719</v>
      </c>
      <c r="V274" s="7">
        <f t="shared" si="89"/>
        <v>1527</v>
      </c>
      <c r="W274" s="7">
        <f t="shared" si="87"/>
        <v>1742</v>
      </c>
      <c r="X274" s="6"/>
      <c r="Y274" s="5"/>
      <c r="Z274" s="5"/>
      <c r="AA274" s="5"/>
      <c r="AB274" s="5"/>
    </row>
    <row r="275" spans="1:28" ht="13.15" customHeight="1">
      <c r="A275" s="12">
        <v>261</v>
      </c>
      <c r="B275" s="11">
        <f t="shared" si="98"/>
        <v>45531</v>
      </c>
      <c r="C275" s="9">
        <f t="shared" si="99"/>
        <v>842</v>
      </c>
      <c r="D275" s="8">
        <f t="shared" si="90"/>
        <v>1697</v>
      </c>
      <c r="E275" s="4">
        <f t="shared" si="91"/>
        <v>-100</v>
      </c>
      <c r="F275" s="4">
        <f t="shared" si="92"/>
        <v>-88</v>
      </c>
      <c r="G275" s="4">
        <f t="shared" si="93"/>
        <v>187</v>
      </c>
      <c r="H275" s="5">
        <f t="shared" si="94"/>
        <v>2639</v>
      </c>
      <c r="I275" s="5">
        <f t="shared" si="95"/>
        <v>2627</v>
      </c>
      <c r="J275" s="5">
        <f t="shared" si="96"/>
        <v>2352</v>
      </c>
      <c r="K275" s="5">
        <f t="shared" si="84"/>
        <v>3000</v>
      </c>
      <c r="L275" s="5">
        <f t="shared" si="85"/>
        <v>3000</v>
      </c>
      <c r="M275" s="5">
        <f t="shared" si="86"/>
        <v>3000</v>
      </c>
      <c r="N275" s="5">
        <f t="shared" si="100"/>
        <v>-361</v>
      </c>
      <c r="O275" s="5">
        <f t="shared" si="101"/>
        <v>-373</v>
      </c>
      <c r="P275" s="5">
        <f t="shared" si="102"/>
        <v>-648</v>
      </c>
      <c r="Q275" s="4">
        <v>0</v>
      </c>
      <c r="R275" s="4">
        <v>0</v>
      </c>
      <c r="S275" s="4">
        <v>0</v>
      </c>
      <c r="T275" s="6">
        <f t="shared" si="97"/>
        <v>1012</v>
      </c>
      <c r="U275" s="7">
        <f t="shared" si="88"/>
        <v>1719</v>
      </c>
      <c r="V275" s="7">
        <f t="shared" si="89"/>
        <v>1527</v>
      </c>
      <c r="W275" s="7">
        <f t="shared" si="87"/>
        <v>1742</v>
      </c>
      <c r="X275" s="6"/>
      <c r="Y275" s="5"/>
      <c r="Z275" s="5"/>
      <c r="AA275" s="5"/>
      <c r="AB275" s="5"/>
    </row>
    <row r="276" spans="1:28" ht="13.15" customHeight="1">
      <c r="A276" s="12">
        <v>262</v>
      </c>
      <c r="B276" s="11">
        <f t="shared" si="98"/>
        <v>45532</v>
      </c>
      <c r="C276" s="9">
        <f t="shared" si="99"/>
        <v>842</v>
      </c>
      <c r="D276" s="8">
        <f t="shared" si="90"/>
        <v>1699</v>
      </c>
      <c r="E276" s="4">
        <f t="shared" si="91"/>
        <v>-98</v>
      </c>
      <c r="F276" s="4">
        <f t="shared" si="92"/>
        <v>-86</v>
      </c>
      <c r="G276" s="4">
        <f t="shared" si="93"/>
        <v>189</v>
      </c>
      <c r="H276" s="5">
        <f t="shared" si="94"/>
        <v>2639</v>
      </c>
      <c r="I276" s="5">
        <f t="shared" si="95"/>
        <v>2627</v>
      </c>
      <c r="J276" s="5">
        <f t="shared" si="96"/>
        <v>2352</v>
      </c>
      <c r="K276" s="5">
        <f t="shared" si="84"/>
        <v>3000</v>
      </c>
      <c r="L276" s="5">
        <f t="shared" si="85"/>
        <v>3000</v>
      </c>
      <c r="M276" s="5">
        <f t="shared" si="86"/>
        <v>3000</v>
      </c>
      <c r="N276" s="5">
        <f t="shared" si="100"/>
        <v>-361</v>
      </c>
      <c r="O276" s="5">
        <f t="shared" si="101"/>
        <v>-373</v>
      </c>
      <c r="P276" s="5">
        <f t="shared" si="102"/>
        <v>-648</v>
      </c>
      <c r="Q276" s="4">
        <v>0</v>
      </c>
      <c r="R276" s="4">
        <v>0</v>
      </c>
      <c r="S276" s="4">
        <v>0</v>
      </c>
      <c r="T276" s="6">
        <f t="shared" si="97"/>
        <v>1014</v>
      </c>
      <c r="U276" s="7">
        <f t="shared" si="88"/>
        <v>1719</v>
      </c>
      <c r="V276" s="7">
        <f t="shared" si="89"/>
        <v>1527</v>
      </c>
      <c r="W276" s="7">
        <f t="shared" si="87"/>
        <v>1742</v>
      </c>
      <c r="X276" s="6"/>
      <c r="Y276" s="5"/>
      <c r="Z276" s="5"/>
      <c r="AA276" s="5"/>
      <c r="AB276" s="5"/>
    </row>
    <row r="277" spans="1:28" ht="13.15" customHeight="1">
      <c r="A277" s="12">
        <v>263</v>
      </c>
      <c r="B277" s="11">
        <f t="shared" si="98"/>
        <v>45533</v>
      </c>
      <c r="C277" s="9">
        <f t="shared" si="99"/>
        <v>842</v>
      </c>
      <c r="D277" s="8">
        <f t="shared" si="90"/>
        <v>1701</v>
      </c>
      <c r="E277" s="4">
        <f t="shared" si="91"/>
        <v>-96</v>
      </c>
      <c r="F277" s="4">
        <f t="shared" si="92"/>
        <v>-84</v>
      </c>
      <c r="G277" s="4">
        <f t="shared" si="93"/>
        <v>191</v>
      </c>
      <c r="H277" s="5">
        <f t="shared" si="94"/>
        <v>2639</v>
      </c>
      <c r="I277" s="5">
        <f t="shared" si="95"/>
        <v>2627</v>
      </c>
      <c r="J277" s="5">
        <f t="shared" si="96"/>
        <v>2352</v>
      </c>
      <c r="K277" s="5">
        <f t="shared" ref="K277:K340" si="103">K276</f>
        <v>3000</v>
      </c>
      <c r="L277" s="5">
        <f t="shared" ref="L277:L340" si="104">L276</f>
        <v>3000</v>
      </c>
      <c r="M277" s="5">
        <f t="shared" ref="M277:M340" si="105">M276</f>
        <v>3000</v>
      </c>
      <c r="N277" s="5">
        <f t="shared" si="100"/>
        <v>-361</v>
      </c>
      <c r="O277" s="5">
        <f t="shared" si="101"/>
        <v>-373</v>
      </c>
      <c r="P277" s="5">
        <f t="shared" si="102"/>
        <v>-648</v>
      </c>
      <c r="Q277" s="4">
        <v>0</v>
      </c>
      <c r="R277" s="4">
        <v>0</v>
      </c>
      <c r="S277" s="4">
        <v>0</v>
      </c>
      <c r="T277" s="6">
        <f t="shared" si="97"/>
        <v>1016</v>
      </c>
      <c r="U277" s="7">
        <f t="shared" si="88"/>
        <v>1719</v>
      </c>
      <c r="V277" s="7">
        <f t="shared" si="89"/>
        <v>1527</v>
      </c>
      <c r="W277" s="7">
        <f t="shared" si="87"/>
        <v>1742</v>
      </c>
      <c r="X277" s="6"/>
      <c r="Y277" s="5"/>
      <c r="Z277" s="5"/>
      <c r="AA277" s="5"/>
      <c r="AB277" s="5"/>
    </row>
    <row r="278" spans="1:28" ht="13.15" customHeight="1">
      <c r="A278" s="12">
        <v>264</v>
      </c>
      <c r="B278" s="11">
        <f t="shared" si="98"/>
        <v>45534</v>
      </c>
      <c r="C278" s="9">
        <f t="shared" si="99"/>
        <v>842</v>
      </c>
      <c r="D278" s="8">
        <f t="shared" si="90"/>
        <v>1703</v>
      </c>
      <c r="E278" s="4">
        <f t="shared" si="91"/>
        <v>-94</v>
      </c>
      <c r="F278" s="4">
        <f t="shared" si="92"/>
        <v>-82</v>
      </c>
      <c r="G278" s="4">
        <f t="shared" si="93"/>
        <v>193</v>
      </c>
      <c r="H278" s="5">
        <f t="shared" si="94"/>
        <v>2639</v>
      </c>
      <c r="I278" s="5">
        <f t="shared" si="95"/>
        <v>2627</v>
      </c>
      <c r="J278" s="5">
        <f t="shared" si="96"/>
        <v>2352</v>
      </c>
      <c r="K278" s="5">
        <f t="shared" si="103"/>
        <v>3000</v>
      </c>
      <c r="L278" s="5">
        <f t="shared" si="104"/>
        <v>3000</v>
      </c>
      <c r="M278" s="5">
        <f t="shared" si="105"/>
        <v>3000</v>
      </c>
      <c r="N278" s="5">
        <f t="shared" si="100"/>
        <v>-361</v>
      </c>
      <c r="O278" s="5">
        <f t="shared" si="101"/>
        <v>-373</v>
      </c>
      <c r="P278" s="5">
        <f t="shared" si="102"/>
        <v>-648</v>
      </c>
      <c r="Q278" s="4">
        <v>0</v>
      </c>
      <c r="R278" s="4">
        <v>0</v>
      </c>
      <c r="S278" s="4">
        <v>0</v>
      </c>
      <c r="T278" s="6">
        <f t="shared" si="97"/>
        <v>1018</v>
      </c>
      <c r="U278" s="7">
        <f t="shared" si="88"/>
        <v>1719</v>
      </c>
      <c r="V278" s="7">
        <f t="shared" si="89"/>
        <v>1527</v>
      </c>
      <c r="W278" s="7">
        <f t="shared" si="87"/>
        <v>1742</v>
      </c>
      <c r="X278" s="6"/>
      <c r="Y278" s="5"/>
      <c r="Z278" s="5"/>
      <c r="AA278" s="5"/>
      <c r="AB278" s="5"/>
    </row>
    <row r="279" spans="1:28" ht="13.15" customHeight="1">
      <c r="A279" s="12">
        <f t="shared" ref="A279:A342" si="106">+A278+1</f>
        <v>265</v>
      </c>
      <c r="B279" s="11">
        <f t="shared" si="98"/>
        <v>45535</v>
      </c>
      <c r="C279" s="9">
        <f t="shared" si="99"/>
        <v>842</v>
      </c>
      <c r="D279" s="8">
        <f t="shared" si="90"/>
        <v>1705</v>
      </c>
      <c r="E279" s="4">
        <f t="shared" si="91"/>
        <v>-92</v>
      </c>
      <c r="F279" s="4">
        <f t="shared" si="92"/>
        <v>-80</v>
      </c>
      <c r="G279" s="4">
        <f t="shared" si="93"/>
        <v>195</v>
      </c>
      <c r="H279" s="5">
        <f t="shared" si="94"/>
        <v>2639</v>
      </c>
      <c r="I279" s="5">
        <f t="shared" si="95"/>
        <v>2627</v>
      </c>
      <c r="J279" s="5">
        <f t="shared" si="96"/>
        <v>2352</v>
      </c>
      <c r="K279" s="5">
        <f t="shared" si="103"/>
        <v>3000</v>
      </c>
      <c r="L279" s="5">
        <f t="shared" si="104"/>
        <v>3000</v>
      </c>
      <c r="M279" s="5">
        <f t="shared" si="105"/>
        <v>3000</v>
      </c>
      <c r="N279" s="5">
        <f t="shared" si="100"/>
        <v>-361</v>
      </c>
      <c r="O279" s="5">
        <f t="shared" si="101"/>
        <v>-373</v>
      </c>
      <c r="P279" s="5">
        <f t="shared" si="102"/>
        <v>-648</v>
      </c>
      <c r="Q279" s="4">
        <v>0</v>
      </c>
      <c r="R279" s="4">
        <v>0</v>
      </c>
      <c r="S279" s="4">
        <v>0</v>
      </c>
      <c r="T279" s="6">
        <f t="shared" si="97"/>
        <v>1020</v>
      </c>
      <c r="U279" s="7">
        <f t="shared" si="88"/>
        <v>1719</v>
      </c>
      <c r="V279" s="7">
        <f t="shared" si="89"/>
        <v>1527</v>
      </c>
      <c r="W279" s="7">
        <f t="shared" si="87"/>
        <v>1742</v>
      </c>
      <c r="X279" s="6"/>
      <c r="Y279" s="5"/>
      <c r="Z279" s="5"/>
      <c r="AA279" s="5"/>
      <c r="AB279" s="5"/>
    </row>
    <row r="280" spans="1:28" ht="13.15" customHeight="1">
      <c r="A280" s="12">
        <f t="shared" si="106"/>
        <v>266</v>
      </c>
      <c r="B280" s="11">
        <f t="shared" si="98"/>
        <v>45536</v>
      </c>
      <c r="C280" s="9">
        <f t="shared" si="99"/>
        <v>842</v>
      </c>
      <c r="D280" s="8">
        <f t="shared" si="90"/>
        <v>1707</v>
      </c>
      <c r="E280" s="4">
        <f t="shared" si="91"/>
        <v>-90</v>
      </c>
      <c r="F280" s="4">
        <f t="shared" si="92"/>
        <v>-78</v>
      </c>
      <c r="G280" s="4">
        <f t="shared" si="93"/>
        <v>197</v>
      </c>
      <c r="H280" s="5">
        <f t="shared" si="94"/>
        <v>2639</v>
      </c>
      <c r="I280" s="5">
        <f t="shared" si="95"/>
        <v>2627</v>
      </c>
      <c r="J280" s="5">
        <f t="shared" si="96"/>
        <v>2352</v>
      </c>
      <c r="K280" s="5">
        <f t="shared" si="103"/>
        <v>3000</v>
      </c>
      <c r="L280" s="5">
        <f t="shared" si="104"/>
        <v>3000</v>
      </c>
      <c r="M280" s="5">
        <f t="shared" si="105"/>
        <v>3000</v>
      </c>
      <c r="N280" s="5">
        <f t="shared" si="100"/>
        <v>-361</v>
      </c>
      <c r="O280" s="5">
        <f t="shared" si="101"/>
        <v>-373</v>
      </c>
      <c r="P280" s="5">
        <f t="shared" si="102"/>
        <v>-648</v>
      </c>
      <c r="Q280" s="4">
        <v>0</v>
      </c>
      <c r="R280" s="4">
        <v>0</v>
      </c>
      <c r="S280" s="4">
        <v>0</v>
      </c>
      <c r="T280" s="6">
        <f t="shared" si="97"/>
        <v>1022</v>
      </c>
      <c r="U280" s="7">
        <f t="shared" si="88"/>
        <v>1719</v>
      </c>
      <c r="V280" s="7">
        <f t="shared" si="89"/>
        <v>1527</v>
      </c>
      <c r="W280" s="7">
        <f t="shared" si="87"/>
        <v>1742</v>
      </c>
      <c r="X280" s="6"/>
      <c r="Y280" s="5"/>
      <c r="Z280" s="5"/>
      <c r="AA280" s="5"/>
      <c r="AB280" s="5"/>
    </row>
    <row r="281" spans="1:28" ht="13.15" customHeight="1">
      <c r="A281" s="12">
        <f t="shared" si="106"/>
        <v>267</v>
      </c>
      <c r="B281" s="11">
        <f t="shared" si="98"/>
        <v>45537</v>
      </c>
      <c r="C281" s="9">
        <f t="shared" si="99"/>
        <v>842</v>
      </c>
      <c r="D281" s="8">
        <f t="shared" si="90"/>
        <v>1709</v>
      </c>
      <c r="E281" s="4">
        <f t="shared" si="91"/>
        <v>-88</v>
      </c>
      <c r="F281" s="4">
        <f t="shared" si="92"/>
        <v>-76</v>
      </c>
      <c r="G281" s="4">
        <f t="shared" si="93"/>
        <v>199</v>
      </c>
      <c r="H281" s="5">
        <f t="shared" si="94"/>
        <v>2639</v>
      </c>
      <c r="I281" s="5">
        <f t="shared" si="95"/>
        <v>2627</v>
      </c>
      <c r="J281" s="5">
        <f t="shared" si="96"/>
        <v>2352</v>
      </c>
      <c r="K281" s="5">
        <f t="shared" si="103"/>
        <v>3000</v>
      </c>
      <c r="L281" s="5">
        <f t="shared" si="104"/>
        <v>3000</v>
      </c>
      <c r="M281" s="5">
        <f t="shared" si="105"/>
        <v>3000</v>
      </c>
      <c r="N281" s="5">
        <f t="shared" si="100"/>
        <v>-361</v>
      </c>
      <c r="O281" s="5">
        <f t="shared" si="101"/>
        <v>-373</v>
      </c>
      <c r="P281" s="5">
        <f t="shared" si="102"/>
        <v>-648</v>
      </c>
      <c r="Q281" s="4">
        <v>0</v>
      </c>
      <c r="R281" s="4">
        <v>0</v>
      </c>
      <c r="S281" s="4">
        <v>0</v>
      </c>
      <c r="T281" s="6">
        <f t="shared" si="97"/>
        <v>1024</v>
      </c>
      <c r="U281" s="7">
        <f t="shared" si="88"/>
        <v>1719</v>
      </c>
      <c r="V281" s="7">
        <f t="shared" si="89"/>
        <v>1527</v>
      </c>
      <c r="W281" s="7">
        <f t="shared" si="87"/>
        <v>1742</v>
      </c>
      <c r="X281" s="6"/>
      <c r="Y281" s="5"/>
      <c r="Z281" s="5"/>
      <c r="AA281" s="5"/>
      <c r="AB281" s="5"/>
    </row>
    <row r="282" spans="1:28" ht="13.15" customHeight="1">
      <c r="A282" s="12">
        <f t="shared" si="106"/>
        <v>268</v>
      </c>
      <c r="B282" s="11">
        <f t="shared" si="98"/>
        <v>45538</v>
      </c>
      <c r="C282" s="9">
        <f t="shared" si="99"/>
        <v>842</v>
      </c>
      <c r="D282" s="8">
        <f t="shared" si="90"/>
        <v>1711</v>
      </c>
      <c r="E282" s="4">
        <f t="shared" si="91"/>
        <v>-86</v>
      </c>
      <c r="F282" s="4">
        <f t="shared" si="92"/>
        <v>-74</v>
      </c>
      <c r="G282" s="4">
        <f t="shared" si="93"/>
        <v>201</v>
      </c>
      <c r="H282" s="5">
        <f t="shared" si="94"/>
        <v>2639</v>
      </c>
      <c r="I282" s="5">
        <f t="shared" si="95"/>
        <v>2627</v>
      </c>
      <c r="J282" s="5">
        <f t="shared" si="96"/>
        <v>2352</v>
      </c>
      <c r="K282" s="5">
        <f t="shared" si="103"/>
        <v>3000</v>
      </c>
      <c r="L282" s="5">
        <f t="shared" si="104"/>
        <v>3000</v>
      </c>
      <c r="M282" s="5">
        <f t="shared" si="105"/>
        <v>3000</v>
      </c>
      <c r="N282" s="5">
        <f t="shared" si="100"/>
        <v>-361</v>
      </c>
      <c r="O282" s="5">
        <f t="shared" si="101"/>
        <v>-373</v>
      </c>
      <c r="P282" s="5">
        <f t="shared" si="102"/>
        <v>-648</v>
      </c>
      <c r="Q282" s="4">
        <v>0</v>
      </c>
      <c r="R282" s="4">
        <v>0</v>
      </c>
      <c r="S282" s="4">
        <v>0</v>
      </c>
      <c r="T282" s="6">
        <f t="shared" si="97"/>
        <v>1026</v>
      </c>
      <c r="U282" s="7">
        <f t="shared" si="88"/>
        <v>1719</v>
      </c>
      <c r="V282" s="7">
        <f t="shared" si="89"/>
        <v>1527</v>
      </c>
      <c r="W282" s="7">
        <f t="shared" si="87"/>
        <v>1742</v>
      </c>
      <c r="X282" s="6"/>
      <c r="Y282" s="5"/>
      <c r="Z282" s="5"/>
      <c r="AA282" s="5"/>
      <c r="AB282" s="5"/>
    </row>
    <row r="283" spans="1:28" ht="13.15" customHeight="1">
      <c r="A283" s="12">
        <f t="shared" si="106"/>
        <v>269</v>
      </c>
      <c r="B283" s="11">
        <f t="shared" si="98"/>
        <v>45539</v>
      </c>
      <c r="C283" s="9">
        <f t="shared" si="99"/>
        <v>842</v>
      </c>
      <c r="D283" s="8">
        <f t="shared" si="90"/>
        <v>1713</v>
      </c>
      <c r="E283" s="4">
        <f t="shared" si="91"/>
        <v>-84</v>
      </c>
      <c r="F283" s="4">
        <f t="shared" si="92"/>
        <v>-72</v>
      </c>
      <c r="G283" s="4">
        <f t="shared" si="93"/>
        <v>203</v>
      </c>
      <c r="H283" s="5">
        <f t="shared" si="94"/>
        <v>2639</v>
      </c>
      <c r="I283" s="5">
        <f t="shared" si="95"/>
        <v>2627</v>
      </c>
      <c r="J283" s="5">
        <f t="shared" si="96"/>
        <v>2352</v>
      </c>
      <c r="K283" s="5">
        <f t="shared" si="103"/>
        <v>3000</v>
      </c>
      <c r="L283" s="5">
        <f t="shared" si="104"/>
        <v>3000</v>
      </c>
      <c r="M283" s="5">
        <f t="shared" si="105"/>
        <v>3000</v>
      </c>
      <c r="N283" s="5">
        <f t="shared" si="100"/>
        <v>-361</v>
      </c>
      <c r="O283" s="5">
        <f t="shared" si="101"/>
        <v>-373</v>
      </c>
      <c r="P283" s="5">
        <f t="shared" si="102"/>
        <v>-648</v>
      </c>
      <c r="Q283" s="4">
        <v>0</v>
      </c>
      <c r="R283" s="4">
        <v>0</v>
      </c>
      <c r="S283" s="4">
        <v>0</v>
      </c>
      <c r="T283" s="6">
        <f t="shared" si="97"/>
        <v>1028</v>
      </c>
      <c r="U283" s="7">
        <f t="shared" si="88"/>
        <v>1719</v>
      </c>
      <c r="V283" s="7">
        <f t="shared" si="89"/>
        <v>1527</v>
      </c>
      <c r="W283" s="7">
        <f t="shared" si="87"/>
        <v>1742</v>
      </c>
      <c r="X283" s="6"/>
      <c r="Y283" s="5"/>
      <c r="Z283" s="5"/>
      <c r="AA283" s="5"/>
      <c r="AB283" s="5"/>
    </row>
    <row r="284" spans="1:28" ht="13.15" customHeight="1">
      <c r="A284" s="12">
        <f t="shared" si="106"/>
        <v>270</v>
      </c>
      <c r="B284" s="11">
        <f t="shared" si="98"/>
        <v>45540</v>
      </c>
      <c r="C284" s="9">
        <f t="shared" si="99"/>
        <v>842</v>
      </c>
      <c r="D284" s="8">
        <f t="shared" si="90"/>
        <v>1715</v>
      </c>
      <c r="E284" s="4">
        <f t="shared" si="91"/>
        <v>-82</v>
      </c>
      <c r="F284" s="4">
        <f t="shared" si="92"/>
        <v>-70</v>
      </c>
      <c r="G284" s="4">
        <f t="shared" si="93"/>
        <v>205</v>
      </c>
      <c r="H284" s="5">
        <f t="shared" si="94"/>
        <v>2639</v>
      </c>
      <c r="I284" s="5">
        <f t="shared" si="95"/>
        <v>2627</v>
      </c>
      <c r="J284" s="5">
        <f t="shared" si="96"/>
        <v>2352</v>
      </c>
      <c r="K284" s="5">
        <f t="shared" si="103"/>
        <v>3000</v>
      </c>
      <c r="L284" s="5">
        <f t="shared" si="104"/>
        <v>3000</v>
      </c>
      <c r="M284" s="5">
        <f t="shared" si="105"/>
        <v>3000</v>
      </c>
      <c r="N284" s="5">
        <f t="shared" si="100"/>
        <v>-361</v>
      </c>
      <c r="O284" s="5">
        <f t="shared" si="101"/>
        <v>-373</v>
      </c>
      <c r="P284" s="5">
        <f t="shared" si="102"/>
        <v>-648</v>
      </c>
      <c r="Q284" s="4">
        <v>0</v>
      </c>
      <c r="R284" s="4">
        <v>0</v>
      </c>
      <c r="S284" s="4">
        <v>0</v>
      </c>
      <c r="T284" s="6">
        <f t="shared" si="97"/>
        <v>1030</v>
      </c>
      <c r="U284" s="7">
        <f t="shared" si="88"/>
        <v>1719</v>
      </c>
      <c r="V284" s="7">
        <f t="shared" si="89"/>
        <v>1527</v>
      </c>
      <c r="W284" s="7">
        <f t="shared" si="87"/>
        <v>1742</v>
      </c>
      <c r="X284" s="6"/>
      <c r="Y284" s="5"/>
      <c r="Z284" s="5"/>
      <c r="AA284" s="5"/>
      <c r="AB284" s="5"/>
    </row>
    <row r="285" spans="1:28" ht="13.15" customHeight="1">
      <c r="A285" s="12">
        <f t="shared" si="106"/>
        <v>271</v>
      </c>
      <c r="B285" s="11">
        <f t="shared" si="98"/>
        <v>45541</v>
      </c>
      <c r="C285" s="9">
        <f t="shared" si="99"/>
        <v>842</v>
      </c>
      <c r="D285" s="8">
        <f t="shared" si="90"/>
        <v>1717</v>
      </c>
      <c r="E285" s="4">
        <f t="shared" si="91"/>
        <v>-80</v>
      </c>
      <c r="F285" s="4">
        <f t="shared" si="92"/>
        <v>-68</v>
      </c>
      <c r="G285" s="4">
        <f t="shared" si="93"/>
        <v>207</v>
      </c>
      <c r="H285" s="5">
        <f t="shared" si="94"/>
        <v>2639</v>
      </c>
      <c r="I285" s="5">
        <f t="shared" si="95"/>
        <v>2627</v>
      </c>
      <c r="J285" s="5">
        <f t="shared" si="96"/>
        <v>2352</v>
      </c>
      <c r="K285" s="5">
        <f t="shared" si="103"/>
        <v>3000</v>
      </c>
      <c r="L285" s="5">
        <f t="shared" si="104"/>
        <v>3000</v>
      </c>
      <c r="M285" s="5">
        <f t="shared" si="105"/>
        <v>3000</v>
      </c>
      <c r="N285" s="5">
        <f t="shared" si="100"/>
        <v>-361</v>
      </c>
      <c r="O285" s="5">
        <f t="shared" si="101"/>
        <v>-373</v>
      </c>
      <c r="P285" s="5">
        <f t="shared" si="102"/>
        <v>-648</v>
      </c>
      <c r="Q285" s="4">
        <v>0</v>
      </c>
      <c r="R285" s="4">
        <v>0</v>
      </c>
      <c r="S285" s="4">
        <v>0</v>
      </c>
      <c r="T285" s="6">
        <f t="shared" si="97"/>
        <v>1032</v>
      </c>
      <c r="U285" s="7">
        <f t="shared" si="88"/>
        <v>1719</v>
      </c>
      <c r="V285" s="7">
        <f t="shared" si="89"/>
        <v>1527</v>
      </c>
      <c r="W285" s="7">
        <f t="shared" si="87"/>
        <v>1742</v>
      </c>
      <c r="X285" s="6"/>
      <c r="Y285" s="5"/>
      <c r="Z285" s="5"/>
      <c r="AA285" s="5"/>
      <c r="AB285" s="5"/>
    </row>
    <row r="286" spans="1:28" ht="13.15" customHeight="1">
      <c r="A286" s="12">
        <f t="shared" si="106"/>
        <v>272</v>
      </c>
      <c r="B286" s="11">
        <f t="shared" si="98"/>
        <v>45542</v>
      </c>
      <c r="C286" s="9">
        <f t="shared" si="99"/>
        <v>842</v>
      </c>
      <c r="D286" s="8">
        <f t="shared" si="90"/>
        <v>1719</v>
      </c>
      <c r="E286" s="4">
        <f t="shared" si="91"/>
        <v>-78</v>
      </c>
      <c r="F286" s="4">
        <f t="shared" si="92"/>
        <v>-66</v>
      </c>
      <c r="G286" s="4">
        <f t="shared" si="93"/>
        <v>209</v>
      </c>
      <c r="H286" s="5">
        <f t="shared" si="94"/>
        <v>2639</v>
      </c>
      <c r="I286" s="5">
        <f t="shared" si="95"/>
        <v>2627</v>
      </c>
      <c r="J286" s="5">
        <f t="shared" si="96"/>
        <v>2352</v>
      </c>
      <c r="K286" s="5">
        <f t="shared" si="103"/>
        <v>3000</v>
      </c>
      <c r="L286" s="5">
        <f t="shared" si="104"/>
        <v>3000</v>
      </c>
      <c r="M286" s="5">
        <f t="shared" si="105"/>
        <v>3000</v>
      </c>
      <c r="N286" s="5">
        <f t="shared" si="100"/>
        <v>-361</v>
      </c>
      <c r="O286" s="5">
        <f t="shared" si="101"/>
        <v>-373</v>
      </c>
      <c r="P286" s="5">
        <f t="shared" si="102"/>
        <v>-648</v>
      </c>
      <c r="Q286" s="4">
        <v>0</v>
      </c>
      <c r="R286" s="4">
        <v>0</v>
      </c>
      <c r="S286" s="4">
        <v>0</v>
      </c>
      <c r="T286" s="6">
        <f t="shared" si="97"/>
        <v>1034</v>
      </c>
      <c r="U286" s="7">
        <f t="shared" si="88"/>
        <v>1719</v>
      </c>
      <c r="V286" s="7">
        <f t="shared" si="89"/>
        <v>1527</v>
      </c>
      <c r="W286" s="7">
        <f t="shared" si="87"/>
        <v>1742</v>
      </c>
      <c r="X286" s="6"/>
      <c r="Y286" s="5"/>
      <c r="Z286" s="5"/>
      <c r="AA286" s="5"/>
      <c r="AB286" s="5"/>
    </row>
    <row r="287" spans="1:28" ht="13.15" customHeight="1">
      <c r="A287" s="12">
        <f t="shared" si="106"/>
        <v>273</v>
      </c>
      <c r="B287" s="11">
        <f t="shared" si="98"/>
        <v>45543</v>
      </c>
      <c r="C287" s="9">
        <f t="shared" si="99"/>
        <v>842</v>
      </c>
      <c r="D287" s="8">
        <f t="shared" si="90"/>
        <v>1721</v>
      </c>
      <c r="E287" s="4">
        <f t="shared" si="91"/>
        <v>-76</v>
      </c>
      <c r="F287" s="4">
        <f t="shared" si="92"/>
        <v>-64</v>
      </c>
      <c r="G287" s="4">
        <f t="shared" si="93"/>
        <v>211</v>
      </c>
      <c r="H287" s="5">
        <f t="shared" si="94"/>
        <v>2639</v>
      </c>
      <c r="I287" s="5">
        <f t="shared" si="95"/>
        <v>2627</v>
      </c>
      <c r="J287" s="5">
        <f t="shared" si="96"/>
        <v>2352</v>
      </c>
      <c r="K287" s="5">
        <f t="shared" si="103"/>
        <v>3000</v>
      </c>
      <c r="L287" s="5">
        <f t="shared" si="104"/>
        <v>3000</v>
      </c>
      <c r="M287" s="5">
        <f t="shared" si="105"/>
        <v>3000</v>
      </c>
      <c r="N287" s="5">
        <f t="shared" si="100"/>
        <v>-361</v>
      </c>
      <c r="O287" s="5">
        <f t="shared" si="101"/>
        <v>-373</v>
      </c>
      <c r="P287" s="5">
        <f t="shared" si="102"/>
        <v>-648</v>
      </c>
      <c r="Q287" s="4">
        <v>0</v>
      </c>
      <c r="R287" s="4">
        <v>0</v>
      </c>
      <c r="S287" s="4">
        <v>0</v>
      </c>
      <c r="T287" s="6">
        <f t="shared" si="97"/>
        <v>1036</v>
      </c>
      <c r="U287" s="7">
        <f t="shared" si="88"/>
        <v>1719</v>
      </c>
      <c r="V287" s="7">
        <f t="shared" si="89"/>
        <v>1527</v>
      </c>
      <c r="W287" s="7">
        <f t="shared" si="87"/>
        <v>1742</v>
      </c>
      <c r="X287" s="6"/>
      <c r="Y287" s="5"/>
      <c r="Z287" s="5"/>
      <c r="AA287" s="5"/>
      <c r="AB287" s="5"/>
    </row>
    <row r="288" spans="1:28" ht="13.15" customHeight="1">
      <c r="A288" s="12">
        <f t="shared" si="106"/>
        <v>274</v>
      </c>
      <c r="B288" s="11">
        <f t="shared" si="98"/>
        <v>45544</v>
      </c>
      <c r="C288" s="9">
        <f t="shared" si="99"/>
        <v>842</v>
      </c>
      <c r="D288" s="8">
        <f t="shared" si="90"/>
        <v>1723</v>
      </c>
      <c r="E288" s="4">
        <f t="shared" si="91"/>
        <v>-74</v>
      </c>
      <c r="F288" s="4">
        <f t="shared" si="92"/>
        <v>-62</v>
      </c>
      <c r="G288" s="4">
        <f t="shared" si="93"/>
        <v>213</v>
      </c>
      <c r="H288" s="5">
        <f t="shared" si="94"/>
        <v>2639</v>
      </c>
      <c r="I288" s="5">
        <f t="shared" si="95"/>
        <v>2627</v>
      </c>
      <c r="J288" s="5">
        <f t="shared" si="96"/>
        <v>2352</v>
      </c>
      <c r="K288" s="5">
        <f t="shared" si="103"/>
        <v>3000</v>
      </c>
      <c r="L288" s="5">
        <f t="shared" si="104"/>
        <v>3000</v>
      </c>
      <c r="M288" s="5">
        <f t="shared" si="105"/>
        <v>3000</v>
      </c>
      <c r="N288" s="5">
        <f t="shared" si="100"/>
        <v>-361</v>
      </c>
      <c r="O288" s="5">
        <f t="shared" si="101"/>
        <v>-373</v>
      </c>
      <c r="P288" s="5">
        <f t="shared" si="102"/>
        <v>-648</v>
      </c>
      <c r="Q288" s="4">
        <v>0</v>
      </c>
      <c r="R288" s="4">
        <v>0</v>
      </c>
      <c r="S288" s="4">
        <v>0</v>
      </c>
      <c r="T288" s="6">
        <f t="shared" si="97"/>
        <v>1038</v>
      </c>
      <c r="U288" s="7">
        <f t="shared" si="88"/>
        <v>1719</v>
      </c>
      <c r="V288" s="7">
        <f t="shared" si="89"/>
        <v>1527</v>
      </c>
      <c r="W288" s="7">
        <f t="shared" ref="W288:W351" si="107">W287+$X288*1000-S288</f>
        <v>1742</v>
      </c>
      <c r="X288" s="6"/>
      <c r="Y288" s="5"/>
      <c r="Z288" s="5"/>
      <c r="AA288" s="5"/>
      <c r="AB288" s="5"/>
    </row>
    <row r="289" spans="1:28" ht="13.15" customHeight="1">
      <c r="A289" s="12">
        <f t="shared" si="106"/>
        <v>275</v>
      </c>
      <c r="B289" s="11">
        <f t="shared" si="98"/>
        <v>45545</v>
      </c>
      <c r="C289" s="9">
        <f t="shared" si="99"/>
        <v>842</v>
      </c>
      <c r="D289" s="8">
        <f t="shared" si="90"/>
        <v>1725</v>
      </c>
      <c r="E289" s="4">
        <f t="shared" si="91"/>
        <v>-72</v>
      </c>
      <c r="F289" s="4">
        <f t="shared" si="92"/>
        <v>-60</v>
      </c>
      <c r="G289" s="4">
        <f t="shared" si="93"/>
        <v>215</v>
      </c>
      <c r="H289" s="5">
        <f t="shared" si="94"/>
        <v>2639</v>
      </c>
      <c r="I289" s="5">
        <f t="shared" si="95"/>
        <v>2627</v>
      </c>
      <c r="J289" s="5">
        <f t="shared" si="96"/>
        <v>2352</v>
      </c>
      <c r="K289" s="5">
        <f t="shared" si="103"/>
        <v>3000</v>
      </c>
      <c r="L289" s="5">
        <f t="shared" si="104"/>
        <v>3000</v>
      </c>
      <c r="M289" s="5">
        <f t="shared" si="105"/>
        <v>3000</v>
      </c>
      <c r="N289" s="5">
        <f t="shared" si="100"/>
        <v>-361</v>
      </c>
      <c r="O289" s="5">
        <f t="shared" si="101"/>
        <v>-373</v>
      </c>
      <c r="P289" s="5">
        <f t="shared" si="102"/>
        <v>-648</v>
      </c>
      <c r="Q289" s="4">
        <v>0</v>
      </c>
      <c r="R289" s="4">
        <v>0</v>
      </c>
      <c r="S289" s="4">
        <v>0</v>
      </c>
      <c r="T289" s="6">
        <f t="shared" si="97"/>
        <v>1040</v>
      </c>
      <c r="U289" s="7">
        <f t="shared" si="88"/>
        <v>1719</v>
      </c>
      <c r="V289" s="7">
        <f t="shared" si="89"/>
        <v>1527</v>
      </c>
      <c r="W289" s="7">
        <f t="shared" si="107"/>
        <v>1742</v>
      </c>
      <c r="X289" s="6"/>
      <c r="Y289" s="5"/>
      <c r="Z289" s="5"/>
      <c r="AA289" s="5"/>
      <c r="AB289" s="5"/>
    </row>
    <row r="290" spans="1:28" ht="13.15" customHeight="1">
      <c r="A290" s="12">
        <f t="shared" si="106"/>
        <v>276</v>
      </c>
      <c r="B290" s="11">
        <f t="shared" si="98"/>
        <v>45546</v>
      </c>
      <c r="C290" s="9">
        <f t="shared" si="99"/>
        <v>842</v>
      </c>
      <c r="D290" s="8">
        <f t="shared" si="90"/>
        <v>1727</v>
      </c>
      <c r="E290" s="4">
        <f t="shared" si="91"/>
        <v>-70</v>
      </c>
      <c r="F290" s="4">
        <f t="shared" si="92"/>
        <v>-58</v>
      </c>
      <c r="G290" s="4">
        <f t="shared" si="93"/>
        <v>217</v>
      </c>
      <c r="H290" s="5">
        <f t="shared" si="94"/>
        <v>2639</v>
      </c>
      <c r="I290" s="5">
        <f t="shared" si="95"/>
        <v>2627</v>
      </c>
      <c r="J290" s="5">
        <f t="shared" si="96"/>
        <v>2352</v>
      </c>
      <c r="K290" s="5">
        <f t="shared" si="103"/>
        <v>3000</v>
      </c>
      <c r="L290" s="5">
        <f t="shared" si="104"/>
        <v>3000</v>
      </c>
      <c r="M290" s="5">
        <f t="shared" si="105"/>
        <v>3000</v>
      </c>
      <c r="N290" s="5">
        <f t="shared" si="100"/>
        <v>-361</v>
      </c>
      <c r="O290" s="5">
        <f t="shared" si="101"/>
        <v>-373</v>
      </c>
      <c r="P290" s="5">
        <f t="shared" si="102"/>
        <v>-648</v>
      </c>
      <c r="Q290" s="4">
        <v>0</v>
      </c>
      <c r="R290" s="4">
        <v>0</v>
      </c>
      <c r="S290" s="4">
        <v>0</v>
      </c>
      <c r="T290" s="6">
        <f t="shared" si="97"/>
        <v>1042</v>
      </c>
      <c r="U290" s="7">
        <f t="shared" si="88"/>
        <v>1719</v>
      </c>
      <c r="V290" s="7">
        <f t="shared" si="89"/>
        <v>1527</v>
      </c>
      <c r="W290" s="7">
        <f t="shared" si="107"/>
        <v>1742</v>
      </c>
      <c r="X290" s="6"/>
      <c r="Y290" s="5"/>
      <c r="Z290" s="5"/>
      <c r="AA290" s="5"/>
      <c r="AB290" s="5"/>
    </row>
    <row r="291" spans="1:28" ht="13.15" customHeight="1">
      <c r="A291" s="12">
        <f t="shared" si="106"/>
        <v>277</v>
      </c>
      <c r="B291" s="11">
        <f t="shared" si="98"/>
        <v>45547</v>
      </c>
      <c r="C291" s="9">
        <f t="shared" si="99"/>
        <v>842</v>
      </c>
      <c r="D291" s="8">
        <f t="shared" si="90"/>
        <v>1729</v>
      </c>
      <c r="E291" s="4">
        <f t="shared" si="91"/>
        <v>-68</v>
      </c>
      <c r="F291" s="4">
        <f t="shared" si="92"/>
        <v>-56</v>
      </c>
      <c r="G291" s="4">
        <f t="shared" si="93"/>
        <v>219</v>
      </c>
      <c r="H291" s="5">
        <f t="shared" si="94"/>
        <v>2639</v>
      </c>
      <c r="I291" s="5">
        <f t="shared" si="95"/>
        <v>2627</v>
      </c>
      <c r="J291" s="5">
        <f t="shared" si="96"/>
        <v>2352</v>
      </c>
      <c r="K291" s="5">
        <f t="shared" si="103"/>
        <v>3000</v>
      </c>
      <c r="L291" s="5">
        <f t="shared" si="104"/>
        <v>3000</v>
      </c>
      <c r="M291" s="5">
        <f t="shared" si="105"/>
        <v>3000</v>
      </c>
      <c r="N291" s="5">
        <f t="shared" si="100"/>
        <v>-361</v>
      </c>
      <c r="O291" s="5">
        <f t="shared" si="101"/>
        <v>-373</v>
      </c>
      <c r="P291" s="5">
        <f t="shared" si="102"/>
        <v>-648</v>
      </c>
      <c r="Q291" s="4">
        <v>0</v>
      </c>
      <c r="R291" s="4">
        <v>0</v>
      </c>
      <c r="S291" s="4">
        <v>0</v>
      </c>
      <c r="T291" s="6">
        <f t="shared" si="97"/>
        <v>1044</v>
      </c>
      <c r="U291" s="7">
        <f t="shared" si="88"/>
        <v>1719</v>
      </c>
      <c r="V291" s="7">
        <f t="shared" si="89"/>
        <v>1527</v>
      </c>
      <c r="W291" s="7">
        <f t="shared" si="107"/>
        <v>1742</v>
      </c>
      <c r="X291" s="6"/>
      <c r="Y291" s="5"/>
      <c r="Z291" s="5"/>
      <c r="AA291" s="5"/>
      <c r="AB291" s="5"/>
    </row>
    <row r="292" spans="1:28" ht="13.15" customHeight="1">
      <c r="A292" s="12">
        <f t="shared" si="106"/>
        <v>278</v>
      </c>
      <c r="B292" s="11">
        <f t="shared" si="98"/>
        <v>45548</v>
      </c>
      <c r="C292" s="9">
        <f t="shared" si="99"/>
        <v>842</v>
      </c>
      <c r="D292" s="8">
        <f t="shared" si="90"/>
        <v>1731</v>
      </c>
      <c r="E292" s="4">
        <f t="shared" si="91"/>
        <v>-66</v>
      </c>
      <c r="F292" s="4">
        <f t="shared" si="92"/>
        <v>-54</v>
      </c>
      <c r="G292" s="4">
        <f t="shared" si="93"/>
        <v>221</v>
      </c>
      <c r="H292" s="5">
        <f t="shared" si="94"/>
        <v>2639</v>
      </c>
      <c r="I292" s="5">
        <f t="shared" si="95"/>
        <v>2627</v>
      </c>
      <c r="J292" s="5">
        <f t="shared" si="96"/>
        <v>2352</v>
      </c>
      <c r="K292" s="5">
        <f t="shared" si="103"/>
        <v>3000</v>
      </c>
      <c r="L292" s="5">
        <f t="shared" si="104"/>
        <v>3000</v>
      </c>
      <c r="M292" s="5">
        <f t="shared" si="105"/>
        <v>3000</v>
      </c>
      <c r="N292" s="5">
        <f t="shared" si="100"/>
        <v>-361</v>
      </c>
      <c r="O292" s="5">
        <f t="shared" si="101"/>
        <v>-373</v>
      </c>
      <c r="P292" s="5">
        <f t="shared" si="102"/>
        <v>-648</v>
      </c>
      <c r="Q292" s="4">
        <v>0</v>
      </c>
      <c r="R292" s="4">
        <v>0</v>
      </c>
      <c r="S292" s="4">
        <v>0</v>
      </c>
      <c r="T292" s="6">
        <f t="shared" si="97"/>
        <v>1046</v>
      </c>
      <c r="U292" s="7">
        <f t="shared" si="88"/>
        <v>1719</v>
      </c>
      <c r="V292" s="7">
        <f t="shared" si="89"/>
        <v>1527</v>
      </c>
      <c r="W292" s="7">
        <f t="shared" si="107"/>
        <v>1742</v>
      </c>
      <c r="X292" s="6"/>
      <c r="Y292" s="5"/>
      <c r="Z292" s="5"/>
      <c r="AA292" s="5"/>
      <c r="AB292" s="5"/>
    </row>
    <row r="293" spans="1:28" ht="13.15" customHeight="1">
      <c r="A293" s="12">
        <f t="shared" si="106"/>
        <v>279</v>
      </c>
      <c r="B293" s="11">
        <f t="shared" si="98"/>
        <v>45549</v>
      </c>
      <c r="C293" s="9">
        <f t="shared" si="99"/>
        <v>842</v>
      </c>
      <c r="D293" s="8">
        <f t="shared" si="90"/>
        <v>1733</v>
      </c>
      <c r="E293" s="4">
        <f t="shared" si="91"/>
        <v>-64</v>
      </c>
      <c r="F293" s="4">
        <f t="shared" si="92"/>
        <v>-52</v>
      </c>
      <c r="G293" s="4">
        <f t="shared" si="93"/>
        <v>223</v>
      </c>
      <c r="H293" s="5">
        <f t="shared" si="94"/>
        <v>2639</v>
      </c>
      <c r="I293" s="5">
        <f t="shared" si="95"/>
        <v>2627</v>
      </c>
      <c r="J293" s="5">
        <f t="shared" si="96"/>
        <v>2352</v>
      </c>
      <c r="K293" s="5">
        <f t="shared" si="103"/>
        <v>3000</v>
      </c>
      <c r="L293" s="5">
        <f t="shared" si="104"/>
        <v>3000</v>
      </c>
      <c r="M293" s="5">
        <f t="shared" si="105"/>
        <v>3000</v>
      </c>
      <c r="N293" s="5">
        <f t="shared" si="100"/>
        <v>-361</v>
      </c>
      <c r="O293" s="5">
        <f t="shared" si="101"/>
        <v>-373</v>
      </c>
      <c r="P293" s="5">
        <f t="shared" si="102"/>
        <v>-648</v>
      </c>
      <c r="Q293" s="4">
        <v>0</v>
      </c>
      <c r="R293" s="4">
        <v>0</v>
      </c>
      <c r="S293" s="4">
        <v>0</v>
      </c>
      <c r="T293" s="6">
        <f t="shared" si="97"/>
        <v>1048</v>
      </c>
      <c r="U293" s="7">
        <f t="shared" si="88"/>
        <v>1719</v>
      </c>
      <c r="V293" s="7">
        <f t="shared" si="89"/>
        <v>1527</v>
      </c>
      <c r="W293" s="7">
        <f t="shared" si="107"/>
        <v>1742</v>
      </c>
      <c r="X293" s="6"/>
      <c r="Y293" s="5"/>
      <c r="Z293" s="5"/>
      <c r="AA293" s="5"/>
      <c r="AB293" s="5"/>
    </row>
    <row r="294" spans="1:28" ht="13.15" customHeight="1">
      <c r="A294" s="12">
        <f t="shared" si="106"/>
        <v>280</v>
      </c>
      <c r="B294" s="11">
        <f t="shared" si="98"/>
        <v>45550</v>
      </c>
      <c r="C294" s="9">
        <f t="shared" si="99"/>
        <v>842</v>
      </c>
      <c r="D294" s="8">
        <f t="shared" si="90"/>
        <v>1735</v>
      </c>
      <c r="E294" s="4">
        <f t="shared" si="91"/>
        <v>-62</v>
      </c>
      <c r="F294" s="4">
        <f t="shared" si="92"/>
        <v>-50</v>
      </c>
      <c r="G294" s="4">
        <f t="shared" si="93"/>
        <v>225</v>
      </c>
      <c r="H294" s="5">
        <f t="shared" si="94"/>
        <v>2639</v>
      </c>
      <c r="I294" s="5">
        <f t="shared" si="95"/>
        <v>2627</v>
      </c>
      <c r="J294" s="5">
        <f t="shared" si="96"/>
        <v>2352</v>
      </c>
      <c r="K294" s="5">
        <f t="shared" si="103"/>
        <v>3000</v>
      </c>
      <c r="L294" s="5">
        <f t="shared" si="104"/>
        <v>3000</v>
      </c>
      <c r="M294" s="5">
        <f t="shared" si="105"/>
        <v>3000</v>
      </c>
      <c r="N294" s="5">
        <f t="shared" si="100"/>
        <v>-361</v>
      </c>
      <c r="O294" s="5">
        <f t="shared" si="101"/>
        <v>-373</v>
      </c>
      <c r="P294" s="5">
        <f t="shared" si="102"/>
        <v>-648</v>
      </c>
      <c r="Q294" s="4">
        <v>0</v>
      </c>
      <c r="R294" s="4">
        <v>0</v>
      </c>
      <c r="S294" s="4">
        <v>0</v>
      </c>
      <c r="T294" s="6">
        <f t="shared" si="97"/>
        <v>1050</v>
      </c>
      <c r="U294" s="7">
        <f t="shared" ref="U294:U357" si="108">U293+$X294*1000-Q294</f>
        <v>1719</v>
      </c>
      <c r="V294" s="7">
        <f t="shared" ref="V294:V357" si="109">V293+$X294*1000-R294</f>
        <v>1527</v>
      </c>
      <c r="W294" s="7">
        <f t="shared" si="107"/>
        <v>1742</v>
      </c>
      <c r="X294" s="6"/>
      <c r="Y294" s="5"/>
      <c r="Z294" s="5"/>
      <c r="AA294" s="5"/>
      <c r="AB294" s="5"/>
    </row>
    <row r="295" spans="1:28" ht="13.15" customHeight="1">
      <c r="A295" s="12">
        <f t="shared" si="106"/>
        <v>281</v>
      </c>
      <c r="B295" s="11">
        <f t="shared" si="98"/>
        <v>45551</v>
      </c>
      <c r="C295" s="9">
        <f t="shared" si="99"/>
        <v>842</v>
      </c>
      <c r="D295" s="8">
        <f t="shared" si="90"/>
        <v>1737</v>
      </c>
      <c r="E295" s="4">
        <f t="shared" si="91"/>
        <v>-60</v>
      </c>
      <c r="F295" s="4">
        <f t="shared" si="92"/>
        <v>-48</v>
      </c>
      <c r="G295" s="4">
        <f t="shared" si="93"/>
        <v>227</v>
      </c>
      <c r="H295" s="5">
        <f t="shared" si="94"/>
        <v>2639</v>
      </c>
      <c r="I295" s="5">
        <f t="shared" si="95"/>
        <v>2627</v>
      </c>
      <c r="J295" s="5">
        <f t="shared" si="96"/>
        <v>2352</v>
      </c>
      <c r="K295" s="5">
        <f t="shared" si="103"/>
        <v>3000</v>
      </c>
      <c r="L295" s="5">
        <f t="shared" si="104"/>
        <v>3000</v>
      </c>
      <c r="M295" s="5">
        <f t="shared" si="105"/>
        <v>3000</v>
      </c>
      <c r="N295" s="5">
        <f t="shared" si="100"/>
        <v>-361</v>
      </c>
      <c r="O295" s="5">
        <f t="shared" si="101"/>
        <v>-373</v>
      </c>
      <c r="P295" s="5">
        <f t="shared" si="102"/>
        <v>-648</v>
      </c>
      <c r="Q295" s="4">
        <v>0</v>
      </c>
      <c r="R295" s="4">
        <v>0</v>
      </c>
      <c r="S295" s="4">
        <v>0</v>
      </c>
      <c r="T295" s="6">
        <f t="shared" si="97"/>
        <v>1052</v>
      </c>
      <c r="U295" s="7">
        <f t="shared" si="108"/>
        <v>1719</v>
      </c>
      <c r="V295" s="7">
        <f t="shared" si="109"/>
        <v>1527</v>
      </c>
      <c r="W295" s="7">
        <f t="shared" si="107"/>
        <v>1742</v>
      </c>
      <c r="X295" s="6"/>
      <c r="Y295" s="5"/>
      <c r="Z295" s="5"/>
      <c r="AA295" s="5"/>
      <c r="AB295" s="5"/>
    </row>
    <row r="296" spans="1:28" ht="13.15" customHeight="1">
      <c r="A296" s="12">
        <f t="shared" si="106"/>
        <v>282</v>
      </c>
      <c r="B296" s="11">
        <f t="shared" si="98"/>
        <v>45552</v>
      </c>
      <c r="C296" s="9">
        <f t="shared" si="99"/>
        <v>842</v>
      </c>
      <c r="D296" s="8">
        <f t="shared" si="90"/>
        <v>1739</v>
      </c>
      <c r="E296" s="4">
        <f t="shared" si="91"/>
        <v>-58</v>
      </c>
      <c r="F296" s="4">
        <f t="shared" si="92"/>
        <v>-46</v>
      </c>
      <c r="G296" s="4">
        <f t="shared" si="93"/>
        <v>229</v>
      </c>
      <c r="H296" s="5">
        <f t="shared" si="94"/>
        <v>2639</v>
      </c>
      <c r="I296" s="5">
        <f t="shared" si="95"/>
        <v>2627</v>
      </c>
      <c r="J296" s="5">
        <f t="shared" si="96"/>
        <v>2352</v>
      </c>
      <c r="K296" s="5">
        <f t="shared" si="103"/>
        <v>3000</v>
      </c>
      <c r="L296" s="5">
        <f t="shared" si="104"/>
        <v>3000</v>
      </c>
      <c r="M296" s="5">
        <f t="shared" si="105"/>
        <v>3000</v>
      </c>
      <c r="N296" s="5">
        <f t="shared" si="100"/>
        <v>-361</v>
      </c>
      <c r="O296" s="5">
        <f t="shared" si="101"/>
        <v>-373</v>
      </c>
      <c r="P296" s="5">
        <f t="shared" si="102"/>
        <v>-648</v>
      </c>
      <c r="Q296" s="4">
        <v>0</v>
      </c>
      <c r="R296" s="4">
        <v>0</v>
      </c>
      <c r="S296" s="4">
        <v>0</v>
      </c>
      <c r="T296" s="6">
        <f t="shared" si="97"/>
        <v>1054</v>
      </c>
      <c r="U296" s="7">
        <f t="shared" si="108"/>
        <v>1719</v>
      </c>
      <c r="V296" s="7">
        <f t="shared" si="109"/>
        <v>1527</v>
      </c>
      <c r="W296" s="7">
        <f t="shared" si="107"/>
        <v>1742</v>
      </c>
      <c r="X296" s="6"/>
      <c r="Y296" s="5"/>
      <c r="Z296" s="5"/>
      <c r="AA296" s="5"/>
      <c r="AB296" s="5"/>
    </row>
    <row r="297" spans="1:28" ht="13.15" customHeight="1">
      <c r="A297" s="12">
        <f t="shared" si="106"/>
        <v>283</v>
      </c>
      <c r="B297" s="11">
        <f t="shared" si="98"/>
        <v>45553</v>
      </c>
      <c r="C297" s="9">
        <f t="shared" si="99"/>
        <v>842</v>
      </c>
      <c r="D297" s="8">
        <f t="shared" si="90"/>
        <v>1741</v>
      </c>
      <c r="E297" s="4">
        <f t="shared" si="91"/>
        <v>-56</v>
      </c>
      <c r="F297" s="4">
        <f t="shared" si="92"/>
        <v>-44</v>
      </c>
      <c r="G297" s="4">
        <f t="shared" si="93"/>
        <v>231</v>
      </c>
      <c r="H297" s="5">
        <f t="shared" si="94"/>
        <v>2639</v>
      </c>
      <c r="I297" s="5">
        <f t="shared" si="95"/>
        <v>2627</v>
      </c>
      <c r="J297" s="5">
        <f t="shared" si="96"/>
        <v>2352</v>
      </c>
      <c r="K297" s="5">
        <f t="shared" si="103"/>
        <v>3000</v>
      </c>
      <c r="L297" s="5">
        <f t="shared" si="104"/>
        <v>3000</v>
      </c>
      <c r="M297" s="5">
        <f t="shared" si="105"/>
        <v>3000</v>
      </c>
      <c r="N297" s="5">
        <f t="shared" si="100"/>
        <v>-361</v>
      </c>
      <c r="O297" s="5">
        <f t="shared" si="101"/>
        <v>-373</v>
      </c>
      <c r="P297" s="5">
        <f t="shared" si="102"/>
        <v>-648</v>
      </c>
      <c r="Q297" s="4">
        <v>0</v>
      </c>
      <c r="R297" s="4">
        <v>0</v>
      </c>
      <c r="S297" s="4">
        <v>0</v>
      </c>
      <c r="T297" s="6">
        <f t="shared" si="97"/>
        <v>1056</v>
      </c>
      <c r="U297" s="7">
        <f t="shared" si="108"/>
        <v>1719</v>
      </c>
      <c r="V297" s="7">
        <f t="shared" si="109"/>
        <v>1527</v>
      </c>
      <c r="W297" s="7">
        <f t="shared" si="107"/>
        <v>1742</v>
      </c>
      <c r="X297" s="6"/>
      <c r="Y297" s="5"/>
      <c r="Z297" s="5"/>
      <c r="AA297" s="5"/>
      <c r="AB297" s="5"/>
    </row>
    <row r="298" spans="1:28" ht="13.15" customHeight="1">
      <c r="A298" s="12">
        <f t="shared" si="106"/>
        <v>284</v>
      </c>
      <c r="B298" s="11">
        <f t="shared" si="98"/>
        <v>45554</v>
      </c>
      <c r="C298" s="9">
        <f t="shared" si="99"/>
        <v>842</v>
      </c>
      <c r="D298" s="8">
        <f t="shared" si="90"/>
        <v>1743</v>
      </c>
      <c r="E298" s="4">
        <f t="shared" si="91"/>
        <v>-54</v>
      </c>
      <c r="F298" s="4">
        <f t="shared" si="92"/>
        <v>-42</v>
      </c>
      <c r="G298" s="4">
        <f t="shared" si="93"/>
        <v>233</v>
      </c>
      <c r="H298" s="5">
        <f t="shared" si="94"/>
        <v>2639</v>
      </c>
      <c r="I298" s="5">
        <f t="shared" si="95"/>
        <v>2627</v>
      </c>
      <c r="J298" s="5">
        <f t="shared" si="96"/>
        <v>2352</v>
      </c>
      <c r="K298" s="5">
        <f t="shared" si="103"/>
        <v>3000</v>
      </c>
      <c r="L298" s="5">
        <f t="shared" si="104"/>
        <v>3000</v>
      </c>
      <c r="M298" s="5">
        <f t="shared" si="105"/>
        <v>3000</v>
      </c>
      <c r="N298" s="5">
        <f t="shared" si="100"/>
        <v>-361</v>
      </c>
      <c r="O298" s="5">
        <f t="shared" si="101"/>
        <v>-373</v>
      </c>
      <c r="P298" s="5">
        <f t="shared" si="102"/>
        <v>-648</v>
      </c>
      <c r="Q298" s="4">
        <v>0</v>
      </c>
      <c r="R298" s="4">
        <v>0</v>
      </c>
      <c r="S298" s="4">
        <v>0</v>
      </c>
      <c r="T298" s="6">
        <f t="shared" si="97"/>
        <v>1058</v>
      </c>
      <c r="U298" s="7">
        <f t="shared" si="108"/>
        <v>1719</v>
      </c>
      <c r="V298" s="7">
        <f t="shared" si="109"/>
        <v>1527</v>
      </c>
      <c r="W298" s="7">
        <f t="shared" si="107"/>
        <v>1742</v>
      </c>
      <c r="X298" s="6"/>
      <c r="Y298" s="5"/>
      <c r="Z298" s="5"/>
      <c r="AA298" s="5"/>
      <c r="AB298" s="5"/>
    </row>
    <row r="299" spans="1:28" ht="13.15" customHeight="1">
      <c r="A299" s="12">
        <f t="shared" si="106"/>
        <v>285</v>
      </c>
      <c r="B299" s="11">
        <f t="shared" si="98"/>
        <v>45555</v>
      </c>
      <c r="C299" s="9">
        <f t="shared" si="99"/>
        <v>842</v>
      </c>
      <c r="D299" s="8">
        <f t="shared" si="90"/>
        <v>1745</v>
      </c>
      <c r="E299" s="4">
        <f t="shared" si="91"/>
        <v>-52</v>
      </c>
      <c r="F299" s="4">
        <f t="shared" si="92"/>
        <v>-40</v>
      </c>
      <c r="G299" s="4">
        <f t="shared" si="93"/>
        <v>235</v>
      </c>
      <c r="H299" s="5">
        <f t="shared" si="94"/>
        <v>2639</v>
      </c>
      <c r="I299" s="5">
        <f t="shared" si="95"/>
        <v>2627</v>
      </c>
      <c r="J299" s="5">
        <f t="shared" si="96"/>
        <v>2352</v>
      </c>
      <c r="K299" s="5">
        <f t="shared" si="103"/>
        <v>3000</v>
      </c>
      <c r="L299" s="5">
        <f t="shared" si="104"/>
        <v>3000</v>
      </c>
      <c r="M299" s="5">
        <f t="shared" si="105"/>
        <v>3000</v>
      </c>
      <c r="N299" s="5">
        <f t="shared" si="100"/>
        <v>-361</v>
      </c>
      <c r="O299" s="5">
        <f t="shared" si="101"/>
        <v>-373</v>
      </c>
      <c r="P299" s="5">
        <f t="shared" si="102"/>
        <v>-648</v>
      </c>
      <c r="Q299" s="4">
        <v>0</v>
      </c>
      <c r="R299" s="4">
        <v>0</v>
      </c>
      <c r="S299" s="4">
        <v>0</v>
      </c>
      <c r="T299" s="6">
        <f t="shared" si="97"/>
        <v>1060</v>
      </c>
      <c r="U299" s="7">
        <f t="shared" si="108"/>
        <v>1719</v>
      </c>
      <c r="V299" s="7">
        <f t="shared" si="109"/>
        <v>1527</v>
      </c>
      <c r="W299" s="7">
        <f t="shared" si="107"/>
        <v>1742</v>
      </c>
      <c r="X299" s="6"/>
      <c r="Y299" s="5"/>
      <c r="Z299" s="5"/>
      <c r="AA299" s="5"/>
      <c r="AB299" s="5"/>
    </row>
    <row r="300" spans="1:28" ht="13.15" customHeight="1">
      <c r="A300" s="12">
        <f t="shared" si="106"/>
        <v>286</v>
      </c>
      <c r="B300" s="11">
        <f t="shared" si="98"/>
        <v>45556</v>
      </c>
      <c r="C300" s="9">
        <f t="shared" si="99"/>
        <v>842</v>
      </c>
      <c r="D300" s="8">
        <f t="shared" si="90"/>
        <v>1747</v>
      </c>
      <c r="E300" s="4">
        <f t="shared" si="91"/>
        <v>-50</v>
      </c>
      <c r="F300" s="4">
        <f t="shared" si="92"/>
        <v>-38</v>
      </c>
      <c r="G300" s="4">
        <f t="shared" si="93"/>
        <v>237</v>
      </c>
      <c r="H300" s="5">
        <f t="shared" si="94"/>
        <v>2639</v>
      </c>
      <c r="I300" s="5">
        <f t="shared" si="95"/>
        <v>2627</v>
      </c>
      <c r="J300" s="5">
        <f t="shared" si="96"/>
        <v>2352</v>
      </c>
      <c r="K300" s="5">
        <f t="shared" si="103"/>
        <v>3000</v>
      </c>
      <c r="L300" s="5">
        <f t="shared" si="104"/>
        <v>3000</v>
      </c>
      <c r="M300" s="5">
        <f t="shared" si="105"/>
        <v>3000</v>
      </c>
      <c r="N300" s="5">
        <f t="shared" si="100"/>
        <v>-361</v>
      </c>
      <c r="O300" s="5">
        <f t="shared" si="101"/>
        <v>-373</v>
      </c>
      <c r="P300" s="5">
        <f t="shared" si="102"/>
        <v>-648</v>
      </c>
      <c r="Q300" s="4">
        <v>0</v>
      </c>
      <c r="R300" s="4">
        <v>0</v>
      </c>
      <c r="S300" s="4">
        <v>0</v>
      </c>
      <c r="T300" s="6">
        <f t="shared" si="97"/>
        <v>1062</v>
      </c>
      <c r="U300" s="7">
        <f t="shared" si="108"/>
        <v>1719</v>
      </c>
      <c r="V300" s="7">
        <f t="shared" si="109"/>
        <v>1527</v>
      </c>
      <c r="W300" s="7">
        <f t="shared" si="107"/>
        <v>1742</v>
      </c>
      <c r="X300" s="6"/>
      <c r="Y300" s="5"/>
      <c r="Z300" s="5"/>
      <c r="AA300" s="5"/>
      <c r="AB300" s="5"/>
    </row>
    <row r="301" spans="1:28" ht="13.15" customHeight="1">
      <c r="A301" s="12">
        <f t="shared" si="106"/>
        <v>287</v>
      </c>
      <c r="B301" s="11">
        <f t="shared" si="98"/>
        <v>45557</v>
      </c>
      <c r="C301" s="9">
        <f t="shared" si="99"/>
        <v>842</v>
      </c>
      <c r="D301" s="8">
        <f t="shared" si="90"/>
        <v>1749</v>
      </c>
      <c r="E301" s="4">
        <f t="shared" si="91"/>
        <v>-48</v>
      </c>
      <c r="F301" s="4">
        <f t="shared" si="92"/>
        <v>-36</v>
      </c>
      <c r="G301" s="4">
        <f t="shared" si="93"/>
        <v>239</v>
      </c>
      <c r="H301" s="5">
        <f t="shared" si="94"/>
        <v>2639</v>
      </c>
      <c r="I301" s="5">
        <f t="shared" si="95"/>
        <v>2627</v>
      </c>
      <c r="J301" s="5">
        <f t="shared" si="96"/>
        <v>2352</v>
      </c>
      <c r="K301" s="5">
        <f t="shared" si="103"/>
        <v>3000</v>
      </c>
      <c r="L301" s="5">
        <f t="shared" si="104"/>
        <v>3000</v>
      </c>
      <c r="M301" s="5">
        <f t="shared" si="105"/>
        <v>3000</v>
      </c>
      <c r="N301" s="5">
        <f t="shared" si="100"/>
        <v>-361</v>
      </c>
      <c r="O301" s="5">
        <f t="shared" si="101"/>
        <v>-373</v>
      </c>
      <c r="P301" s="5">
        <f t="shared" si="102"/>
        <v>-648</v>
      </c>
      <c r="Q301" s="4">
        <v>0</v>
      </c>
      <c r="R301" s="4">
        <v>0</v>
      </c>
      <c r="S301" s="4">
        <v>0</v>
      </c>
      <c r="T301" s="6">
        <f t="shared" si="97"/>
        <v>1064</v>
      </c>
      <c r="U301" s="7">
        <f t="shared" si="108"/>
        <v>1719</v>
      </c>
      <c r="V301" s="7">
        <f t="shared" si="109"/>
        <v>1527</v>
      </c>
      <c r="W301" s="7">
        <f t="shared" si="107"/>
        <v>1742</v>
      </c>
      <c r="X301" s="6"/>
      <c r="Y301" s="5"/>
      <c r="Z301" s="5"/>
      <c r="AA301" s="5"/>
      <c r="AB301" s="5"/>
    </row>
    <row r="302" spans="1:28" ht="13.15" customHeight="1">
      <c r="A302" s="12">
        <f t="shared" si="106"/>
        <v>288</v>
      </c>
      <c r="B302" s="11">
        <f t="shared" si="98"/>
        <v>45558</v>
      </c>
      <c r="C302" s="9">
        <f t="shared" si="99"/>
        <v>842</v>
      </c>
      <c r="D302" s="8">
        <f t="shared" si="90"/>
        <v>1751</v>
      </c>
      <c r="E302" s="4">
        <f t="shared" si="91"/>
        <v>-46</v>
      </c>
      <c r="F302" s="4">
        <f t="shared" si="92"/>
        <v>-34</v>
      </c>
      <c r="G302" s="4">
        <f t="shared" si="93"/>
        <v>241</v>
      </c>
      <c r="H302" s="5">
        <f t="shared" si="94"/>
        <v>2639</v>
      </c>
      <c r="I302" s="5">
        <f t="shared" si="95"/>
        <v>2627</v>
      </c>
      <c r="J302" s="5">
        <f t="shared" si="96"/>
        <v>2352</v>
      </c>
      <c r="K302" s="5">
        <f t="shared" si="103"/>
        <v>3000</v>
      </c>
      <c r="L302" s="5">
        <f t="shared" si="104"/>
        <v>3000</v>
      </c>
      <c r="M302" s="5">
        <f t="shared" si="105"/>
        <v>3000</v>
      </c>
      <c r="N302" s="5">
        <f t="shared" si="100"/>
        <v>-361</v>
      </c>
      <c r="O302" s="5">
        <f t="shared" si="101"/>
        <v>-373</v>
      </c>
      <c r="P302" s="5">
        <f t="shared" si="102"/>
        <v>-648</v>
      </c>
      <c r="Q302" s="4">
        <v>0</v>
      </c>
      <c r="R302" s="4">
        <v>0</v>
      </c>
      <c r="S302" s="4">
        <v>0</v>
      </c>
      <c r="T302" s="6">
        <f t="shared" si="97"/>
        <v>1066</v>
      </c>
      <c r="U302" s="7">
        <f t="shared" si="108"/>
        <v>1719</v>
      </c>
      <c r="V302" s="7">
        <f t="shared" si="109"/>
        <v>1527</v>
      </c>
      <c r="W302" s="7">
        <f t="shared" si="107"/>
        <v>1742</v>
      </c>
      <c r="X302" s="6"/>
      <c r="Y302" s="5"/>
      <c r="Z302" s="5"/>
      <c r="AA302" s="5"/>
      <c r="AB302" s="5"/>
    </row>
    <row r="303" spans="1:28" ht="13.15" customHeight="1">
      <c r="A303" s="12">
        <f t="shared" si="106"/>
        <v>289</v>
      </c>
      <c r="B303" s="11">
        <f t="shared" si="98"/>
        <v>45559</v>
      </c>
      <c r="C303" s="9">
        <f t="shared" si="99"/>
        <v>842</v>
      </c>
      <c r="D303" s="8">
        <f t="shared" si="90"/>
        <v>1753</v>
      </c>
      <c r="E303" s="4">
        <f t="shared" si="91"/>
        <v>-44</v>
      </c>
      <c r="F303" s="4">
        <f t="shared" si="92"/>
        <v>-32</v>
      </c>
      <c r="G303" s="4">
        <f t="shared" si="93"/>
        <v>243</v>
      </c>
      <c r="H303" s="5">
        <f t="shared" si="94"/>
        <v>2639</v>
      </c>
      <c r="I303" s="5">
        <f t="shared" si="95"/>
        <v>2627</v>
      </c>
      <c r="J303" s="5">
        <f t="shared" si="96"/>
        <v>2352</v>
      </c>
      <c r="K303" s="5">
        <f t="shared" si="103"/>
        <v>3000</v>
      </c>
      <c r="L303" s="5">
        <f t="shared" si="104"/>
        <v>3000</v>
      </c>
      <c r="M303" s="5">
        <f t="shared" si="105"/>
        <v>3000</v>
      </c>
      <c r="N303" s="5">
        <f t="shared" si="100"/>
        <v>-361</v>
      </c>
      <c r="O303" s="5">
        <f t="shared" si="101"/>
        <v>-373</v>
      </c>
      <c r="P303" s="5">
        <f t="shared" si="102"/>
        <v>-648</v>
      </c>
      <c r="Q303" s="4">
        <v>0</v>
      </c>
      <c r="R303" s="4">
        <v>0</v>
      </c>
      <c r="S303" s="4">
        <v>0</v>
      </c>
      <c r="T303" s="6">
        <f t="shared" si="97"/>
        <v>1068</v>
      </c>
      <c r="U303" s="7">
        <f t="shared" si="108"/>
        <v>1719</v>
      </c>
      <c r="V303" s="7">
        <f t="shared" si="109"/>
        <v>1527</v>
      </c>
      <c r="W303" s="7">
        <f t="shared" si="107"/>
        <v>1742</v>
      </c>
      <c r="X303" s="6"/>
      <c r="Y303" s="5"/>
      <c r="Z303" s="5"/>
      <c r="AA303" s="5"/>
      <c r="AB303" s="5"/>
    </row>
    <row r="304" spans="1:28" ht="13.15" customHeight="1">
      <c r="A304" s="12">
        <f t="shared" si="106"/>
        <v>290</v>
      </c>
      <c r="B304" s="11">
        <f t="shared" si="98"/>
        <v>45560</v>
      </c>
      <c r="C304" s="9">
        <f t="shared" si="99"/>
        <v>842</v>
      </c>
      <c r="D304" s="8">
        <f t="shared" si="90"/>
        <v>1755</v>
      </c>
      <c r="E304" s="4">
        <f t="shared" si="91"/>
        <v>-42</v>
      </c>
      <c r="F304" s="4">
        <f t="shared" si="92"/>
        <v>-30</v>
      </c>
      <c r="G304" s="4">
        <f t="shared" si="93"/>
        <v>245</v>
      </c>
      <c r="H304" s="5">
        <f t="shared" si="94"/>
        <v>2639</v>
      </c>
      <c r="I304" s="5">
        <f t="shared" si="95"/>
        <v>2627</v>
      </c>
      <c r="J304" s="5">
        <f t="shared" si="96"/>
        <v>2352</v>
      </c>
      <c r="K304" s="5">
        <f t="shared" si="103"/>
        <v>3000</v>
      </c>
      <c r="L304" s="5">
        <f t="shared" si="104"/>
        <v>3000</v>
      </c>
      <c r="M304" s="5">
        <f t="shared" si="105"/>
        <v>3000</v>
      </c>
      <c r="N304" s="5">
        <f t="shared" si="100"/>
        <v>-361</v>
      </c>
      <c r="O304" s="5">
        <f t="shared" si="101"/>
        <v>-373</v>
      </c>
      <c r="P304" s="5">
        <f t="shared" si="102"/>
        <v>-648</v>
      </c>
      <c r="Q304" s="4">
        <v>0</v>
      </c>
      <c r="R304" s="4">
        <v>0</v>
      </c>
      <c r="S304" s="4">
        <v>0</v>
      </c>
      <c r="T304" s="6">
        <f t="shared" si="97"/>
        <v>1070</v>
      </c>
      <c r="U304" s="7">
        <f t="shared" si="108"/>
        <v>1719</v>
      </c>
      <c r="V304" s="7">
        <f t="shared" si="109"/>
        <v>1527</v>
      </c>
      <c r="W304" s="7">
        <f t="shared" si="107"/>
        <v>1742</v>
      </c>
      <c r="X304" s="6"/>
      <c r="Y304" s="5"/>
      <c r="Z304" s="5"/>
      <c r="AA304" s="5"/>
      <c r="AB304" s="5"/>
    </row>
    <row r="305" spans="1:28" ht="13.15" customHeight="1">
      <c r="A305" s="12">
        <f t="shared" si="106"/>
        <v>291</v>
      </c>
      <c r="B305" s="11">
        <f t="shared" si="98"/>
        <v>45561</v>
      </c>
      <c r="C305" s="9">
        <f t="shared" si="99"/>
        <v>842</v>
      </c>
      <c r="D305" s="8">
        <f t="shared" si="90"/>
        <v>1757</v>
      </c>
      <c r="E305" s="4">
        <f t="shared" si="91"/>
        <v>-40</v>
      </c>
      <c r="F305" s="4">
        <f t="shared" si="92"/>
        <v>-28</v>
      </c>
      <c r="G305" s="4">
        <f t="shared" si="93"/>
        <v>247</v>
      </c>
      <c r="H305" s="5">
        <f t="shared" si="94"/>
        <v>2639</v>
      </c>
      <c r="I305" s="5">
        <f t="shared" si="95"/>
        <v>2627</v>
      </c>
      <c r="J305" s="5">
        <f t="shared" si="96"/>
        <v>2352</v>
      </c>
      <c r="K305" s="5">
        <f t="shared" si="103"/>
        <v>3000</v>
      </c>
      <c r="L305" s="5">
        <f t="shared" si="104"/>
        <v>3000</v>
      </c>
      <c r="M305" s="5">
        <f t="shared" si="105"/>
        <v>3000</v>
      </c>
      <c r="N305" s="5">
        <f t="shared" si="100"/>
        <v>-361</v>
      </c>
      <c r="O305" s="5">
        <f t="shared" si="101"/>
        <v>-373</v>
      </c>
      <c r="P305" s="5">
        <f t="shared" si="102"/>
        <v>-648</v>
      </c>
      <c r="Q305" s="4">
        <v>0</v>
      </c>
      <c r="R305" s="4">
        <v>0</v>
      </c>
      <c r="S305" s="4">
        <v>0</v>
      </c>
      <c r="T305" s="6">
        <f t="shared" si="97"/>
        <v>1072</v>
      </c>
      <c r="U305" s="7">
        <f t="shared" si="108"/>
        <v>1719</v>
      </c>
      <c r="V305" s="7">
        <f t="shared" si="109"/>
        <v>1527</v>
      </c>
      <c r="W305" s="7">
        <f t="shared" si="107"/>
        <v>1742</v>
      </c>
      <c r="X305" s="6"/>
      <c r="Y305" s="5"/>
      <c r="Z305" s="5"/>
      <c r="AA305" s="5"/>
      <c r="AB305" s="5"/>
    </row>
    <row r="306" spans="1:28" ht="13.15" customHeight="1">
      <c r="A306" s="12">
        <f t="shared" si="106"/>
        <v>292</v>
      </c>
      <c r="B306" s="11">
        <f t="shared" si="98"/>
        <v>45562</v>
      </c>
      <c r="C306" s="9">
        <f t="shared" si="99"/>
        <v>842</v>
      </c>
      <c r="D306" s="8">
        <f t="shared" si="90"/>
        <v>1759</v>
      </c>
      <c r="E306" s="4">
        <f t="shared" si="91"/>
        <v>-38</v>
      </c>
      <c r="F306" s="4">
        <f t="shared" si="92"/>
        <v>-26</v>
      </c>
      <c r="G306" s="4">
        <f t="shared" si="93"/>
        <v>249</v>
      </c>
      <c r="H306" s="5">
        <f t="shared" si="94"/>
        <v>2639</v>
      </c>
      <c r="I306" s="5">
        <f t="shared" si="95"/>
        <v>2627</v>
      </c>
      <c r="J306" s="5">
        <f t="shared" si="96"/>
        <v>2352</v>
      </c>
      <c r="K306" s="5">
        <f t="shared" si="103"/>
        <v>3000</v>
      </c>
      <c r="L306" s="5">
        <f t="shared" si="104"/>
        <v>3000</v>
      </c>
      <c r="M306" s="5">
        <f t="shared" si="105"/>
        <v>3000</v>
      </c>
      <c r="N306" s="5">
        <f t="shared" si="100"/>
        <v>-361</v>
      </c>
      <c r="O306" s="5">
        <f t="shared" si="101"/>
        <v>-373</v>
      </c>
      <c r="P306" s="5">
        <f t="shared" si="102"/>
        <v>-648</v>
      </c>
      <c r="Q306" s="4">
        <v>0</v>
      </c>
      <c r="R306" s="4">
        <v>0</v>
      </c>
      <c r="S306" s="4">
        <v>0</v>
      </c>
      <c r="T306" s="6">
        <f t="shared" si="97"/>
        <v>1074</v>
      </c>
      <c r="U306" s="7">
        <f t="shared" si="108"/>
        <v>1719</v>
      </c>
      <c r="V306" s="7">
        <f t="shared" si="109"/>
        <v>1527</v>
      </c>
      <c r="W306" s="7">
        <f t="shared" si="107"/>
        <v>1742</v>
      </c>
      <c r="X306" s="6"/>
      <c r="Y306" s="5"/>
      <c r="Z306" s="5"/>
      <c r="AA306" s="5"/>
      <c r="AB306" s="5"/>
    </row>
    <row r="307" spans="1:28" ht="13.15" customHeight="1">
      <c r="A307" s="12">
        <f t="shared" si="106"/>
        <v>293</v>
      </c>
      <c r="B307" s="11">
        <f t="shared" si="98"/>
        <v>45563</v>
      </c>
      <c r="C307" s="9">
        <f t="shared" si="99"/>
        <v>842</v>
      </c>
      <c r="D307" s="8">
        <f t="shared" si="90"/>
        <v>1761</v>
      </c>
      <c r="E307" s="4">
        <f t="shared" si="91"/>
        <v>-36</v>
      </c>
      <c r="F307" s="4">
        <f t="shared" si="92"/>
        <v>-24</v>
      </c>
      <c r="G307" s="4">
        <f t="shared" si="93"/>
        <v>251</v>
      </c>
      <c r="H307" s="5">
        <f t="shared" si="94"/>
        <v>2639</v>
      </c>
      <c r="I307" s="5">
        <f t="shared" si="95"/>
        <v>2627</v>
      </c>
      <c r="J307" s="5">
        <f t="shared" si="96"/>
        <v>2352</v>
      </c>
      <c r="K307" s="5">
        <f t="shared" si="103"/>
        <v>3000</v>
      </c>
      <c r="L307" s="5">
        <f t="shared" si="104"/>
        <v>3000</v>
      </c>
      <c r="M307" s="5">
        <f t="shared" si="105"/>
        <v>3000</v>
      </c>
      <c r="N307" s="5">
        <f t="shared" si="100"/>
        <v>-361</v>
      </c>
      <c r="O307" s="5">
        <f t="shared" si="101"/>
        <v>-373</v>
      </c>
      <c r="P307" s="5">
        <f t="shared" si="102"/>
        <v>-648</v>
      </c>
      <c r="Q307" s="4">
        <v>0</v>
      </c>
      <c r="R307" s="4">
        <v>0</v>
      </c>
      <c r="S307" s="4">
        <v>0</v>
      </c>
      <c r="T307" s="6">
        <f t="shared" si="97"/>
        <v>1076</v>
      </c>
      <c r="U307" s="7">
        <f t="shared" si="108"/>
        <v>1719</v>
      </c>
      <c r="V307" s="7">
        <f t="shared" si="109"/>
        <v>1527</v>
      </c>
      <c r="W307" s="7">
        <f t="shared" si="107"/>
        <v>1742</v>
      </c>
      <c r="X307" s="6"/>
      <c r="Y307" s="5"/>
      <c r="Z307" s="5"/>
      <c r="AA307" s="5"/>
      <c r="AB307" s="5"/>
    </row>
    <row r="308" spans="1:28" ht="13.15" customHeight="1">
      <c r="A308" s="12">
        <f t="shared" si="106"/>
        <v>294</v>
      </c>
      <c r="B308" s="11">
        <f t="shared" si="98"/>
        <v>45564</v>
      </c>
      <c r="C308" s="9">
        <f t="shared" si="99"/>
        <v>842</v>
      </c>
      <c r="D308" s="8">
        <f t="shared" si="90"/>
        <v>1763</v>
      </c>
      <c r="E308" s="4">
        <f t="shared" si="91"/>
        <v>-34</v>
      </c>
      <c r="F308" s="4">
        <f t="shared" si="92"/>
        <v>-22</v>
      </c>
      <c r="G308" s="4">
        <f t="shared" si="93"/>
        <v>253</v>
      </c>
      <c r="H308" s="5">
        <f t="shared" si="94"/>
        <v>2639</v>
      </c>
      <c r="I308" s="5">
        <f t="shared" si="95"/>
        <v>2627</v>
      </c>
      <c r="J308" s="5">
        <f t="shared" si="96"/>
        <v>2352</v>
      </c>
      <c r="K308" s="5">
        <f t="shared" si="103"/>
        <v>3000</v>
      </c>
      <c r="L308" s="5">
        <f t="shared" si="104"/>
        <v>3000</v>
      </c>
      <c r="M308" s="5">
        <f t="shared" si="105"/>
        <v>3000</v>
      </c>
      <c r="N308" s="5">
        <f t="shared" si="100"/>
        <v>-361</v>
      </c>
      <c r="O308" s="5">
        <f t="shared" si="101"/>
        <v>-373</v>
      </c>
      <c r="P308" s="5">
        <f t="shared" si="102"/>
        <v>-648</v>
      </c>
      <c r="Q308" s="4">
        <v>0</v>
      </c>
      <c r="R308" s="4">
        <v>0</v>
      </c>
      <c r="S308" s="4">
        <v>0</v>
      </c>
      <c r="T308" s="6">
        <f t="shared" si="97"/>
        <v>1078</v>
      </c>
      <c r="U308" s="7">
        <f t="shared" si="108"/>
        <v>1719</v>
      </c>
      <c r="V308" s="7">
        <f t="shared" si="109"/>
        <v>1527</v>
      </c>
      <c r="W308" s="7">
        <f t="shared" si="107"/>
        <v>1742</v>
      </c>
      <c r="X308" s="6"/>
      <c r="Y308" s="5"/>
      <c r="Z308" s="5"/>
      <c r="AA308" s="5"/>
      <c r="AB308" s="5"/>
    </row>
    <row r="309" spans="1:28" ht="13.15" customHeight="1">
      <c r="A309" s="12">
        <f t="shared" si="106"/>
        <v>295</v>
      </c>
      <c r="B309" s="11">
        <f t="shared" si="98"/>
        <v>45565</v>
      </c>
      <c r="C309" s="9">
        <f t="shared" si="99"/>
        <v>842</v>
      </c>
      <c r="D309" s="8">
        <f t="shared" si="90"/>
        <v>1765</v>
      </c>
      <c r="E309" s="4">
        <f t="shared" si="91"/>
        <v>-32</v>
      </c>
      <c r="F309" s="4">
        <f t="shared" si="92"/>
        <v>-20</v>
      </c>
      <c r="G309" s="4">
        <f t="shared" si="93"/>
        <v>255</v>
      </c>
      <c r="H309" s="5">
        <f t="shared" si="94"/>
        <v>2639</v>
      </c>
      <c r="I309" s="5">
        <f t="shared" si="95"/>
        <v>2627</v>
      </c>
      <c r="J309" s="5">
        <f t="shared" si="96"/>
        <v>2352</v>
      </c>
      <c r="K309" s="5">
        <f t="shared" si="103"/>
        <v>3000</v>
      </c>
      <c r="L309" s="5">
        <f t="shared" si="104"/>
        <v>3000</v>
      </c>
      <c r="M309" s="5">
        <f t="shared" si="105"/>
        <v>3000</v>
      </c>
      <c r="N309" s="5">
        <f t="shared" si="100"/>
        <v>-361</v>
      </c>
      <c r="O309" s="5">
        <f t="shared" si="101"/>
        <v>-373</v>
      </c>
      <c r="P309" s="5">
        <f t="shared" si="102"/>
        <v>-648</v>
      </c>
      <c r="Q309" s="4">
        <v>0</v>
      </c>
      <c r="R309" s="4">
        <v>0</v>
      </c>
      <c r="S309" s="4">
        <v>0</v>
      </c>
      <c r="T309" s="6">
        <f t="shared" si="97"/>
        <v>1080</v>
      </c>
      <c r="U309" s="7">
        <f t="shared" si="108"/>
        <v>1719</v>
      </c>
      <c r="V309" s="7">
        <f t="shared" si="109"/>
        <v>1527</v>
      </c>
      <c r="W309" s="7">
        <f t="shared" si="107"/>
        <v>1742</v>
      </c>
      <c r="X309" s="6"/>
      <c r="Y309" s="5"/>
      <c r="Z309" s="5"/>
      <c r="AA309" s="5"/>
      <c r="AB309" s="5"/>
    </row>
    <row r="310" spans="1:28" ht="13.15" customHeight="1">
      <c r="A310" s="12">
        <f t="shared" si="106"/>
        <v>296</v>
      </c>
      <c r="B310" s="11">
        <f t="shared" si="98"/>
        <v>45566</v>
      </c>
      <c r="C310" s="9">
        <f t="shared" si="99"/>
        <v>842</v>
      </c>
      <c r="D310" s="8">
        <f t="shared" si="90"/>
        <v>1767</v>
      </c>
      <c r="E310" s="4">
        <f t="shared" si="91"/>
        <v>-30</v>
      </c>
      <c r="F310" s="4">
        <f t="shared" si="92"/>
        <v>-18</v>
      </c>
      <c r="G310" s="4">
        <f t="shared" si="93"/>
        <v>257</v>
      </c>
      <c r="H310" s="5">
        <f t="shared" si="94"/>
        <v>2639</v>
      </c>
      <c r="I310" s="5">
        <f t="shared" si="95"/>
        <v>2627</v>
      </c>
      <c r="J310" s="5">
        <f t="shared" si="96"/>
        <v>2352</v>
      </c>
      <c r="K310" s="5">
        <f t="shared" si="103"/>
        <v>3000</v>
      </c>
      <c r="L310" s="5">
        <f t="shared" si="104"/>
        <v>3000</v>
      </c>
      <c r="M310" s="5">
        <f t="shared" si="105"/>
        <v>3000</v>
      </c>
      <c r="N310" s="5">
        <f t="shared" si="100"/>
        <v>-361</v>
      </c>
      <c r="O310" s="5">
        <f t="shared" si="101"/>
        <v>-373</v>
      </c>
      <c r="P310" s="5">
        <f t="shared" si="102"/>
        <v>-648</v>
      </c>
      <c r="Q310" s="4">
        <v>0</v>
      </c>
      <c r="R310" s="4">
        <v>0</v>
      </c>
      <c r="S310" s="4">
        <v>0</v>
      </c>
      <c r="T310" s="6">
        <f t="shared" si="97"/>
        <v>1082</v>
      </c>
      <c r="U310" s="7">
        <f t="shared" si="108"/>
        <v>1719</v>
      </c>
      <c r="V310" s="7">
        <f t="shared" si="109"/>
        <v>1527</v>
      </c>
      <c r="W310" s="7">
        <f t="shared" si="107"/>
        <v>1742</v>
      </c>
      <c r="X310" s="6"/>
      <c r="Y310" s="5"/>
      <c r="Z310" s="5"/>
      <c r="AA310" s="5"/>
      <c r="AB310" s="5"/>
    </row>
    <row r="311" spans="1:28" ht="13.15" customHeight="1">
      <c r="A311" s="12">
        <f t="shared" si="106"/>
        <v>297</v>
      </c>
      <c r="B311" s="11">
        <f t="shared" si="98"/>
        <v>45567</v>
      </c>
      <c r="C311" s="9">
        <f t="shared" si="99"/>
        <v>842</v>
      </c>
      <c r="D311" s="8">
        <f t="shared" si="90"/>
        <v>1769</v>
      </c>
      <c r="E311" s="4">
        <f t="shared" si="91"/>
        <v>-28</v>
      </c>
      <c r="F311" s="4">
        <f t="shared" si="92"/>
        <v>-16</v>
      </c>
      <c r="G311" s="4">
        <f t="shared" si="93"/>
        <v>259</v>
      </c>
      <c r="H311" s="5">
        <f t="shared" si="94"/>
        <v>2639</v>
      </c>
      <c r="I311" s="5">
        <f t="shared" si="95"/>
        <v>2627</v>
      </c>
      <c r="J311" s="5">
        <f t="shared" si="96"/>
        <v>2352</v>
      </c>
      <c r="K311" s="5">
        <f t="shared" si="103"/>
        <v>3000</v>
      </c>
      <c r="L311" s="5">
        <f t="shared" si="104"/>
        <v>3000</v>
      </c>
      <c r="M311" s="5">
        <f t="shared" si="105"/>
        <v>3000</v>
      </c>
      <c r="N311" s="5">
        <f t="shared" si="100"/>
        <v>-361</v>
      </c>
      <c r="O311" s="5">
        <f t="shared" si="101"/>
        <v>-373</v>
      </c>
      <c r="P311" s="5">
        <f t="shared" si="102"/>
        <v>-648</v>
      </c>
      <c r="Q311" s="4">
        <v>0</v>
      </c>
      <c r="R311" s="4">
        <v>0</v>
      </c>
      <c r="S311" s="4">
        <v>0</v>
      </c>
      <c r="T311" s="6">
        <f t="shared" si="97"/>
        <v>1084</v>
      </c>
      <c r="U311" s="7">
        <f t="shared" si="108"/>
        <v>1719</v>
      </c>
      <c r="V311" s="7">
        <f t="shared" si="109"/>
        <v>1527</v>
      </c>
      <c r="W311" s="7">
        <f t="shared" si="107"/>
        <v>1742</v>
      </c>
      <c r="X311" s="6"/>
      <c r="Y311" s="5"/>
      <c r="Z311" s="5"/>
      <c r="AA311" s="5"/>
      <c r="AB311" s="5"/>
    </row>
    <row r="312" spans="1:28" ht="13.15" customHeight="1">
      <c r="A312" s="12">
        <f t="shared" si="106"/>
        <v>298</v>
      </c>
      <c r="B312" s="11">
        <f t="shared" si="98"/>
        <v>45568</v>
      </c>
      <c r="C312" s="9">
        <f t="shared" si="99"/>
        <v>842</v>
      </c>
      <c r="D312" s="8">
        <f t="shared" si="90"/>
        <v>1771</v>
      </c>
      <c r="E312" s="4">
        <f t="shared" si="91"/>
        <v>-26</v>
      </c>
      <c r="F312" s="4">
        <f t="shared" si="92"/>
        <v>-14</v>
      </c>
      <c r="G312" s="4">
        <f t="shared" si="93"/>
        <v>261</v>
      </c>
      <c r="H312" s="5">
        <f t="shared" si="94"/>
        <v>2639</v>
      </c>
      <c r="I312" s="5">
        <f t="shared" si="95"/>
        <v>2627</v>
      </c>
      <c r="J312" s="5">
        <f t="shared" si="96"/>
        <v>2352</v>
      </c>
      <c r="K312" s="5">
        <f t="shared" si="103"/>
        <v>3000</v>
      </c>
      <c r="L312" s="5">
        <f t="shared" si="104"/>
        <v>3000</v>
      </c>
      <c r="M312" s="5">
        <f t="shared" si="105"/>
        <v>3000</v>
      </c>
      <c r="N312" s="5">
        <f t="shared" si="100"/>
        <v>-361</v>
      </c>
      <c r="O312" s="5">
        <f t="shared" si="101"/>
        <v>-373</v>
      </c>
      <c r="P312" s="5">
        <f t="shared" si="102"/>
        <v>-648</v>
      </c>
      <c r="Q312" s="4">
        <v>0</v>
      </c>
      <c r="R312" s="4">
        <v>0</v>
      </c>
      <c r="S312" s="4">
        <v>0</v>
      </c>
      <c r="T312" s="6">
        <f t="shared" si="97"/>
        <v>1086</v>
      </c>
      <c r="U312" s="7">
        <f t="shared" si="108"/>
        <v>1719</v>
      </c>
      <c r="V312" s="7">
        <f t="shared" si="109"/>
        <v>1527</v>
      </c>
      <c r="W312" s="7">
        <f t="shared" si="107"/>
        <v>1742</v>
      </c>
      <c r="X312" s="6"/>
      <c r="Y312" s="5"/>
      <c r="Z312" s="5"/>
      <c r="AA312" s="5"/>
      <c r="AB312" s="5"/>
    </row>
    <row r="313" spans="1:28" ht="13.15" customHeight="1">
      <c r="A313" s="12">
        <f t="shared" si="106"/>
        <v>299</v>
      </c>
      <c r="B313" s="11">
        <f t="shared" si="98"/>
        <v>45569</v>
      </c>
      <c r="C313" s="9">
        <f t="shared" si="99"/>
        <v>842</v>
      </c>
      <c r="D313" s="8">
        <f t="shared" si="90"/>
        <v>1773</v>
      </c>
      <c r="E313" s="4">
        <f t="shared" si="91"/>
        <v>-24</v>
      </c>
      <c r="F313" s="4">
        <f t="shared" si="92"/>
        <v>-12</v>
      </c>
      <c r="G313" s="4">
        <f t="shared" si="93"/>
        <v>263</v>
      </c>
      <c r="H313" s="5">
        <f t="shared" si="94"/>
        <v>2639</v>
      </c>
      <c r="I313" s="5">
        <f t="shared" si="95"/>
        <v>2627</v>
      </c>
      <c r="J313" s="5">
        <f t="shared" si="96"/>
        <v>2352</v>
      </c>
      <c r="K313" s="5">
        <f t="shared" si="103"/>
        <v>3000</v>
      </c>
      <c r="L313" s="5">
        <f t="shared" si="104"/>
        <v>3000</v>
      </c>
      <c r="M313" s="5">
        <f t="shared" si="105"/>
        <v>3000</v>
      </c>
      <c r="N313" s="5">
        <f t="shared" si="100"/>
        <v>-361</v>
      </c>
      <c r="O313" s="5">
        <f t="shared" si="101"/>
        <v>-373</v>
      </c>
      <c r="P313" s="5">
        <f t="shared" si="102"/>
        <v>-648</v>
      </c>
      <c r="Q313" s="4">
        <v>0</v>
      </c>
      <c r="R313" s="4">
        <v>0</v>
      </c>
      <c r="S313" s="4">
        <v>0</v>
      </c>
      <c r="T313" s="6">
        <f t="shared" si="97"/>
        <v>1088</v>
      </c>
      <c r="U313" s="7">
        <f t="shared" si="108"/>
        <v>1719</v>
      </c>
      <c r="V313" s="7">
        <f t="shared" si="109"/>
        <v>1527</v>
      </c>
      <c r="W313" s="7">
        <f t="shared" si="107"/>
        <v>1742</v>
      </c>
      <c r="X313" s="6"/>
      <c r="Y313" s="5"/>
      <c r="Z313" s="5"/>
      <c r="AA313" s="5"/>
      <c r="AB313" s="5"/>
    </row>
    <row r="314" spans="1:28" ht="13.15" customHeight="1">
      <c r="A314" s="12">
        <f t="shared" si="106"/>
        <v>300</v>
      </c>
      <c r="B314" s="11">
        <f t="shared" si="98"/>
        <v>45570</v>
      </c>
      <c r="C314" s="9">
        <f t="shared" si="99"/>
        <v>842</v>
      </c>
      <c r="D314" s="8">
        <f t="shared" si="90"/>
        <v>1775</v>
      </c>
      <c r="E314" s="4">
        <f t="shared" si="91"/>
        <v>-22</v>
      </c>
      <c r="F314" s="4">
        <f t="shared" si="92"/>
        <v>-10</v>
      </c>
      <c r="G314" s="4">
        <f t="shared" si="93"/>
        <v>265</v>
      </c>
      <c r="H314" s="5">
        <f t="shared" si="94"/>
        <v>2639</v>
      </c>
      <c r="I314" s="5">
        <f t="shared" si="95"/>
        <v>2627</v>
      </c>
      <c r="J314" s="5">
        <f t="shared" si="96"/>
        <v>2352</v>
      </c>
      <c r="K314" s="5">
        <f t="shared" si="103"/>
        <v>3000</v>
      </c>
      <c r="L314" s="5">
        <f t="shared" si="104"/>
        <v>3000</v>
      </c>
      <c r="M314" s="5">
        <f t="shared" si="105"/>
        <v>3000</v>
      </c>
      <c r="N314" s="5">
        <f t="shared" si="100"/>
        <v>-361</v>
      </c>
      <c r="O314" s="5">
        <f t="shared" si="101"/>
        <v>-373</v>
      </c>
      <c r="P314" s="5">
        <f t="shared" si="102"/>
        <v>-648</v>
      </c>
      <c r="Q314" s="4">
        <v>0</v>
      </c>
      <c r="R314" s="4">
        <v>0</v>
      </c>
      <c r="S314" s="4">
        <v>0</v>
      </c>
      <c r="T314" s="6">
        <f t="shared" si="97"/>
        <v>1090</v>
      </c>
      <c r="U314" s="7">
        <f t="shared" si="108"/>
        <v>1719</v>
      </c>
      <c r="V314" s="7">
        <f t="shared" si="109"/>
        <v>1527</v>
      </c>
      <c r="W314" s="7">
        <f t="shared" si="107"/>
        <v>1742</v>
      </c>
      <c r="X314" s="6"/>
      <c r="Y314" s="5"/>
      <c r="Z314" s="5"/>
      <c r="AA314" s="5"/>
      <c r="AB314" s="5"/>
    </row>
    <row r="315" spans="1:28" ht="13.15" customHeight="1">
      <c r="A315" s="12">
        <f t="shared" si="106"/>
        <v>301</v>
      </c>
      <c r="B315" s="11">
        <f t="shared" si="98"/>
        <v>45571</v>
      </c>
      <c r="C315" s="9">
        <f t="shared" si="99"/>
        <v>842</v>
      </c>
      <c r="D315" s="8">
        <f t="shared" si="90"/>
        <v>1777</v>
      </c>
      <c r="E315" s="4">
        <f t="shared" si="91"/>
        <v>-20</v>
      </c>
      <c r="F315" s="4">
        <f t="shared" si="92"/>
        <v>-8</v>
      </c>
      <c r="G315" s="4">
        <f t="shared" si="93"/>
        <v>267</v>
      </c>
      <c r="H315" s="5">
        <f t="shared" si="94"/>
        <v>2639</v>
      </c>
      <c r="I315" s="5">
        <f t="shared" si="95"/>
        <v>2627</v>
      </c>
      <c r="J315" s="5">
        <f t="shared" si="96"/>
        <v>2352</v>
      </c>
      <c r="K315" s="5">
        <f t="shared" si="103"/>
        <v>3000</v>
      </c>
      <c r="L315" s="5">
        <f t="shared" si="104"/>
        <v>3000</v>
      </c>
      <c r="M315" s="5">
        <f t="shared" si="105"/>
        <v>3000</v>
      </c>
      <c r="N315" s="5">
        <f t="shared" si="100"/>
        <v>-361</v>
      </c>
      <c r="O315" s="5">
        <f t="shared" si="101"/>
        <v>-373</v>
      </c>
      <c r="P315" s="5">
        <f t="shared" si="102"/>
        <v>-648</v>
      </c>
      <c r="Q315" s="4">
        <v>0</v>
      </c>
      <c r="R315" s="4">
        <v>0</v>
      </c>
      <c r="S315" s="4">
        <v>0</v>
      </c>
      <c r="T315" s="6">
        <f t="shared" si="97"/>
        <v>1092</v>
      </c>
      <c r="U315" s="7">
        <f t="shared" si="108"/>
        <v>1719</v>
      </c>
      <c r="V315" s="7">
        <f t="shared" si="109"/>
        <v>1527</v>
      </c>
      <c r="W315" s="7">
        <f t="shared" si="107"/>
        <v>1742</v>
      </c>
      <c r="X315" s="6"/>
      <c r="Y315" s="5"/>
      <c r="Z315" s="5"/>
      <c r="AA315" s="5"/>
      <c r="AB315" s="5"/>
    </row>
    <row r="316" spans="1:28" ht="13.15" customHeight="1">
      <c r="A316" s="12">
        <f t="shared" si="106"/>
        <v>302</v>
      </c>
      <c r="B316" s="11">
        <f t="shared" si="98"/>
        <v>45572</v>
      </c>
      <c r="C316" s="9">
        <f t="shared" si="99"/>
        <v>842</v>
      </c>
      <c r="D316" s="8">
        <f t="shared" si="90"/>
        <v>1779</v>
      </c>
      <c r="E316" s="4">
        <f t="shared" si="91"/>
        <v>-18</v>
      </c>
      <c r="F316" s="4">
        <f t="shared" si="92"/>
        <v>-6</v>
      </c>
      <c r="G316" s="4">
        <f t="shared" si="93"/>
        <v>269</v>
      </c>
      <c r="H316" s="5">
        <f t="shared" si="94"/>
        <v>2639</v>
      </c>
      <c r="I316" s="5">
        <f t="shared" si="95"/>
        <v>2627</v>
      </c>
      <c r="J316" s="5">
        <f t="shared" si="96"/>
        <v>2352</v>
      </c>
      <c r="K316" s="5">
        <f t="shared" si="103"/>
        <v>3000</v>
      </c>
      <c r="L316" s="5">
        <f t="shared" si="104"/>
        <v>3000</v>
      </c>
      <c r="M316" s="5">
        <f t="shared" si="105"/>
        <v>3000</v>
      </c>
      <c r="N316" s="5">
        <f t="shared" si="100"/>
        <v>-361</v>
      </c>
      <c r="O316" s="5">
        <f t="shared" si="101"/>
        <v>-373</v>
      </c>
      <c r="P316" s="5">
        <f t="shared" si="102"/>
        <v>-648</v>
      </c>
      <c r="Q316" s="4">
        <v>0</v>
      </c>
      <c r="R316" s="4">
        <v>0</v>
      </c>
      <c r="S316" s="4">
        <v>0</v>
      </c>
      <c r="T316" s="6">
        <f t="shared" si="97"/>
        <v>1094</v>
      </c>
      <c r="U316" s="7">
        <f t="shared" si="108"/>
        <v>1719</v>
      </c>
      <c r="V316" s="7">
        <f t="shared" si="109"/>
        <v>1527</v>
      </c>
      <c r="W316" s="7">
        <f t="shared" si="107"/>
        <v>1742</v>
      </c>
      <c r="X316" s="6"/>
      <c r="Y316" s="5"/>
      <c r="Z316" s="5"/>
      <c r="AA316" s="5"/>
      <c r="AB316" s="5"/>
    </row>
    <row r="317" spans="1:28" ht="13.15" customHeight="1">
      <c r="A317" s="12">
        <f t="shared" si="106"/>
        <v>303</v>
      </c>
      <c r="B317" s="11">
        <f t="shared" si="98"/>
        <v>45573</v>
      </c>
      <c r="C317" s="9">
        <f t="shared" si="99"/>
        <v>842</v>
      </c>
      <c r="D317" s="8">
        <f t="shared" si="90"/>
        <v>1781</v>
      </c>
      <c r="E317" s="4">
        <f t="shared" si="91"/>
        <v>-16</v>
      </c>
      <c r="F317" s="4">
        <f t="shared" si="92"/>
        <v>-4</v>
      </c>
      <c r="G317" s="4">
        <f t="shared" si="93"/>
        <v>271</v>
      </c>
      <c r="H317" s="5">
        <f t="shared" si="94"/>
        <v>2639</v>
      </c>
      <c r="I317" s="5">
        <f t="shared" si="95"/>
        <v>2627</v>
      </c>
      <c r="J317" s="5">
        <f t="shared" si="96"/>
        <v>2352</v>
      </c>
      <c r="K317" s="5">
        <f t="shared" si="103"/>
        <v>3000</v>
      </c>
      <c r="L317" s="5">
        <f t="shared" si="104"/>
        <v>3000</v>
      </c>
      <c r="M317" s="5">
        <f t="shared" si="105"/>
        <v>3000</v>
      </c>
      <c r="N317" s="5">
        <f t="shared" si="100"/>
        <v>-361</v>
      </c>
      <c r="O317" s="5">
        <f t="shared" si="101"/>
        <v>-373</v>
      </c>
      <c r="P317" s="5">
        <f t="shared" si="102"/>
        <v>-648</v>
      </c>
      <c r="Q317" s="4">
        <v>0</v>
      </c>
      <c r="R317" s="4">
        <v>0</v>
      </c>
      <c r="S317" s="4">
        <v>0</v>
      </c>
      <c r="T317" s="6">
        <f t="shared" si="97"/>
        <v>1096</v>
      </c>
      <c r="U317" s="7">
        <f t="shared" si="108"/>
        <v>1719</v>
      </c>
      <c r="V317" s="7">
        <f t="shared" si="109"/>
        <v>1527</v>
      </c>
      <c r="W317" s="7">
        <f t="shared" si="107"/>
        <v>1742</v>
      </c>
      <c r="X317" s="6"/>
      <c r="Y317" s="5"/>
      <c r="Z317" s="5"/>
      <c r="AA317" s="5"/>
      <c r="AB317" s="5"/>
    </row>
    <row r="318" spans="1:28" ht="13.15" customHeight="1">
      <c r="A318" s="12">
        <f t="shared" si="106"/>
        <v>304</v>
      </c>
      <c r="B318" s="11">
        <f t="shared" si="98"/>
        <v>45574</v>
      </c>
      <c r="C318" s="9">
        <f t="shared" si="99"/>
        <v>842</v>
      </c>
      <c r="D318" s="8">
        <f t="shared" si="90"/>
        <v>1783</v>
      </c>
      <c r="E318" s="4">
        <f t="shared" si="91"/>
        <v>-14</v>
      </c>
      <c r="F318" s="4">
        <f t="shared" si="92"/>
        <v>-2</v>
      </c>
      <c r="G318" s="4">
        <f t="shared" si="93"/>
        <v>273</v>
      </c>
      <c r="H318" s="5">
        <f t="shared" si="94"/>
        <v>2639</v>
      </c>
      <c r="I318" s="5">
        <f t="shared" si="95"/>
        <v>2627</v>
      </c>
      <c r="J318" s="5">
        <f t="shared" si="96"/>
        <v>2352</v>
      </c>
      <c r="K318" s="5">
        <f t="shared" si="103"/>
        <v>3000</v>
      </c>
      <c r="L318" s="5">
        <f t="shared" si="104"/>
        <v>3000</v>
      </c>
      <c r="M318" s="5">
        <f t="shared" si="105"/>
        <v>3000</v>
      </c>
      <c r="N318" s="5">
        <f t="shared" si="100"/>
        <v>-361</v>
      </c>
      <c r="O318" s="5">
        <f t="shared" si="101"/>
        <v>-373</v>
      </c>
      <c r="P318" s="5">
        <f t="shared" si="102"/>
        <v>-648</v>
      </c>
      <c r="Q318" s="4">
        <v>0</v>
      </c>
      <c r="R318" s="4">
        <v>0</v>
      </c>
      <c r="S318" s="4">
        <v>0</v>
      </c>
      <c r="T318" s="6">
        <f t="shared" si="97"/>
        <v>1098</v>
      </c>
      <c r="U318" s="7">
        <f t="shared" si="108"/>
        <v>1719</v>
      </c>
      <c r="V318" s="7">
        <f t="shared" si="109"/>
        <v>1527</v>
      </c>
      <c r="W318" s="7">
        <f t="shared" si="107"/>
        <v>1742</v>
      </c>
      <c r="X318" s="6"/>
      <c r="Y318" s="5"/>
      <c r="Z318" s="5"/>
      <c r="AA318" s="5"/>
      <c r="AB318" s="5"/>
    </row>
    <row r="319" spans="1:28" ht="13.15" customHeight="1">
      <c r="A319" s="12">
        <f t="shared" si="106"/>
        <v>305</v>
      </c>
      <c r="B319" s="11">
        <f t="shared" si="98"/>
        <v>45575</v>
      </c>
      <c r="C319" s="9">
        <f t="shared" si="99"/>
        <v>842</v>
      </c>
      <c r="D319" s="8">
        <f t="shared" ref="D319:D382" si="110">D318+2</f>
        <v>1785</v>
      </c>
      <c r="E319" s="4">
        <f t="shared" si="91"/>
        <v>-12</v>
      </c>
      <c r="F319" s="4">
        <f t="shared" si="92"/>
        <v>0</v>
      </c>
      <c r="G319" s="4">
        <f t="shared" si="93"/>
        <v>275</v>
      </c>
      <c r="H319" s="5">
        <f t="shared" si="94"/>
        <v>2639</v>
      </c>
      <c r="I319" s="5">
        <f t="shared" si="95"/>
        <v>2627</v>
      </c>
      <c r="J319" s="5">
        <f t="shared" si="96"/>
        <v>2352</v>
      </c>
      <c r="K319" s="5">
        <f t="shared" si="103"/>
        <v>3000</v>
      </c>
      <c r="L319" s="5">
        <f t="shared" si="104"/>
        <v>3000</v>
      </c>
      <c r="M319" s="5">
        <f t="shared" si="105"/>
        <v>3000</v>
      </c>
      <c r="N319" s="5">
        <f t="shared" si="100"/>
        <v>-361</v>
      </c>
      <c r="O319" s="5">
        <f t="shared" si="101"/>
        <v>-373</v>
      </c>
      <c r="P319" s="5">
        <f t="shared" si="102"/>
        <v>-648</v>
      </c>
      <c r="Q319" s="4">
        <v>0</v>
      </c>
      <c r="R319" s="4">
        <v>0</v>
      </c>
      <c r="S319" s="4">
        <v>0</v>
      </c>
      <c r="T319" s="6">
        <f t="shared" si="97"/>
        <v>1100</v>
      </c>
      <c r="U319" s="7">
        <f t="shared" si="108"/>
        <v>1719</v>
      </c>
      <c r="V319" s="7">
        <f t="shared" si="109"/>
        <v>1527</v>
      </c>
      <c r="W319" s="7">
        <f t="shared" si="107"/>
        <v>1742</v>
      </c>
      <c r="X319" s="6"/>
      <c r="Y319" s="5"/>
      <c r="Z319" s="5"/>
      <c r="AA319" s="5"/>
      <c r="AB319" s="5"/>
    </row>
    <row r="320" spans="1:28" ht="13.15" customHeight="1">
      <c r="A320" s="12">
        <f t="shared" si="106"/>
        <v>306</v>
      </c>
      <c r="B320" s="11">
        <f t="shared" si="98"/>
        <v>45576</v>
      </c>
      <c r="C320" s="9">
        <f t="shared" si="99"/>
        <v>842</v>
      </c>
      <c r="D320" s="8">
        <f t="shared" si="110"/>
        <v>1787</v>
      </c>
      <c r="E320" s="4">
        <f t="shared" si="91"/>
        <v>-10</v>
      </c>
      <c r="F320" s="4">
        <f t="shared" si="92"/>
        <v>2</v>
      </c>
      <c r="G320" s="4">
        <f t="shared" si="93"/>
        <v>277</v>
      </c>
      <c r="H320" s="5">
        <f t="shared" si="94"/>
        <v>2639</v>
      </c>
      <c r="I320" s="5">
        <f t="shared" si="95"/>
        <v>2627</v>
      </c>
      <c r="J320" s="5">
        <f t="shared" si="96"/>
        <v>2352</v>
      </c>
      <c r="K320" s="5">
        <f t="shared" si="103"/>
        <v>3000</v>
      </c>
      <c r="L320" s="5">
        <f t="shared" si="104"/>
        <v>3000</v>
      </c>
      <c r="M320" s="5">
        <f t="shared" si="105"/>
        <v>3000</v>
      </c>
      <c r="N320" s="5">
        <f t="shared" si="100"/>
        <v>-361</v>
      </c>
      <c r="O320" s="5">
        <f t="shared" si="101"/>
        <v>-373</v>
      </c>
      <c r="P320" s="5">
        <f t="shared" si="102"/>
        <v>-648</v>
      </c>
      <c r="Q320" s="4">
        <v>0</v>
      </c>
      <c r="R320" s="4">
        <v>0</v>
      </c>
      <c r="S320" s="4">
        <v>0</v>
      </c>
      <c r="T320" s="6">
        <f t="shared" si="97"/>
        <v>1102</v>
      </c>
      <c r="U320" s="7">
        <f t="shared" si="108"/>
        <v>1719</v>
      </c>
      <c r="V320" s="7">
        <f t="shared" si="109"/>
        <v>1527</v>
      </c>
      <c r="W320" s="7">
        <f t="shared" si="107"/>
        <v>1742</v>
      </c>
      <c r="X320" s="6"/>
      <c r="Y320" s="5"/>
      <c r="Z320" s="5"/>
      <c r="AA320" s="5"/>
      <c r="AB320" s="5"/>
    </row>
    <row r="321" spans="1:28" ht="13.15" customHeight="1">
      <c r="A321" s="12">
        <f t="shared" si="106"/>
        <v>307</v>
      </c>
      <c r="B321" s="11">
        <f t="shared" si="98"/>
        <v>45577</v>
      </c>
      <c r="C321" s="9">
        <f t="shared" si="99"/>
        <v>842</v>
      </c>
      <c r="D321" s="8">
        <f t="shared" si="110"/>
        <v>1789</v>
      </c>
      <c r="E321" s="4">
        <f t="shared" si="91"/>
        <v>-8</v>
      </c>
      <c r="F321" s="4">
        <f t="shared" si="92"/>
        <v>4</v>
      </c>
      <c r="G321" s="4">
        <f t="shared" si="93"/>
        <v>279</v>
      </c>
      <c r="H321" s="5">
        <f t="shared" si="94"/>
        <v>2639</v>
      </c>
      <c r="I321" s="5">
        <f t="shared" si="95"/>
        <v>2627</v>
      </c>
      <c r="J321" s="5">
        <f t="shared" si="96"/>
        <v>2352</v>
      </c>
      <c r="K321" s="5">
        <f t="shared" si="103"/>
        <v>3000</v>
      </c>
      <c r="L321" s="5">
        <f t="shared" si="104"/>
        <v>3000</v>
      </c>
      <c r="M321" s="5">
        <f t="shared" si="105"/>
        <v>3000</v>
      </c>
      <c r="N321" s="5">
        <f t="shared" si="100"/>
        <v>-361</v>
      </c>
      <c r="O321" s="5">
        <f t="shared" si="101"/>
        <v>-373</v>
      </c>
      <c r="P321" s="5">
        <f t="shared" si="102"/>
        <v>-648</v>
      </c>
      <c r="Q321" s="4">
        <v>0</v>
      </c>
      <c r="R321" s="4">
        <v>0</v>
      </c>
      <c r="S321" s="4">
        <v>0</v>
      </c>
      <c r="T321" s="6">
        <f t="shared" si="97"/>
        <v>1104</v>
      </c>
      <c r="U321" s="7">
        <f t="shared" si="108"/>
        <v>1719</v>
      </c>
      <c r="V321" s="7">
        <f t="shared" si="109"/>
        <v>1527</v>
      </c>
      <c r="W321" s="7">
        <f t="shared" si="107"/>
        <v>1742</v>
      </c>
      <c r="X321" s="6"/>
      <c r="Y321" s="5"/>
      <c r="Z321" s="5"/>
      <c r="AA321" s="5"/>
      <c r="AB321" s="5"/>
    </row>
    <row r="322" spans="1:28" ht="13.15" customHeight="1">
      <c r="A322" s="12">
        <f t="shared" si="106"/>
        <v>308</v>
      </c>
      <c r="B322" s="11">
        <f t="shared" si="98"/>
        <v>45578</v>
      </c>
      <c r="C322" s="9">
        <f t="shared" si="99"/>
        <v>842</v>
      </c>
      <c r="D322" s="8">
        <f t="shared" si="110"/>
        <v>1791</v>
      </c>
      <c r="E322" s="4">
        <f t="shared" si="91"/>
        <v>-6</v>
      </c>
      <c r="F322" s="4">
        <f t="shared" si="92"/>
        <v>6</v>
      </c>
      <c r="G322" s="4">
        <f t="shared" si="93"/>
        <v>281</v>
      </c>
      <c r="H322" s="5">
        <f t="shared" si="94"/>
        <v>2639</v>
      </c>
      <c r="I322" s="5">
        <f t="shared" si="95"/>
        <v>2627</v>
      </c>
      <c r="J322" s="5">
        <f t="shared" si="96"/>
        <v>2352</v>
      </c>
      <c r="K322" s="5">
        <f t="shared" si="103"/>
        <v>3000</v>
      </c>
      <c r="L322" s="5">
        <f t="shared" si="104"/>
        <v>3000</v>
      </c>
      <c r="M322" s="5">
        <f t="shared" si="105"/>
        <v>3000</v>
      </c>
      <c r="N322" s="5">
        <f t="shared" si="100"/>
        <v>-361</v>
      </c>
      <c r="O322" s="5">
        <f t="shared" si="101"/>
        <v>-373</v>
      </c>
      <c r="P322" s="5">
        <f t="shared" si="102"/>
        <v>-648</v>
      </c>
      <c r="Q322" s="4">
        <v>0</v>
      </c>
      <c r="R322" s="4">
        <v>0</v>
      </c>
      <c r="S322" s="4">
        <v>0</v>
      </c>
      <c r="T322" s="6">
        <f t="shared" si="97"/>
        <v>1106</v>
      </c>
      <c r="U322" s="7">
        <f t="shared" si="108"/>
        <v>1719</v>
      </c>
      <c r="V322" s="7">
        <f t="shared" si="109"/>
        <v>1527</v>
      </c>
      <c r="W322" s="7">
        <f t="shared" si="107"/>
        <v>1742</v>
      </c>
      <c r="X322" s="6"/>
      <c r="Y322" s="5"/>
      <c r="Z322" s="5"/>
      <c r="AA322" s="5"/>
      <c r="AB322" s="5"/>
    </row>
    <row r="323" spans="1:28" ht="13.15" customHeight="1">
      <c r="A323" s="12">
        <f t="shared" si="106"/>
        <v>309</v>
      </c>
      <c r="B323" s="11">
        <f t="shared" si="98"/>
        <v>45579</v>
      </c>
      <c r="C323" s="9">
        <f t="shared" si="99"/>
        <v>842</v>
      </c>
      <c r="D323" s="8">
        <f t="shared" si="110"/>
        <v>1793</v>
      </c>
      <c r="E323" s="4">
        <f t="shared" si="91"/>
        <v>-4</v>
      </c>
      <c r="F323" s="4">
        <f t="shared" si="92"/>
        <v>8</v>
      </c>
      <c r="G323" s="4">
        <f t="shared" si="93"/>
        <v>283</v>
      </c>
      <c r="H323" s="5">
        <f t="shared" si="94"/>
        <v>2639</v>
      </c>
      <c r="I323" s="5">
        <f t="shared" si="95"/>
        <v>2627</v>
      </c>
      <c r="J323" s="5">
        <f t="shared" si="96"/>
        <v>2352</v>
      </c>
      <c r="K323" s="5">
        <f t="shared" si="103"/>
        <v>3000</v>
      </c>
      <c r="L323" s="5">
        <f t="shared" si="104"/>
        <v>3000</v>
      </c>
      <c r="M323" s="5">
        <f t="shared" si="105"/>
        <v>3000</v>
      </c>
      <c r="N323" s="5">
        <f t="shared" si="100"/>
        <v>-361</v>
      </c>
      <c r="O323" s="5">
        <f t="shared" si="101"/>
        <v>-373</v>
      </c>
      <c r="P323" s="5">
        <f t="shared" si="102"/>
        <v>-648</v>
      </c>
      <c r="Q323" s="4">
        <v>0</v>
      </c>
      <c r="R323" s="4">
        <v>0</v>
      </c>
      <c r="S323" s="4">
        <v>0</v>
      </c>
      <c r="T323" s="6">
        <f t="shared" si="97"/>
        <v>1108</v>
      </c>
      <c r="U323" s="7">
        <f t="shared" si="108"/>
        <v>1719</v>
      </c>
      <c r="V323" s="7">
        <f t="shared" si="109"/>
        <v>1527</v>
      </c>
      <c r="W323" s="7">
        <f t="shared" si="107"/>
        <v>1742</v>
      </c>
      <c r="X323" s="6"/>
      <c r="Y323" s="5"/>
      <c r="Z323" s="5"/>
      <c r="AA323" s="5"/>
      <c r="AB323" s="5"/>
    </row>
    <row r="324" spans="1:28" ht="13.15" customHeight="1">
      <c r="A324" s="12">
        <f t="shared" si="106"/>
        <v>310</v>
      </c>
      <c r="B324" s="11">
        <f t="shared" si="98"/>
        <v>45580</v>
      </c>
      <c r="C324" s="9">
        <f t="shared" si="99"/>
        <v>842</v>
      </c>
      <c r="D324" s="8">
        <f t="shared" si="110"/>
        <v>1795</v>
      </c>
      <c r="E324" s="4">
        <f t="shared" si="91"/>
        <v>-2</v>
      </c>
      <c r="F324" s="4">
        <f t="shared" si="92"/>
        <v>10</v>
      </c>
      <c r="G324" s="4">
        <f t="shared" si="93"/>
        <v>285</v>
      </c>
      <c r="H324" s="5">
        <f t="shared" si="94"/>
        <v>2639</v>
      </c>
      <c r="I324" s="5">
        <f t="shared" si="95"/>
        <v>2627</v>
      </c>
      <c r="J324" s="5">
        <f t="shared" si="96"/>
        <v>2352</v>
      </c>
      <c r="K324" s="5">
        <f t="shared" si="103"/>
        <v>3000</v>
      </c>
      <c r="L324" s="5">
        <f t="shared" si="104"/>
        <v>3000</v>
      </c>
      <c r="M324" s="5">
        <f t="shared" si="105"/>
        <v>3000</v>
      </c>
      <c r="N324" s="5">
        <f t="shared" si="100"/>
        <v>-361</v>
      </c>
      <c r="O324" s="5">
        <f t="shared" si="101"/>
        <v>-373</v>
      </c>
      <c r="P324" s="5">
        <f t="shared" si="102"/>
        <v>-648</v>
      </c>
      <c r="Q324" s="4">
        <v>0</v>
      </c>
      <c r="R324" s="4">
        <v>0</v>
      </c>
      <c r="S324" s="4">
        <v>0</v>
      </c>
      <c r="T324" s="6">
        <f t="shared" si="97"/>
        <v>1110</v>
      </c>
      <c r="U324" s="7">
        <f t="shared" si="108"/>
        <v>1719</v>
      </c>
      <c r="V324" s="7">
        <f t="shared" si="109"/>
        <v>1527</v>
      </c>
      <c r="W324" s="7">
        <f t="shared" si="107"/>
        <v>1742</v>
      </c>
      <c r="X324" s="6"/>
      <c r="Y324" s="5"/>
      <c r="Z324" s="5"/>
      <c r="AA324" s="5"/>
      <c r="AB324" s="5"/>
    </row>
    <row r="325" spans="1:28" ht="13.15" customHeight="1">
      <c r="A325" s="12">
        <f t="shared" si="106"/>
        <v>311</v>
      </c>
      <c r="B325" s="11">
        <f t="shared" si="98"/>
        <v>45581</v>
      </c>
      <c r="C325" s="9">
        <f t="shared" si="99"/>
        <v>842</v>
      </c>
      <c r="D325" s="8">
        <f t="shared" si="110"/>
        <v>1797</v>
      </c>
      <c r="E325" s="4">
        <f t="shared" si="91"/>
        <v>0</v>
      </c>
      <c r="F325" s="4">
        <f t="shared" si="92"/>
        <v>12</v>
      </c>
      <c r="G325" s="4">
        <f t="shared" si="93"/>
        <v>287</v>
      </c>
      <c r="H325" s="5">
        <f t="shared" si="94"/>
        <v>2639</v>
      </c>
      <c r="I325" s="5">
        <f t="shared" si="95"/>
        <v>2627</v>
      </c>
      <c r="J325" s="5">
        <f t="shared" si="96"/>
        <v>2352</v>
      </c>
      <c r="K325" s="5">
        <f t="shared" si="103"/>
        <v>3000</v>
      </c>
      <c r="L325" s="5">
        <f t="shared" si="104"/>
        <v>3000</v>
      </c>
      <c r="M325" s="5">
        <f t="shared" si="105"/>
        <v>3000</v>
      </c>
      <c r="N325" s="5">
        <f t="shared" si="100"/>
        <v>-361</v>
      </c>
      <c r="O325" s="5">
        <f t="shared" si="101"/>
        <v>-373</v>
      </c>
      <c r="P325" s="5">
        <f t="shared" si="102"/>
        <v>-648</v>
      </c>
      <c r="Q325" s="4">
        <v>0</v>
      </c>
      <c r="R325" s="4">
        <v>0</v>
      </c>
      <c r="S325" s="4">
        <v>0</v>
      </c>
      <c r="T325" s="6">
        <f t="shared" si="97"/>
        <v>1112</v>
      </c>
      <c r="U325" s="7">
        <f t="shared" si="108"/>
        <v>1719</v>
      </c>
      <c r="V325" s="7">
        <f t="shared" si="109"/>
        <v>1527</v>
      </c>
      <c r="W325" s="7">
        <f t="shared" si="107"/>
        <v>1742</v>
      </c>
      <c r="X325" s="6"/>
      <c r="Y325" s="5"/>
      <c r="Z325" s="5"/>
      <c r="AA325" s="5"/>
      <c r="AB325" s="5"/>
    </row>
    <row r="326" spans="1:28" ht="13.15" customHeight="1">
      <c r="A326" s="12">
        <f t="shared" si="106"/>
        <v>312</v>
      </c>
      <c r="B326" s="11">
        <f t="shared" si="98"/>
        <v>45582</v>
      </c>
      <c r="C326" s="9">
        <f t="shared" si="99"/>
        <v>842</v>
      </c>
      <c r="D326" s="8">
        <f t="shared" si="110"/>
        <v>1799</v>
      </c>
      <c r="E326" s="4">
        <f t="shared" si="91"/>
        <v>2</v>
      </c>
      <c r="F326" s="4">
        <f t="shared" si="92"/>
        <v>14</v>
      </c>
      <c r="G326" s="4">
        <f t="shared" si="93"/>
        <v>289</v>
      </c>
      <c r="H326" s="5">
        <f t="shared" si="94"/>
        <v>2639</v>
      </c>
      <c r="I326" s="5">
        <f t="shared" si="95"/>
        <v>2627</v>
      </c>
      <c r="J326" s="5">
        <f t="shared" si="96"/>
        <v>2352</v>
      </c>
      <c r="K326" s="5">
        <f t="shared" si="103"/>
        <v>3000</v>
      </c>
      <c r="L326" s="5">
        <f t="shared" si="104"/>
        <v>3000</v>
      </c>
      <c r="M326" s="5">
        <f t="shared" si="105"/>
        <v>3000</v>
      </c>
      <c r="N326" s="5">
        <f t="shared" si="100"/>
        <v>-361</v>
      </c>
      <c r="O326" s="5">
        <f t="shared" si="101"/>
        <v>-373</v>
      </c>
      <c r="P326" s="5">
        <f t="shared" si="102"/>
        <v>-648</v>
      </c>
      <c r="Q326" s="4">
        <v>0</v>
      </c>
      <c r="R326" s="4">
        <v>0</v>
      </c>
      <c r="S326" s="4">
        <v>0</v>
      </c>
      <c r="T326" s="6">
        <f t="shared" si="97"/>
        <v>1114</v>
      </c>
      <c r="U326" s="7">
        <f t="shared" si="108"/>
        <v>1719</v>
      </c>
      <c r="V326" s="7">
        <f t="shared" si="109"/>
        <v>1527</v>
      </c>
      <c r="W326" s="7">
        <f t="shared" si="107"/>
        <v>1742</v>
      </c>
      <c r="X326" s="6"/>
      <c r="Y326" s="5"/>
      <c r="Z326" s="5"/>
      <c r="AA326" s="5"/>
      <c r="AB326" s="5"/>
    </row>
    <row r="327" spans="1:28" ht="13.15" customHeight="1">
      <c r="A327" s="12">
        <f t="shared" si="106"/>
        <v>313</v>
      </c>
      <c r="B327" s="11">
        <f t="shared" si="98"/>
        <v>45583</v>
      </c>
      <c r="C327" s="9">
        <f t="shared" si="99"/>
        <v>842</v>
      </c>
      <c r="D327" s="8">
        <f t="shared" si="110"/>
        <v>1801</v>
      </c>
      <c r="E327" s="4">
        <f t="shared" si="91"/>
        <v>4</v>
      </c>
      <c r="F327" s="4">
        <f t="shared" si="92"/>
        <v>16</v>
      </c>
      <c r="G327" s="4">
        <f t="shared" si="93"/>
        <v>291</v>
      </c>
      <c r="H327" s="5">
        <f t="shared" si="94"/>
        <v>2639</v>
      </c>
      <c r="I327" s="5">
        <f t="shared" si="95"/>
        <v>2627</v>
      </c>
      <c r="J327" s="5">
        <f t="shared" si="96"/>
        <v>2352</v>
      </c>
      <c r="K327" s="5">
        <f t="shared" si="103"/>
        <v>3000</v>
      </c>
      <c r="L327" s="5">
        <f t="shared" si="104"/>
        <v>3000</v>
      </c>
      <c r="M327" s="5">
        <f t="shared" si="105"/>
        <v>3000</v>
      </c>
      <c r="N327" s="5">
        <f t="shared" si="100"/>
        <v>-361</v>
      </c>
      <c r="O327" s="5">
        <f t="shared" si="101"/>
        <v>-373</v>
      </c>
      <c r="P327" s="5">
        <f t="shared" si="102"/>
        <v>-648</v>
      </c>
      <c r="Q327" s="4">
        <v>0</v>
      </c>
      <c r="R327" s="4">
        <v>0</v>
      </c>
      <c r="S327" s="4">
        <v>0</v>
      </c>
      <c r="T327" s="6">
        <f t="shared" si="97"/>
        <v>1116</v>
      </c>
      <c r="U327" s="7">
        <f t="shared" si="108"/>
        <v>1719</v>
      </c>
      <c r="V327" s="7">
        <f t="shared" si="109"/>
        <v>1527</v>
      </c>
      <c r="W327" s="7">
        <f t="shared" si="107"/>
        <v>1742</v>
      </c>
      <c r="X327" s="6"/>
      <c r="Y327" s="5"/>
      <c r="Z327" s="5"/>
      <c r="AA327" s="5"/>
      <c r="AB327" s="5"/>
    </row>
    <row r="328" spans="1:28" ht="13.15" customHeight="1">
      <c r="A328" s="12">
        <f t="shared" si="106"/>
        <v>314</v>
      </c>
      <c r="B328" s="11">
        <f t="shared" si="98"/>
        <v>45584</v>
      </c>
      <c r="C328" s="9">
        <f t="shared" si="99"/>
        <v>842</v>
      </c>
      <c r="D328" s="8">
        <f t="shared" si="110"/>
        <v>1803</v>
      </c>
      <c r="E328" s="4">
        <f t="shared" si="91"/>
        <v>6</v>
      </c>
      <c r="F328" s="4">
        <f t="shared" si="92"/>
        <v>18</v>
      </c>
      <c r="G328" s="4">
        <f t="shared" si="93"/>
        <v>293</v>
      </c>
      <c r="H328" s="5">
        <f t="shared" si="94"/>
        <v>2639</v>
      </c>
      <c r="I328" s="5">
        <f t="shared" si="95"/>
        <v>2627</v>
      </c>
      <c r="J328" s="5">
        <f t="shared" si="96"/>
        <v>2352</v>
      </c>
      <c r="K328" s="5">
        <f t="shared" si="103"/>
        <v>3000</v>
      </c>
      <c r="L328" s="5">
        <f t="shared" si="104"/>
        <v>3000</v>
      </c>
      <c r="M328" s="5">
        <f t="shared" si="105"/>
        <v>3000</v>
      </c>
      <c r="N328" s="5">
        <f t="shared" si="100"/>
        <v>-361</v>
      </c>
      <c r="O328" s="5">
        <f t="shared" si="101"/>
        <v>-373</v>
      </c>
      <c r="P328" s="5">
        <f t="shared" si="102"/>
        <v>-648</v>
      </c>
      <c r="Q328" s="4">
        <v>0</v>
      </c>
      <c r="R328" s="4">
        <v>0</v>
      </c>
      <c r="S328" s="4">
        <v>0</v>
      </c>
      <c r="T328" s="6">
        <f t="shared" si="97"/>
        <v>1118</v>
      </c>
      <c r="U328" s="7">
        <f t="shared" si="108"/>
        <v>1719</v>
      </c>
      <c r="V328" s="7">
        <f t="shared" si="109"/>
        <v>1527</v>
      </c>
      <c r="W328" s="7">
        <f t="shared" si="107"/>
        <v>1742</v>
      </c>
      <c r="X328" s="6"/>
      <c r="Y328" s="5"/>
      <c r="Z328" s="5"/>
      <c r="AA328" s="5"/>
      <c r="AB328" s="5"/>
    </row>
    <row r="329" spans="1:28" ht="13.15" customHeight="1">
      <c r="A329" s="12">
        <f t="shared" si="106"/>
        <v>315</v>
      </c>
      <c r="B329" s="11">
        <f t="shared" si="98"/>
        <v>45585</v>
      </c>
      <c r="C329" s="9">
        <f t="shared" si="99"/>
        <v>842</v>
      </c>
      <c r="D329" s="8">
        <f t="shared" si="110"/>
        <v>1805</v>
      </c>
      <c r="E329" s="4">
        <f t="shared" si="91"/>
        <v>8</v>
      </c>
      <c r="F329" s="4">
        <f t="shared" si="92"/>
        <v>20</v>
      </c>
      <c r="G329" s="4">
        <f t="shared" si="93"/>
        <v>295</v>
      </c>
      <c r="H329" s="5">
        <f t="shared" si="94"/>
        <v>2639</v>
      </c>
      <c r="I329" s="5">
        <f t="shared" si="95"/>
        <v>2627</v>
      </c>
      <c r="J329" s="5">
        <f t="shared" si="96"/>
        <v>2352</v>
      </c>
      <c r="K329" s="5">
        <f t="shared" si="103"/>
        <v>3000</v>
      </c>
      <c r="L329" s="5">
        <f t="shared" si="104"/>
        <v>3000</v>
      </c>
      <c r="M329" s="5">
        <f t="shared" si="105"/>
        <v>3000</v>
      </c>
      <c r="N329" s="5">
        <f t="shared" si="100"/>
        <v>-361</v>
      </c>
      <c r="O329" s="5">
        <f t="shared" si="101"/>
        <v>-373</v>
      </c>
      <c r="P329" s="5">
        <f t="shared" si="102"/>
        <v>-648</v>
      </c>
      <c r="Q329" s="4">
        <v>0</v>
      </c>
      <c r="R329" s="4">
        <v>0</v>
      </c>
      <c r="S329" s="4">
        <v>0</v>
      </c>
      <c r="T329" s="6">
        <f t="shared" si="97"/>
        <v>1120</v>
      </c>
      <c r="U329" s="7">
        <f t="shared" si="108"/>
        <v>1719</v>
      </c>
      <c r="V329" s="7">
        <f t="shared" si="109"/>
        <v>1527</v>
      </c>
      <c r="W329" s="7">
        <f t="shared" si="107"/>
        <v>1742</v>
      </c>
      <c r="X329" s="6"/>
      <c r="Y329" s="5"/>
      <c r="Z329" s="5"/>
      <c r="AA329" s="5"/>
      <c r="AB329" s="5"/>
    </row>
    <row r="330" spans="1:28" ht="13.15" customHeight="1">
      <c r="A330" s="12">
        <f t="shared" si="106"/>
        <v>316</v>
      </c>
      <c r="B330" s="11">
        <f t="shared" si="98"/>
        <v>45586</v>
      </c>
      <c r="C330" s="9">
        <f t="shared" si="99"/>
        <v>842</v>
      </c>
      <c r="D330" s="8">
        <f t="shared" si="110"/>
        <v>1807</v>
      </c>
      <c r="E330" s="4">
        <f t="shared" si="91"/>
        <v>10</v>
      </c>
      <c r="F330" s="4">
        <f t="shared" si="92"/>
        <v>22</v>
      </c>
      <c r="G330" s="4">
        <f t="shared" si="93"/>
        <v>297</v>
      </c>
      <c r="H330" s="5">
        <f t="shared" si="94"/>
        <v>2639</v>
      </c>
      <c r="I330" s="5">
        <f t="shared" si="95"/>
        <v>2627</v>
      </c>
      <c r="J330" s="5">
        <f t="shared" si="96"/>
        <v>2352</v>
      </c>
      <c r="K330" s="5">
        <f t="shared" si="103"/>
        <v>3000</v>
      </c>
      <c r="L330" s="5">
        <f t="shared" si="104"/>
        <v>3000</v>
      </c>
      <c r="M330" s="5">
        <f t="shared" si="105"/>
        <v>3000</v>
      </c>
      <c r="N330" s="5">
        <f t="shared" si="100"/>
        <v>-361</v>
      </c>
      <c r="O330" s="5">
        <f t="shared" si="101"/>
        <v>-373</v>
      </c>
      <c r="P330" s="5">
        <f t="shared" si="102"/>
        <v>-648</v>
      </c>
      <c r="Q330" s="4">
        <v>0</v>
      </c>
      <c r="R330" s="4">
        <v>0</v>
      </c>
      <c r="S330" s="4">
        <v>0</v>
      </c>
      <c r="T330" s="6">
        <f t="shared" si="97"/>
        <v>1122</v>
      </c>
      <c r="U330" s="7">
        <f t="shared" si="108"/>
        <v>1719</v>
      </c>
      <c r="V330" s="7">
        <f t="shared" si="109"/>
        <v>1527</v>
      </c>
      <c r="W330" s="7">
        <f t="shared" si="107"/>
        <v>1742</v>
      </c>
      <c r="X330" s="6"/>
      <c r="Y330" s="5"/>
      <c r="Z330" s="5"/>
      <c r="AA330" s="5"/>
      <c r="AB330" s="5"/>
    </row>
    <row r="331" spans="1:28" ht="13.15" customHeight="1">
      <c r="A331" s="12">
        <f t="shared" si="106"/>
        <v>317</v>
      </c>
      <c r="B331" s="11">
        <f t="shared" si="98"/>
        <v>45587</v>
      </c>
      <c r="C331" s="9">
        <f t="shared" si="99"/>
        <v>842</v>
      </c>
      <c r="D331" s="8">
        <f t="shared" si="110"/>
        <v>1809</v>
      </c>
      <c r="E331" s="4">
        <f t="shared" si="91"/>
        <v>12</v>
      </c>
      <c r="F331" s="4">
        <f t="shared" si="92"/>
        <v>24</v>
      </c>
      <c r="G331" s="4">
        <f t="shared" si="93"/>
        <v>299</v>
      </c>
      <c r="H331" s="5">
        <f t="shared" si="94"/>
        <v>2639</v>
      </c>
      <c r="I331" s="5">
        <f t="shared" si="95"/>
        <v>2627</v>
      </c>
      <c r="J331" s="5">
        <f t="shared" si="96"/>
        <v>2352</v>
      </c>
      <c r="K331" s="5">
        <f t="shared" si="103"/>
        <v>3000</v>
      </c>
      <c r="L331" s="5">
        <f t="shared" si="104"/>
        <v>3000</v>
      </c>
      <c r="M331" s="5">
        <f t="shared" si="105"/>
        <v>3000</v>
      </c>
      <c r="N331" s="5">
        <f t="shared" si="100"/>
        <v>-361</v>
      </c>
      <c r="O331" s="5">
        <f t="shared" si="101"/>
        <v>-373</v>
      </c>
      <c r="P331" s="5">
        <f t="shared" si="102"/>
        <v>-648</v>
      </c>
      <c r="Q331" s="4">
        <v>0</v>
      </c>
      <c r="R331" s="4">
        <v>0</v>
      </c>
      <c r="S331" s="4">
        <v>0</v>
      </c>
      <c r="T331" s="6">
        <f t="shared" si="97"/>
        <v>1124</v>
      </c>
      <c r="U331" s="7">
        <f t="shared" si="108"/>
        <v>1719</v>
      </c>
      <c r="V331" s="7">
        <f t="shared" si="109"/>
        <v>1527</v>
      </c>
      <c r="W331" s="7">
        <f t="shared" si="107"/>
        <v>1742</v>
      </c>
      <c r="X331" s="6"/>
      <c r="Y331" s="5"/>
      <c r="Z331" s="5"/>
      <c r="AA331" s="5"/>
      <c r="AB331" s="5"/>
    </row>
    <row r="332" spans="1:28" ht="13.15" customHeight="1">
      <c r="A332" s="12">
        <f t="shared" si="106"/>
        <v>318</v>
      </c>
      <c r="B332" s="11">
        <f t="shared" si="98"/>
        <v>45588</v>
      </c>
      <c r="C332" s="9">
        <f t="shared" si="99"/>
        <v>842</v>
      </c>
      <c r="D332" s="8">
        <f t="shared" si="110"/>
        <v>1811</v>
      </c>
      <c r="E332" s="4">
        <f t="shared" si="91"/>
        <v>14</v>
      </c>
      <c r="F332" s="4">
        <f t="shared" si="92"/>
        <v>26</v>
      </c>
      <c r="G332" s="4">
        <f t="shared" si="93"/>
        <v>301</v>
      </c>
      <c r="H332" s="5">
        <f t="shared" si="94"/>
        <v>2639</v>
      </c>
      <c r="I332" s="5">
        <f t="shared" si="95"/>
        <v>2627</v>
      </c>
      <c r="J332" s="5">
        <f t="shared" si="96"/>
        <v>2352</v>
      </c>
      <c r="K332" s="5">
        <f t="shared" si="103"/>
        <v>3000</v>
      </c>
      <c r="L332" s="5">
        <f t="shared" si="104"/>
        <v>3000</v>
      </c>
      <c r="M332" s="5">
        <f t="shared" si="105"/>
        <v>3000</v>
      </c>
      <c r="N332" s="5">
        <f t="shared" si="100"/>
        <v>-361</v>
      </c>
      <c r="O332" s="5">
        <f t="shared" si="101"/>
        <v>-373</v>
      </c>
      <c r="P332" s="5">
        <f t="shared" si="102"/>
        <v>-648</v>
      </c>
      <c r="Q332" s="4">
        <v>0</v>
      </c>
      <c r="R332" s="4">
        <v>0</v>
      </c>
      <c r="S332" s="4">
        <v>0</v>
      </c>
      <c r="T332" s="6">
        <f t="shared" si="97"/>
        <v>1126</v>
      </c>
      <c r="U332" s="7">
        <f t="shared" si="108"/>
        <v>1719</v>
      </c>
      <c r="V332" s="7">
        <f t="shared" si="109"/>
        <v>1527</v>
      </c>
      <c r="W332" s="7">
        <f t="shared" si="107"/>
        <v>1742</v>
      </c>
      <c r="X332" s="6"/>
      <c r="Y332" s="5"/>
      <c r="Z332" s="5"/>
      <c r="AA332" s="5"/>
      <c r="AB332" s="5"/>
    </row>
    <row r="333" spans="1:28" ht="13.15" customHeight="1">
      <c r="A333" s="12">
        <f t="shared" si="106"/>
        <v>319</v>
      </c>
      <c r="B333" s="11">
        <f t="shared" si="98"/>
        <v>45589</v>
      </c>
      <c r="C333" s="9">
        <f t="shared" si="99"/>
        <v>842</v>
      </c>
      <c r="D333" s="8">
        <f t="shared" si="110"/>
        <v>1813</v>
      </c>
      <c r="E333" s="4">
        <f t="shared" si="91"/>
        <v>16</v>
      </c>
      <c r="F333" s="4">
        <f t="shared" si="92"/>
        <v>28</v>
      </c>
      <c r="G333" s="4">
        <f t="shared" si="93"/>
        <v>303</v>
      </c>
      <c r="H333" s="5">
        <f t="shared" si="94"/>
        <v>2639</v>
      </c>
      <c r="I333" s="5">
        <f t="shared" si="95"/>
        <v>2627</v>
      </c>
      <c r="J333" s="5">
        <f t="shared" si="96"/>
        <v>2352</v>
      </c>
      <c r="K333" s="5">
        <f t="shared" si="103"/>
        <v>3000</v>
      </c>
      <c r="L333" s="5">
        <f t="shared" si="104"/>
        <v>3000</v>
      </c>
      <c r="M333" s="5">
        <f t="shared" si="105"/>
        <v>3000</v>
      </c>
      <c r="N333" s="5">
        <f t="shared" si="100"/>
        <v>-361</v>
      </c>
      <c r="O333" s="5">
        <f t="shared" si="101"/>
        <v>-373</v>
      </c>
      <c r="P333" s="5">
        <f t="shared" si="102"/>
        <v>-648</v>
      </c>
      <c r="Q333" s="4">
        <v>0</v>
      </c>
      <c r="R333" s="4">
        <v>0</v>
      </c>
      <c r="S333" s="4">
        <v>0</v>
      </c>
      <c r="T333" s="6">
        <f t="shared" si="97"/>
        <v>1128</v>
      </c>
      <c r="U333" s="7">
        <f t="shared" si="108"/>
        <v>1719</v>
      </c>
      <c r="V333" s="7">
        <f t="shared" si="109"/>
        <v>1527</v>
      </c>
      <c r="W333" s="7">
        <f t="shared" si="107"/>
        <v>1742</v>
      </c>
      <c r="X333" s="6"/>
      <c r="Y333" s="5"/>
      <c r="Z333" s="5"/>
      <c r="AA333" s="5"/>
      <c r="AB333" s="5"/>
    </row>
    <row r="334" spans="1:28" ht="13.15" customHeight="1">
      <c r="A334" s="12">
        <f t="shared" si="106"/>
        <v>320</v>
      </c>
      <c r="B334" s="11">
        <f t="shared" si="98"/>
        <v>45590</v>
      </c>
      <c r="C334" s="9">
        <f t="shared" si="99"/>
        <v>842</v>
      </c>
      <c r="D334" s="8">
        <f t="shared" si="110"/>
        <v>1815</v>
      </c>
      <c r="E334" s="4">
        <f t="shared" ref="E334:E397" si="111">C334+D334-H334</f>
        <v>18</v>
      </c>
      <c r="F334" s="4">
        <f t="shared" ref="F334:F397" si="112">C334+D334-I334</f>
        <v>30</v>
      </c>
      <c r="G334" s="4">
        <f t="shared" ref="G334:G397" si="113">D334+C334-J334</f>
        <v>305</v>
      </c>
      <c r="H334" s="5">
        <f t="shared" ref="H334:H397" si="114">K334+N334</f>
        <v>2639</v>
      </c>
      <c r="I334" s="5">
        <f t="shared" ref="I334:I397" si="115">L334+O334</f>
        <v>2627</v>
      </c>
      <c r="J334" s="5">
        <f t="shared" ref="J334:J397" si="116">M334+P334</f>
        <v>2352</v>
      </c>
      <c r="K334" s="5">
        <f t="shared" si="103"/>
        <v>3000</v>
      </c>
      <c r="L334" s="5">
        <f t="shared" si="104"/>
        <v>3000</v>
      </c>
      <c r="M334" s="5">
        <f t="shared" si="105"/>
        <v>3000</v>
      </c>
      <c r="N334" s="5">
        <f t="shared" si="100"/>
        <v>-361</v>
      </c>
      <c r="O334" s="5">
        <f t="shared" si="101"/>
        <v>-373</v>
      </c>
      <c r="P334" s="5">
        <f t="shared" si="102"/>
        <v>-648</v>
      </c>
      <c r="Q334" s="4">
        <v>0</v>
      </c>
      <c r="R334" s="4">
        <v>0</v>
      </c>
      <c r="S334" s="4">
        <v>0</v>
      </c>
      <c r="T334" s="6">
        <f t="shared" ref="T334:T397" si="117">D334+C334-V334</f>
        <v>1130</v>
      </c>
      <c r="U334" s="7">
        <f t="shared" si="108"/>
        <v>1719</v>
      </c>
      <c r="V334" s="7">
        <f t="shared" si="109"/>
        <v>1527</v>
      </c>
      <c r="W334" s="7">
        <f t="shared" si="107"/>
        <v>1742</v>
      </c>
      <c r="X334" s="6"/>
      <c r="Y334" s="5"/>
      <c r="Z334" s="5"/>
      <c r="AA334" s="5"/>
      <c r="AB334" s="5"/>
    </row>
    <row r="335" spans="1:28" ht="13.15" customHeight="1">
      <c r="A335" s="12">
        <f t="shared" si="106"/>
        <v>321</v>
      </c>
      <c r="B335" s="11">
        <f t="shared" ref="B335:B398" si="118">B334+1</f>
        <v>45591</v>
      </c>
      <c r="C335" s="9">
        <f t="shared" ref="C335:C398" si="119">C334</f>
        <v>842</v>
      </c>
      <c r="D335" s="8">
        <f t="shared" si="110"/>
        <v>1817</v>
      </c>
      <c r="E335" s="4">
        <f t="shared" si="111"/>
        <v>20</v>
      </c>
      <c r="F335" s="4">
        <f t="shared" si="112"/>
        <v>32</v>
      </c>
      <c r="G335" s="4">
        <f t="shared" si="113"/>
        <v>307</v>
      </c>
      <c r="H335" s="5">
        <f t="shared" si="114"/>
        <v>2639</v>
      </c>
      <c r="I335" s="5">
        <f t="shared" si="115"/>
        <v>2627</v>
      </c>
      <c r="J335" s="5">
        <f t="shared" si="116"/>
        <v>2352</v>
      </c>
      <c r="K335" s="5">
        <f t="shared" si="103"/>
        <v>3000</v>
      </c>
      <c r="L335" s="5">
        <f t="shared" si="104"/>
        <v>3000</v>
      </c>
      <c r="M335" s="5">
        <f t="shared" si="105"/>
        <v>3000</v>
      </c>
      <c r="N335" s="5">
        <f t="shared" ref="N335:N398" si="120">N334-Q335</f>
        <v>-361</v>
      </c>
      <c r="O335" s="5">
        <f t="shared" ref="O335:O398" si="121">O334-R335</f>
        <v>-373</v>
      </c>
      <c r="P335" s="5">
        <f t="shared" ref="P335:P398" si="122">P334-S335</f>
        <v>-648</v>
      </c>
      <c r="Q335" s="4">
        <v>0</v>
      </c>
      <c r="R335" s="4">
        <v>0</v>
      </c>
      <c r="S335" s="4">
        <v>0</v>
      </c>
      <c r="T335" s="6">
        <f t="shared" si="117"/>
        <v>1132</v>
      </c>
      <c r="U335" s="7">
        <f t="shared" si="108"/>
        <v>1719</v>
      </c>
      <c r="V335" s="7">
        <f t="shared" si="109"/>
        <v>1527</v>
      </c>
      <c r="W335" s="7">
        <f t="shared" si="107"/>
        <v>1742</v>
      </c>
      <c r="X335" s="6"/>
      <c r="Y335" s="5"/>
      <c r="Z335" s="5"/>
      <c r="AA335" s="5"/>
      <c r="AB335" s="5"/>
    </row>
    <row r="336" spans="1:28" ht="13.15" customHeight="1">
      <c r="A336" s="12">
        <f t="shared" si="106"/>
        <v>322</v>
      </c>
      <c r="B336" s="11">
        <f t="shared" si="118"/>
        <v>45592</v>
      </c>
      <c r="C336" s="9">
        <f t="shared" si="119"/>
        <v>842</v>
      </c>
      <c r="D336" s="8">
        <f t="shared" si="110"/>
        <v>1819</v>
      </c>
      <c r="E336" s="4">
        <f t="shared" si="111"/>
        <v>22</v>
      </c>
      <c r="F336" s="4">
        <f t="shared" si="112"/>
        <v>34</v>
      </c>
      <c r="G336" s="4">
        <f t="shared" si="113"/>
        <v>309</v>
      </c>
      <c r="H336" s="5">
        <f t="shared" si="114"/>
        <v>2639</v>
      </c>
      <c r="I336" s="5">
        <f t="shared" si="115"/>
        <v>2627</v>
      </c>
      <c r="J336" s="5">
        <f t="shared" si="116"/>
        <v>2352</v>
      </c>
      <c r="K336" s="5">
        <f t="shared" si="103"/>
        <v>3000</v>
      </c>
      <c r="L336" s="5">
        <f t="shared" si="104"/>
        <v>3000</v>
      </c>
      <c r="M336" s="5">
        <f t="shared" si="105"/>
        <v>3000</v>
      </c>
      <c r="N336" s="5">
        <f t="shared" si="120"/>
        <v>-361</v>
      </c>
      <c r="O336" s="5">
        <f t="shared" si="121"/>
        <v>-373</v>
      </c>
      <c r="P336" s="5">
        <f t="shared" si="122"/>
        <v>-648</v>
      </c>
      <c r="Q336" s="4">
        <v>0</v>
      </c>
      <c r="R336" s="4">
        <v>0</v>
      </c>
      <c r="S336" s="4">
        <v>0</v>
      </c>
      <c r="T336" s="6">
        <f t="shared" si="117"/>
        <v>1134</v>
      </c>
      <c r="U336" s="7">
        <f t="shared" si="108"/>
        <v>1719</v>
      </c>
      <c r="V336" s="7">
        <f t="shared" si="109"/>
        <v>1527</v>
      </c>
      <c r="W336" s="7">
        <f t="shared" si="107"/>
        <v>1742</v>
      </c>
      <c r="X336" s="6"/>
      <c r="Y336" s="5"/>
      <c r="Z336" s="5"/>
      <c r="AA336" s="5"/>
      <c r="AB336" s="5"/>
    </row>
    <row r="337" spans="1:28" ht="13.15" customHeight="1">
      <c r="A337" s="12">
        <f t="shared" si="106"/>
        <v>323</v>
      </c>
      <c r="B337" s="11">
        <f t="shared" si="118"/>
        <v>45593</v>
      </c>
      <c r="C337" s="9">
        <f t="shared" si="119"/>
        <v>842</v>
      </c>
      <c r="D337" s="8">
        <f t="shared" si="110"/>
        <v>1821</v>
      </c>
      <c r="E337" s="4">
        <f t="shared" si="111"/>
        <v>24</v>
      </c>
      <c r="F337" s="4">
        <f t="shared" si="112"/>
        <v>36</v>
      </c>
      <c r="G337" s="4">
        <f t="shared" si="113"/>
        <v>311</v>
      </c>
      <c r="H337" s="5">
        <f t="shared" si="114"/>
        <v>2639</v>
      </c>
      <c r="I337" s="5">
        <f t="shared" si="115"/>
        <v>2627</v>
      </c>
      <c r="J337" s="5">
        <f t="shared" si="116"/>
        <v>2352</v>
      </c>
      <c r="K337" s="5">
        <f t="shared" si="103"/>
        <v>3000</v>
      </c>
      <c r="L337" s="5">
        <f t="shared" si="104"/>
        <v>3000</v>
      </c>
      <c r="M337" s="5">
        <f t="shared" si="105"/>
        <v>3000</v>
      </c>
      <c r="N337" s="5">
        <f t="shared" si="120"/>
        <v>-361</v>
      </c>
      <c r="O337" s="5">
        <f t="shared" si="121"/>
        <v>-373</v>
      </c>
      <c r="P337" s="5">
        <f t="shared" si="122"/>
        <v>-648</v>
      </c>
      <c r="Q337" s="4">
        <v>0</v>
      </c>
      <c r="R337" s="4">
        <v>0</v>
      </c>
      <c r="S337" s="4">
        <v>0</v>
      </c>
      <c r="T337" s="6">
        <f t="shared" si="117"/>
        <v>1136</v>
      </c>
      <c r="U337" s="7">
        <f t="shared" si="108"/>
        <v>1719</v>
      </c>
      <c r="V337" s="7">
        <f t="shared" si="109"/>
        <v>1527</v>
      </c>
      <c r="W337" s="7">
        <f t="shared" si="107"/>
        <v>1742</v>
      </c>
      <c r="X337" s="6"/>
      <c r="Y337" s="5"/>
      <c r="Z337" s="5"/>
      <c r="AA337" s="5"/>
      <c r="AB337" s="5"/>
    </row>
    <row r="338" spans="1:28" ht="13.15" customHeight="1">
      <c r="A338" s="12">
        <f t="shared" si="106"/>
        <v>324</v>
      </c>
      <c r="B338" s="11">
        <f t="shared" si="118"/>
        <v>45594</v>
      </c>
      <c r="C338" s="9">
        <f t="shared" si="119"/>
        <v>842</v>
      </c>
      <c r="D338" s="8">
        <f t="shared" si="110"/>
        <v>1823</v>
      </c>
      <c r="E338" s="4">
        <f t="shared" si="111"/>
        <v>26</v>
      </c>
      <c r="F338" s="4">
        <f t="shared" si="112"/>
        <v>38</v>
      </c>
      <c r="G338" s="4">
        <f t="shared" si="113"/>
        <v>313</v>
      </c>
      <c r="H338" s="5">
        <f t="shared" si="114"/>
        <v>2639</v>
      </c>
      <c r="I338" s="5">
        <f t="shared" si="115"/>
        <v>2627</v>
      </c>
      <c r="J338" s="5">
        <f t="shared" si="116"/>
        <v>2352</v>
      </c>
      <c r="K338" s="5">
        <f t="shared" si="103"/>
        <v>3000</v>
      </c>
      <c r="L338" s="5">
        <f t="shared" si="104"/>
        <v>3000</v>
      </c>
      <c r="M338" s="5">
        <f t="shared" si="105"/>
        <v>3000</v>
      </c>
      <c r="N338" s="5">
        <f t="shared" si="120"/>
        <v>-361</v>
      </c>
      <c r="O338" s="5">
        <f t="shared" si="121"/>
        <v>-373</v>
      </c>
      <c r="P338" s="5">
        <f t="shared" si="122"/>
        <v>-648</v>
      </c>
      <c r="Q338" s="4">
        <v>0</v>
      </c>
      <c r="R338" s="4">
        <v>0</v>
      </c>
      <c r="S338" s="4">
        <v>0</v>
      </c>
      <c r="T338" s="6">
        <f t="shared" si="117"/>
        <v>1138</v>
      </c>
      <c r="U338" s="7">
        <f t="shared" si="108"/>
        <v>1719</v>
      </c>
      <c r="V338" s="7">
        <f t="shared" si="109"/>
        <v>1527</v>
      </c>
      <c r="W338" s="7">
        <f t="shared" si="107"/>
        <v>1742</v>
      </c>
      <c r="X338" s="6"/>
      <c r="Y338" s="5"/>
      <c r="Z338" s="5"/>
      <c r="AA338" s="5"/>
      <c r="AB338" s="5"/>
    </row>
    <row r="339" spans="1:28" ht="13.15" customHeight="1">
      <c r="A339" s="12">
        <f t="shared" si="106"/>
        <v>325</v>
      </c>
      <c r="B339" s="11">
        <f t="shared" si="118"/>
        <v>45595</v>
      </c>
      <c r="C339" s="9">
        <f t="shared" si="119"/>
        <v>842</v>
      </c>
      <c r="D339" s="8">
        <f t="shared" si="110"/>
        <v>1825</v>
      </c>
      <c r="E339" s="4">
        <f t="shared" si="111"/>
        <v>28</v>
      </c>
      <c r="F339" s="4">
        <f t="shared" si="112"/>
        <v>40</v>
      </c>
      <c r="G339" s="4">
        <f t="shared" si="113"/>
        <v>315</v>
      </c>
      <c r="H339" s="5">
        <f t="shared" si="114"/>
        <v>2639</v>
      </c>
      <c r="I339" s="5">
        <f t="shared" si="115"/>
        <v>2627</v>
      </c>
      <c r="J339" s="5">
        <f t="shared" si="116"/>
        <v>2352</v>
      </c>
      <c r="K339" s="5">
        <f t="shared" si="103"/>
        <v>3000</v>
      </c>
      <c r="L339" s="5">
        <f t="shared" si="104"/>
        <v>3000</v>
      </c>
      <c r="M339" s="5">
        <f t="shared" si="105"/>
        <v>3000</v>
      </c>
      <c r="N339" s="5">
        <f t="shared" si="120"/>
        <v>-361</v>
      </c>
      <c r="O339" s="5">
        <f t="shared" si="121"/>
        <v>-373</v>
      </c>
      <c r="P339" s="5">
        <f t="shared" si="122"/>
        <v>-648</v>
      </c>
      <c r="Q339" s="4">
        <v>0</v>
      </c>
      <c r="R339" s="4">
        <v>0</v>
      </c>
      <c r="S339" s="4">
        <v>0</v>
      </c>
      <c r="T339" s="6">
        <f t="shared" si="117"/>
        <v>1140</v>
      </c>
      <c r="U339" s="7">
        <f t="shared" si="108"/>
        <v>1719</v>
      </c>
      <c r="V339" s="7">
        <f t="shared" si="109"/>
        <v>1527</v>
      </c>
      <c r="W339" s="7">
        <f t="shared" si="107"/>
        <v>1742</v>
      </c>
      <c r="X339" s="6"/>
      <c r="Y339" s="5"/>
      <c r="Z339" s="5"/>
      <c r="AA339" s="5"/>
      <c r="AB339" s="5"/>
    </row>
    <row r="340" spans="1:28" ht="13.15" customHeight="1">
      <c r="A340" s="12">
        <f t="shared" si="106"/>
        <v>326</v>
      </c>
      <c r="B340" s="11">
        <f t="shared" si="118"/>
        <v>45596</v>
      </c>
      <c r="C340" s="9">
        <f t="shared" si="119"/>
        <v>842</v>
      </c>
      <c r="D340" s="8">
        <f t="shared" si="110"/>
        <v>1827</v>
      </c>
      <c r="E340" s="4">
        <f t="shared" si="111"/>
        <v>30</v>
      </c>
      <c r="F340" s="4">
        <f t="shared" si="112"/>
        <v>42</v>
      </c>
      <c r="G340" s="4">
        <f t="shared" si="113"/>
        <v>317</v>
      </c>
      <c r="H340" s="5">
        <f t="shared" si="114"/>
        <v>2639</v>
      </c>
      <c r="I340" s="5">
        <f t="shared" si="115"/>
        <v>2627</v>
      </c>
      <c r="J340" s="5">
        <f t="shared" si="116"/>
        <v>2352</v>
      </c>
      <c r="K340" s="5">
        <f t="shared" si="103"/>
        <v>3000</v>
      </c>
      <c r="L340" s="5">
        <f t="shared" si="104"/>
        <v>3000</v>
      </c>
      <c r="M340" s="5">
        <f t="shared" si="105"/>
        <v>3000</v>
      </c>
      <c r="N340" s="5">
        <f t="shared" si="120"/>
        <v>-361</v>
      </c>
      <c r="O340" s="5">
        <f t="shared" si="121"/>
        <v>-373</v>
      </c>
      <c r="P340" s="5">
        <f t="shared" si="122"/>
        <v>-648</v>
      </c>
      <c r="Q340" s="4">
        <v>0</v>
      </c>
      <c r="R340" s="4">
        <v>0</v>
      </c>
      <c r="S340" s="4">
        <v>0</v>
      </c>
      <c r="T340" s="6">
        <f t="shared" si="117"/>
        <v>1142</v>
      </c>
      <c r="U340" s="7">
        <f t="shared" si="108"/>
        <v>1719</v>
      </c>
      <c r="V340" s="7">
        <f t="shared" si="109"/>
        <v>1527</v>
      </c>
      <c r="W340" s="7">
        <f t="shared" si="107"/>
        <v>1742</v>
      </c>
      <c r="X340" s="6"/>
      <c r="Y340" s="5"/>
      <c r="Z340" s="5"/>
      <c r="AA340" s="5"/>
      <c r="AB340" s="5"/>
    </row>
    <row r="341" spans="1:28" ht="13.15" customHeight="1">
      <c r="A341" s="12">
        <f t="shared" si="106"/>
        <v>327</v>
      </c>
      <c r="B341" s="11">
        <f t="shared" si="118"/>
        <v>45597</v>
      </c>
      <c r="C341" s="9">
        <f t="shared" si="119"/>
        <v>842</v>
      </c>
      <c r="D341" s="8">
        <f t="shared" si="110"/>
        <v>1829</v>
      </c>
      <c r="E341" s="4">
        <f t="shared" si="111"/>
        <v>32</v>
      </c>
      <c r="F341" s="4">
        <f t="shared" si="112"/>
        <v>44</v>
      </c>
      <c r="G341" s="4">
        <f t="shared" si="113"/>
        <v>319</v>
      </c>
      <c r="H341" s="5">
        <f t="shared" si="114"/>
        <v>2639</v>
      </c>
      <c r="I341" s="5">
        <f t="shared" si="115"/>
        <v>2627</v>
      </c>
      <c r="J341" s="5">
        <f t="shared" si="116"/>
        <v>2352</v>
      </c>
      <c r="K341" s="5">
        <f t="shared" ref="K341:K404" si="123">K340</f>
        <v>3000</v>
      </c>
      <c r="L341" s="5">
        <f t="shared" ref="L341:L404" si="124">L340</f>
        <v>3000</v>
      </c>
      <c r="M341" s="5">
        <f t="shared" ref="M341:M404" si="125">M340</f>
        <v>3000</v>
      </c>
      <c r="N341" s="5">
        <f t="shared" si="120"/>
        <v>-361</v>
      </c>
      <c r="O341" s="5">
        <f t="shared" si="121"/>
        <v>-373</v>
      </c>
      <c r="P341" s="5">
        <f t="shared" si="122"/>
        <v>-648</v>
      </c>
      <c r="Q341" s="4">
        <v>0</v>
      </c>
      <c r="R341" s="4">
        <v>0</v>
      </c>
      <c r="S341" s="4">
        <v>0</v>
      </c>
      <c r="T341" s="6">
        <f t="shared" si="117"/>
        <v>1144</v>
      </c>
      <c r="U341" s="7">
        <f t="shared" si="108"/>
        <v>1719</v>
      </c>
      <c r="V341" s="7">
        <f t="shared" si="109"/>
        <v>1527</v>
      </c>
      <c r="W341" s="7">
        <f t="shared" si="107"/>
        <v>1742</v>
      </c>
      <c r="X341" s="6"/>
      <c r="Y341" s="5"/>
      <c r="Z341" s="5"/>
      <c r="AA341" s="5"/>
      <c r="AB341" s="5"/>
    </row>
    <row r="342" spans="1:28" ht="13.15" customHeight="1">
      <c r="A342" s="12">
        <f t="shared" si="106"/>
        <v>328</v>
      </c>
      <c r="B342" s="11">
        <f t="shared" si="118"/>
        <v>45598</v>
      </c>
      <c r="C342" s="9">
        <f t="shared" si="119"/>
        <v>842</v>
      </c>
      <c r="D342" s="8">
        <f t="shared" si="110"/>
        <v>1831</v>
      </c>
      <c r="E342" s="4">
        <f t="shared" si="111"/>
        <v>34</v>
      </c>
      <c r="F342" s="4">
        <f t="shared" si="112"/>
        <v>46</v>
      </c>
      <c r="G342" s="4">
        <f t="shared" si="113"/>
        <v>321</v>
      </c>
      <c r="H342" s="5">
        <f t="shared" si="114"/>
        <v>2639</v>
      </c>
      <c r="I342" s="5">
        <f t="shared" si="115"/>
        <v>2627</v>
      </c>
      <c r="J342" s="5">
        <f t="shared" si="116"/>
        <v>2352</v>
      </c>
      <c r="K342" s="5">
        <f t="shared" si="123"/>
        <v>3000</v>
      </c>
      <c r="L342" s="5">
        <f t="shared" si="124"/>
        <v>3000</v>
      </c>
      <c r="M342" s="5">
        <f t="shared" si="125"/>
        <v>3000</v>
      </c>
      <c r="N342" s="5">
        <f t="shared" si="120"/>
        <v>-361</v>
      </c>
      <c r="O342" s="5">
        <f t="shared" si="121"/>
        <v>-373</v>
      </c>
      <c r="P342" s="5">
        <f t="shared" si="122"/>
        <v>-648</v>
      </c>
      <c r="Q342" s="4">
        <v>0</v>
      </c>
      <c r="R342" s="4">
        <v>0</v>
      </c>
      <c r="S342" s="4">
        <v>0</v>
      </c>
      <c r="T342" s="6">
        <f t="shared" si="117"/>
        <v>1146</v>
      </c>
      <c r="U342" s="7">
        <f t="shared" si="108"/>
        <v>1719</v>
      </c>
      <c r="V342" s="7">
        <f t="shared" si="109"/>
        <v>1527</v>
      </c>
      <c r="W342" s="7">
        <f t="shared" si="107"/>
        <v>1742</v>
      </c>
      <c r="X342" s="6"/>
      <c r="Y342" s="5"/>
      <c r="Z342" s="5"/>
      <c r="AA342" s="5"/>
      <c r="AB342" s="5"/>
    </row>
    <row r="343" spans="1:28" ht="13.15" customHeight="1">
      <c r="A343" s="12">
        <f t="shared" ref="A343:A406" si="126">+A342+1</f>
        <v>329</v>
      </c>
      <c r="B343" s="11">
        <f t="shared" si="118"/>
        <v>45599</v>
      </c>
      <c r="C343" s="9">
        <f t="shared" si="119"/>
        <v>842</v>
      </c>
      <c r="D343" s="8">
        <f t="shared" si="110"/>
        <v>1833</v>
      </c>
      <c r="E343" s="4">
        <f t="shared" si="111"/>
        <v>36</v>
      </c>
      <c r="F343" s="4">
        <f t="shared" si="112"/>
        <v>48</v>
      </c>
      <c r="G343" s="4">
        <f t="shared" si="113"/>
        <v>323</v>
      </c>
      <c r="H343" s="5">
        <f t="shared" si="114"/>
        <v>2639</v>
      </c>
      <c r="I343" s="5">
        <f t="shared" si="115"/>
        <v>2627</v>
      </c>
      <c r="J343" s="5">
        <f t="shared" si="116"/>
        <v>2352</v>
      </c>
      <c r="K343" s="5">
        <f t="shared" si="123"/>
        <v>3000</v>
      </c>
      <c r="L343" s="5">
        <f t="shared" si="124"/>
        <v>3000</v>
      </c>
      <c r="M343" s="5">
        <f t="shared" si="125"/>
        <v>3000</v>
      </c>
      <c r="N343" s="5">
        <f t="shared" si="120"/>
        <v>-361</v>
      </c>
      <c r="O343" s="5">
        <f t="shared" si="121"/>
        <v>-373</v>
      </c>
      <c r="P343" s="5">
        <f t="shared" si="122"/>
        <v>-648</v>
      </c>
      <c r="Q343" s="4">
        <v>0</v>
      </c>
      <c r="R343" s="4">
        <v>0</v>
      </c>
      <c r="S343" s="4">
        <v>0</v>
      </c>
      <c r="T343" s="6">
        <f t="shared" si="117"/>
        <v>1148</v>
      </c>
      <c r="U343" s="7">
        <f t="shared" si="108"/>
        <v>1719</v>
      </c>
      <c r="V343" s="7">
        <f t="shared" si="109"/>
        <v>1527</v>
      </c>
      <c r="W343" s="7">
        <f t="shared" si="107"/>
        <v>1742</v>
      </c>
      <c r="X343" s="6"/>
      <c r="Y343" s="5"/>
      <c r="Z343" s="5"/>
      <c r="AA343" s="5"/>
      <c r="AB343" s="5"/>
    </row>
    <row r="344" spans="1:28" ht="13.15" customHeight="1">
      <c r="A344" s="12">
        <f t="shared" si="126"/>
        <v>330</v>
      </c>
      <c r="B344" s="11">
        <f t="shared" si="118"/>
        <v>45600</v>
      </c>
      <c r="C344" s="9">
        <f t="shared" si="119"/>
        <v>842</v>
      </c>
      <c r="D344" s="8">
        <f t="shared" si="110"/>
        <v>1835</v>
      </c>
      <c r="E344" s="4">
        <f t="shared" si="111"/>
        <v>38</v>
      </c>
      <c r="F344" s="4">
        <f t="shared" si="112"/>
        <v>50</v>
      </c>
      <c r="G344" s="4">
        <f t="shared" si="113"/>
        <v>325</v>
      </c>
      <c r="H344" s="5">
        <f t="shared" si="114"/>
        <v>2639</v>
      </c>
      <c r="I344" s="5">
        <f t="shared" si="115"/>
        <v>2627</v>
      </c>
      <c r="J344" s="5">
        <f t="shared" si="116"/>
        <v>2352</v>
      </c>
      <c r="K344" s="5">
        <f t="shared" si="123"/>
        <v>3000</v>
      </c>
      <c r="L344" s="5">
        <f t="shared" si="124"/>
        <v>3000</v>
      </c>
      <c r="M344" s="5">
        <f t="shared" si="125"/>
        <v>3000</v>
      </c>
      <c r="N344" s="5">
        <f t="shared" si="120"/>
        <v>-361</v>
      </c>
      <c r="O344" s="5">
        <f t="shared" si="121"/>
        <v>-373</v>
      </c>
      <c r="P344" s="5">
        <f t="shared" si="122"/>
        <v>-648</v>
      </c>
      <c r="Q344" s="4">
        <v>0</v>
      </c>
      <c r="R344" s="4">
        <v>0</v>
      </c>
      <c r="S344" s="4">
        <v>0</v>
      </c>
      <c r="T344" s="6">
        <f t="shared" si="117"/>
        <v>1150</v>
      </c>
      <c r="U344" s="7">
        <f t="shared" si="108"/>
        <v>1719</v>
      </c>
      <c r="V344" s="7">
        <f t="shared" si="109"/>
        <v>1527</v>
      </c>
      <c r="W344" s="7">
        <f t="shared" si="107"/>
        <v>1742</v>
      </c>
      <c r="X344" s="6"/>
      <c r="Y344" s="5"/>
      <c r="Z344" s="5"/>
      <c r="AA344" s="5"/>
      <c r="AB344" s="5"/>
    </row>
    <row r="345" spans="1:28" ht="13.15" customHeight="1">
      <c r="A345" s="12">
        <f t="shared" si="126"/>
        <v>331</v>
      </c>
      <c r="B345" s="11">
        <f t="shared" si="118"/>
        <v>45601</v>
      </c>
      <c r="C345" s="9">
        <f t="shared" si="119"/>
        <v>842</v>
      </c>
      <c r="D345" s="8">
        <f t="shared" si="110"/>
        <v>1837</v>
      </c>
      <c r="E345" s="4">
        <f t="shared" si="111"/>
        <v>40</v>
      </c>
      <c r="F345" s="4">
        <f t="shared" si="112"/>
        <v>52</v>
      </c>
      <c r="G345" s="4">
        <f t="shared" si="113"/>
        <v>327</v>
      </c>
      <c r="H345" s="5">
        <f t="shared" si="114"/>
        <v>2639</v>
      </c>
      <c r="I345" s="5">
        <f t="shared" si="115"/>
        <v>2627</v>
      </c>
      <c r="J345" s="5">
        <f t="shared" si="116"/>
        <v>2352</v>
      </c>
      <c r="K345" s="5">
        <f t="shared" si="123"/>
        <v>3000</v>
      </c>
      <c r="L345" s="5">
        <f t="shared" si="124"/>
        <v>3000</v>
      </c>
      <c r="M345" s="5">
        <f t="shared" si="125"/>
        <v>3000</v>
      </c>
      <c r="N345" s="5">
        <f t="shared" si="120"/>
        <v>-361</v>
      </c>
      <c r="O345" s="5">
        <f t="shared" si="121"/>
        <v>-373</v>
      </c>
      <c r="P345" s="5">
        <f t="shared" si="122"/>
        <v>-648</v>
      </c>
      <c r="Q345" s="4">
        <v>0</v>
      </c>
      <c r="R345" s="4">
        <v>0</v>
      </c>
      <c r="S345" s="4">
        <v>0</v>
      </c>
      <c r="T345" s="6">
        <f t="shared" si="117"/>
        <v>1152</v>
      </c>
      <c r="U345" s="7">
        <f t="shared" si="108"/>
        <v>1719</v>
      </c>
      <c r="V345" s="7">
        <f t="shared" si="109"/>
        <v>1527</v>
      </c>
      <c r="W345" s="7">
        <f t="shared" si="107"/>
        <v>1742</v>
      </c>
      <c r="X345" s="6"/>
      <c r="Y345" s="5"/>
      <c r="Z345" s="5"/>
      <c r="AA345" s="5"/>
      <c r="AB345" s="5"/>
    </row>
    <row r="346" spans="1:28" ht="13.15" customHeight="1">
      <c r="A346" s="12">
        <f t="shared" si="126"/>
        <v>332</v>
      </c>
      <c r="B346" s="11">
        <f t="shared" si="118"/>
        <v>45602</v>
      </c>
      <c r="C346" s="9">
        <f t="shared" si="119"/>
        <v>842</v>
      </c>
      <c r="D346" s="8">
        <f t="shared" si="110"/>
        <v>1839</v>
      </c>
      <c r="E346" s="4">
        <f t="shared" si="111"/>
        <v>42</v>
      </c>
      <c r="F346" s="4">
        <f t="shared" si="112"/>
        <v>54</v>
      </c>
      <c r="G346" s="4">
        <f t="shared" si="113"/>
        <v>329</v>
      </c>
      <c r="H346" s="5">
        <f t="shared" si="114"/>
        <v>2639</v>
      </c>
      <c r="I346" s="5">
        <f t="shared" si="115"/>
        <v>2627</v>
      </c>
      <c r="J346" s="5">
        <f t="shared" si="116"/>
        <v>2352</v>
      </c>
      <c r="K346" s="5">
        <f t="shared" si="123"/>
        <v>3000</v>
      </c>
      <c r="L346" s="5">
        <f t="shared" si="124"/>
        <v>3000</v>
      </c>
      <c r="M346" s="5">
        <f t="shared" si="125"/>
        <v>3000</v>
      </c>
      <c r="N346" s="5">
        <f t="shared" si="120"/>
        <v>-361</v>
      </c>
      <c r="O346" s="5">
        <f t="shared" si="121"/>
        <v>-373</v>
      </c>
      <c r="P346" s="5">
        <f t="shared" si="122"/>
        <v>-648</v>
      </c>
      <c r="Q346" s="4">
        <v>0</v>
      </c>
      <c r="R346" s="4">
        <v>0</v>
      </c>
      <c r="S346" s="4">
        <v>0</v>
      </c>
      <c r="T346" s="6">
        <f t="shared" si="117"/>
        <v>1154</v>
      </c>
      <c r="U346" s="7">
        <f t="shared" si="108"/>
        <v>1719</v>
      </c>
      <c r="V346" s="7">
        <f t="shared" si="109"/>
        <v>1527</v>
      </c>
      <c r="W346" s="7">
        <f t="shared" si="107"/>
        <v>1742</v>
      </c>
      <c r="X346" s="6"/>
      <c r="Y346" s="5"/>
      <c r="Z346" s="5"/>
      <c r="AA346" s="5"/>
      <c r="AB346" s="5"/>
    </row>
    <row r="347" spans="1:28" ht="13.15" customHeight="1">
      <c r="A347" s="12">
        <f t="shared" si="126"/>
        <v>333</v>
      </c>
      <c r="B347" s="11">
        <f t="shared" si="118"/>
        <v>45603</v>
      </c>
      <c r="C347" s="9">
        <f t="shared" si="119"/>
        <v>842</v>
      </c>
      <c r="D347" s="8">
        <f t="shared" si="110"/>
        <v>1841</v>
      </c>
      <c r="E347" s="4">
        <f t="shared" si="111"/>
        <v>44</v>
      </c>
      <c r="F347" s="4">
        <f t="shared" si="112"/>
        <v>56</v>
      </c>
      <c r="G347" s="4">
        <f t="shared" si="113"/>
        <v>331</v>
      </c>
      <c r="H347" s="5">
        <f t="shared" si="114"/>
        <v>2639</v>
      </c>
      <c r="I347" s="5">
        <f t="shared" si="115"/>
        <v>2627</v>
      </c>
      <c r="J347" s="5">
        <f t="shared" si="116"/>
        <v>2352</v>
      </c>
      <c r="K347" s="5">
        <f t="shared" si="123"/>
        <v>3000</v>
      </c>
      <c r="L347" s="5">
        <f t="shared" si="124"/>
        <v>3000</v>
      </c>
      <c r="M347" s="5">
        <f t="shared" si="125"/>
        <v>3000</v>
      </c>
      <c r="N347" s="5">
        <f t="shared" si="120"/>
        <v>-361</v>
      </c>
      <c r="O347" s="5">
        <f t="shared" si="121"/>
        <v>-373</v>
      </c>
      <c r="P347" s="5">
        <f t="shared" si="122"/>
        <v>-648</v>
      </c>
      <c r="Q347" s="4">
        <v>0</v>
      </c>
      <c r="R347" s="4">
        <v>0</v>
      </c>
      <c r="S347" s="4">
        <v>0</v>
      </c>
      <c r="T347" s="6">
        <f t="shared" si="117"/>
        <v>1156</v>
      </c>
      <c r="U347" s="7">
        <f t="shared" si="108"/>
        <v>1719</v>
      </c>
      <c r="V347" s="7">
        <f t="shared" si="109"/>
        <v>1527</v>
      </c>
      <c r="W347" s="7">
        <f t="shared" si="107"/>
        <v>1742</v>
      </c>
      <c r="X347" s="6"/>
      <c r="Y347" s="5"/>
      <c r="Z347" s="5"/>
      <c r="AA347" s="5"/>
      <c r="AB347" s="5"/>
    </row>
    <row r="348" spans="1:28" ht="13.15" customHeight="1">
      <c r="A348" s="12">
        <f t="shared" si="126"/>
        <v>334</v>
      </c>
      <c r="B348" s="11">
        <f t="shared" si="118"/>
        <v>45604</v>
      </c>
      <c r="C348" s="9">
        <f t="shared" si="119"/>
        <v>842</v>
      </c>
      <c r="D348" s="8">
        <f t="shared" si="110"/>
        <v>1843</v>
      </c>
      <c r="E348" s="4">
        <f t="shared" si="111"/>
        <v>46</v>
      </c>
      <c r="F348" s="4">
        <f t="shared" si="112"/>
        <v>58</v>
      </c>
      <c r="G348" s="4">
        <f t="shared" si="113"/>
        <v>333</v>
      </c>
      <c r="H348" s="5">
        <f t="shared" si="114"/>
        <v>2639</v>
      </c>
      <c r="I348" s="5">
        <f t="shared" si="115"/>
        <v>2627</v>
      </c>
      <c r="J348" s="5">
        <f t="shared" si="116"/>
        <v>2352</v>
      </c>
      <c r="K348" s="5">
        <f t="shared" si="123"/>
        <v>3000</v>
      </c>
      <c r="L348" s="5">
        <f t="shared" si="124"/>
        <v>3000</v>
      </c>
      <c r="M348" s="5">
        <f t="shared" si="125"/>
        <v>3000</v>
      </c>
      <c r="N348" s="5">
        <f t="shared" si="120"/>
        <v>-361</v>
      </c>
      <c r="O348" s="5">
        <f t="shared" si="121"/>
        <v>-373</v>
      </c>
      <c r="P348" s="5">
        <f t="shared" si="122"/>
        <v>-648</v>
      </c>
      <c r="Q348" s="4">
        <v>0</v>
      </c>
      <c r="R348" s="4">
        <v>0</v>
      </c>
      <c r="S348" s="4">
        <v>0</v>
      </c>
      <c r="T348" s="6">
        <f t="shared" si="117"/>
        <v>1158</v>
      </c>
      <c r="U348" s="7">
        <f t="shared" si="108"/>
        <v>1719</v>
      </c>
      <c r="V348" s="7">
        <f t="shared" si="109"/>
        <v>1527</v>
      </c>
      <c r="W348" s="7">
        <f t="shared" si="107"/>
        <v>1742</v>
      </c>
      <c r="X348" s="6"/>
      <c r="Y348" s="5"/>
      <c r="Z348" s="5"/>
      <c r="AA348" s="5"/>
      <c r="AB348" s="5"/>
    </row>
    <row r="349" spans="1:28" ht="13.15" customHeight="1">
      <c r="A349" s="12">
        <f t="shared" si="126"/>
        <v>335</v>
      </c>
      <c r="B349" s="11">
        <f t="shared" si="118"/>
        <v>45605</v>
      </c>
      <c r="C349" s="9">
        <f t="shared" si="119"/>
        <v>842</v>
      </c>
      <c r="D349" s="8">
        <f t="shared" si="110"/>
        <v>1845</v>
      </c>
      <c r="E349" s="4">
        <f t="shared" si="111"/>
        <v>48</v>
      </c>
      <c r="F349" s="4">
        <f t="shared" si="112"/>
        <v>60</v>
      </c>
      <c r="G349" s="4">
        <f t="shared" si="113"/>
        <v>335</v>
      </c>
      <c r="H349" s="5">
        <f t="shared" si="114"/>
        <v>2639</v>
      </c>
      <c r="I349" s="5">
        <f t="shared" si="115"/>
        <v>2627</v>
      </c>
      <c r="J349" s="5">
        <f t="shared" si="116"/>
        <v>2352</v>
      </c>
      <c r="K349" s="5">
        <f t="shared" si="123"/>
        <v>3000</v>
      </c>
      <c r="L349" s="5">
        <f t="shared" si="124"/>
        <v>3000</v>
      </c>
      <c r="M349" s="5">
        <f t="shared" si="125"/>
        <v>3000</v>
      </c>
      <c r="N349" s="5">
        <f t="shared" si="120"/>
        <v>-361</v>
      </c>
      <c r="O349" s="5">
        <f t="shared" si="121"/>
        <v>-373</v>
      </c>
      <c r="P349" s="5">
        <f t="shared" si="122"/>
        <v>-648</v>
      </c>
      <c r="Q349" s="4">
        <v>0</v>
      </c>
      <c r="R349" s="4">
        <v>0</v>
      </c>
      <c r="S349" s="4">
        <v>0</v>
      </c>
      <c r="T349" s="6">
        <f t="shared" si="117"/>
        <v>1160</v>
      </c>
      <c r="U349" s="7">
        <f t="shared" si="108"/>
        <v>1719</v>
      </c>
      <c r="V349" s="7">
        <f t="shared" si="109"/>
        <v>1527</v>
      </c>
      <c r="W349" s="7">
        <f t="shared" si="107"/>
        <v>1742</v>
      </c>
      <c r="X349" s="6"/>
      <c r="Y349" s="5"/>
      <c r="Z349" s="5"/>
      <c r="AA349" s="5"/>
      <c r="AB349" s="5"/>
    </row>
    <row r="350" spans="1:28" ht="13.15" customHeight="1">
      <c r="A350" s="12">
        <f t="shared" si="126"/>
        <v>336</v>
      </c>
      <c r="B350" s="11">
        <f t="shared" si="118"/>
        <v>45606</v>
      </c>
      <c r="C350" s="9">
        <f t="shared" si="119"/>
        <v>842</v>
      </c>
      <c r="D350" s="8">
        <f t="shared" si="110"/>
        <v>1847</v>
      </c>
      <c r="E350" s="4">
        <f t="shared" si="111"/>
        <v>50</v>
      </c>
      <c r="F350" s="4">
        <f t="shared" si="112"/>
        <v>62</v>
      </c>
      <c r="G350" s="4">
        <f t="shared" si="113"/>
        <v>337</v>
      </c>
      <c r="H350" s="5">
        <f t="shared" si="114"/>
        <v>2639</v>
      </c>
      <c r="I350" s="5">
        <f t="shared" si="115"/>
        <v>2627</v>
      </c>
      <c r="J350" s="5">
        <f t="shared" si="116"/>
        <v>2352</v>
      </c>
      <c r="K350" s="5">
        <f t="shared" si="123"/>
        <v>3000</v>
      </c>
      <c r="L350" s="5">
        <f t="shared" si="124"/>
        <v>3000</v>
      </c>
      <c r="M350" s="5">
        <f t="shared" si="125"/>
        <v>3000</v>
      </c>
      <c r="N350" s="5">
        <f t="shared" si="120"/>
        <v>-361</v>
      </c>
      <c r="O350" s="5">
        <f t="shared" si="121"/>
        <v>-373</v>
      </c>
      <c r="P350" s="5">
        <f t="shared" si="122"/>
        <v>-648</v>
      </c>
      <c r="Q350" s="4">
        <v>0</v>
      </c>
      <c r="R350" s="4">
        <v>0</v>
      </c>
      <c r="S350" s="4">
        <v>0</v>
      </c>
      <c r="T350" s="6">
        <f t="shared" si="117"/>
        <v>1162</v>
      </c>
      <c r="U350" s="7">
        <f t="shared" si="108"/>
        <v>1719</v>
      </c>
      <c r="V350" s="7">
        <f t="shared" si="109"/>
        <v>1527</v>
      </c>
      <c r="W350" s="7">
        <f t="shared" si="107"/>
        <v>1742</v>
      </c>
      <c r="X350" s="6"/>
      <c r="Y350" s="5"/>
      <c r="Z350" s="5"/>
      <c r="AA350" s="5"/>
      <c r="AB350" s="5"/>
    </row>
    <row r="351" spans="1:28" ht="13.15" customHeight="1">
      <c r="A351" s="12">
        <f t="shared" si="126"/>
        <v>337</v>
      </c>
      <c r="B351" s="11">
        <f t="shared" si="118"/>
        <v>45607</v>
      </c>
      <c r="C351" s="9">
        <f t="shared" si="119"/>
        <v>842</v>
      </c>
      <c r="D351" s="8">
        <f t="shared" si="110"/>
        <v>1849</v>
      </c>
      <c r="E351" s="4">
        <f t="shared" si="111"/>
        <v>52</v>
      </c>
      <c r="F351" s="4">
        <f t="shared" si="112"/>
        <v>64</v>
      </c>
      <c r="G351" s="4">
        <f t="shared" si="113"/>
        <v>339</v>
      </c>
      <c r="H351" s="5">
        <f t="shared" si="114"/>
        <v>2639</v>
      </c>
      <c r="I351" s="5">
        <f t="shared" si="115"/>
        <v>2627</v>
      </c>
      <c r="J351" s="5">
        <f t="shared" si="116"/>
        <v>2352</v>
      </c>
      <c r="K351" s="5">
        <f t="shared" si="123"/>
        <v>3000</v>
      </c>
      <c r="L351" s="5">
        <f t="shared" si="124"/>
        <v>3000</v>
      </c>
      <c r="M351" s="5">
        <f t="shared" si="125"/>
        <v>3000</v>
      </c>
      <c r="N351" s="5">
        <f t="shared" si="120"/>
        <v>-361</v>
      </c>
      <c r="O351" s="5">
        <f t="shared" si="121"/>
        <v>-373</v>
      </c>
      <c r="P351" s="5">
        <f t="shared" si="122"/>
        <v>-648</v>
      </c>
      <c r="Q351" s="4">
        <v>0</v>
      </c>
      <c r="R351" s="4">
        <v>0</v>
      </c>
      <c r="S351" s="4">
        <v>0</v>
      </c>
      <c r="T351" s="6">
        <f t="shared" si="117"/>
        <v>1164</v>
      </c>
      <c r="U351" s="7">
        <f t="shared" si="108"/>
        <v>1719</v>
      </c>
      <c r="V351" s="7">
        <f t="shared" si="109"/>
        <v>1527</v>
      </c>
      <c r="W351" s="7">
        <f t="shared" si="107"/>
        <v>1742</v>
      </c>
      <c r="X351" s="6"/>
      <c r="Y351" s="5"/>
      <c r="Z351" s="5"/>
      <c r="AA351" s="5"/>
      <c r="AB351" s="5"/>
    </row>
    <row r="352" spans="1:28" ht="13.15" customHeight="1">
      <c r="A352" s="12">
        <f t="shared" si="126"/>
        <v>338</v>
      </c>
      <c r="B352" s="11">
        <f t="shared" si="118"/>
        <v>45608</v>
      </c>
      <c r="C352" s="9">
        <f t="shared" si="119"/>
        <v>842</v>
      </c>
      <c r="D352" s="8">
        <f t="shared" si="110"/>
        <v>1851</v>
      </c>
      <c r="E352" s="4">
        <f t="shared" si="111"/>
        <v>54</v>
      </c>
      <c r="F352" s="4">
        <f t="shared" si="112"/>
        <v>66</v>
      </c>
      <c r="G352" s="4">
        <f t="shared" si="113"/>
        <v>341</v>
      </c>
      <c r="H352" s="5">
        <f t="shared" si="114"/>
        <v>2639</v>
      </c>
      <c r="I352" s="5">
        <f t="shared" si="115"/>
        <v>2627</v>
      </c>
      <c r="J352" s="5">
        <f t="shared" si="116"/>
        <v>2352</v>
      </c>
      <c r="K352" s="5">
        <f t="shared" si="123"/>
        <v>3000</v>
      </c>
      <c r="L352" s="5">
        <f t="shared" si="124"/>
        <v>3000</v>
      </c>
      <c r="M352" s="5">
        <f t="shared" si="125"/>
        <v>3000</v>
      </c>
      <c r="N352" s="5">
        <f t="shared" si="120"/>
        <v>-361</v>
      </c>
      <c r="O352" s="5">
        <f t="shared" si="121"/>
        <v>-373</v>
      </c>
      <c r="P352" s="5">
        <f t="shared" si="122"/>
        <v>-648</v>
      </c>
      <c r="Q352" s="4">
        <v>0</v>
      </c>
      <c r="R352" s="4">
        <v>0</v>
      </c>
      <c r="S352" s="4">
        <v>0</v>
      </c>
      <c r="T352" s="6">
        <f t="shared" si="117"/>
        <v>1166</v>
      </c>
      <c r="U352" s="7">
        <f t="shared" si="108"/>
        <v>1719</v>
      </c>
      <c r="V352" s="7">
        <f t="shared" si="109"/>
        <v>1527</v>
      </c>
      <c r="W352" s="7">
        <f t="shared" ref="W352:W415" si="127">W351+$X352*1000-S352</f>
        <v>1742</v>
      </c>
      <c r="X352" s="6"/>
      <c r="Y352" s="5"/>
      <c r="Z352" s="5"/>
      <c r="AA352" s="5"/>
      <c r="AB352" s="5"/>
    </row>
    <row r="353" spans="1:28" ht="13.15" customHeight="1">
      <c r="A353" s="12">
        <f t="shared" si="126"/>
        <v>339</v>
      </c>
      <c r="B353" s="11">
        <f t="shared" si="118"/>
        <v>45609</v>
      </c>
      <c r="C353" s="9">
        <f t="shared" si="119"/>
        <v>842</v>
      </c>
      <c r="D353" s="8">
        <f t="shared" si="110"/>
        <v>1853</v>
      </c>
      <c r="E353" s="4">
        <f t="shared" si="111"/>
        <v>56</v>
      </c>
      <c r="F353" s="4">
        <f t="shared" si="112"/>
        <v>68</v>
      </c>
      <c r="G353" s="4">
        <f t="shared" si="113"/>
        <v>343</v>
      </c>
      <c r="H353" s="5">
        <f t="shared" si="114"/>
        <v>2639</v>
      </c>
      <c r="I353" s="5">
        <f t="shared" si="115"/>
        <v>2627</v>
      </c>
      <c r="J353" s="5">
        <f t="shared" si="116"/>
        <v>2352</v>
      </c>
      <c r="K353" s="5">
        <f t="shared" si="123"/>
        <v>3000</v>
      </c>
      <c r="L353" s="5">
        <f t="shared" si="124"/>
        <v>3000</v>
      </c>
      <c r="M353" s="5">
        <f t="shared" si="125"/>
        <v>3000</v>
      </c>
      <c r="N353" s="5">
        <f t="shared" si="120"/>
        <v>-361</v>
      </c>
      <c r="O353" s="5">
        <f t="shared" si="121"/>
        <v>-373</v>
      </c>
      <c r="P353" s="5">
        <f t="shared" si="122"/>
        <v>-648</v>
      </c>
      <c r="Q353" s="4">
        <v>0</v>
      </c>
      <c r="R353" s="4">
        <v>0</v>
      </c>
      <c r="S353" s="4">
        <v>0</v>
      </c>
      <c r="T353" s="6">
        <f t="shared" si="117"/>
        <v>1168</v>
      </c>
      <c r="U353" s="7">
        <f t="shared" si="108"/>
        <v>1719</v>
      </c>
      <c r="V353" s="7">
        <f t="shared" si="109"/>
        <v>1527</v>
      </c>
      <c r="W353" s="7">
        <f t="shared" si="127"/>
        <v>1742</v>
      </c>
      <c r="X353" s="6"/>
      <c r="Y353" s="5"/>
      <c r="Z353" s="5"/>
      <c r="AA353" s="5"/>
      <c r="AB353" s="5"/>
    </row>
    <row r="354" spans="1:28" ht="13.15" customHeight="1">
      <c r="A354" s="12">
        <f t="shared" si="126"/>
        <v>340</v>
      </c>
      <c r="B354" s="11">
        <f t="shared" si="118"/>
        <v>45610</v>
      </c>
      <c r="C354" s="9">
        <f t="shared" si="119"/>
        <v>842</v>
      </c>
      <c r="D354" s="8">
        <f t="shared" si="110"/>
        <v>1855</v>
      </c>
      <c r="E354" s="4">
        <f t="shared" si="111"/>
        <v>58</v>
      </c>
      <c r="F354" s="4">
        <f t="shared" si="112"/>
        <v>70</v>
      </c>
      <c r="G354" s="4">
        <f t="shared" si="113"/>
        <v>345</v>
      </c>
      <c r="H354" s="5">
        <f t="shared" si="114"/>
        <v>2639</v>
      </c>
      <c r="I354" s="5">
        <f t="shared" si="115"/>
        <v>2627</v>
      </c>
      <c r="J354" s="5">
        <f t="shared" si="116"/>
        <v>2352</v>
      </c>
      <c r="K354" s="5">
        <f t="shared" si="123"/>
        <v>3000</v>
      </c>
      <c r="L354" s="5">
        <f t="shared" si="124"/>
        <v>3000</v>
      </c>
      <c r="M354" s="5">
        <f t="shared" si="125"/>
        <v>3000</v>
      </c>
      <c r="N354" s="5">
        <f t="shared" si="120"/>
        <v>-361</v>
      </c>
      <c r="O354" s="5">
        <f t="shared" si="121"/>
        <v>-373</v>
      </c>
      <c r="P354" s="5">
        <f t="shared" si="122"/>
        <v>-648</v>
      </c>
      <c r="Q354" s="4">
        <v>0</v>
      </c>
      <c r="R354" s="4">
        <v>0</v>
      </c>
      <c r="S354" s="4">
        <v>0</v>
      </c>
      <c r="T354" s="6">
        <f t="shared" si="117"/>
        <v>1170</v>
      </c>
      <c r="U354" s="7">
        <f t="shared" si="108"/>
        <v>1719</v>
      </c>
      <c r="V354" s="7">
        <f t="shared" si="109"/>
        <v>1527</v>
      </c>
      <c r="W354" s="7">
        <f t="shared" si="127"/>
        <v>1742</v>
      </c>
      <c r="X354" s="6"/>
      <c r="Y354" s="5"/>
      <c r="Z354" s="5"/>
      <c r="AA354" s="5"/>
      <c r="AB354" s="5"/>
    </row>
    <row r="355" spans="1:28" ht="13.15" customHeight="1">
      <c r="A355" s="12">
        <f t="shared" si="126"/>
        <v>341</v>
      </c>
      <c r="B355" s="11">
        <f t="shared" si="118"/>
        <v>45611</v>
      </c>
      <c r="C355" s="9">
        <f t="shared" si="119"/>
        <v>842</v>
      </c>
      <c r="D355" s="8">
        <f t="shared" si="110"/>
        <v>1857</v>
      </c>
      <c r="E355" s="4">
        <f t="shared" si="111"/>
        <v>60</v>
      </c>
      <c r="F355" s="4">
        <f t="shared" si="112"/>
        <v>72</v>
      </c>
      <c r="G355" s="4">
        <f t="shared" si="113"/>
        <v>347</v>
      </c>
      <c r="H355" s="5">
        <f t="shared" si="114"/>
        <v>2639</v>
      </c>
      <c r="I355" s="5">
        <f t="shared" si="115"/>
        <v>2627</v>
      </c>
      <c r="J355" s="5">
        <f t="shared" si="116"/>
        <v>2352</v>
      </c>
      <c r="K355" s="5">
        <f t="shared" si="123"/>
        <v>3000</v>
      </c>
      <c r="L355" s="5">
        <f t="shared" si="124"/>
        <v>3000</v>
      </c>
      <c r="M355" s="5">
        <f t="shared" si="125"/>
        <v>3000</v>
      </c>
      <c r="N355" s="5">
        <f t="shared" si="120"/>
        <v>-361</v>
      </c>
      <c r="O355" s="5">
        <f t="shared" si="121"/>
        <v>-373</v>
      </c>
      <c r="P355" s="5">
        <f t="shared" si="122"/>
        <v>-648</v>
      </c>
      <c r="Q355" s="4">
        <v>0</v>
      </c>
      <c r="R355" s="4">
        <v>0</v>
      </c>
      <c r="S355" s="4">
        <v>0</v>
      </c>
      <c r="T355" s="6">
        <f t="shared" si="117"/>
        <v>1172</v>
      </c>
      <c r="U355" s="7">
        <f t="shared" si="108"/>
        <v>1719</v>
      </c>
      <c r="V355" s="7">
        <f t="shared" si="109"/>
        <v>1527</v>
      </c>
      <c r="W355" s="7">
        <f t="shared" si="127"/>
        <v>1742</v>
      </c>
      <c r="X355" s="6"/>
      <c r="Y355" s="5"/>
      <c r="Z355" s="5"/>
      <c r="AA355" s="5"/>
      <c r="AB355" s="5"/>
    </row>
    <row r="356" spans="1:28" ht="13.15" customHeight="1">
      <c r="A356" s="12">
        <f t="shared" si="126"/>
        <v>342</v>
      </c>
      <c r="B356" s="11">
        <f t="shared" si="118"/>
        <v>45612</v>
      </c>
      <c r="C356" s="9">
        <f t="shared" si="119"/>
        <v>842</v>
      </c>
      <c r="D356" s="8">
        <f t="shared" si="110"/>
        <v>1859</v>
      </c>
      <c r="E356" s="4">
        <f t="shared" si="111"/>
        <v>62</v>
      </c>
      <c r="F356" s="4">
        <f t="shared" si="112"/>
        <v>74</v>
      </c>
      <c r="G356" s="4">
        <f t="shared" si="113"/>
        <v>349</v>
      </c>
      <c r="H356" s="5">
        <f t="shared" si="114"/>
        <v>2639</v>
      </c>
      <c r="I356" s="5">
        <f t="shared" si="115"/>
        <v>2627</v>
      </c>
      <c r="J356" s="5">
        <f t="shared" si="116"/>
        <v>2352</v>
      </c>
      <c r="K356" s="5">
        <f t="shared" si="123"/>
        <v>3000</v>
      </c>
      <c r="L356" s="5">
        <f t="shared" si="124"/>
        <v>3000</v>
      </c>
      <c r="M356" s="5">
        <f t="shared" si="125"/>
        <v>3000</v>
      </c>
      <c r="N356" s="5">
        <f t="shared" si="120"/>
        <v>-361</v>
      </c>
      <c r="O356" s="5">
        <f t="shared" si="121"/>
        <v>-373</v>
      </c>
      <c r="P356" s="5">
        <f t="shared" si="122"/>
        <v>-648</v>
      </c>
      <c r="Q356" s="4">
        <v>0</v>
      </c>
      <c r="R356" s="4">
        <v>0</v>
      </c>
      <c r="S356" s="4">
        <v>0</v>
      </c>
      <c r="T356" s="6">
        <f t="shared" si="117"/>
        <v>1174</v>
      </c>
      <c r="U356" s="7">
        <f t="shared" si="108"/>
        <v>1719</v>
      </c>
      <c r="V356" s="7">
        <f t="shared" si="109"/>
        <v>1527</v>
      </c>
      <c r="W356" s="7">
        <f t="shared" si="127"/>
        <v>1742</v>
      </c>
      <c r="X356" s="6"/>
      <c r="Y356" s="5"/>
      <c r="Z356" s="5"/>
      <c r="AA356" s="5"/>
      <c r="AB356" s="5"/>
    </row>
    <row r="357" spans="1:28" ht="13.15" customHeight="1">
      <c r="A357" s="12">
        <f t="shared" si="126"/>
        <v>343</v>
      </c>
      <c r="B357" s="11">
        <f t="shared" si="118"/>
        <v>45613</v>
      </c>
      <c r="C357" s="9">
        <f t="shared" si="119"/>
        <v>842</v>
      </c>
      <c r="D357" s="8">
        <f t="shared" si="110"/>
        <v>1861</v>
      </c>
      <c r="E357" s="4">
        <f t="shared" si="111"/>
        <v>64</v>
      </c>
      <c r="F357" s="4">
        <f t="shared" si="112"/>
        <v>76</v>
      </c>
      <c r="G357" s="4">
        <f t="shared" si="113"/>
        <v>351</v>
      </c>
      <c r="H357" s="5">
        <f t="shared" si="114"/>
        <v>2639</v>
      </c>
      <c r="I357" s="5">
        <f t="shared" si="115"/>
        <v>2627</v>
      </c>
      <c r="J357" s="5">
        <f t="shared" si="116"/>
        <v>2352</v>
      </c>
      <c r="K357" s="5">
        <f t="shared" si="123"/>
        <v>3000</v>
      </c>
      <c r="L357" s="5">
        <f t="shared" si="124"/>
        <v>3000</v>
      </c>
      <c r="M357" s="5">
        <f t="shared" si="125"/>
        <v>3000</v>
      </c>
      <c r="N357" s="5">
        <f t="shared" si="120"/>
        <v>-361</v>
      </c>
      <c r="O357" s="5">
        <f t="shared" si="121"/>
        <v>-373</v>
      </c>
      <c r="P357" s="5">
        <f t="shared" si="122"/>
        <v>-648</v>
      </c>
      <c r="Q357" s="4">
        <v>0</v>
      </c>
      <c r="R357" s="4">
        <v>0</v>
      </c>
      <c r="S357" s="4">
        <v>0</v>
      </c>
      <c r="T357" s="6">
        <f t="shared" si="117"/>
        <v>1176</v>
      </c>
      <c r="U357" s="7">
        <f t="shared" si="108"/>
        <v>1719</v>
      </c>
      <c r="V357" s="7">
        <f t="shared" si="109"/>
        <v>1527</v>
      </c>
      <c r="W357" s="7">
        <f t="shared" si="127"/>
        <v>1742</v>
      </c>
      <c r="X357" s="6"/>
      <c r="Y357" s="5"/>
      <c r="Z357" s="5"/>
      <c r="AA357" s="5"/>
      <c r="AB357" s="5"/>
    </row>
    <row r="358" spans="1:28" ht="13.15" customHeight="1">
      <c r="A358" s="12">
        <f t="shared" si="126"/>
        <v>344</v>
      </c>
      <c r="B358" s="11">
        <f t="shared" si="118"/>
        <v>45614</v>
      </c>
      <c r="C358" s="9">
        <f t="shared" si="119"/>
        <v>842</v>
      </c>
      <c r="D358" s="8">
        <f t="shared" si="110"/>
        <v>1863</v>
      </c>
      <c r="E358" s="4">
        <f t="shared" si="111"/>
        <v>66</v>
      </c>
      <c r="F358" s="4">
        <f t="shared" si="112"/>
        <v>78</v>
      </c>
      <c r="G358" s="4">
        <f t="shared" si="113"/>
        <v>353</v>
      </c>
      <c r="H358" s="5">
        <f t="shared" si="114"/>
        <v>2639</v>
      </c>
      <c r="I358" s="5">
        <f t="shared" si="115"/>
        <v>2627</v>
      </c>
      <c r="J358" s="5">
        <f t="shared" si="116"/>
        <v>2352</v>
      </c>
      <c r="K358" s="5">
        <f t="shared" si="123"/>
        <v>3000</v>
      </c>
      <c r="L358" s="5">
        <f t="shared" si="124"/>
        <v>3000</v>
      </c>
      <c r="M358" s="5">
        <f t="shared" si="125"/>
        <v>3000</v>
      </c>
      <c r="N358" s="5">
        <f t="shared" si="120"/>
        <v>-361</v>
      </c>
      <c r="O358" s="5">
        <f t="shared" si="121"/>
        <v>-373</v>
      </c>
      <c r="P358" s="5">
        <f t="shared" si="122"/>
        <v>-648</v>
      </c>
      <c r="Q358" s="4">
        <v>0</v>
      </c>
      <c r="R358" s="4">
        <v>0</v>
      </c>
      <c r="S358" s="4">
        <v>0</v>
      </c>
      <c r="T358" s="6">
        <f t="shared" si="117"/>
        <v>1178</v>
      </c>
      <c r="U358" s="7">
        <f t="shared" ref="U358:U421" si="128">U357+$X358*1000-Q358</f>
        <v>1719</v>
      </c>
      <c r="V358" s="7">
        <f t="shared" ref="V358:V421" si="129">V357+$X358*1000-R358</f>
        <v>1527</v>
      </c>
      <c r="W358" s="7">
        <f t="shared" si="127"/>
        <v>1742</v>
      </c>
      <c r="X358" s="6"/>
      <c r="Y358" s="5"/>
      <c r="Z358" s="5"/>
      <c r="AA358" s="5"/>
      <c r="AB358" s="5"/>
    </row>
    <row r="359" spans="1:28" ht="13.15" customHeight="1">
      <c r="A359" s="12">
        <f t="shared" si="126"/>
        <v>345</v>
      </c>
      <c r="B359" s="11">
        <f t="shared" si="118"/>
        <v>45615</v>
      </c>
      <c r="C359" s="9">
        <f t="shared" si="119"/>
        <v>842</v>
      </c>
      <c r="D359" s="8">
        <f t="shared" si="110"/>
        <v>1865</v>
      </c>
      <c r="E359" s="4">
        <f t="shared" si="111"/>
        <v>68</v>
      </c>
      <c r="F359" s="4">
        <f t="shared" si="112"/>
        <v>80</v>
      </c>
      <c r="G359" s="4">
        <f t="shared" si="113"/>
        <v>355</v>
      </c>
      <c r="H359" s="5">
        <f t="shared" si="114"/>
        <v>2639</v>
      </c>
      <c r="I359" s="5">
        <f t="shared" si="115"/>
        <v>2627</v>
      </c>
      <c r="J359" s="5">
        <f t="shared" si="116"/>
        <v>2352</v>
      </c>
      <c r="K359" s="5">
        <f t="shared" si="123"/>
        <v>3000</v>
      </c>
      <c r="L359" s="5">
        <f t="shared" si="124"/>
        <v>3000</v>
      </c>
      <c r="M359" s="5">
        <f t="shared" si="125"/>
        <v>3000</v>
      </c>
      <c r="N359" s="5">
        <f t="shared" si="120"/>
        <v>-361</v>
      </c>
      <c r="O359" s="5">
        <f t="shared" si="121"/>
        <v>-373</v>
      </c>
      <c r="P359" s="5">
        <f t="shared" si="122"/>
        <v>-648</v>
      </c>
      <c r="Q359" s="4">
        <v>0</v>
      </c>
      <c r="R359" s="4">
        <v>0</v>
      </c>
      <c r="S359" s="4">
        <v>0</v>
      </c>
      <c r="T359" s="6">
        <f t="shared" si="117"/>
        <v>1180</v>
      </c>
      <c r="U359" s="7">
        <f t="shared" si="128"/>
        <v>1719</v>
      </c>
      <c r="V359" s="7">
        <f t="shared" si="129"/>
        <v>1527</v>
      </c>
      <c r="W359" s="7">
        <f t="shared" si="127"/>
        <v>1742</v>
      </c>
      <c r="X359" s="6"/>
      <c r="Y359" s="5"/>
      <c r="Z359" s="5"/>
      <c r="AA359" s="5"/>
      <c r="AB359" s="5"/>
    </row>
    <row r="360" spans="1:28" ht="13.15" customHeight="1">
      <c r="A360" s="12">
        <f t="shared" si="126"/>
        <v>346</v>
      </c>
      <c r="B360" s="11">
        <f t="shared" si="118"/>
        <v>45616</v>
      </c>
      <c r="C360" s="9">
        <f t="shared" si="119"/>
        <v>842</v>
      </c>
      <c r="D360" s="8">
        <f t="shared" si="110"/>
        <v>1867</v>
      </c>
      <c r="E360" s="4">
        <f t="shared" si="111"/>
        <v>70</v>
      </c>
      <c r="F360" s="4">
        <f t="shared" si="112"/>
        <v>82</v>
      </c>
      <c r="G360" s="4">
        <f t="shared" si="113"/>
        <v>357</v>
      </c>
      <c r="H360" s="5">
        <f t="shared" si="114"/>
        <v>2639</v>
      </c>
      <c r="I360" s="5">
        <f t="shared" si="115"/>
        <v>2627</v>
      </c>
      <c r="J360" s="5">
        <f t="shared" si="116"/>
        <v>2352</v>
      </c>
      <c r="K360" s="5">
        <f t="shared" si="123"/>
        <v>3000</v>
      </c>
      <c r="L360" s="5">
        <f t="shared" si="124"/>
        <v>3000</v>
      </c>
      <c r="M360" s="5">
        <f t="shared" si="125"/>
        <v>3000</v>
      </c>
      <c r="N360" s="5">
        <f t="shared" si="120"/>
        <v>-361</v>
      </c>
      <c r="O360" s="5">
        <f t="shared" si="121"/>
        <v>-373</v>
      </c>
      <c r="P360" s="5">
        <f t="shared" si="122"/>
        <v>-648</v>
      </c>
      <c r="Q360" s="4">
        <v>0</v>
      </c>
      <c r="R360" s="4">
        <v>0</v>
      </c>
      <c r="S360" s="4">
        <v>0</v>
      </c>
      <c r="T360" s="6">
        <f t="shared" si="117"/>
        <v>1182</v>
      </c>
      <c r="U360" s="7">
        <f t="shared" si="128"/>
        <v>1719</v>
      </c>
      <c r="V360" s="7">
        <f t="shared" si="129"/>
        <v>1527</v>
      </c>
      <c r="W360" s="7">
        <f t="shared" si="127"/>
        <v>1742</v>
      </c>
      <c r="X360" s="6"/>
      <c r="Y360" s="5"/>
      <c r="Z360" s="5"/>
      <c r="AA360" s="5"/>
      <c r="AB360" s="5"/>
    </row>
    <row r="361" spans="1:28" ht="13.15" customHeight="1">
      <c r="A361" s="12">
        <f t="shared" si="126"/>
        <v>347</v>
      </c>
      <c r="B361" s="11">
        <f t="shared" si="118"/>
        <v>45617</v>
      </c>
      <c r="C361" s="9">
        <f t="shared" si="119"/>
        <v>842</v>
      </c>
      <c r="D361" s="8">
        <f t="shared" si="110"/>
        <v>1869</v>
      </c>
      <c r="E361" s="4">
        <f t="shared" si="111"/>
        <v>72</v>
      </c>
      <c r="F361" s="4">
        <f t="shared" si="112"/>
        <v>84</v>
      </c>
      <c r="G361" s="4">
        <f t="shared" si="113"/>
        <v>359</v>
      </c>
      <c r="H361" s="5">
        <f t="shared" si="114"/>
        <v>2639</v>
      </c>
      <c r="I361" s="5">
        <f t="shared" si="115"/>
        <v>2627</v>
      </c>
      <c r="J361" s="5">
        <f t="shared" si="116"/>
        <v>2352</v>
      </c>
      <c r="K361" s="5">
        <f t="shared" si="123"/>
        <v>3000</v>
      </c>
      <c r="L361" s="5">
        <f t="shared" si="124"/>
        <v>3000</v>
      </c>
      <c r="M361" s="5">
        <f t="shared" si="125"/>
        <v>3000</v>
      </c>
      <c r="N361" s="5">
        <f t="shared" si="120"/>
        <v>-361</v>
      </c>
      <c r="O361" s="5">
        <f t="shared" si="121"/>
        <v>-373</v>
      </c>
      <c r="P361" s="5">
        <f t="shared" si="122"/>
        <v>-648</v>
      </c>
      <c r="Q361" s="4">
        <v>0</v>
      </c>
      <c r="R361" s="4">
        <v>0</v>
      </c>
      <c r="S361" s="4">
        <v>0</v>
      </c>
      <c r="T361" s="6">
        <f t="shared" si="117"/>
        <v>1184</v>
      </c>
      <c r="U361" s="7">
        <f t="shared" si="128"/>
        <v>1719</v>
      </c>
      <c r="V361" s="7">
        <f t="shared" si="129"/>
        <v>1527</v>
      </c>
      <c r="W361" s="7">
        <f t="shared" si="127"/>
        <v>1742</v>
      </c>
      <c r="X361" s="6"/>
      <c r="Y361" s="5"/>
      <c r="Z361" s="5"/>
      <c r="AA361" s="5"/>
      <c r="AB361" s="5"/>
    </row>
    <row r="362" spans="1:28" ht="13.15" customHeight="1">
      <c r="A362" s="12">
        <f t="shared" si="126"/>
        <v>348</v>
      </c>
      <c r="B362" s="11">
        <f t="shared" si="118"/>
        <v>45618</v>
      </c>
      <c r="C362" s="9">
        <f t="shared" si="119"/>
        <v>842</v>
      </c>
      <c r="D362" s="8">
        <f t="shared" si="110"/>
        <v>1871</v>
      </c>
      <c r="E362" s="4">
        <f t="shared" si="111"/>
        <v>74</v>
      </c>
      <c r="F362" s="4">
        <f t="shared" si="112"/>
        <v>86</v>
      </c>
      <c r="G362" s="4">
        <f t="shared" si="113"/>
        <v>361</v>
      </c>
      <c r="H362" s="5">
        <f t="shared" si="114"/>
        <v>2639</v>
      </c>
      <c r="I362" s="5">
        <f t="shared" si="115"/>
        <v>2627</v>
      </c>
      <c r="J362" s="5">
        <f t="shared" si="116"/>
        <v>2352</v>
      </c>
      <c r="K362" s="5">
        <f t="shared" si="123"/>
        <v>3000</v>
      </c>
      <c r="L362" s="5">
        <f t="shared" si="124"/>
        <v>3000</v>
      </c>
      <c r="M362" s="5">
        <f t="shared" si="125"/>
        <v>3000</v>
      </c>
      <c r="N362" s="5">
        <f t="shared" si="120"/>
        <v>-361</v>
      </c>
      <c r="O362" s="5">
        <f t="shared" si="121"/>
        <v>-373</v>
      </c>
      <c r="P362" s="5">
        <f t="shared" si="122"/>
        <v>-648</v>
      </c>
      <c r="Q362" s="4">
        <v>0</v>
      </c>
      <c r="R362" s="4">
        <v>0</v>
      </c>
      <c r="S362" s="4">
        <v>0</v>
      </c>
      <c r="T362" s="6">
        <f t="shared" si="117"/>
        <v>1186</v>
      </c>
      <c r="U362" s="7">
        <f t="shared" si="128"/>
        <v>1719</v>
      </c>
      <c r="V362" s="7">
        <f t="shared" si="129"/>
        <v>1527</v>
      </c>
      <c r="W362" s="7">
        <f t="shared" si="127"/>
        <v>1742</v>
      </c>
      <c r="X362" s="6"/>
      <c r="Y362" s="5"/>
      <c r="Z362" s="5"/>
      <c r="AA362" s="5"/>
      <c r="AB362" s="5"/>
    </row>
    <row r="363" spans="1:28" ht="13.15" customHeight="1">
      <c r="A363" s="12">
        <f t="shared" si="126"/>
        <v>349</v>
      </c>
      <c r="B363" s="11">
        <f t="shared" si="118"/>
        <v>45619</v>
      </c>
      <c r="C363" s="9">
        <f t="shared" si="119"/>
        <v>842</v>
      </c>
      <c r="D363" s="8">
        <f t="shared" si="110"/>
        <v>1873</v>
      </c>
      <c r="E363" s="4">
        <f t="shared" si="111"/>
        <v>76</v>
      </c>
      <c r="F363" s="4">
        <f t="shared" si="112"/>
        <v>88</v>
      </c>
      <c r="G363" s="4">
        <f t="shared" si="113"/>
        <v>363</v>
      </c>
      <c r="H363" s="5">
        <f t="shared" si="114"/>
        <v>2639</v>
      </c>
      <c r="I363" s="5">
        <f t="shared" si="115"/>
        <v>2627</v>
      </c>
      <c r="J363" s="5">
        <f t="shared" si="116"/>
        <v>2352</v>
      </c>
      <c r="K363" s="5">
        <f t="shared" si="123"/>
        <v>3000</v>
      </c>
      <c r="L363" s="5">
        <f t="shared" si="124"/>
        <v>3000</v>
      </c>
      <c r="M363" s="5">
        <f t="shared" si="125"/>
        <v>3000</v>
      </c>
      <c r="N363" s="5">
        <f t="shared" si="120"/>
        <v>-361</v>
      </c>
      <c r="O363" s="5">
        <f t="shared" si="121"/>
        <v>-373</v>
      </c>
      <c r="P363" s="5">
        <f t="shared" si="122"/>
        <v>-648</v>
      </c>
      <c r="Q363" s="4">
        <v>0</v>
      </c>
      <c r="R363" s="4">
        <v>0</v>
      </c>
      <c r="S363" s="4">
        <v>0</v>
      </c>
      <c r="T363" s="6">
        <f t="shared" si="117"/>
        <v>1188</v>
      </c>
      <c r="U363" s="7">
        <f t="shared" si="128"/>
        <v>1719</v>
      </c>
      <c r="V363" s="7">
        <f t="shared" si="129"/>
        <v>1527</v>
      </c>
      <c r="W363" s="7">
        <f t="shared" si="127"/>
        <v>1742</v>
      </c>
      <c r="X363" s="6"/>
      <c r="Y363" s="5"/>
      <c r="Z363" s="5"/>
      <c r="AA363" s="5"/>
      <c r="AB363" s="5"/>
    </row>
    <row r="364" spans="1:28" ht="13.15" customHeight="1">
      <c r="A364" s="12">
        <f t="shared" si="126"/>
        <v>350</v>
      </c>
      <c r="B364" s="11">
        <f t="shared" si="118"/>
        <v>45620</v>
      </c>
      <c r="C364" s="9">
        <f t="shared" si="119"/>
        <v>842</v>
      </c>
      <c r="D364" s="8">
        <f t="shared" si="110"/>
        <v>1875</v>
      </c>
      <c r="E364" s="4">
        <f t="shared" si="111"/>
        <v>78</v>
      </c>
      <c r="F364" s="4">
        <f t="shared" si="112"/>
        <v>90</v>
      </c>
      <c r="G364" s="4">
        <f t="shared" si="113"/>
        <v>365</v>
      </c>
      <c r="H364" s="5">
        <f t="shared" si="114"/>
        <v>2639</v>
      </c>
      <c r="I364" s="5">
        <f t="shared" si="115"/>
        <v>2627</v>
      </c>
      <c r="J364" s="5">
        <f t="shared" si="116"/>
        <v>2352</v>
      </c>
      <c r="K364" s="5">
        <f t="shared" si="123"/>
        <v>3000</v>
      </c>
      <c r="L364" s="5">
        <f t="shared" si="124"/>
        <v>3000</v>
      </c>
      <c r="M364" s="5">
        <f t="shared" si="125"/>
        <v>3000</v>
      </c>
      <c r="N364" s="5">
        <f t="shared" si="120"/>
        <v>-361</v>
      </c>
      <c r="O364" s="5">
        <f t="shared" si="121"/>
        <v>-373</v>
      </c>
      <c r="P364" s="5">
        <f t="shared" si="122"/>
        <v>-648</v>
      </c>
      <c r="Q364" s="4">
        <v>0</v>
      </c>
      <c r="R364" s="4">
        <v>0</v>
      </c>
      <c r="S364" s="4">
        <v>0</v>
      </c>
      <c r="T364" s="6">
        <f t="shared" si="117"/>
        <v>1190</v>
      </c>
      <c r="U364" s="7">
        <f t="shared" si="128"/>
        <v>1719</v>
      </c>
      <c r="V364" s="7">
        <f t="shared" si="129"/>
        <v>1527</v>
      </c>
      <c r="W364" s="7">
        <f t="shared" si="127"/>
        <v>1742</v>
      </c>
      <c r="X364" s="6"/>
      <c r="Y364" s="5"/>
      <c r="Z364" s="5"/>
      <c r="AA364" s="5"/>
      <c r="AB364" s="5"/>
    </row>
    <row r="365" spans="1:28" ht="13.15" customHeight="1">
      <c r="A365" s="12">
        <f t="shared" si="126"/>
        <v>351</v>
      </c>
      <c r="B365" s="11">
        <f t="shared" si="118"/>
        <v>45621</v>
      </c>
      <c r="C365" s="9">
        <f t="shared" si="119"/>
        <v>842</v>
      </c>
      <c r="D365" s="8">
        <f t="shared" si="110"/>
        <v>1877</v>
      </c>
      <c r="E365" s="4">
        <f t="shared" si="111"/>
        <v>80</v>
      </c>
      <c r="F365" s="4">
        <f t="shared" si="112"/>
        <v>92</v>
      </c>
      <c r="G365" s="4">
        <f t="shared" si="113"/>
        <v>367</v>
      </c>
      <c r="H365" s="5">
        <f t="shared" si="114"/>
        <v>2639</v>
      </c>
      <c r="I365" s="5">
        <f t="shared" si="115"/>
        <v>2627</v>
      </c>
      <c r="J365" s="5">
        <f t="shared" si="116"/>
        <v>2352</v>
      </c>
      <c r="K365" s="5">
        <f t="shared" si="123"/>
        <v>3000</v>
      </c>
      <c r="L365" s="5">
        <f t="shared" si="124"/>
        <v>3000</v>
      </c>
      <c r="M365" s="5">
        <f t="shared" si="125"/>
        <v>3000</v>
      </c>
      <c r="N365" s="5">
        <f t="shared" si="120"/>
        <v>-361</v>
      </c>
      <c r="O365" s="5">
        <f t="shared" si="121"/>
        <v>-373</v>
      </c>
      <c r="P365" s="5">
        <f t="shared" si="122"/>
        <v>-648</v>
      </c>
      <c r="Q365" s="4">
        <v>0</v>
      </c>
      <c r="R365" s="4">
        <v>0</v>
      </c>
      <c r="S365" s="4">
        <v>0</v>
      </c>
      <c r="T365" s="6">
        <f t="shared" si="117"/>
        <v>1192</v>
      </c>
      <c r="U365" s="7">
        <f t="shared" si="128"/>
        <v>1719</v>
      </c>
      <c r="V365" s="7">
        <f t="shared" si="129"/>
        <v>1527</v>
      </c>
      <c r="W365" s="7">
        <f t="shared" si="127"/>
        <v>1742</v>
      </c>
      <c r="X365" s="6"/>
      <c r="Y365" s="5"/>
      <c r="Z365" s="5"/>
      <c r="AA365" s="5"/>
      <c r="AB365" s="5"/>
    </row>
    <row r="366" spans="1:28" ht="13.15" customHeight="1">
      <c r="A366" s="12">
        <f t="shared" si="126"/>
        <v>352</v>
      </c>
      <c r="B366" s="11">
        <f t="shared" si="118"/>
        <v>45622</v>
      </c>
      <c r="C366" s="9">
        <f t="shared" si="119"/>
        <v>842</v>
      </c>
      <c r="D366" s="8">
        <f t="shared" si="110"/>
        <v>1879</v>
      </c>
      <c r="E366" s="4">
        <f t="shared" si="111"/>
        <v>82</v>
      </c>
      <c r="F366" s="4">
        <f t="shared" si="112"/>
        <v>94</v>
      </c>
      <c r="G366" s="4">
        <f t="shared" si="113"/>
        <v>369</v>
      </c>
      <c r="H366" s="5">
        <f t="shared" si="114"/>
        <v>2639</v>
      </c>
      <c r="I366" s="5">
        <f t="shared" si="115"/>
        <v>2627</v>
      </c>
      <c r="J366" s="5">
        <f t="shared" si="116"/>
        <v>2352</v>
      </c>
      <c r="K366" s="5">
        <f t="shared" si="123"/>
        <v>3000</v>
      </c>
      <c r="L366" s="5">
        <f t="shared" si="124"/>
        <v>3000</v>
      </c>
      <c r="M366" s="5">
        <f t="shared" si="125"/>
        <v>3000</v>
      </c>
      <c r="N366" s="5">
        <f t="shared" si="120"/>
        <v>-361</v>
      </c>
      <c r="O366" s="5">
        <f t="shared" si="121"/>
        <v>-373</v>
      </c>
      <c r="P366" s="5">
        <f t="shared" si="122"/>
        <v>-648</v>
      </c>
      <c r="Q366" s="4">
        <v>0</v>
      </c>
      <c r="R366" s="4">
        <v>0</v>
      </c>
      <c r="S366" s="4">
        <v>0</v>
      </c>
      <c r="T366" s="6">
        <f t="shared" si="117"/>
        <v>1194</v>
      </c>
      <c r="U366" s="7">
        <f t="shared" si="128"/>
        <v>1719</v>
      </c>
      <c r="V366" s="7">
        <f t="shared" si="129"/>
        <v>1527</v>
      </c>
      <c r="W366" s="7">
        <f t="shared" si="127"/>
        <v>1742</v>
      </c>
      <c r="X366" s="6"/>
      <c r="Y366" s="5"/>
      <c r="Z366" s="5"/>
      <c r="AA366" s="5"/>
      <c r="AB366" s="5"/>
    </row>
    <row r="367" spans="1:28" ht="13.15" customHeight="1">
      <c r="A367" s="12">
        <f t="shared" si="126"/>
        <v>353</v>
      </c>
      <c r="B367" s="11">
        <f t="shared" si="118"/>
        <v>45623</v>
      </c>
      <c r="C367" s="9">
        <f t="shared" si="119"/>
        <v>842</v>
      </c>
      <c r="D367" s="8">
        <f t="shared" si="110"/>
        <v>1881</v>
      </c>
      <c r="E367" s="4">
        <f t="shared" si="111"/>
        <v>84</v>
      </c>
      <c r="F367" s="4">
        <f t="shared" si="112"/>
        <v>96</v>
      </c>
      <c r="G367" s="4">
        <f t="shared" si="113"/>
        <v>371</v>
      </c>
      <c r="H367" s="5">
        <f t="shared" si="114"/>
        <v>2639</v>
      </c>
      <c r="I367" s="5">
        <f t="shared" si="115"/>
        <v>2627</v>
      </c>
      <c r="J367" s="5">
        <f t="shared" si="116"/>
        <v>2352</v>
      </c>
      <c r="K367" s="5">
        <f t="shared" si="123"/>
        <v>3000</v>
      </c>
      <c r="L367" s="5">
        <f t="shared" si="124"/>
        <v>3000</v>
      </c>
      <c r="M367" s="5">
        <f t="shared" si="125"/>
        <v>3000</v>
      </c>
      <c r="N367" s="5">
        <f t="shared" si="120"/>
        <v>-361</v>
      </c>
      <c r="O367" s="5">
        <f t="shared" si="121"/>
        <v>-373</v>
      </c>
      <c r="P367" s="5">
        <f t="shared" si="122"/>
        <v>-648</v>
      </c>
      <c r="Q367" s="4">
        <v>0</v>
      </c>
      <c r="R367" s="4">
        <v>0</v>
      </c>
      <c r="S367" s="4">
        <v>0</v>
      </c>
      <c r="T367" s="6">
        <f t="shared" si="117"/>
        <v>1196</v>
      </c>
      <c r="U367" s="7">
        <f t="shared" si="128"/>
        <v>1719</v>
      </c>
      <c r="V367" s="7">
        <f t="shared" si="129"/>
        <v>1527</v>
      </c>
      <c r="W367" s="7">
        <f t="shared" si="127"/>
        <v>1742</v>
      </c>
      <c r="X367" s="13"/>
      <c r="Y367" s="5"/>
      <c r="Z367" s="5"/>
      <c r="AA367" s="5"/>
      <c r="AB367" s="5"/>
    </row>
    <row r="368" spans="1:28" ht="13.15" customHeight="1">
      <c r="A368" s="12">
        <f t="shared" si="126"/>
        <v>354</v>
      </c>
      <c r="B368" s="11">
        <f t="shared" si="118"/>
        <v>45624</v>
      </c>
      <c r="C368" s="9">
        <f t="shared" si="119"/>
        <v>842</v>
      </c>
      <c r="D368" s="8">
        <f t="shared" si="110"/>
        <v>1883</v>
      </c>
      <c r="E368" s="4">
        <f t="shared" si="111"/>
        <v>86</v>
      </c>
      <c r="F368" s="4">
        <f t="shared" si="112"/>
        <v>98</v>
      </c>
      <c r="G368" s="4">
        <f t="shared" si="113"/>
        <v>373</v>
      </c>
      <c r="H368" s="5">
        <f t="shared" si="114"/>
        <v>2639</v>
      </c>
      <c r="I368" s="5">
        <f t="shared" si="115"/>
        <v>2627</v>
      </c>
      <c r="J368" s="5">
        <f t="shared" si="116"/>
        <v>2352</v>
      </c>
      <c r="K368" s="5">
        <f t="shared" si="123"/>
        <v>3000</v>
      </c>
      <c r="L368" s="5">
        <f t="shared" si="124"/>
        <v>3000</v>
      </c>
      <c r="M368" s="5">
        <f t="shared" si="125"/>
        <v>3000</v>
      </c>
      <c r="N368" s="5">
        <f t="shared" si="120"/>
        <v>-361</v>
      </c>
      <c r="O368" s="5">
        <f t="shared" si="121"/>
        <v>-373</v>
      </c>
      <c r="P368" s="5">
        <f t="shared" si="122"/>
        <v>-648</v>
      </c>
      <c r="Q368" s="4">
        <v>0</v>
      </c>
      <c r="R368" s="4">
        <v>0</v>
      </c>
      <c r="S368" s="4">
        <v>0</v>
      </c>
      <c r="T368" s="6">
        <f t="shared" si="117"/>
        <v>1198</v>
      </c>
      <c r="U368" s="7">
        <f t="shared" si="128"/>
        <v>1719</v>
      </c>
      <c r="V368" s="7">
        <f t="shared" si="129"/>
        <v>1527</v>
      </c>
      <c r="W368" s="7">
        <f t="shared" si="127"/>
        <v>1742</v>
      </c>
      <c r="X368" s="6"/>
      <c r="Y368" s="5"/>
      <c r="Z368" s="5"/>
      <c r="AA368" s="5"/>
      <c r="AB368" s="5"/>
    </row>
    <row r="369" spans="1:28" ht="13.15" customHeight="1">
      <c r="A369" s="12">
        <f t="shared" si="126"/>
        <v>355</v>
      </c>
      <c r="B369" s="11">
        <f t="shared" si="118"/>
        <v>45625</v>
      </c>
      <c r="C369" s="9">
        <f t="shared" si="119"/>
        <v>842</v>
      </c>
      <c r="D369" s="8">
        <f t="shared" si="110"/>
        <v>1885</v>
      </c>
      <c r="E369" s="4">
        <f t="shared" si="111"/>
        <v>88</v>
      </c>
      <c r="F369" s="4">
        <f t="shared" si="112"/>
        <v>100</v>
      </c>
      <c r="G369" s="4">
        <f t="shared" si="113"/>
        <v>375</v>
      </c>
      <c r="H369" s="5">
        <f t="shared" si="114"/>
        <v>2639</v>
      </c>
      <c r="I369" s="5">
        <f t="shared" si="115"/>
        <v>2627</v>
      </c>
      <c r="J369" s="5">
        <f t="shared" si="116"/>
        <v>2352</v>
      </c>
      <c r="K369" s="5">
        <f t="shared" si="123"/>
        <v>3000</v>
      </c>
      <c r="L369" s="5">
        <f t="shared" si="124"/>
        <v>3000</v>
      </c>
      <c r="M369" s="5">
        <f t="shared" si="125"/>
        <v>3000</v>
      </c>
      <c r="N369" s="5">
        <f t="shared" si="120"/>
        <v>-361</v>
      </c>
      <c r="O369" s="5">
        <f t="shared" si="121"/>
        <v>-373</v>
      </c>
      <c r="P369" s="5">
        <f t="shared" si="122"/>
        <v>-648</v>
      </c>
      <c r="Q369" s="4">
        <v>0</v>
      </c>
      <c r="R369" s="4">
        <v>0</v>
      </c>
      <c r="S369" s="4">
        <v>0</v>
      </c>
      <c r="T369" s="6">
        <f t="shared" si="117"/>
        <v>1200</v>
      </c>
      <c r="U369" s="7">
        <f t="shared" si="128"/>
        <v>1719</v>
      </c>
      <c r="V369" s="7">
        <f t="shared" si="129"/>
        <v>1527</v>
      </c>
      <c r="W369" s="7">
        <f t="shared" si="127"/>
        <v>1742</v>
      </c>
      <c r="X369" s="6"/>
      <c r="Y369" s="5"/>
      <c r="Z369" s="5"/>
      <c r="AA369" s="5"/>
      <c r="AB369" s="5"/>
    </row>
    <row r="370" spans="1:28" ht="13.15" customHeight="1">
      <c r="A370" s="12">
        <f t="shared" si="126"/>
        <v>356</v>
      </c>
      <c r="B370" s="11">
        <f t="shared" si="118"/>
        <v>45626</v>
      </c>
      <c r="C370" s="9">
        <f t="shared" si="119"/>
        <v>842</v>
      </c>
      <c r="D370" s="8">
        <f t="shared" si="110"/>
        <v>1887</v>
      </c>
      <c r="E370" s="4">
        <f t="shared" si="111"/>
        <v>90</v>
      </c>
      <c r="F370" s="4">
        <f t="shared" si="112"/>
        <v>102</v>
      </c>
      <c r="G370" s="4">
        <f t="shared" si="113"/>
        <v>377</v>
      </c>
      <c r="H370" s="5">
        <f t="shared" si="114"/>
        <v>2639</v>
      </c>
      <c r="I370" s="5">
        <f t="shared" si="115"/>
        <v>2627</v>
      </c>
      <c r="J370" s="5">
        <f t="shared" si="116"/>
        <v>2352</v>
      </c>
      <c r="K370" s="5">
        <f t="shared" si="123"/>
        <v>3000</v>
      </c>
      <c r="L370" s="5">
        <f t="shared" si="124"/>
        <v>3000</v>
      </c>
      <c r="M370" s="5">
        <f t="shared" si="125"/>
        <v>3000</v>
      </c>
      <c r="N370" s="5">
        <f t="shared" si="120"/>
        <v>-361</v>
      </c>
      <c r="O370" s="5">
        <f t="shared" si="121"/>
        <v>-373</v>
      </c>
      <c r="P370" s="5">
        <f t="shared" si="122"/>
        <v>-648</v>
      </c>
      <c r="Q370" s="4">
        <v>0</v>
      </c>
      <c r="R370" s="4">
        <v>0</v>
      </c>
      <c r="S370" s="4">
        <v>0</v>
      </c>
      <c r="T370" s="6">
        <f t="shared" si="117"/>
        <v>1202</v>
      </c>
      <c r="U370" s="7">
        <f t="shared" si="128"/>
        <v>1719</v>
      </c>
      <c r="V370" s="7">
        <f t="shared" si="129"/>
        <v>1527</v>
      </c>
      <c r="W370" s="7">
        <f t="shared" si="127"/>
        <v>1742</v>
      </c>
      <c r="X370" s="6"/>
      <c r="Y370" s="5"/>
      <c r="Z370" s="5"/>
      <c r="AA370" s="5"/>
      <c r="AB370" s="5"/>
    </row>
    <row r="371" spans="1:28" ht="13.15" customHeight="1">
      <c r="A371" s="12">
        <f t="shared" si="126"/>
        <v>357</v>
      </c>
      <c r="B371" s="11">
        <f t="shared" si="118"/>
        <v>45627</v>
      </c>
      <c r="C371" s="9">
        <f t="shared" si="119"/>
        <v>842</v>
      </c>
      <c r="D371" s="8">
        <f t="shared" si="110"/>
        <v>1889</v>
      </c>
      <c r="E371" s="4">
        <f t="shared" si="111"/>
        <v>92</v>
      </c>
      <c r="F371" s="4">
        <f t="shared" si="112"/>
        <v>104</v>
      </c>
      <c r="G371" s="4">
        <f t="shared" si="113"/>
        <v>379</v>
      </c>
      <c r="H371" s="5">
        <f t="shared" si="114"/>
        <v>2639</v>
      </c>
      <c r="I371" s="5">
        <f t="shared" si="115"/>
        <v>2627</v>
      </c>
      <c r="J371" s="5">
        <f t="shared" si="116"/>
        <v>2352</v>
      </c>
      <c r="K371" s="5">
        <f t="shared" si="123"/>
        <v>3000</v>
      </c>
      <c r="L371" s="5">
        <f t="shared" si="124"/>
        <v>3000</v>
      </c>
      <c r="M371" s="5">
        <f t="shared" si="125"/>
        <v>3000</v>
      </c>
      <c r="N371" s="5">
        <f t="shared" si="120"/>
        <v>-361</v>
      </c>
      <c r="O371" s="5">
        <f t="shared" si="121"/>
        <v>-373</v>
      </c>
      <c r="P371" s="5">
        <f t="shared" si="122"/>
        <v>-648</v>
      </c>
      <c r="Q371" s="4">
        <v>0</v>
      </c>
      <c r="R371" s="4">
        <v>0</v>
      </c>
      <c r="S371" s="4">
        <v>0</v>
      </c>
      <c r="T371" s="6">
        <f t="shared" si="117"/>
        <v>1204</v>
      </c>
      <c r="U371" s="7">
        <f t="shared" si="128"/>
        <v>1719</v>
      </c>
      <c r="V371" s="7">
        <f t="shared" si="129"/>
        <v>1527</v>
      </c>
      <c r="W371" s="7">
        <f t="shared" si="127"/>
        <v>1742</v>
      </c>
      <c r="X371" s="6"/>
      <c r="Y371" s="5"/>
      <c r="Z371" s="5"/>
      <c r="AA371" s="5"/>
      <c r="AB371" s="5"/>
    </row>
    <row r="372" spans="1:28" ht="13.15" customHeight="1">
      <c r="A372" s="12">
        <f t="shared" si="126"/>
        <v>358</v>
      </c>
      <c r="B372" s="11">
        <f t="shared" si="118"/>
        <v>45628</v>
      </c>
      <c r="C372" s="9">
        <f t="shared" si="119"/>
        <v>842</v>
      </c>
      <c r="D372" s="8">
        <f t="shared" si="110"/>
        <v>1891</v>
      </c>
      <c r="E372" s="4">
        <f t="shared" si="111"/>
        <v>94</v>
      </c>
      <c r="F372" s="4">
        <f t="shared" si="112"/>
        <v>106</v>
      </c>
      <c r="G372" s="4">
        <f t="shared" si="113"/>
        <v>381</v>
      </c>
      <c r="H372" s="5">
        <f t="shared" si="114"/>
        <v>2639</v>
      </c>
      <c r="I372" s="5">
        <f t="shared" si="115"/>
        <v>2627</v>
      </c>
      <c r="J372" s="5">
        <f t="shared" si="116"/>
        <v>2352</v>
      </c>
      <c r="K372" s="5">
        <f t="shared" si="123"/>
        <v>3000</v>
      </c>
      <c r="L372" s="5">
        <f t="shared" si="124"/>
        <v>3000</v>
      </c>
      <c r="M372" s="5">
        <f t="shared" si="125"/>
        <v>3000</v>
      </c>
      <c r="N372" s="5">
        <f t="shared" si="120"/>
        <v>-361</v>
      </c>
      <c r="O372" s="5">
        <f t="shared" si="121"/>
        <v>-373</v>
      </c>
      <c r="P372" s="5">
        <f t="shared" si="122"/>
        <v>-648</v>
      </c>
      <c r="Q372" s="4">
        <v>0</v>
      </c>
      <c r="R372" s="4">
        <v>0</v>
      </c>
      <c r="S372" s="4">
        <v>0</v>
      </c>
      <c r="T372" s="6">
        <f t="shared" si="117"/>
        <v>1206</v>
      </c>
      <c r="U372" s="7">
        <f t="shared" si="128"/>
        <v>1719</v>
      </c>
      <c r="V372" s="7">
        <f t="shared" si="129"/>
        <v>1527</v>
      </c>
      <c r="W372" s="7">
        <f t="shared" si="127"/>
        <v>1742</v>
      </c>
      <c r="X372" s="13"/>
      <c r="Y372" s="5"/>
      <c r="Z372" s="5"/>
      <c r="AA372" s="5"/>
      <c r="AB372" s="5"/>
    </row>
    <row r="373" spans="1:28" ht="13.15" customHeight="1">
      <c r="A373" s="12">
        <f t="shared" si="126"/>
        <v>359</v>
      </c>
      <c r="B373" s="11">
        <f t="shared" si="118"/>
        <v>45629</v>
      </c>
      <c r="C373" s="9">
        <f t="shared" si="119"/>
        <v>842</v>
      </c>
      <c r="D373" s="8">
        <f t="shared" si="110"/>
        <v>1893</v>
      </c>
      <c r="E373" s="4">
        <f t="shared" si="111"/>
        <v>96</v>
      </c>
      <c r="F373" s="4">
        <f t="shared" si="112"/>
        <v>108</v>
      </c>
      <c r="G373" s="4">
        <f t="shared" si="113"/>
        <v>383</v>
      </c>
      <c r="H373" s="5">
        <f t="shared" si="114"/>
        <v>2639</v>
      </c>
      <c r="I373" s="5">
        <f t="shared" si="115"/>
        <v>2627</v>
      </c>
      <c r="J373" s="5">
        <f t="shared" si="116"/>
        <v>2352</v>
      </c>
      <c r="K373" s="5">
        <f t="shared" si="123"/>
        <v>3000</v>
      </c>
      <c r="L373" s="5">
        <f t="shared" si="124"/>
        <v>3000</v>
      </c>
      <c r="M373" s="5">
        <f t="shared" si="125"/>
        <v>3000</v>
      </c>
      <c r="N373" s="5">
        <f t="shared" si="120"/>
        <v>-361</v>
      </c>
      <c r="O373" s="5">
        <f t="shared" si="121"/>
        <v>-373</v>
      </c>
      <c r="P373" s="5">
        <f t="shared" si="122"/>
        <v>-648</v>
      </c>
      <c r="Q373" s="4">
        <v>0</v>
      </c>
      <c r="R373" s="4">
        <v>0</v>
      </c>
      <c r="S373" s="4">
        <v>0</v>
      </c>
      <c r="T373" s="6">
        <f t="shared" si="117"/>
        <v>1208</v>
      </c>
      <c r="U373" s="7">
        <f t="shared" si="128"/>
        <v>1719</v>
      </c>
      <c r="V373" s="7">
        <f t="shared" si="129"/>
        <v>1527</v>
      </c>
      <c r="W373" s="7">
        <f t="shared" si="127"/>
        <v>1742</v>
      </c>
      <c r="X373" s="6"/>
      <c r="Y373" s="5"/>
      <c r="Z373" s="5"/>
      <c r="AA373" s="5"/>
      <c r="AB373" s="5"/>
    </row>
    <row r="374" spans="1:28" ht="13.15" customHeight="1">
      <c r="A374" s="12">
        <f t="shared" si="126"/>
        <v>360</v>
      </c>
      <c r="B374" s="11">
        <f t="shared" si="118"/>
        <v>45630</v>
      </c>
      <c r="C374" s="9">
        <f t="shared" si="119"/>
        <v>842</v>
      </c>
      <c r="D374" s="8">
        <f t="shared" si="110"/>
        <v>1895</v>
      </c>
      <c r="E374" s="4">
        <f t="shared" si="111"/>
        <v>98</v>
      </c>
      <c r="F374" s="4">
        <f t="shared" si="112"/>
        <v>110</v>
      </c>
      <c r="G374" s="4">
        <f t="shared" si="113"/>
        <v>385</v>
      </c>
      <c r="H374" s="5">
        <f t="shared" si="114"/>
        <v>2639</v>
      </c>
      <c r="I374" s="5">
        <f t="shared" si="115"/>
        <v>2627</v>
      </c>
      <c r="J374" s="5">
        <f t="shared" si="116"/>
        <v>2352</v>
      </c>
      <c r="K374" s="5">
        <f t="shared" si="123"/>
        <v>3000</v>
      </c>
      <c r="L374" s="5">
        <f t="shared" si="124"/>
        <v>3000</v>
      </c>
      <c r="M374" s="5">
        <f t="shared" si="125"/>
        <v>3000</v>
      </c>
      <c r="N374" s="5">
        <f t="shared" si="120"/>
        <v>-361</v>
      </c>
      <c r="O374" s="5">
        <f t="shared" si="121"/>
        <v>-373</v>
      </c>
      <c r="P374" s="5">
        <f t="shared" si="122"/>
        <v>-648</v>
      </c>
      <c r="Q374" s="4">
        <v>0</v>
      </c>
      <c r="R374" s="4">
        <v>0</v>
      </c>
      <c r="S374" s="4">
        <v>0</v>
      </c>
      <c r="T374" s="6">
        <f t="shared" si="117"/>
        <v>1210</v>
      </c>
      <c r="U374" s="7">
        <f t="shared" si="128"/>
        <v>1719</v>
      </c>
      <c r="V374" s="7">
        <f t="shared" si="129"/>
        <v>1527</v>
      </c>
      <c r="W374" s="7">
        <f t="shared" si="127"/>
        <v>1742</v>
      </c>
      <c r="X374" s="6"/>
      <c r="Y374" s="5"/>
      <c r="Z374" s="5"/>
      <c r="AA374" s="5"/>
      <c r="AB374" s="5"/>
    </row>
    <row r="375" spans="1:28" ht="13.15" customHeight="1">
      <c r="A375" s="12">
        <f t="shared" si="126"/>
        <v>361</v>
      </c>
      <c r="B375" s="11">
        <f t="shared" si="118"/>
        <v>45631</v>
      </c>
      <c r="C375" s="9">
        <f t="shared" si="119"/>
        <v>842</v>
      </c>
      <c r="D375" s="8">
        <f t="shared" si="110"/>
        <v>1897</v>
      </c>
      <c r="E375" s="4">
        <f t="shared" si="111"/>
        <v>100</v>
      </c>
      <c r="F375" s="4">
        <f t="shared" si="112"/>
        <v>112</v>
      </c>
      <c r="G375" s="4">
        <f t="shared" si="113"/>
        <v>387</v>
      </c>
      <c r="H375" s="5">
        <f t="shared" si="114"/>
        <v>2639</v>
      </c>
      <c r="I375" s="5">
        <f t="shared" si="115"/>
        <v>2627</v>
      </c>
      <c r="J375" s="5">
        <f t="shared" si="116"/>
        <v>2352</v>
      </c>
      <c r="K375" s="5">
        <f t="shared" si="123"/>
        <v>3000</v>
      </c>
      <c r="L375" s="5">
        <f t="shared" si="124"/>
        <v>3000</v>
      </c>
      <c r="M375" s="5">
        <f t="shared" si="125"/>
        <v>3000</v>
      </c>
      <c r="N375" s="5">
        <f t="shared" si="120"/>
        <v>-361</v>
      </c>
      <c r="O375" s="5">
        <f t="shared" si="121"/>
        <v>-373</v>
      </c>
      <c r="P375" s="5">
        <f t="shared" si="122"/>
        <v>-648</v>
      </c>
      <c r="Q375" s="4">
        <v>0</v>
      </c>
      <c r="R375" s="4">
        <v>0</v>
      </c>
      <c r="S375" s="4">
        <v>0</v>
      </c>
      <c r="T375" s="6">
        <f t="shared" si="117"/>
        <v>1212</v>
      </c>
      <c r="U375" s="7">
        <f t="shared" si="128"/>
        <v>1719</v>
      </c>
      <c r="V375" s="7">
        <f t="shared" si="129"/>
        <v>1527</v>
      </c>
      <c r="W375" s="7">
        <f t="shared" si="127"/>
        <v>1742</v>
      </c>
      <c r="X375" s="6"/>
      <c r="Y375" s="5"/>
      <c r="Z375" s="5"/>
      <c r="AA375" s="5"/>
      <c r="AB375" s="5"/>
    </row>
    <row r="376" spans="1:28" ht="13.15" customHeight="1">
      <c r="A376" s="12">
        <f t="shared" si="126"/>
        <v>362</v>
      </c>
      <c r="B376" s="11">
        <f t="shared" si="118"/>
        <v>45632</v>
      </c>
      <c r="C376" s="9">
        <f t="shared" si="119"/>
        <v>842</v>
      </c>
      <c r="D376" s="8">
        <f t="shared" si="110"/>
        <v>1899</v>
      </c>
      <c r="E376" s="4">
        <f t="shared" si="111"/>
        <v>102</v>
      </c>
      <c r="F376" s="4">
        <f t="shared" si="112"/>
        <v>114</v>
      </c>
      <c r="G376" s="4">
        <f t="shared" si="113"/>
        <v>389</v>
      </c>
      <c r="H376" s="5">
        <f t="shared" si="114"/>
        <v>2639</v>
      </c>
      <c r="I376" s="5">
        <f t="shared" si="115"/>
        <v>2627</v>
      </c>
      <c r="J376" s="5">
        <f t="shared" si="116"/>
        <v>2352</v>
      </c>
      <c r="K376" s="5">
        <f t="shared" si="123"/>
        <v>3000</v>
      </c>
      <c r="L376" s="5">
        <f t="shared" si="124"/>
        <v>3000</v>
      </c>
      <c r="M376" s="5">
        <f t="shared" si="125"/>
        <v>3000</v>
      </c>
      <c r="N376" s="5">
        <f t="shared" si="120"/>
        <v>-361</v>
      </c>
      <c r="O376" s="5">
        <f t="shared" si="121"/>
        <v>-373</v>
      </c>
      <c r="P376" s="5">
        <f t="shared" si="122"/>
        <v>-648</v>
      </c>
      <c r="Q376" s="4">
        <v>0</v>
      </c>
      <c r="R376" s="4">
        <v>0</v>
      </c>
      <c r="S376" s="4">
        <v>0</v>
      </c>
      <c r="T376" s="6">
        <f t="shared" si="117"/>
        <v>1214</v>
      </c>
      <c r="U376" s="7">
        <f t="shared" si="128"/>
        <v>1719</v>
      </c>
      <c r="V376" s="7">
        <f t="shared" si="129"/>
        <v>1527</v>
      </c>
      <c r="W376" s="7">
        <f t="shared" si="127"/>
        <v>1742</v>
      </c>
      <c r="X376" s="6"/>
      <c r="Y376" s="5"/>
      <c r="Z376" s="5"/>
      <c r="AA376" s="5"/>
      <c r="AB376" s="5"/>
    </row>
    <row r="377" spans="1:28" ht="13.15" customHeight="1">
      <c r="A377" s="12">
        <f t="shared" si="126"/>
        <v>363</v>
      </c>
      <c r="B377" s="11">
        <f t="shared" si="118"/>
        <v>45633</v>
      </c>
      <c r="C377" s="9">
        <f t="shared" si="119"/>
        <v>842</v>
      </c>
      <c r="D377" s="8">
        <f t="shared" si="110"/>
        <v>1901</v>
      </c>
      <c r="E377" s="4">
        <f t="shared" si="111"/>
        <v>104</v>
      </c>
      <c r="F377" s="4">
        <f t="shared" si="112"/>
        <v>116</v>
      </c>
      <c r="G377" s="4">
        <f t="shared" si="113"/>
        <v>391</v>
      </c>
      <c r="H377" s="5">
        <f t="shared" si="114"/>
        <v>2639</v>
      </c>
      <c r="I377" s="5">
        <f t="shared" si="115"/>
        <v>2627</v>
      </c>
      <c r="J377" s="5">
        <f t="shared" si="116"/>
        <v>2352</v>
      </c>
      <c r="K377" s="5">
        <f t="shared" si="123"/>
        <v>3000</v>
      </c>
      <c r="L377" s="5">
        <f t="shared" si="124"/>
        <v>3000</v>
      </c>
      <c r="M377" s="5">
        <f t="shared" si="125"/>
        <v>3000</v>
      </c>
      <c r="N377" s="5">
        <f t="shared" si="120"/>
        <v>-361</v>
      </c>
      <c r="O377" s="5">
        <f t="shared" si="121"/>
        <v>-373</v>
      </c>
      <c r="P377" s="5">
        <f t="shared" si="122"/>
        <v>-648</v>
      </c>
      <c r="Q377" s="4">
        <v>0</v>
      </c>
      <c r="R377" s="4">
        <v>0</v>
      </c>
      <c r="S377" s="4">
        <v>0</v>
      </c>
      <c r="T377" s="6">
        <f t="shared" si="117"/>
        <v>1216</v>
      </c>
      <c r="U377" s="7">
        <f t="shared" si="128"/>
        <v>1719</v>
      </c>
      <c r="V377" s="7">
        <f t="shared" si="129"/>
        <v>1527</v>
      </c>
      <c r="W377" s="7">
        <f t="shared" si="127"/>
        <v>1742</v>
      </c>
      <c r="X377" s="13"/>
      <c r="Y377" s="5"/>
      <c r="Z377" s="5"/>
      <c r="AA377" s="5"/>
      <c r="AB377" s="5"/>
    </row>
    <row r="378" spans="1:28" ht="13.15" customHeight="1">
      <c r="A378" s="12">
        <f t="shared" si="126"/>
        <v>364</v>
      </c>
      <c r="B378" s="11">
        <f t="shared" si="118"/>
        <v>45634</v>
      </c>
      <c r="C378" s="9">
        <f t="shared" si="119"/>
        <v>842</v>
      </c>
      <c r="D378" s="8">
        <f t="shared" si="110"/>
        <v>1903</v>
      </c>
      <c r="E378" s="4">
        <f t="shared" si="111"/>
        <v>106</v>
      </c>
      <c r="F378" s="4">
        <f t="shared" si="112"/>
        <v>118</v>
      </c>
      <c r="G378" s="4">
        <f t="shared" si="113"/>
        <v>393</v>
      </c>
      <c r="H378" s="5">
        <f t="shared" si="114"/>
        <v>2639</v>
      </c>
      <c r="I378" s="5">
        <f t="shared" si="115"/>
        <v>2627</v>
      </c>
      <c r="J378" s="5">
        <f t="shared" si="116"/>
        <v>2352</v>
      </c>
      <c r="K378" s="5">
        <f t="shared" si="123"/>
        <v>3000</v>
      </c>
      <c r="L378" s="5">
        <f t="shared" si="124"/>
        <v>3000</v>
      </c>
      <c r="M378" s="5">
        <f t="shared" si="125"/>
        <v>3000</v>
      </c>
      <c r="N378" s="5">
        <f t="shared" si="120"/>
        <v>-361</v>
      </c>
      <c r="O378" s="5">
        <f t="shared" si="121"/>
        <v>-373</v>
      </c>
      <c r="P378" s="5">
        <f t="shared" si="122"/>
        <v>-648</v>
      </c>
      <c r="Q378" s="4">
        <v>0</v>
      </c>
      <c r="R378" s="4">
        <v>0</v>
      </c>
      <c r="S378" s="4">
        <v>0</v>
      </c>
      <c r="T378" s="6">
        <f t="shared" si="117"/>
        <v>1218</v>
      </c>
      <c r="U378" s="7">
        <f t="shared" si="128"/>
        <v>1719</v>
      </c>
      <c r="V378" s="7">
        <f t="shared" si="129"/>
        <v>1527</v>
      </c>
      <c r="W378" s="7">
        <f t="shared" si="127"/>
        <v>1742</v>
      </c>
      <c r="X378" s="6"/>
      <c r="Y378" s="5"/>
      <c r="Z378" s="5"/>
      <c r="AA378" s="5"/>
      <c r="AB378" s="5"/>
    </row>
    <row r="379" spans="1:28" ht="13.15" customHeight="1">
      <c r="A379" s="12">
        <f t="shared" si="126"/>
        <v>365</v>
      </c>
      <c r="B379" s="11">
        <f t="shared" si="118"/>
        <v>45635</v>
      </c>
      <c r="C379" s="9">
        <f t="shared" si="119"/>
        <v>842</v>
      </c>
      <c r="D379" s="8">
        <f t="shared" si="110"/>
        <v>1905</v>
      </c>
      <c r="E379" s="4">
        <f t="shared" si="111"/>
        <v>108</v>
      </c>
      <c r="F379" s="4">
        <f t="shared" si="112"/>
        <v>120</v>
      </c>
      <c r="G379" s="4">
        <f t="shared" si="113"/>
        <v>395</v>
      </c>
      <c r="H379" s="5">
        <f t="shared" si="114"/>
        <v>2639</v>
      </c>
      <c r="I379" s="5">
        <f t="shared" si="115"/>
        <v>2627</v>
      </c>
      <c r="J379" s="5">
        <f t="shared" si="116"/>
        <v>2352</v>
      </c>
      <c r="K379" s="5">
        <f t="shared" si="123"/>
        <v>3000</v>
      </c>
      <c r="L379" s="5">
        <f t="shared" si="124"/>
        <v>3000</v>
      </c>
      <c r="M379" s="5">
        <f t="shared" si="125"/>
        <v>3000</v>
      </c>
      <c r="N379" s="5">
        <f t="shared" si="120"/>
        <v>-361</v>
      </c>
      <c r="O379" s="5">
        <f t="shared" si="121"/>
        <v>-373</v>
      </c>
      <c r="P379" s="5">
        <f t="shared" si="122"/>
        <v>-648</v>
      </c>
      <c r="Q379" s="4">
        <v>0</v>
      </c>
      <c r="R379" s="4">
        <v>0</v>
      </c>
      <c r="S379" s="4">
        <v>0</v>
      </c>
      <c r="T379" s="6">
        <f t="shared" si="117"/>
        <v>1220</v>
      </c>
      <c r="U379" s="7">
        <f t="shared" si="128"/>
        <v>1719</v>
      </c>
      <c r="V379" s="7">
        <f t="shared" si="129"/>
        <v>1527</v>
      </c>
      <c r="W379" s="7">
        <f t="shared" si="127"/>
        <v>1742</v>
      </c>
      <c r="X379" s="6"/>
      <c r="Y379" s="5"/>
      <c r="Z379" s="5"/>
      <c r="AA379" s="5"/>
      <c r="AB379" s="5"/>
    </row>
    <row r="380" spans="1:28" ht="13.15" customHeight="1">
      <c r="A380" s="12">
        <f t="shared" si="126"/>
        <v>366</v>
      </c>
      <c r="B380" s="11">
        <f t="shared" si="118"/>
        <v>45636</v>
      </c>
      <c r="C380" s="9">
        <f t="shared" si="119"/>
        <v>842</v>
      </c>
      <c r="D380" s="8">
        <f t="shared" si="110"/>
        <v>1907</v>
      </c>
      <c r="E380" s="4">
        <f t="shared" si="111"/>
        <v>110</v>
      </c>
      <c r="F380" s="4">
        <f t="shared" si="112"/>
        <v>122</v>
      </c>
      <c r="G380" s="4">
        <f t="shared" si="113"/>
        <v>397</v>
      </c>
      <c r="H380" s="5">
        <f t="shared" si="114"/>
        <v>2639</v>
      </c>
      <c r="I380" s="5">
        <f t="shared" si="115"/>
        <v>2627</v>
      </c>
      <c r="J380" s="5">
        <f t="shared" si="116"/>
        <v>2352</v>
      </c>
      <c r="K380" s="5">
        <f t="shared" si="123"/>
        <v>3000</v>
      </c>
      <c r="L380" s="5">
        <f t="shared" si="124"/>
        <v>3000</v>
      </c>
      <c r="M380" s="5">
        <f t="shared" si="125"/>
        <v>3000</v>
      </c>
      <c r="N380" s="5">
        <f t="shared" si="120"/>
        <v>-361</v>
      </c>
      <c r="O380" s="5">
        <f t="shared" si="121"/>
        <v>-373</v>
      </c>
      <c r="P380" s="5">
        <f t="shared" si="122"/>
        <v>-648</v>
      </c>
      <c r="Q380" s="4">
        <v>0</v>
      </c>
      <c r="R380" s="4">
        <v>0</v>
      </c>
      <c r="S380" s="4">
        <v>0</v>
      </c>
      <c r="T380" s="6">
        <f t="shared" si="117"/>
        <v>1222</v>
      </c>
      <c r="U380" s="7">
        <f t="shared" si="128"/>
        <v>1719</v>
      </c>
      <c r="V380" s="7">
        <f t="shared" si="129"/>
        <v>1527</v>
      </c>
      <c r="W380" s="7">
        <f t="shared" si="127"/>
        <v>1742</v>
      </c>
      <c r="X380" s="6"/>
      <c r="Y380" s="5"/>
      <c r="Z380" s="5"/>
      <c r="AA380" s="5"/>
      <c r="AB380" s="5"/>
    </row>
    <row r="381" spans="1:28" ht="13.15" customHeight="1">
      <c r="A381" s="12">
        <f t="shared" si="126"/>
        <v>367</v>
      </c>
      <c r="B381" s="11">
        <f t="shared" si="118"/>
        <v>45637</v>
      </c>
      <c r="C381" s="9">
        <f t="shared" si="119"/>
        <v>842</v>
      </c>
      <c r="D381" s="8">
        <f t="shared" si="110"/>
        <v>1909</v>
      </c>
      <c r="E381" s="4">
        <f t="shared" si="111"/>
        <v>112</v>
      </c>
      <c r="F381" s="4">
        <f t="shared" si="112"/>
        <v>124</v>
      </c>
      <c r="G381" s="4">
        <f t="shared" si="113"/>
        <v>399</v>
      </c>
      <c r="H381" s="5">
        <f t="shared" si="114"/>
        <v>2639</v>
      </c>
      <c r="I381" s="5">
        <f t="shared" si="115"/>
        <v>2627</v>
      </c>
      <c r="J381" s="5">
        <f t="shared" si="116"/>
        <v>2352</v>
      </c>
      <c r="K381" s="5">
        <f t="shared" si="123"/>
        <v>3000</v>
      </c>
      <c r="L381" s="5">
        <f t="shared" si="124"/>
        <v>3000</v>
      </c>
      <c r="M381" s="5">
        <f t="shared" si="125"/>
        <v>3000</v>
      </c>
      <c r="N381" s="5">
        <f t="shared" si="120"/>
        <v>-361</v>
      </c>
      <c r="O381" s="5">
        <f t="shared" si="121"/>
        <v>-373</v>
      </c>
      <c r="P381" s="5">
        <f t="shared" si="122"/>
        <v>-648</v>
      </c>
      <c r="Q381" s="4">
        <v>0</v>
      </c>
      <c r="R381" s="4">
        <v>0</v>
      </c>
      <c r="S381" s="4">
        <v>0</v>
      </c>
      <c r="T381" s="6">
        <f t="shared" si="117"/>
        <v>1224</v>
      </c>
      <c r="U381" s="7">
        <f t="shared" si="128"/>
        <v>1719</v>
      </c>
      <c r="V381" s="7">
        <f t="shared" si="129"/>
        <v>1527</v>
      </c>
      <c r="W381" s="7">
        <f t="shared" si="127"/>
        <v>1742</v>
      </c>
      <c r="X381" s="6"/>
      <c r="Y381" s="5"/>
      <c r="Z381" s="5"/>
      <c r="AA381" s="5"/>
      <c r="AB381" s="5"/>
    </row>
    <row r="382" spans="1:28" ht="13.15" customHeight="1">
      <c r="A382" s="12">
        <f t="shared" si="126"/>
        <v>368</v>
      </c>
      <c r="B382" s="11">
        <f t="shared" si="118"/>
        <v>45638</v>
      </c>
      <c r="C382" s="9">
        <f t="shared" si="119"/>
        <v>842</v>
      </c>
      <c r="D382" s="8">
        <f t="shared" si="110"/>
        <v>1911</v>
      </c>
      <c r="E382" s="4">
        <f t="shared" si="111"/>
        <v>124</v>
      </c>
      <c r="F382" s="4">
        <f t="shared" si="112"/>
        <v>136</v>
      </c>
      <c r="G382" s="4">
        <f t="shared" si="113"/>
        <v>411</v>
      </c>
      <c r="H382" s="5">
        <f t="shared" si="114"/>
        <v>2629</v>
      </c>
      <c r="I382" s="5">
        <f t="shared" si="115"/>
        <v>2617</v>
      </c>
      <c r="J382" s="5">
        <f t="shared" si="116"/>
        <v>2342</v>
      </c>
      <c r="K382" s="5">
        <f t="shared" si="123"/>
        <v>3000</v>
      </c>
      <c r="L382" s="5">
        <f t="shared" si="124"/>
        <v>3000</v>
      </c>
      <c r="M382" s="5">
        <f t="shared" si="125"/>
        <v>3000</v>
      </c>
      <c r="N382" s="5">
        <f t="shared" si="120"/>
        <v>-371</v>
      </c>
      <c r="O382" s="5">
        <f t="shared" si="121"/>
        <v>-383</v>
      </c>
      <c r="P382" s="5">
        <f t="shared" si="122"/>
        <v>-658</v>
      </c>
      <c r="Q382" s="4">
        <v>10</v>
      </c>
      <c r="R382" s="4">
        <v>10</v>
      </c>
      <c r="S382" s="4">
        <v>10</v>
      </c>
      <c r="T382" s="6">
        <f t="shared" si="117"/>
        <v>1036</v>
      </c>
      <c r="U382" s="7">
        <f t="shared" si="128"/>
        <v>1909</v>
      </c>
      <c r="V382" s="7">
        <f t="shared" si="129"/>
        <v>1717</v>
      </c>
      <c r="W382" s="7">
        <f t="shared" si="127"/>
        <v>1932</v>
      </c>
      <c r="X382" s="13">
        <v>0.2</v>
      </c>
      <c r="Y382" s="5"/>
      <c r="Z382" s="5"/>
      <c r="AA382" s="5"/>
      <c r="AB382" s="5" t="s">
        <v>3</v>
      </c>
    </row>
    <row r="383" spans="1:28" ht="13.15" customHeight="1">
      <c r="A383" s="12">
        <f t="shared" si="126"/>
        <v>369</v>
      </c>
      <c r="B383" s="11">
        <f t="shared" si="118"/>
        <v>45639</v>
      </c>
      <c r="C383" s="9">
        <f t="shared" si="119"/>
        <v>842</v>
      </c>
      <c r="D383" s="8">
        <f t="shared" ref="D383:D446" si="130">D382+2</f>
        <v>1913</v>
      </c>
      <c r="E383" s="4">
        <f t="shared" si="111"/>
        <v>136</v>
      </c>
      <c r="F383" s="4">
        <f t="shared" si="112"/>
        <v>148</v>
      </c>
      <c r="G383" s="4">
        <f t="shared" si="113"/>
        <v>421</v>
      </c>
      <c r="H383" s="5">
        <f t="shared" si="114"/>
        <v>2619</v>
      </c>
      <c r="I383" s="5">
        <f t="shared" si="115"/>
        <v>2607</v>
      </c>
      <c r="J383" s="5">
        <f t="shared" si="116"/>
        <v>2334</v>
      </c>
      <c r="K383" s="5">
        <f t="shared" si="123"/>
        <v>3000</v>
      </c>
      <c r="L383" s="5">
        <f t="shared" si="124"/>
        <v>3000</v>
      </c>
      <c r="M383" s="5">
        <f t="shared" si="125"/>
        <v>3000</v>
      </c>
      <c r="N383" s="5">
        <f t="shared" si="120"/>
        <v>-381</v>
      </c>
      <c r="O383" s="5">
        <f t="shared" si="121"/>
        <v>-393</v>
      </c>
      <c r="P383" s="5">
        <f t="shared" si="122"/>
        <v>-666</v>
      </c>
      <c r="Q383" s="4">
        <v>10</v>
      </c>
      <c r="R383" s="4">
        <v>10</v>
      </c>
      <c r="S383" s="4">
        <v>8</v>
      </c>
      <c r="T383" s="6">
        <f t="shared" si="117"/>
        <v>1048</v>
      </c>
      <c r="U383" s="7">
        <f t="shared" si="128"/>
        <v>1899</v>
      </c>
      <c r="V383" s="7">
        <f t="shared" si="129"/>
        <v>1707</v>
      </c>
      <c r="W383" s="7">
        <f t="shared" si="127"/>
        <v>1924</v>
      </c>
      <c r="X383" s="6"/>
      <c r="Y383" s="5"/>
      <c r="Z383" s="5"/>
      <c r="AA383" s="5"/>
      <c r="AB383" s="5"/>
    </row>
    <row r="384" spans="1:28" ht="13.15" customHeight="1">
      <c r="A384" s="12">
        <f t="shared" si="126"/>
        <v>370</v>
      </c>
      <c r="B384" s="11">
        <f t="shared" si="118"/>
        <v>45640</v>
      </c>
      <c r="C384" s="9">
        <f t="shared" si="119"/>
        <v>842</v>
      </c>
      <c r="D384" s="8">
        <f t="shared" si="130"/>
        <v>1915</v>
      </c>
      <c r="E384" s="4">
        <f t="shared" si="111"/>
        <v>144</v>
      </c>
      <c r="F384" s="4">
        <f t="shared" si="112"/>
        <v>160</v>
      </c>
      <c r="G384" s="4">
        <f t="shared" si="113"/>
        <v>428</v>
      </c>
      <c r="H384" s="5">
        <f t="shared" si="114"/>
        <v>2613</v>
      </c>
      <c r="I384" s="5">
        <f t="shared" si="115"/>
        <v>2597</v>
      </c>
      <c r="J384" s="5">
        <f t="shared" si="116"/>
        <v>2329</v>
      </c>
      <c r="K384" s="5">
        <f t="shared" si="123"/>
        <v>3000</v>
      </c>
      <c r="L384" s="5">
        <f t="shared" si="124"/>
        <v>3000</v>
      </c>
      <c r="M384" s="5">
        <f t="shared" si="125"/>
        <v>3000</v>
      </c>
      <c r="N384" s="5">
        <f t="shared" si="120"/>
        <v>-387</v>
      </c>
      <c r="O384" s="5">
        <f t="shared" si="121"/>
        <v>-403</v>
      </c>
      <c r="P384" s="5">
        <f t="shared" si="122"/>
        <v>-671</v>
      </c>
      <c r="Q384" s="4">
        <v>6</v>
      </c>
      <c r="R384" s="4">
        <v>10</v>
      </c>
      <c r="S384" s="4">
        <v>5</v>
      </c>
      <c r="T384" s="6">
        <f t="shared" si="117"/>
        <v>1060</v>
      </c>
      <c r="U384" s="7">
        <f t="shared" si="128"/>
        <v>1893</v>
      </c>
      <c r="V384" s="7">
        <f t="shared" si="129"/>
        <v>1697</v>
      </c>
      <c r="W384" s="7">
        <f t="shared" si="127"/>
        <v>1919</v>
      </c>
      <c r="X384" s="6"/>
      <c r="Y384" s="5"/>
      <c r="Z384" s="5"/>
      <c r="AA384" s="5"/>
      <c r="AB384" s="5"/>
    </row>
    <row r="385" spans="1:28" ht="13.15" customHeight="1">
      <c r="A385" s="12">
        <f t="shared" si="126"/>
        <v>371</v>
      </c>
      <c r="B385" s="11">
        <f t="shared" si="118"/>
        <v>45641</v>
      </c>
      <c r="C385" s="9">
        <f t="shared" si="119"/>
        <v>842</v>
      </c>
      <c r="D385" s="8">
        <f t="shared" si="130"/>
        <v>1917</v>
      </c>
      <c r="E385" s="4">
        <f t="shared" si="111"/>
        <v>154</v>
      </c>
      <c r="F385" s="4">
        <f t="shared" si="112"/>
        <v>169</v>
      </c>
      <c r="G385" s="4">
        <f t="shared" si="113"/>
        <v>436</v>
      </c>
      <c r="H385" s="5">
        <f t="shared" si="114"/>
        <v>2605</v>
      </c>
      <c r="I385" s="5">
        <f t="shared" si="115"/>
        <v>2590</v>
      </c>
      <c r="J385" s="5">
        <f t="shared" si="116"/>
        <v>2323</v>
      </c>
      <c r="K385" s="5">
        <f t="shared" si="123"/>
        <v>3000</v>
      </c>
      <c r="L385" s="5">
        <f t="shared" si="124"/>
        <v>3000</v>
      </c>
      <c r="M385" s="5">
        <f t="shared" si="125"/>
        <v>3000</v>
      </c>
      <c r="N385" s="5">
        <f t="shared" si="120"/>
        <v>-395</v>
      </c>
      <c r="O385" s="5">
        <f t="shared" si="121"/>
        <v>-410</v>
      </c>
      <c r="P385" s="5">
        <f t="shared" si="122"/>
        <v>-677</v>
      </c>
      <c r="Q385" s="4">
        <v>8</v>
      </c>
      <c r="R385" s="4">
        <v>7</v>
      </c>
      <c r="S385" s="4">
        <v>6</v>
      </c>
      <c r="T385" s="6">
        <f t="shared" si="117"/>
        <v>1069</v>
      </c>
      <c r="U385" s="7">
        <f t="shared" si="128"/>
        <v>1885</v>
      </c>
      <c r="V385" s="7">
        <f t="shared" si="129"/>
        <v>1690</v>
      </c>
      <c r="W385" s="7">
        <f t="shared" si="127"/>
        <v>1913</v>
      </c>
      <c r="X385" s="6"/>
      <c r="Y385" s="5"/>
      <c r="Z385" s="5"/>
      <c r="AA385" s="5"/>
      <c r="AB385" s="5"/>
    </row>
    <row r="386" spans="1:28" ht="13.15" customHeight="1">
      <c r="A386" s="12">
        <f t="shared" si="126"/>
        <v>372</v>
      </c>
      <c r="B386" s="11">
        <f t="shared" si="118"/>
        <v>45642</v>
      </c>
      <c r="C386" s="9">
        <f t="shared" si="119"/>
        <v>842</v>
      </c>
      <c r="D386" s="8">
        <f t="shared" si="130"/>
        <v>1919</v>
      </c>
      <c r="E386" s="4">
        <f t="shared" si="111"/>
        <v>166</v>
      </c>
      <c r="F386" s="4">
        <f t="shared" si="112"/>
        <v>181</v>
      </c>
      <c r="G386" s="4">
        <f t="shared" si="113"/>
        <v>448</v>
      </c>
      <c r="H386" s="5">
        <f t="shared" si="114"/>
        <v>2595</v>
      </c>
      <c r="I386" s="5">
        <f t="shared" si="115"/>
        <v>2580</v>
      </c>
      <c r="J386" s="5">
        <f t="shared" si="116"/>
        <v>2313</v>
      </c>
      <c r="K386" s="5">
        <f t="shared" si="123"/>
        <v>3000</v>
      </c>
      <c r="L386" s="5">
        <f t="shared" si="124"/>
        <v>3000</v>
      </c>
      <c r="M386" s="5">
        <f t="shared" si="125"/>
        <v>3000</v>
      </c>
      <c r="N386" s="5">
        <f t="shared" si="120"/>
        <v>-405</v>
      </c>
      <c r="O386" s="5">
        <f t="shared" si="121"/>
        <v>-420</v>
      </c>
      <c r="P386" s="5">
        <f t="shared" si="122"/>
        <v>-687</v>
      </c>
      <c r="Q386" s="4">
        <v>10</v>
      </c>
      <c r="R386" s="4">
        <v>10</v>
      </c>
      <c r="S386" s="4">
        <v>10</v>
      </c>
      <c r="T386" s="6">
        <f t="shared" si="117"/>
        <v>781</v>
      </c>
      <c r="U386" s="7">
        <f t="shared" si="128"/>
        <v>2175</v>
      </c>
      <c r="V386" s="7">
        <f t="shared" si="129"/>
        <v>1980</v>
      </c>
      <c r="W386" s="7">
        <f t="shared" si="127"/>
        <v>2203</v>
      </c>
      <c r="X386" s="13">
        <v>0.3</v>
      </c>
      <c r="Y386" s="5"/>
      <c r="Z386" s="5"/>
      <c r="AA386" s="5"/>
      <c r="AB386" s="5" t="s">
        <v>2</v>
      </c>
    </row>
    <row r="387" spans="1:28" ht="13.15" customHeight="1">
      <c r="A387" s="12">
        <f t="shared" si="126"/>
        <v>373</v>
      </c>
      <c r="B387" s="11">
        <f t="shared" si="118"/>
        <v>45643</v>
      </c>
      <c r="C387" s="9">
        <f t="shared" si="119"/>
        <v>842</v>
      </c>
      <c r="D387" s="8">
        <f t="shared" si="130"/>
        <v>1921</v>
      </c>
      <c r="E387" s="4">
        <f t="shared" si="111"/>
        <v>177</v>
      </c>
      <c r="F387" s="4">
        <f t="shared" si="112"/>
        <v>193</v>
      </c>
      <c r="G387" s="4">
        <f t="shared" si="113"/>
        <v>454</v>
      </c>
      <c r="H387" s="5">
        <f t="shared" si="114"/>
        <v>2586</v>
      </c>
      <c r="I387" s="5">
        <f t="shared" si="115"/>
        <v>2570</v>
      </c>
      <c r="J387" s="5">
        <f t="shared" si="116"/>
        <v>2309</v>
      </c>
      <c r="K387" s="5">
        <f t="shared" si="123"/>
        <v>3000</v>
      </c>
      <c r="L387" s="5">
        <f t="shared" si="124"/>
        <v>3000</v>
      </c>
      <c r="M387" s="5">
        <f t="shared" si="125"/>
        <v>3000</v>
      </c>
      <c r="N387" s="5">
        <f t="shared" si="120"/>
        <v>-414</v>
      </c>
      <c r="O387" s="5">
        <f t="shared" si="121"/>
        <v>-430</v>
      </c>
      <c r="P387" s="5">
        <f t="shared" si="122"/>
        <v>-691</v>
      </c>
      <c r="Q387" s="4">
        <v>9</v>
      </c>
      <c r="R387" s="4">
        <v>10</v>
      </c>
      <c r="S387" s="4">
        <v>4</v>
      </c>
      <c r="T387" s="6">
        <f t="shared" si="117"/>
        <v>793</v>
      </c>
      <c r="U387" s="7">
        <f t="shared" si="128"/>
        <v>2166</v>
      </c>
      <c r="V387" s="7">
        <f t="shared" si="129"/>
        <v>1970</v>
      </c>
      <c r="W387" s="7">
        <f t="shared" si="127"/>
        <v>2199</v>
      </c>
      <c r="X387" s="6"/>
      <c r="Y387" s="5"/>
      <c r="Z387" s="5"/>
      <c r="AA387" s="5"/>
      <c r="AB387" s="5"/>
    </row>
    <row r="388" spans="1:28" ht="13.15" customHeight="1">
      <c r="A388" s="12">
        <f t="shared" si="126"/>
        <v>374</v>
      </c>
      <c r="B388" s="11">
        <f t="shared" si="118"/>
        <v>45644</v>
      </c>
      <c r="C388" s="9">
        <f t="shared" si="119"/>
        <v>842</v>
      </c>
      <c r="D388" s="8">
        <f t="shared" si="130"/>
        <v>1923</v>
      </c>
      <c r="E388" s="4">
        <f t="shared" si="111"/>
        <v>188</v>
      </c>
      <c r="F388" s="4">
        <f t="shared" si="112"/>
        <v>205</v>
      </c>
      <c r="G388" s="4">
        <f t="shared" si="113"/>
        <v>459</v>
      </c>
      <c r="H388" s="5">
        <f t="shared" si="114"/>
        <v>2577</v>
      </c>
      <c r="I388" s="5">
        <f t="shared" si="115"/>
        <v>2560</v>
      </c>
      <c r="J388" s="5">
        <f t="shared" si="116"/>
        <v>2306</v>
      </c>
      <c r="K388" s="5">
        <f t="shared" si="123"/>
        <v>3000</v>
      </c>
      <c r="L388" s="5">
        <f t="shared" si="124"/>
        <v>3000</v>
      </c>
      <c r="M388" s="5">
        <f t="shared" si="125"/>
        <v>3000</v>
      </c>
      <c r="N388" s="5">
        <f t="shared" si="120"/>
        <v>-423</v>
      </c>
      <c r="O388" s="5">
        <f t="shared" si="121"/>
        <v>-440</v>
      </c>
      <c r="P388" s="5">
        <f t="shared" si="122"/>
        <v>-694</v>
      </c>
      <c r="Q388" s="4">
        <v>9</v>
      </c>
      <c r="R388" s="4">
        <v>10</v>
      </c>
      <c r="S388" s="4">
        <v>3</v>
      </c>
      <c r="T388" s="6">
        <f t="shared" si="117"/>
        <v>805</v>
      </c>
      <c r="U388" s="7">
        <f t="shared" si="128"/>
        <v>2157</v>
      </c>
      <c r="V388" s="7">
        <f t="shared" si="129"/>
        <v>1960</v>
      </c>
      <c r="W388" s="7">
        <f t="shared" si="127"/>
        <v>2196</v>
      </c>
      <c r="X388" s="6"/>
      <c r="Y388" s="5"/>
      <c r="Z388" s="5"/>
      <c r="AA388" s="5"/>
      <c r="AB388" s="5"/>
    </row>
    <row r="389" spans="1:28" ht="13.15" customHeight="1">
      <c r="A389" s="12">
        <f t="shared" si="126"/>
        <v>375</v>
      </c>
      <c r="B389" s="11">
        <f t="shared" si="118"/>
        <v>45645</v>
      </c>
      <c r="C389" s="9">
        <f t="shared" si="119"/>
        <v>842</v>
      </c>
      <c r="D389" s="8">
        <f t="shared" si="130"/>
        <v>1925</v>
      </c>
      <c r="E389" s="4">
        <f t="shared" si="111"/>
        <v>199</v>
      </c>
      <c r="F389" s="4">
        <f t="shared" si="112"/>
        <v>214</v>
      </c>
      <c r="G389" s="4">
        <f t="shared" si="113"/>
        <v>465</v>
      </c>
      <c r="H389" s="5">
        <f t="shared" si="114"/>
        <v>2568</v>
      </c>
      <c r="I389" s="5">
        <f t="shared" si="115"/>
        <v>2553</v>
      </c>
      <c r="J389" s="5">
        <f t="shared" si="116"/>
        <v>2302</v>
      </c>
      <c r="K389" s="5">
        <f t="shared" si="123"/>
        <v>3000</v>
      </c>
      <c r="L389" s="5">
        <f t="shared" si="124"/>
        <v>3000</v>
      </c>
      <c r="M389" s="5">
        <f t="shared" si="125"/>
        <v>3000</v>
      </c>
      <c r="N389" s="5">
        <f t="shared" si="120"/>
        <v>-432</v>
      </c>
      <c r="O389" s="5">
        <f t="shared" si="121"/>
        <v>-447</v>
      </c>
      <c r="P389" s="5">
        <f t="shared" si="122"/>
        <v>-698</v>
      </c>
      <c r="Q389" s="4">
        <v>9</v>
      </c>
      <c r="R389" s="4">
        <v>7</v>
      </c>
      <c r="S389" s="4">
        <v>4</v>
      </c>
      <c r="T389" s="6">
        <f t="shared" si="117"/>
        <v>814</v>
      </c>
      <c r="U389" s="7">
        <f t="shared" si="128"/>
        <v>2148</v>
      </c>
      <c r="V389" s="7">
        <f t="shared" si="129"/>
        <v>1953</v>
      </c>
      <c r="W389" s="7">
        <f t="shared" si="127"/>
        <v>2192</v>
      </c>
      <c r="X389" s="6"/>
      <c r="Y389" s="5"/>
      <c r="Z389" s="5"/>
      <c r="AA389" s="5"/>
      <c r="AB389" s="5"/>
    </row>
    <row r="390" spans="1:28" ht="13.15" customHeight="1">
      <c r="A390" s="12">
        <f t="shared" si="126"/>
        <v>376</v>
      </c>
      <c r="B390" s="11">
        <f t="shared" si="118"/>
        <v>45646</v>
      </c>
      <c r="C390" s="9">
        <f t="shared" si="119"/>
        <v>842</v>
      </c>
      <c r="D390" s="8">
        <f t="shared" si="130"/>
        <v>1927</v>
      </c>
      <c r="E390" s="4">
        <f t="shared" si="111"/>
        <v>210</v>
      </c>
      <c r="F390" s="4">
        <f t="shared" si="112"/>
        <v>223</v>
      </c>
      <c r="G390" s="4">
        <f t="shared" si="113"/>
        <v>469</v>
      </c>
      <c r="H390" s="5">
        <f t="shared" si="114"/>
        <v>2559</v>
      </c>
      <c r="I390" s="5">
        <f t="shared" si="115"/>
        <v>2546</v>
      </c>
      <c r="J390" s="5">
        <f t="shared" si="116"/>
        <v>2300</v>
      </c>
      <c r="K390" s="5">
        <f t="shared" si="123"/>
        <v>3000</v>
      </c>
      <c r="L390" s="5">
        <f t="shared" si="124"/>
        <v>3000</v>
      </c>
      <c r="M390" s="5">
        <f t="shared" si="125"/>
        <v>3000</v>
      </c>
      <c r="N390" s="5">
        <f t="shared" si="120"/>
        <v>-441</v>
      </c>
      <c r="O390" s="5">
        <f t="shared" si="121"/>
        <v>-454</v>
      </c>
      <c r="P390" s="5">
        <f t="shared" si="122"/>
        <v>-700</v>
      </c>
      <c r="Q390" s="4">
        <v>9</v>
      </c>
      <c r="R390" s="4">
        <v>7</v>
      </c>
      <c r="S390" s="4">
        <v>2</v>
      </c>
      <c r="T390" s="6">
        <f t="shared" si="117"/>
        <v>823</v>
      </c>
      <c r="U390" s="7">
        <f t="shared" si="128"/>
        <v>2139</v>
      </c>
      <c r="V390" s="7">
        <f t="shared" si="129"/>
        <v>1946</v>
      </c>
      <c r="W390" s="7">
        <f t="shared" si="127"/>
        <v>2190</v>
      </c>
      <c r="X390" s="6"/>
      <c r="Y390" s="5"/>
      <c r="Z390" s="5"/>
      <c r="AA390" s="5"/>
      <c r="AB390" s="5"/>
    </row>
    <row r="391" spans="1:28" ht="13.15" customHeight="1">
      <c r="A391" s="12">
        <f t="shared" si="126"/>
        <v>377</v>
      </c>
      <c r="B391" s="11">
        <f t="shared" si="118"/>
        <v>45647</v>
      </c>
      <c r="C391" s="9">
        <f t="shared" si="119"/>
        <v>842</v>
      </c>
      <c r="D391" s="8">
        <f t="shared" si="130"/>
        <v>1929</v>
      </c>
      <c r="E391" s="4">
        <f t="shared" si="111"/>
        <v>222</v>
      </c>
      <c r="F391" s="4">
        <f t="shared" si="112"/>
        <v>235</v>
      </c>
      <c r="G391" s="4">
        <f t="shared" si="113"/>
        <v>478</v>
      </c>
      <c r="H391" s="5">
        <f t="shared" si="114"/>
        <v>2549</v>
      </c>
      <c r="I391" s="5">
        <f t="shared" si="115"/>
        <v>2536</v>
      </c>
      <c r="J391" s="5">
        <f t="shared" si="116"/>
        <v>2293</v>
      </c>
      <c r="K391" s="5">
        <f t="shared" si="123"/>
        <v>3000</v>
      </c>
      <c r="L391" s="5">
        <f t="shared" si="124"/>
        <v>3000</v>
      </c>
      <c r="M391" s="5">
        <f t="shared" si="125"/>
        <v>3000</v>
      </c>
      <c r="N391" s="5">
        <f t="shared" si="120"/>
        <v>-451</v>
      </c>
      <c r="O391" s="5">
        <f t="shared" si="121"/>
        <v>-464</v>
      </c>
      <c r="P391" s="5">
        <f t="shared" si="122"/>
        <v>-707</v>
      </c>
      <c r="Q391" s="4">
        <v>10</v>
      </c>
      <c r="R391" s="4">
        <v>10</v>
      </c>
      <c r="S391" s="4">
        <v>7</v>
      </c>
      <c r="T391" s="6">
        <f t="shared" si="117"/>
        <v>535</v>
      </c>
      <c r="U391" s="7">
        <f t="shared" si="128"/>
        <v>2429</v>
      </c>
      <c r="V391" s="7">
        <f t="shared" si="129"/>
        <v>2236</v>
      </c>
      <c r="W391" s="7">
        <f t="shared" si="127"/>
        <v>2483</v>
      </c>
      <c r="X391" s="13">
        <v>0.3</v>
      </c>
      <c r="Y391" s="5"/>
      <c r="Z391" s="5"/>
      <c r="AA391" s="5"/>
      <c r="AB391" s="5" t="s">
        <v>1</v>
      </c>
    </row>
    <row r="392" spans="1:28" ht="13.15" customHeight="1">
      <c r="A392" s="12">
        <f t="shared" si="126"/>
        <v>378</v>
      </c>
      <c r="B392" s="11">
        <f t="shared" si="118"/>
        <v>45648</v>
      </c>
      <c r="C392" s="9">
        <f t="shared" si="119"/>
        <v>842</v>
      </c>
      <c r="D392" s="8">
        <f t="shared" si="130"/>
        <v>1931</v>
      </c>
      <c r="E392" s="4">
        <f t="shared" si="111"/>
        <v>233</v>
      </c>
      <c r="F392" s="4">
        <f t="shared" si="112"/>
        <v>247</v>
      </c>
      <c r="G392" s="4">
        <f t="shared" si="113"/>
        <v>484</v>
      </c>
      <c r="H392" s="5">
        <f t="shared" si="114"/>
        <v>2540</v>
      </c>
      <c r="I392" s="5">
        <f t="shared" si="115"/>
        <v>2526</v>
      </c>
      <c r="J392" s="5">
        <f t="shared" si="116"/>
        <v>2289</v>
      </c>
      <c r="K392" s="5">
        <f t="shared" si="123"/>
        <v>3000</v>
      </c>
      <c r="L392" s="5">
        <f t="shared" si="124"/>
        <v>3000</v>
      </c>
      <c r="M392" s="5">
        <f t="shared" si="125"/>
        <v>3000</v>
      </c>
      <c r="N392" s="5">
        <f t="shared" si="120"/>
        <v>-460</v>
      </c>
      <c r="O392" s="5">
        <f t="shared" si="121"/>
        <v>-474</v>
      </c>
      <c r="P392" s="5">
        <f t="shared" si="122"/>
        <v>-711</v>
      </c>
      <c r="Q392" s="4">
        <v>9</v>
      </c>
      <c r="R392" s="4">
        <v>10</v>
      </c>
      <c r="S392" s="4">
        <v>4</v>
      </c>
      <c r="T392" s="6">
        <f t="shared" si="117"/>
        <v>547</v>
      </c>
      <c r="U392" s="7">
        <f t="shared" si="128"/>
        <v>2420</v>
      </c>
      <c r="V392" s="7">
        <f t="shared" si="129"/>
        <v>2226</v>
      </c>
      <c r="W392" s="7">
        <f t="shared" si="127"/>
        <v>2479</v>
      </c>
      <c r="X392" s="6"/>
      <c r="Y392" s="5"/>
      <c r="Z392" s="5"/>
      <c r="AA392" s="5"/>
      <c r="AB392" s="5"/>
    </row>
    <row r="393" spans="1:28" ht="13.15" customHeight="1">
      <c r="A393" s="12">
        <f t="shared" si="126"/>
        <v>379</v>
      </c>
      <c r="B393" s="11">
        <f t="shared" si="118"/>
        <v>45649</v>
      </c>
      <c r="C393" s="9">
        <f t="shared" si="119"/>
        <v>842</v>
      </c>
      <c r="D393" s="8">
        <f t="shared" si="130"/>
        <v>1933</v>
      </c>
      <c r="E393" s="4">
        <f t="shared" si="111"/>
        <v>243</v>
      </c>
      <c r="F393" s="4">
        <f t="shared" si="112"/>
        <v>259</v>
      </c>
      <c r="G393" s="4">
        <f t="shared" si="113"/>
        <v>489</v>
      </c>
      <c r="H393" s="5">
        <f t="shared" si="114"/>
        <v>2532</v>
      </c>
      <c r="I393" s="5">
        <f t="shared" si="115"/>
        <v>2516</v>
      </c>
      <c r="J393" s="5">
        <f t="shared" si="116"/>
        <v>2286</v>
      </c>
      <c r="K393" s="5">
        <f t="shared" si="123"/>
        <v>3000</v>
      </c>
      <c r="L393" s="5">
        <f t="shared" si="124"/>
        <v>3000</v>
      </c>
      <c r="M393" s="5">
        <f t="shared" si="125"/>
        <v>3000</v>
      </c>
      <c r="N393" s="5">
        <f t="shared" si="120"/>
        <v>-468</v>
      </c>
      <c r="O393" s="5">
        <f t="shared" si="121"/>
        <v>-484</v>
      </c>
      <c r="P393" s="5">
        <f t="shared" si="122"/>
        <v>-714</v>
      </c>
      <c r="Q393" s="4">
        <v>8</v>
      </c>
      <c r="R393" s="4">
        <v>10</v>
      </c>
      <c r="S393" s="4">
        <v>3</v>
      </c>
      <c r="T393" s="6">
        <f t="shared" si="117"/>
        <v>559</v>
      </c>
      <c r="U393" s="7">
        <f t="shared" si="128"/>
        <v>2412</v>
      </c>
      <c r="V393" s="7">
        <f t="shared" si="129"/>
        <v>2216</v>
      </c>
      <c r="W393" s="7">
        <f t="shared" si="127"/>
        <v>2476</v>
      </c>
      <c r="X393" s="6"/>
      <c r="Y393" s="5"/>
      <c r="Z393" s="5"/>
      <c r="AA393" s="5"/>
      <c r="AB393" s="5"/>
    </row>
    <row r="394" spans="1:28" ht="13.15" customHeight="1">
      <c r="A394" s="12">
        <f t="shared" si="126"/>
        <v>380</v>
      </c>
      <c r="B394" s="11">
        <f t="shared" si="118"/>
        <v>45650</v>
      </c>
      <c r="C394" s="9">
        <f t="shared" si="119"/>
        <v>842</v>
      </c>
      <c r="D394" s="8">
        <f t="shared" si="130"/>
        <v>1935</v>
      </c>
      <c r="E394" s="4">
        <f t="shared" si="111"/>
        <v>253</v>
      </c>
      <c r="F394" s="4">
        <f t="shared" si="112"/>
        <v>268</v>
      </c>
      <c r="G394" s="4">
        <f t="shared" si="113"/>
        <v>495</v>
      </c>
      <c r="H394" s="5">
        <f t="shared" si="114"/>
        <v>2524</v>
      </c>
      <c r="I394" s="5">
        <f t="shared" si="115"/>
        <v>2509</v>
      </c>
      <c r="J394" s="5">
        <f t="shared" si="116"/>
        <v>2282</v>
      </c>
      <c r="K394" s="5">
        <f t="shared" si="123"/>
        <v>3000</v>
      </c>
      <c r="L394" s="5">
        <f t="shared" si="124"/>
        <v>3000</v>
      </c>
      <c r="M394" s="5">
        <f t="shared" si="125"/>
        <v>3000</v>
      </c>
      <c r="N394" s="5">
        <f t="shared" si="120"/>
        <v>-476</v>
      </c>
      <c r="O394" s="5">
        <f t="shared" si="121"/>
        <v>-491</v>
      </c>
      <c r="P394" s="5">
        <f t="shared" si="122"/>
        <v>-718</v>
      </c>
      <c r="Q394" s="4">
        <v>8</v>
      </c>
      <c r="R394" s="4">
        <v>7</v>
      </c>
      <c r="S394" s="4">
        <v>4</v>
      </c>
      <c r="T394" s="6">
        <f t="shared" si="117"/>
        <v>568</v>
      </c>
      <c r="U394" s="7">
        <f t="shared" si="128"/>
        <v>2404</v>
      </c>
      <c r="V394" s="7">
        <f t="shared" si="129"/>
        <v>2209</v>
      </c>
      <c r="W394" s="7">
        <f t="shared" si="127"/>
        <v>2472</v>
      </c>
      <c r="X394" s="6"/>
      <c r="Y394" s="5"/>
      <c r="Z394" s="5"/>
      <c r="AA394" s="5"/>
      <c r="AB394" s="5"/>
    </row>
    <row r="395" spans="1:28" ht="13.15" customHeight="1">
      <c r="A395" s="12">
        <f t="shared" si="126"/>
        <v>381</v>
      </c>
      <c r="B395" s="11">
        <f t="shared" si="118"/>
        <v>45651</v>
      </c>
      <c r="C395" s="9">
        <f t="shared" si="119"/>
        <v>842</v>
      </c>
      <c r="D395" s="8">
        <f t="shared" si="130"/>
        <v>1937</v>
      </c>
      <c r="E395" s="4">
        <f t="shared" si="111"/>
        <v>264</v>
      </c>
      <c r="F395" s="4">
        <f t="shared" si="112"/>
        <v>277</v>
      </c>
      <c r="G395" s="4">
        <f t="shared" si="113"/>
        <v>499</v>
      </c>
      <c r="H395" s="5">
        <f t="shared" si="114"/>
        <v>2515</v>
      </c>
      <c r="I395" s="5">
        <f t="shared" si="115"/>
        <v>2502</v>
      </c>
      <c r="J395" s="5">
        <f t="shared" si="116"/>
        <v>2280</v>
      </c>
      <c r="K395" s="5">
        <f t="shared" si="123"/>
        <v>3000</v>
      </c>
      <c r="L395" s="5">
        <f t="shared" si="124"/>
        <v>3000</v>
      </c>
      <c r="M395" s="5">
        <f t="shared" si="125"/>
        <v>3000</v>
      </c>
      <c r="N395" s="5">
        <f t="shared" si="120"/>
        <v>-485</v>
      </c>
      <c r="O395" s="5">
        <f t="shared" si="121"/>
        <v>-498</v>
      </c>
      <c r="P395" s="5">
        <f t="shared" si="122"/>
        <v>-720</v>
      </c>
      <c r="Q395" s="4">
        <v>9</v>
      </c>
      <c r="R395" s="4">
        <v>7</v>
      </c>
      <c r="S395" s="4">
        <v>2</v>
      </c>
      <c r="T395" s="6">
        <f t="shared" si="117"/>
        <v>577</v>
      </c>
      <c r="U395" s="7">
        <f t="shared" si="128"/>
        <v>2395</v>
      </c>
      <c r="V395" s="7">
        <f t="shared" si="129"/>
        <v>2202</v>
      </c>
      <c r="W395" s="7">
        <f t="shared" si="127"/>
        <v>2470</v>
      </c>
      <c r="X395" s="6"/>
      <c r="Y395" s="5"/>
      <c r="Z395" s="5"/>
      <c r="AA395" s="5"/>
      <c r="AB395" s="5"/>
    </row>
    <row r="396" spans="1:28" ht="13.15" customHeight="1">
      <c r="A396" s="12">
        <f t="shared" si="126"/>
        <v>382</v>
      </c>
      <c r="B396" s="11">
        <f t="shared" si="118"/>
        <v>45652</v>
      </c>
      <c r="C396" s="9">
        <f t="shared" si="119"/>
        <v>842</v>
      </c>
      <c r="D396" s="8">
        <f t="shared" si="130"/>
        <v>1939</v>
      </c>
      <c r="E396" s="4">
        <f t="shared" si="111"/>
        <v>276</v>
      </c>
      <c r="F396" s="4">
        <f t="shared" si="112"/>
        <v>289</v>
      </c>
      <c r="G396" s="4">
        <f t="shared" si="113"/>
        <v>510</v>
      </c>
      <c r="H396" s="5">
        <f t="shared" si="114"/>
        <v>2505</v>
      </c>
      <c r="I396" s="5">
        <f t="shared" si="115"/>
        <v>2492</v>
      </c>
      <c r="J396" s="5">
        <f t="shared" si="116"/>
        <v>2271</v>
      </c>
      <c r="K396" s="5">
        <f t="shared" si="123"/>
        <v>3000</v>
      </c>
      <c r="L396" s="5">
        <f t="shared" si="124"/>
        <v>3000</v>
      </c>
      <c r="M396" s="5">
        <f t="shared" si="125"/>
        <v>3000</v>
      </c>
      <c r="N396" s="5">
        <f t="shared" si="120"/>
        <v>-495</v>
      </c>
      <c r="O396" s="5">
        <f t="shared" si="121"/>
        <v>-508</v>
      </c>
      <c r="P396" s="5">
        <f t="shared" si="122"/>
        <v>-729</v>
      </c>
      <c r="Q396" s="4">
        <v>10</v>
      </c>
      <c r="R396" s="4">
        <v>10</v>
      </c>
      <c r="S396" s="4">
        <v>9</v>
      </c>
      <c r="T396" s="6">
        <f t="shared" si="117"/>
        <v>289</v>
      </c>
      <c r="U396" s="7">
        <f t="shared" si="128"/>
        <v>2685</v>
      </c>
      <c r="V396" s="7">
        <f t="shared" si="129"/>
        <v>2492</v>
      </c>
      <c r="W396" s="7">
        <f t="shared" si="127"/>
        <v>2761</v>
      </c>
      <c r="X396" s="13">
        <v>0.3</v>
      </c>
      <c r="Y396" s="5"/>
      <c r="Z396" s="5"/>
      <c r="AA396" s="5"/>
      <c r="AB396" s="5" t="s">
        <v>0</v>
      </c>
    </row>
    <row r="397" spans="1:28" ht="13.15" customHeight="1">
      <c r="A397" s="12">
        <f t="shared" si="126"/>
        <v>383</v>
      </c>
      <c r="B397" s="11">
        <f t="shared" si="118"/>
        <v>45653</v>
      </c>
      <c r="C397" s="9">
        <f t="shared" si="119"/>
        <v>842</v>
      </c>
      <c r="D397" s="8">
        <f t="shared" si="130"/>
        <v>1941</v>
      </c>
      <c r="E397" s="4">
        <f t="shared" si="111"/>
        <v>287</v>
      </c>
      <c r="F397" s="4">
        <f t="shared" si="112"/>
        <v>301</v>
      </c>
      <c r="G397" s="4">
        <f t="shared" si="113"/>
        <v>520</v>
      </c>
      <c r="H397" s="5">
        <f t="shared" si="114"/>
        <v>2496</v>
      </c>
      <c r="I397" s="5">
        <f t="shared" si="115"/>
        <v>2482</v>
      </c>
      <c r="J397" s="5">
        <f t="shared" si="116"/>
        <v>2263</v>
      </c>
      <c r="K397" s="5">
        <f t="shared" si="123"/>
        <v>3000</v>
      </c>
      <c r="L397" s="5">
        <f t="shared" si="124"/>
        <v>3000</v>
      </c>
      <c r="M397" s="5">
        <f t="shared" si="125"/>
        <v>3000</v>
      </c>
      <c r="N397" s="5">
        <f t="shared" si="120"/>
        <v>-504</v>
      </c>
      <c r="O397" s="5">
        <f t="shared" si="121"/>
        <v>-518</v>
      </c>
      <c r="P397" s="5">
        <f t="shared" si="122"/>
        <v>-737</v>
      </c>
      <c r="Q397" s="4">
        <v>9</v>
      </c>
      <c r="R397" s="4">
        <v>10</v>
      </c>
      <c r="S397" s="4">
        <v>8</v>
      </c>
      <c r="T397" s="6">
        <f t="shared" si="117"/>
        <v>301</v>
      </c>
      <c r="U397" s="7">
        <f t="shared" si="128"/>
        <v>2676</v>
      </c>
      <c r="V397" s="7">
        <f t="shared" si="129"/>
        <v>2482</v>
      </c>
      <c r="W397" s="7">
        <f t="shared" si="127"/>
        <v>2753</v>
      </c>
      <c r="X397" s="6"/>
      <c r="Y397" s="5"/>
      <c r="Z397" s="5"/>
      <c r="AA397" s="5"/>
      <c r="AB397" s="5"/>
    </row>
    <row r="398" spans="1:28" ht="13.15" customHeight="1">
      <c r="A398" s="12">
        <f t="shared" si="126"/>
        <v>384</v>
      </c>
      <c r="B398" s="11">
        <f t="shared" si="118"/>
        <v>45654</v>
      </c>
      <c r="C398" s="9">
        <f t="shared" si="119"/>
        <v>842</v>
      </c>
      <c r="D398" s="8">
        <f t="shared" si="130"/>
        <v>1943</v>
      </c>
      <c r="E398" s="4">
        <f t="shared" ref="E398:E461" si="131">C398+D398-H398</f>
        <v>297</v>
      </c>
      <c r="F398" s="4">
        <f t="shared" ref="F398:F461" si="132">C398+D398-I398</f>
        <v>313</v>
      </c>
      <c r="G398" s="4">
        <f t="shared" ref="G398:G461" si="133">D398+C398-J398</f>
        <v>529</v>
      </c>
      <c r="H398" s="5">
        <f t="shared" ref="H398:H461" si="134">K398+N398</f>
        <v>2488</v>
      </c>
      <c r="I398" s="5">
        <f t="shared" ref="I398:I461" si="135">L398+O398</f>
        <v>2472</v>
      </c>
      <c r="J398" s="5">
        <f t="shared" ref="J398:J461" si="136">M398+P398</f>
        <v>2256</v>
      </c>
      <c r="K398" s="5">
        <f t="shared" si="123"/>
        <v>3000</v>
      </c>
      <c r="L398" s="5">
        <f t="shared" si="124"/>
        <v>3000</v>
      </c>
      <c r="M398" s="5">
        <f t="shared" si="125"/>
        <v>3000</v>
      </c>
      <c r="N398" s="5">
        <f t="shared" si="120"/>
        <v>-512</v>
      </c>
      <c r="O398" s="5">
        <f t="shared" si="121"/>
        <v>-528</v>
      </c>
      <c r="P398" s="5">
        <f t="shared" si="122"/>
        <v>-744</v>
      </c>
      <c r="Q398" s="4">
        <v>8</v>
      </c>
      <c r="R398" s="4">
        <v>10</v>
      </c>
      <c r="S398" s="4">
        <v>7</v>
      </c>
      <c r="T398" s="6">
        <f t="shared" ref="T398:T461" si="137">D398+C398-V398</f>
        <v>313</v>
      </c>
      <c r="U398" s="7">
        <f t="shared" si="128"/>
        <v>2668</v>
      </c>
      <c r="V398" s="7">
        <f t="shared" si="129"/>
        <v>2472</v>
      </c>
      <c r="W398" s="7">
        <f t="shared" si="127"/>
        <v>2746</v>
      </c>
      <c r="X398" s="6"/>
      <c r="Y398" s="5"/>
      <c r="Z398" s="5"/>
      <c r="AA398" s="5"/>
      <c r="AB398" s="5"/>
    </row>
    <row r="399" spans="1:28" ht="13.15" customHeight="1">
      <c r="A399" s="12">
        <f t="shared" si="126"/>
        <v>385</v>
      </c>
      <c r="B399" s="11">
        <f t="shared" ref="B399:B462" si="138">B398+1</f>
        <v>45655</v>
      </c>
      <c r="C399" s="9">
        <f t="shared" ref="C399:C462" si="139">C398</f>
        <v>842</v>
      </c>
      <c r="D399" s="8">
        <f t="shared" si="130"/>
        <v>1945</v>
      </c>
      <c r="E399" s="4">
        <f t="shared" si="131"/>
        <v>308</v>
      </c>
      <c r="F399" s="4">
        <f t="shared" si="132"/>
        <v>323</v>
      </c>
      <c r="G399" s="4">
        <f t="shared" si="133"/>
        <v>539</v>
      </c>
      <c r="H399" s="5">
        <f t="shared" si="134"/>
        <v>2479</v>
      </c>
      <c r="I399" s="5">
        <f t="shared" si="135"/>
        <v>2464</v>
      </c>
      <c r="J399" s="5">
        <f t="shared" si="136"/>
        <v>2248</v>
      </c>
      <c r="K399" s="5">
        <f t="shared" si="123"/>
        <v>3000</v>
      </c>
      <c r="L399" s="5">
        <f t="shared" si="124"/>
        <v>3000</v>
      </c>
      <c r="M399" s="5">
        <f t="shared" si="125"/>
        <v>3000</v>
      </c>
      <c r="N399" s="5">
        <f t="shared" ref="N399:N462" si="140">N398-Q399</f>
        <v>-521</v>
      </c>
      <c r="O399" s="5">
        <f t="shared" ref="O399:O462" si="141">O398-R399</f>
        <v>-536</v>
      </c>
      <c r="P399" s="5">
        <f t="shared" ref="P399:P462" si="142">P398-S399</f>
        <v>-752</v>
      </c>
      <c r="Q399" s="4">
        <v>9</v>
      </c>
      <c r="R399" s="4">
        <v>8</v>
      </c>
      <c r="S399" s="4">
        <v>8</v>
      </c>
      <c r="T399" s="6">
        <f t="shared" si="137"/>
        <v>323</v>
      </c>
      <c r="U399" s="7">
        <f t="shared" si="128"/>
        <v>2659</v>
      </c>
      <c r="V399" s="7">
        <f t="shared" si="129"/>
        <v>2464</v>
      </c>
      <c r="W399" s="7">
        <f t="shared" si="127"/>
        <v>2738</v>
      </c>
      <c r="X399" s="6"/>
      <c r="Y399" s="5"/>
      <c r="Z399" s="5"/>
      <c r="AA399" s="5"/>
      <c r="AB399" s="5"/>
    </row>
    <row r="400" spans="1:28" ht="13.15" customHeight="1">
      <c r="A400" s="12">
        <f t="shared" si="126"/>
        <v>386</v>
      </c>
      <c r="B400" s="11">
        <f t="shared" si="138"/>
        <v>45656</v>
      </c>
      <c r="C400" s="9">
        <f t="shared" si="139"/>
        <v>842</v>
      </c>
      <c r="D400" s="8">
        <f t="shared" si="130"/>
        <v>1947</v>
      </c>
      <c r="E400" s="4">
        <f t="shared" si="131"/>
        <v>318</v>
      </c>
      <c r="F400" s="4">
        <f t="shared" si="132"/>
        <v>334</v>
      </c>
      <c r="G400" s="4">
        <f t="shared" si="133"/>
        <v>545</v>
      </c>
      <c r="H400" s="5">
        <f t="shared" si="134"/>
        <v>2471</v>
      </c>
      <c r="I400" s="5">
        <f t="shared" si="135"/>
        <v>2455</v>
      </c>
      <c r="J400" s="5">
        <f t="shared" si="136"/>
        <v>2244</v>
      </c>
      <c r="K400" s="5">
        <f t="shared" si="123"/>
        <v>3000</v>
      </c>
      <c r="L400" s="5">
        <f t="shared" si="124"/>
        <v>3000</v>
      </c>
      <c r="M400" s="5">
        <f t="shared" si="125"/>
        <v>3000</v>
      </c>
      <c r="N400" s="5">
        <f t="shared" si="140"/>
        <v>-529</v>
      </c>
      <c r="O400" s="5">
        <f t="shared" si="141"/>
        <v>-545</v>
      </c>
      <c r="P400" s="5">
        <f t="shared" si="142"/>
        <v>-756</v>
      </c>
      <c r="Q400" s="4">
        <v>8</v>
      </c>
      <c r="R400" s="4">
        <v>9</v>
      </c>
      <c r="S400" s="4">
        <v>4</v>
      </c>
      <c r="T400" s="6">
        <f t="shared" si="137"/>
        <v>334</v>
      </c>
      <c r="U400" s="7">
        <f t="shared" si="128"/>
        <v>2651</v>
      </c>
      <c r="V400" s="7">
        <f t="shared" si="129"/>
        <v>2455</v>
      </c>
      <c r="W400" s="7">
        <f t="shared" si="127"/>
        <v>2734</v>
      </c>
      <c r="X400" s="6"/>
      <c r="Y400" s="5"/>
      <c r="Z400" s="5"/>
      <c r="AA400" s="5"/>
      <c r="AB400" s="5"/>
    </row>
    <row r="401" spans="1:28" ht="13.15" customHeight="1">
      <c r="A401" s="9">
        <f t="shared" si="126"/>
        <v>387</v>
      </c>
      <c r="B401" s="10">
        <f t="shared" si="138"/>
        <v>45657</v>
      </c>
      <c r="C401" s="9">
        <f t="shared" si="139"/>
        <v>842</v>
      </c>
      <c r="D401" s="8">
        <f t="shared" si="130"/>
        <v>1949</v>
      </c>
      <c r="E401" s="4">
        <f t="shared" si="131"/>
        <v>329</v>
      </c>
      <c r="F401" s="4">
        <f t="shared" si="132"/>
        <v>344</v>
      </c>
      <c r="G401" s="4">
        <f t="shared" si="133"/>
        <v>550</v>
      </c>
      <c r="H401" s="5">
        <f t="shared" si="134"/>
        <v>2462</v>
      </c>
      <c r="I401" s="5">
        <f t="shared" si="135"/>
        <v>2447</v>
      </c>
      <c r="J401" s="5">
        <f t="shared" si="136"/>
        <v>2241</v>
      </c>
      <c r="K401" s="5">
        <f t="shared" si="123"/>
        <v>3000</v>
      </c>
      <c r="L401" s="5">
        <f t="shared" si="124"/>
        <v>3000</v>
      </c>
      <c r="M401" s="5">
        <f t="shared" si="125"/>
        <v>3000</v>
      </c>
      <c r="N401" s="5">
        <f t="shared" si="140"/>
        <v>-538</v>
      </c>
      <c r="O401" s="5">
        <f t="shared" si="141"/>
        <v>-553</v>
      </c>
      <c r="P401" s="5">
        <f t="shared" si="142"/>
        <v>-759</v>
      </c>
      <c r="Q401" s="4">
        <v>9</v>
      </c>
      <c r="R401" s="4">
        <v>8</v>
      </c>
      <c r="S401" s="4">
        <v>3</v>
      </c>
      <c r="T401" s="6">
        <f t="shared" si="137"/>
        <v>344</v>
      </c>
      <c r="U401" s="7">
        <f t="shared" si="128"/>
        <v>2642</v>
      </c>
      <c r="V401" s="7">
        <f t="shared" si="129"/>
        <v>2447</v>
      </c>
      <c r="W401" s="7">
        <f t="shared" si="127"/>
        <v>2731</v>
      </c>
      <c r="X401" s="6"/>
      <c r="Y401" s="5"/>
      <c r="Z401" s="5"/>
      <c r="AA401" s="5"/>
      <c r="AB401" s="5"/>
    </row>
    <row r="402" spans="1:28" ht="13.15" customHeight="1">
      <c r="A402" s="9">
        <f t="shared" si="126"/>
        <v>388</v>
      </c>
      <c r="B402" s="10">
        <f t="shared" si="138"/>
        <v>45658</v>
      </c>
      <c r="C402" s="9">
        <f t="shared" si="139"/>
        <v>842</v>
      </c>
      <c r="D402" s="8">
        <f t="shared" si="130"/>
        <v>1951</v>
      </c>
      <c r="E402" s="4">
        <f t="shared" si="131"/>
        <v>339</v>
      </c>
      <c r="F402" s="4">
        <f t="shared" si="132"/>
        <v>355</v>
      </c>
      <c r="G402" s="4">
        <f t="shared" si="133"/>
        <v>556</v>
      </c>
      <c r="H402" s="5">
        <f t="shared" si="134"/>
        <v>2454</v>
      </c>
      <c r="I402" s="5">
        <f t="shared" si="135"/>
        <v>2438</v>
      </c>
      <c r="J402" s="5">
        <f t="shared" si="136"/>
        <v>2237</v>
      </c>
      <c r="K402" s="5">
        <f t="shared" si="123"/>
        <v>3000</v>
      </c>
      <c r="L402" s="5">
        <f t="shared" si="124"/>
        <v>3000</v>
      </c>
      <c r="M402" s="5">
        <f t="shared" si="125"/>
        <v>3000</v>
      </c>
      <c r="N402" s="5">
        <f t="shared" si="140"/>
        <v>-546</v>
      </c>
      <c r="O402" s="5">
        <f t="shared" si="141"/>
        <v>-562</v>
      </c>
      <c r="P402" s="5">
        <f t="shared" si="142"/>
        <v>-763</v>
      </c>
      <c r="Q402" s="4">
        <v>8</v>
      </c>
      <c r="R402" s="4">
        <v>9</v>
      </c>
      <c r="S402" s="4">
        <v>4</v>
      </c>
      <c r="T402" s="6">
        <f t="shared" si="137"/>
        <v>355</v>
      </c>
      <c r="U402" s="7">
        <f t="shared" si="128"/>
        <v>2634</v>
      </c>
      <c r="V402" s="7">
        <f t="shared" si="129"/>
        <v>2438</v>
      </c>
      <c r="W402" s="7">
        <f t="shared" si="127"/>
        <v>2727</v>
      </c>
      <c r="X402" s="6"/>
      <c r="Y402" s="5"/>
      <c r="Z402" s="5"/>
      <c r="AA402" s="5"/>
      <c r="AB402" s="5"/>
    </row>
    <row r="403" spans="1:28" ht="13.15" customHeight="1">
      <c r="A403" s="9">
        <f t="shared" si="126"/>
        <v>389</v>
      </c>
      <c r="B403" s="10">
        <f t="shared" si="138"/>
        <v>45659</v>
      </c>
      <c r="C403" s="9">
        <f t="shared" si="139"/>
        <v>842</v>
      </c>
      <c r="D403" s="8">
        <f t="shared" si="130"/>
        <v>1953</v>
      </c>
      <c r="E403" s="4">
        <f t="shared" si="131"/>
        <v>349</v>
      </c>
      <c r="F403" s="4">
        <f t="shared" si="132"/>
        <v>366</v>
      </c>
      <c r="G403" s="4">
        <f t="shared" si="133"/>
        <v>560</v>
      </c>
      <c r="H403" s="5">
        <f t="shared" si="134"/>
        <v>2446</v>
      </c>
      <c r="I403" s="5">
        <f t="shared" si="135"/>
        <v>2429</v>
      </c>
      <c r="J403" s="5">
        <f t="shared" si="136"/>
        <v>2235</v>
      </c>
      <c r="K403" s="5">
        <f t="shared" si="123"/>
        <v>3000</v>
      </c>
      <c r="L403" s="5">
        <f t="shared" si="124"/>
        <v>3000</v>
      </c>
      <c r="M403" s="5">
        <f t="shared" si="125"/>
        <v>3000</v>
      </c>
      <c r="N403" s="5">
        <f t="shared" si="140"/>
        <v>-554</v>
      </c>
      <c r="O403" s="5">
        <f t="shared" si="141"/>
        <v>-571</v>
      </c>
      <c r="P403" s="5">
        <f t="shared" si="142"/>
        <v>-765</v>
      </c>
      <c r="Q403" s="4">
        <v>8</v>
      </c>
      <c r="R403" s="4">
        <v>9</v>
      </c>
      <c r="S403" s="4">
        <v>2</v>
      </c>
      <c r="T403" s="6">
        <f t="shared" si="137"/>
        <v>366</v>
      </c>
      <c r="U403" s="7">
        <f t="shared" si="128"/>
        <v>2626</v>
      </c>
      <c r="V403" s="7">
        <f t="shared" si="129"/>
        <v>2429</v>
      </c>
      <c r="W403" s="7">
        <f t="shared" si="127"/>
        <v>2725</v>
      </c>
      <c r="X403" s="6"/>
      <c r="Y403" s="5"/>
      <c r="Z403" s="5"/>
      <c r="AA403" s="5"/>
      <c r="AB403" s="5"/>
    </row>
    <row r="404" spans="1:28" ht="13.15" customHeight="1">
      <c r="A404" s="9">
        <f t="shared" si="126"/>
        <v>390</v>
      </c>
      <c r="B404" s="10">
        <f t="shared" si="138"/>
        <v>45660</v>
      </c>
      <c r="C404" s="9">
        <f t="shared" si="139"/>
        <v>842</v>
      </c>
      <c r="D404" s="8">
        <f t="shared" si="130"/>
        <v>1955</v>
      </c>
      <c r="E404" s="4">
        <f t="shared" si="131"/>
        <v>359</v>
      </c>
      <c r="F404" s="4">
        <f t="shared" si="132"/>
        <v>377</v>
      </c>
      <c r="G404" s="4">
        <f t="shared" si="133"/>
        <v>567</v>
      </c>
      <c r="H404" s="5">
        <f t="shared" si="134"/>
        <v>2438</v>
      </c>
      <c r="I404" s="5">
        <f t="shared" si="135"/>
        <v>2420</v>
      </c>
      <c r="J404" s="5">
        <f t="shared" si="136"/>
        <v>2230</v>
      </c>
      <c r="K404" s="5">
        <f t="shared" si="123"/>
        <v>3000</v>
      </c>
      <c r="L404" s="5">
        <f t="shared" si="124"/>
        <v>3000</v>
      </c>
      <c r="M404" s="5">
        <f t="shared" si="125"/>
        <v>3000</v>
      </c>
      <c r="N404" s="5">
        <f t="shared" si="140"/>
        <v>-562</v>
      </c>
      <c r="O404" s="5">
        <f t="shared" si="141"/>
        <v>-580</v>
      </c>
      <c r="P404" s="5">
        <f t="shared" si="142"/>
        <v>-770</v>
      </c>
      <c r="Q404" s="4">
        <v>8</v>
      </c>
      <c r="R404" s="4">
        <v>9</v>
      </c>
      <c r="S404" s="4">
        <v>5</v>
      </c>
      <c r="T404" s="6">
        <f t="shared" si="137"/>
        <v>377</v>
      </c>
      <c r="U404" s="7">
        <f t="shared" si="128"/>
        <v>2618</v>
      </c>
      <c r="V404" s="7">
        <f t="shared" si="129"/>
        <v>2420</v>
      </c>
      <c r="W404" s="7">
        <f t="shared" si="127"/>
        <v>2720</v>
      </c>
      <c r="X404" s="6"/>
      <c r="Y404" s="5"/>
      <c r="Z404" s="5"/>
      <c r="AA404" s="5"/>
      <c r="AB404" s="5"/>
    </row>
    <row r="405" spans="1:28" ht="13.15" customHeight="1">
      <c r="A405" s="9">
        <f t="shared" si="126"/>
        <v>391</v>
      </c>
      <c r="B405" s="10">
        <f t="shared" si="138"/>
        <v>45661</v>
      </c>
      <c r="C405" s="9">
        <f t="shared" si="139"/>
        <v>842</v>
      </c>
      <c r="D405" s="8">
        <f t="shared" si="130"/>
        <v>1957</v>
      </c>
      <c r="E405" s="4">
        <f t="shared" si="131"/>
        <v>368</v>
      </c>
      <c r="F405" s="4">
        <f t="shared" si="132"/>
        <v>387</v>
      </c>
      <c r="G405" s="4">
        <f t="shared" si="133"/>
        <v>574</v>
      </c>
      <c r="H405" s="5">
        <f t="shared" si="134"/>
        <v>2431</v>
      </c>
      <c r="I405" s="5">
        <f t="shared" si="135"/>
        <v>2412</v>
      </c>
      <c r="J405" s="5">
        <f t="shared" si="136"/>
        <v>2225</v>
      </c>
      <c r="K405" s="5">
        <f t="shared" ref="K405:K468" si="143">K404</f>
        <v>3000</v>
      </c>
      <c r="L405" s="5">
        <f t="shared" ref="L405:L468" si="144">L404</f>
        <v>3000</v>
      </c>
      <c r="M405" s="5">
        <f t="shared" ref="M405:M468" si="145">M404</f>
        <v>3000</v>
      </c>
      <c r="N405" s="5">
        <f t="shared" si="140"/>
        <v>-569</v>
      </c>
      <c r="O405" s="5">
        <f t="shared" si="141"/>
        <v>-588</v>
      </c>
      <c r="P405" s="5">
        <f t="shared" si="142"/>
        <v>-775</v>
      </c>
      <c r="Q405" s="4">
        <v>7</v>
      </c>
      <c r="R405" s="4">
        <v>8</v>
      </c>
      <c r="S405" s="4">
        <v>5</v>
      </c>
      <c r="T405" s="6">
        <f t="shared" si="137"/>
        <v>387</v>
      </c>
      <c r="U405" s="7">
        <f t="shared" si="128"/>
        <v>2611</v>
      </c>
      <c r="V405" s="7">
        <f t="shared" si="129"/>
        <v>2412</v>
      </c>
      <c r="W405" s="7">
        <f t="shared" si="127"/>
        <v>2715</v>
      </c>
      <c r="X405" s="6"/>
      <c r="Y405" s="5"/>
      <c r="Z405" s="5"/>
      <c r="AA405" s="5"/>
      <c r="AB405" s="5"/>
    </row>
    <row r="406" spans="1:28" ht="13.15" customHeight="1">
      <c r="A406" s="9">
        <f t="shared" si="126"/>
        <v>392</v>
      </c>
      <c r="B406" s="10">
        <f t="shared" si="138"/>
        <v>45662</v>
      </c>
      <c r="C406" s="9">
        <f t="shared" si="139"/>
        <v>842</v>
      </c>
      <c r="D406" s="8">
        <f t="shared" si="130"/>
        <v>1959</v>
      </c>
      <c r="E406" s="4">
        <f t="shared" si="131"/>
        <v>379</v>
      </c>
      <c r="F406" s="4">
        <f t="shared" si="132"/>
        <v>397</v>
      </c>
      <c r="G406" s="4">
        <f t="shared" si="133"/>
        <v>580</v>
      </c>
      <c r="H406" s="5">
        <f t="shared" si="134"/>
        <v>2422</v>
      </c>
      <c r="I406" s="5">
        <f t="shared" si="135"/>
        <v>2404</v>
      </c>
      <c r="J406" s="5">
        <f t="shared" si="136"/>
        <v>2221</v>
      </c>
      <c r="K406" s="5">
        <f t="shared" si="143"/>
        <v>3000</v>
      </c>
      <c r="L406" s="5">
        <f t="shared" si="144"/>
        <v>3000</v>
      </c>
      <c r="M406" s="5">
        <f t="shared" si="145"/>
        <v>3000</v>
      </c>
      <c r="N406" s="5">
        <f t="shared" si="140"/>
        <v>-578</v>
      </c>
      <c r="O406" s="5">
        <f t="shared" si="141"/>
        <v>-596</v>
      </c>
      <c r="P406" s="5">
        <f t="shared" si="142"/>
        <v>-779</v>
      </c>
      <c r="Q406" s="4">
        <v>9</v>
      </c>
      <c r="R406" s="4">
        <v>8</v>
      </c>
      <c r="S406" s="4">
        <v>4</v>
      </c>
      <c r="T406" s="6">
        <f t="shared" si="137"/>
        <v>397</v>
      </c>
      <c r="U406" s="7">
        <f t="shared" si="128"/>
        <v>2602</v>
      </c>
      <c r="V406" s="7">
        <f t="shared" si="129"/>
        <v>2404</v>
      </c>
      <c r="W406" s="7">
        <f t="shared" si="127"/>
        <v>2711</v>
      </c>
      <c r="X406" s="6"/>
      <c r="Y406" s="5"/>
      <c r="Z406" s="5"/>
      <c r="AA406" s="5"/>
      <c r="AB406" s="5"/>
    </row>
    <row r="407" spans="1:28" ht="13.15" customHeight="1">
      <c r="A407" s="9">
        <f t="shared" ref="A407:A470" si="146">+A406+1</f>
        <v>393</v>
      </c>
      <c r="B407" s="10">
        <f t="shared" si="138"/>
        <v>45663</v>
      </c>
      <c r="C407" s="9">
        <f t="shared" si="139"/>
        <v>842</v>
      </c>
      <c r="D407" s="8">
        <f t="shared" si="130"/>
        <v>1961</v>
      </c>
      <c r="E407" s="4">
        <f t="shared" si="131"/>
        <v>389</v>
      </c>
      <c r="F407" s="4">
        <f t="shared" si="132"/>
        <v>408</v>
      </c>
      <c r="G407" s="4">
        <f t="shared" si="133"/>
        <v>585</v>
      </c>
      <c r="H407" s="5">
        <f t="shared" si="134"/>
        <v>2414</v>
      </c>
      <c r="I407" s="5">
        <f t="shared" si="135"/>
        <v>2395</v>
      </c>
      <c r="J407" s="5">
        <f t="shared" si="136"/>
        <v>2218</v>
      </c>
      <c r="K407" s="5">
        <f t="shared" si="143"/>
        <v>3000</v>
      </c>
      <c r="L407" s="5">
        <f t="shared" si="144"/>
        <v>3000</v>
      </c>
      <c r="M407" s="5">
        <f t="shared" si="145"/>
        <v>3000</v>
      </c>
      <c r="N407" s="5">
        <f t="shared" si="140"/>
        <v>-586</v>
      </c>
      <c r="O407" s="5">
        <f t="shared" si="141"/>
        <v>-605</v>
      </c>
      <c r="P407" s="5">
        <f t="shared" si="142"/>
        <v>-782</v>
      </c>
      <c r="Q407" s="4">
        <v>8</v>
      </c>
      <c r="R407" s="4">
        <v>9</v>
      </c>
      <c r="S407" s="4">
        <v>3</v>
      </c>
      <c r="T407" s="6">
        <f t="shared" si="137"/>
        <v>408</v>
      </c>
      <c r="U407" s="7">
        <f t="shared" si="128"/>
        <v>2594</v>
      </c>
      <c r="V407" s="7">
        <f t="shared" si="129"/>
        <v>2395</v>
      </c>
      <c r="W407" s="7">
        <f t="shared" si="127"/>
        <v>2708</v>
      </c>
      <c r="X407" s="6"/>
      <c r="Y407" s="5"/>
      <c r="Z407" s="5"/>
      <c r="AA407" s="5"/>
      <c r="AB407" s="5"/>
    </row>
    <row r="408" spans="1:28" ht="13.15" customHeight="1">
      <c r="A408" s="9">
        <f t="shared" si="146"/>
        <v>394</v>
      </c>
      <c r="B408" s="10">
        <f t="shared" si="138"/>
        <v>45664</v>
      </c>
      <c r="C408" s="9">
        <f t="shared" si="139"/>
        <v>842</v>
      </c>
      <c r="D408" s="8">
        <f t="shared" si="130"/>
        <v>1963</v>
      </c>
      <c r="E408" s="4">
        <f t="shared" si="131"/>
        <v>399</v>
      </c>
      <c r="F408" s="4">
        <f t="shared" si="132"/>
        <v>419</v>
      </c>
      <c r="G408" s="4">
        <f t="shared" si="133"/>
        <v>590</v>
      </c>
      <c r="H408" s="5">
        <f t="shared" si="134"/>
        <v>2406</v>
      </c>
      <c r="I408" s="5">
        <f t="shared" si="135"/>
        <v>2386</v>
      </c>
      <c r="J408" s="5">
        <f t="shared" si="136"/>
        <v>2215</v>
      </c>
      <c r="K408" s="5">
        <f t="shared" si="143"/>
        <v>3000</v>
      </c>
      <c r="L408" s="5">
        <f t="shared" si="144"/>
        <v>3000</v>
      </c>
      <c r="M408" s="5">
        <f t="shared" si="145"/>
        <v>3000</v>
      </c>
      <c r="N408" s="5">
        <f t="shared" si="140"/>
        <v>-594</v>
      </c>
      <c r="O408" s="5">
        <f t="shared" si="141"/>
        <v>-614</v>
      </c>
      <c r="P408" s="5">
        <f t="shared" si="142"/>
        <v>-785</v>
      </c>
      <c r="Q408" s="4">
        <v>8</v>
      </c>
      <c r="R408" s="4">
        <v>9</v>
      </c>
      <c r="S408" s="4">
        <v>3</v>
      </c>
      <c r="T408" s="6">
        <f t="shared" si="137"/>
        <v>419</v>
      </c>
      <c r="U408" s="7">
        <f t="shared" si="128"/>
        <v>2586</v>
      </c>
      <c r="V408" s="7">
        <f t="shared" si="129"/>
        <v>2386</v>
      </c>
      <c r="W408" s="7">
        <f t="shared" si="127"/>
        <v>2705</v>
      </c>
      <c r="X408" s="6"/>
      <c r="Y408" s="5"/>
      <c r="Z408" s="5"/>
      <c r="AA408" s="5"/>
      <c r="AB408" s="5"/>
    </row>
    <row r="409" spans="1:28" ht="13.15" customHeight="1">
      <c r="A409" s="9">
        <f t="shared" si="146"/>
        <v>395</v>
      </c>
      <c r="B409" s="10">
        <f t="shared" si="138"/>
        <v>45665</v>
      </c>
      <c r="C409" s="9">
        <f t="shared" si="139"/>
        <v>842</v>
      </c>
      <c r="D409" s="8">
        <f t="shared" si="130"/>
        <v>1965</v>
      </c>
      <c r="E409" s="4">
        <f t="shared" si="131"/>
        <v>409</v>
      </c>
      <c r="F409" s="4">
        <f t="shared" si="132"/>
        <v>430</v>
      </c>
      <c r="G409" s="4">
        <f t="shared" si="133"/>
        <v>594</v>
      </c>
      <c r="H409" s="5">
        <f t="shared" si="134"/>
        <v>2398</v>
      </c>
      <c r="I409" s="5">
        <f t="shared" si="135"/>
        <v>2377</v>
      </c>
      <c r="J409" s="5">
        <f t="shared" si="136"/>
        <v>2213</v>
      </c>
      <c r="K409" s="5">
        <f t="shared" si="143"/>
        <v>3000</v>
      </c>
      <c r="L409" s="5">
        <f t="shared" si="144"/>
        <v>3000</v>
      </c>
      <c r="M409" s="5">
        <f t="shared" si="145"/>
        <v>3000</v>
      </c>
      <c r="N409" s="5">
        <f t="shared" si="140"/>
        <v>-602</v>
      </c>
      <c r="O409" s="5">
        <f t="shared" si="141"/>
        <v>-623</v>
      </c>
      <c r="P409" s="5">
        <f t="shared" si="142"/>
        <v>-787</v>
      </c>
      <c r="Q409" s="4">
        <v>8</v>
      </c>
      <c r="R409" s="4">
        <v>9</v>
      </c>
      <c r="S409" s="4">
        <v>2</v>
      </c>
      <c r="T409" s="6">
        <f t="shared" si="137"/>
        <v>430</v>
      </c>
      <c r="U409" s="7">
        <f t="shared" si="128"/>
        <v>2578</v>
      </c>
      <c r="V409" s="7">
        <f t="shared" si="129"/>
        <v>2377</v>
      </c>
      <c r="W409" s="7">
        <f t="shared" si="127"/>
        <v>2703</v>
      </c>
      <c r="X409" s="6"/>
      <c r="Y409" s="5"/>
      <c r="Z409" s="5"/>
      <c r="AA409" s="5"/>
      <c r="AB409" s="5"/>
    </row>
    <row r="410" spans="1:28" ht="13.15" customHeight="1">
      <c r="A410" s="9">
        <f t="shared" si="146"/>
        <v>396</v>
      </c>
      <c r="B410" s="10">
        <f t="shared" si="138"/>
        <v>45666</v>
      </c>
      <c r="C410" s="9">
        <f t="shared" si="139"/>
        <v>842</v>
      </c>
      <c r="D410" s="8">
        <f t="shared" si="130"/>
        <v>1967</v>
      </c>
      <c r="E410" s="4">
        <f t="shared" si="131"/>
        <v>419</v>
      </c>
      <c r="F410" s="4">
        <f t="shared" si="132"/>
        <v>440</v>
      </c>
      <c r="G410" s="4">
        <f t="shared" si="133"/>
        <v>598</v>
      </c>
      <c r="H410" s="5">
        <f t="shared" si="134"/>
        <v>2390</v>
      </c>
      <c r="I410" s="5">
        <f t="shared" si="135"/>
        <v>2369</v>
      </c>
      <c r="J410" s="5">
        <f t="shared" si="136"/>
        <v>2211</v>
      </c>
      <c r="K410" s="5">
        <f t="shared" si="143"/>
        <v>3000</v>
      </c>
      <c r="L410" s="5">
        <f t="shared" si="144"/>
        <v>3000</v>
      </c>
      <c r="M410" s="5">
        <f t="shared" si="145"/>
        <v>3000</v>
      </c>
      <c r="N410" s="5">
        <f t="shared" si="140"/>
        <v>-610</v>
      </c>
      <c r="O410" s="5">
        <f t="shared" si="141"/>
        <v>-631</v>
      </c>
      <c r="P410" s="5">
        <f t="shared" si="142"/>
        <v>-789</v>
      </c>
      <c r="Q410" s="4">
        <v>8</v>
      </c>
      <c r="R410" s="4">
        <v>8</v>
      </c>
      <c r="S410" s="4">
        <v>2</v>
      </c>
      <c r="T410" s="6">
        <f t="shared" si="137"/>
        <v>440</v>
      </c>
      <c r="U410" s="7">
        <f t="shared" si="128"/>
        <v>2570</v>
      </c>
      <c r="V410" s="7">
        <f t="shared" si="129"/>
        <v>2369</v>
      </c>
      <c r="W410" s="7">
        <f t="shared" si="127"/>
        <v>2701</v>
      </c>
      <c r="X410" s="6"/>
      <c r="Y410" s="5"/>
      <c r="Z410" s="5"/>
      <c r="AA410" s="5"/>
      <c r="AB410" s="5"/>
    </row>
    <row r="411" spans="1:28" ht="13.15" customHeight="1">
      <c r="A411" s="9">
        <f t="shared" si="146"/>
        <v>397</v>
      </c>
      <c r="B411" s="10">
        <f t="shared" si="138"/>
        <v>45667</v>
      </c>
      <c r="C411" s="9">
        <f t="shared" si="139"/>
        <v>842</v>
      </c>
      <c r="D411" s="8">
        <f t="shared" si="130"/>
        <v>1969</v>
      </c>
      <c r="E411" s="4">
        <f t="shared" si="131"/>
        <v>428</v>
      </c>
      <c r="F411" s="4">
        <f t="shared" si="132"/>
        <v>450</v>
      </c>
      <c r="G411" s="4">
        <f t="shared" si="133"/>
        <v>603</v>
      </c>
      <c r="H411" s="5">
        <f t="shared" si="134"/>
        <v>2383</v>
      </c>
      <c r="I411" s="5">
        <f t="shared" si="135"/>
        <v>2361</v>
      </c>
      <c r="J411" s="5">
        <f t="shared" si="136"/>
        <v>2208</v>
      </c>
      <c r="K411" s="5">
        <f t="shared" si="143"/>
        <v>3000</v>
      </c>
      <c r="L411" s="5">
        <f t="shared" si="144"/>
        <v>3000</v>
      </c>
      <c r="M411" s="5">
        <f t="shared" si="145"/>
        <v>3000</v>
      </c>
      <c r="N411" s="5">
        <f t="shared" si="140"/>
        <v>-617</v>
      </c>
      <c r="O411" s="5">
        <f t="shared" si="141"/>
        <v>-639</v>
      </c>
      <c r="P411" s="5">
        <f t="shared" si="142"/>
        <v>-792</v>
      </c>
      <c r="Q411" s="4">
        <v>7</v>
      </c>
      <c r="R411" s="4">
        <v>8</v>
      </c>
      <c r="S411" s="4">
        <v>3</v>
      </c>
      <c r="T411" s="6">
        <f t="shared" si="137"/>
        <v>450</v>
      </c>
      <c r="U411" s="7">
        <f t="shared" si="128"/>
        <v>2563</v>
      </c>
      <c r="V411" s="7">
        <f t="shared" si="129"/>
        <v>2361</v>
      </c>
      <c r="W411" s="7">
        <f t="shared" si="127"/>
        <v>2698</v>
      </c>
      <c r="X411" s="6"/>
      <c r="Y411" s="5"/>
      <c r="Z411" s="5"/>
      <c r="AA411" s="5"/>
      <c r="AB411" s="5"/>
    </row>
    <row r="412" spans="1:28" ht="13.15" customHeight="1">
      <c r="A412" s="9">
        <f t="shared" si="146"/>
        <v>398</v>
      </c>
      <c r="B412" s="10">
        <f t="shared" si="138"/>
        <v>45668</v>
      </c>
      <c r="C412" s="9">
        <f t="shared" si="139"/>
        <v>842</v>
      </c>
      <c r="D412" s="8">
        <f t="shared" si="130"/>
        <v>1971</v>
      </c>
      <c r="E412" s="4">
        <f t="shared" si="131"/>
        <v>439</v>
      </c>
      <c r="F412" s="4">
        <f t="shared" si="132"/>
        <v>461</v>
      </c>
      <c r="G412" s="4">
        <f t="shared" si="133"/>
        <v>606</v>
      </c>
      <c r="H412" s="5">
        <f t="shared" si="134"/>
        <v>2374</v>
      </c>
      <c r="I412" s="5">
        <f t="shared" si="135"/>
        <v>2352</v>
      </c>
      <c r="J412" s="5">
        <f t="shared" si="136"/>
        <v>2207</v>
      </c>
      <c r="K412" s="5">
        <f t="shared" si="143"/>
        <v>3000</v>
      </c>
      <c r="L412" s="5">
        <f t="shared" si="144"/>
        <v>3000</v>
      </c>
      <c r="M412" s="5">
        <f t="shared" si="145"/>
        <v>3000</v>
      </c>
      <c r="N412" s="5">
        <f t="shared" si="140"/>
        <v>-626</v>
      </c>
      <c r="O412" s="5">
        <f t="shared" si="141"/>
        <v>-648</v>
      </c>
      <c r="P412" s="5">
        <f t="shared" si="142"/>
        <v>-793</v>
      </c>
      <c r="Q412" s="4">
        <v>9</v>
      </c>
      <c r="R412" s="4">
        <v>9</v>
      </c>
      <c r="S412" s="4">
        <v>1</v>
      </c>
      <c r="T412" s="6">
        <f t="shared" si="137"/>
        <v>461</v>
      </c>
      <c r="U412" s="7">
        <f t="shared" si="128"/>
        <v>2554</v>
      </c>
      <c r="V412" s="7">
        <f t="shared" si="129"/>
        <v>2352</v>
      </c>
      <c r="W412" s="7">
        <f t="shared" si="127"/>
        <v>2697</v>
      </c>
      <c r="X412" s="6"/>
      <c r="Y412" s="5"/>
      <c r="Z412" s="5"/>
      <c r="AA412" s="5"/>
      <c r="AB412" s="5"/>
    </row>
    <row r="413" spans="1:28" ht="13.15" customHeight="1">
      <c r="A413" s="9">
        <f t="shared" si="146"/>
        <v>399</v>
      </c>
      <c r="B413" s="10">
        <f t="shared" si="138"/>
        <v>45669</v>
      </c>
      <c r="C413" s="9">
        <f t="shared" si="139"/>
        <v>842</v>
      </c>
      <c r="D413" s="8">
        <f t="shared" si="130"/>
        <v>1973</v>
      </c>
      <c r="E413" s="4">
        <f t="shared" si="131"/>
        <v>449</v>
      </c>
      <c r="F413" s="4">
        <f t="shared" si="132"/>
        <v>471</v>
      </c>
      <c r="G413" s="4">
        <f t="shared" si="133"/>
        <v>610</v>
      </c>
      <c r="H413" s="5">
        <f t="shared" si="134"/>
        <v>2366</v>
      </c>
      <c r="I413" s="5">
        <f t="shared" si="135"/>
        <v>2344</v>
      </c>
      <c r="J413" s="5">
        <f t="shared" si="136"/>
        <v>2205</v>
      </c>
      <c r="K413" s="5">
        <f t="shared" si="143"/>
        <v>3000</v>
      </c>
      <c r="L413" s="5">
        <f t="shared" si="144"/>
        <v>3000</v>
      </c>
      <c r="M413" s="5">
        <f t="shared" si="145"/>
        <v>3000</v>
      </c>
      <c r="N413" s="5">
        <f t="shared" si="140"/>
        <v>-634</v>
      </c>
      <c r="O413" s="5">
        <f t="shared" si="141"/>
        <v>-656</v>
      </c>
      <c r="P413" s="5">
        <f t="shared" si="142"/>
        <v>-795</v>
      </c>
      <c r="Q413" s="4">
        <v>8</v>
      </c>
      <c r="R413" s="4">
        <v>8</v>
      </c>
      <c r="S413" s="4">
        <v>2</v>
      </c>
      <c r="T413" s="6">
        <f t="shared" si="137"/>
        <v>471</v>
      </c>
      <c r="U413" s="7">
        <f t="shared" si="128"/>
        <v>2546</v>
      </c>
      <c r="V413" s="7">
        <f t="shared" si="129"/>
        <v>2344</v>
      </c>
      <c r="W413" s="7">
        <f t="shared" si="127"/>
        <v>2695</v>
      </c>
      <c r="X413" s="6"/>
      <c r="Y413" s="5"/>
      <c r="Z413" s="5"/>
      <c r="AA413" s="5"/>
      <c r="AB413" s="5"/>
    </row>
    <row r="414" spans="1:28" ht="13.15" customHeight="1">
      <c r="A414" s="9">
        <f t="shared" si="146"/>
        <v>400</v>
      </c>
      <c r="B414" s="10">
        <f t="shared" si="138"/>
        <v>45670</v>
      </c>
      <c r="C414" s="9">
        <f t="shared" si="139"/>
        <v>842</v>
      </c>
      <c r="D414" s="8">
        <f t="shared" si="130"/>
        <v>1975</v>
      </c>
      <c r="E414" s="4">
        <f t="shared" si="131"/>
        <v>459</v>
      </c>
      <c r="F414" s="4">
        <f t="shared" si="132"/>
        <v>482</v>
      </c>
      <c r="G414" s="4">
        <f t="shared" si="133"/>
        <v>613</v>
      </c>
      <c r="H414" s="5">
        <f t="shared" si="134"/>
        <v>2358</v>
      </c>
      <c r="I414" s="5">
        <f t="shared" si="135"/>
        <v>2335</v>
      </c>
      <c r="J414" s="5">
        <f t="shared" si="136"/>
        <v>2204</v>
      </c>
      <c r="K414" s="5">
        <f t="shared" si="143"/>
        <v>3000</v>
      </c>
      <c r="L414" s="5">
        <f t="shared" si="144"/>
        <v>3000</v>
      </c>
      <c r="M414" s="5">
        <f t="shared" si="145"/>
        <v>3000</v>
      </c>
      <c r="N414" s="5">
        <f t="shared" si="140"/>
        <v>-642</v>
      </c>
      <c r="O414" s="5">
        <f t="shared" si="141"/>
        <v>-665</v>
      </c>
      <c r="P414" s="5">
        <f t="shared" si="142"/>
        <v>-796</v>
      </c>
      <c r="Q414" s="4">
        <v>8</v>
      </c>
      <c r="R414" s="4">
        <v>9</v>
      </c>
      <c r="S414" s="4">
        <v>1</v>
      </c>
      <c r="T414" s="6">
        <f t="shared" si="137"/>
        <v>482</v>
      </c>
      <c r="U414" s="7">
        <f t="shared" si="128"/>
        <v>2538</v>
      </c>
      <c r="V414" s="7">
        <f t="shared" si="129"/>
        <v>2335</v>
      </c>
      <c r="W414" s="7">
        <f t="shared" si="127"/>
        <v>2694</v>
      </c>
      <c r="X414" s="6"/>
      <c r="Y414" s="5"/>
      <c r="Z414" s="5"/>
      <c r="AA414" s="5"/>
      <c r="AB414" s="5"/>
    </row>
    <row r="415" spans="1:28" ht="13.15" customHeight="1">
      <c r="A415" s="9">
        <f t="shared" si="146"/>
        <v>401</v>
      </c>
      <c r="B415" s="10">
        <f t="shared" si="138"/>
        <v>45671</v>
      </c>
      <c r="C415" s="9">
        <f t="shared" si="139"/>
        <v>842</v>
      </c>
      <c r="D415" s="8">
        <f t="shared" si="130"/>
        <v>1977</v>
      </c>
      <c r="E415" s="4">
        <f t="shared" si="131"/>
        <v>470</v>
      </c>
      <c r="F415" s="4">
        <f t="shared" si="132"/>
        <v>492</v>
      </c>
      <c r="G415" s="4">
        <f t="shared" si="133"/>
        <v>617</v>
      </c>
      <c r="H415" s="5">
        <f t="shared" si="134"/>
        <v>2349</v>
      </c>
      <c r="I415" s="5">
        <f t="shared" si="135"/>
        <v>2327</v>
      </c>
      <c r="J415" s="5">
        <f t="shared" si="136"/>
        <v>2202</v>
      </c>
      <c r="K415" s="5">
        <f t="shared" si="143"/>
        <v>3000</v>
      </c>
      <c r="L415" s="5">
        <f t="shared" si="144"/>
        <v>3000</v>
      </c>
      <c r="M415" s="5">
        <f t="shared" si="145"/>
        <v>3000</v>
      </c>
      <c r="N415" s="5">
        <f t="shared" si="140"/>
        <v>-651</v>
      </c>
      <c r="O415" s="5">
        <f t="shared" si="141"/>
        <v>-673</v>
      </c>
      <c r="P415" s="5">
        <f t="shared" si="142"/>
        <v>-798</v>
      </c>
      <c r="Q415" s="4">
        <v>9</v>
      </c>
      <c r="R415" s="4">
        <v>8</v>
      </c>
      <c r="S415" s="4">
        <v>2</v>
      </c>
      <c r="T415" s="6">
        <f t="shared" si="137"/>
        <v>492</v>
      </c>
      <c r="U415" s="7">
        <f t="shared" si="128"/>
        <v>2529</v>
      </c>
      <c r="V415" s="7">
        <f t="shared" si="129"/>
        <v>2327</v>
      </c>
      <c r="W415" s="7">
        <f t="shared" si="127"/>
        <v>2692</v>
      </c>
      <c r="X415" s="6"/>
      <c r="Y415" s="5"/>
      <c r="Z415" s="5"/>
      <c r="AA415" s="5"/>
      <c r="AB415" s="5"/>
    </row>
    <row r="416" spans="1:28" ht="13.15" customHeight="1">
      <c r="A416" s="9">
        <f t="shared" si="146"/>
        <v>402</v>
      </c>
      <c r="B416" s="10">
        <f t="shared" si="138"/>
        <v>45672</v>
      </c>
      <c r="C416" s="9">
        <f t="shared" si="139"/>
        <v>842</v>
      </c>
      <c r="D416" s="8">
        <f t="shared" si="130"/>
        <v>1979</v>
      </c>
      <c r="E416" s="4">
        <f t="shared" si="131"/>
        <v>480</v>
      </c>
      <c r="F416" s="4">
        <f t="shared" si="132"/>
        <v>501</v>
      </c>
      <c r="G416" s="4">
        <f t="shared" si="133"/>
        <v>621</v>
      </c>
      <c r="H416" s="5">
        <f t="shared" si="134"/>
        <v>2341</v>
      </c>
      <c r="I416" s="5">
        <f t="shared" si="135"/>
        <v>2320</v>
      </c>
      <c r="J416" s="5">
        <f t="shared" si="136"/>
        <v>2200</v>
      </c>
      <c r="K416" s="5">
        <f t="shared" si="143"/>
        <v>3000</v>
      </c>
      <c r="L416" s="5">
        <f t="shared" si="144"/>
        <v>3000</v>
      </c>
      <c r="M416" s="5">
        <f t="shared" si="145"/>
        <v>3000</v>
      </c>
      <c r="N416" s="5">
        <f t="shared" si="140"/>
        <v>-659</v>
      </c>
      <c r="O416" s="5">
        <f t="shared" si="141"/>
        <v>-680</v>
      </c>
      <c r="P416" s="5">
        <f t="shared" si="142"/>
        <v>-800</v>
      </c>
      <c r="Q416" s="4">
        <v>8</v>
      </c>
      <c r="R416" s="4">
        <v>7</v>
      </c>
      <c r="S416" s="4">
        <v>2</v>
      </c>
      <c r="T416" s="6">
        <f t="shared" si="137"/>
        <v>501</v>
      </c>
      <c r="U416" s="7">
        <f t="shared" si="128"/>
        <v>2521</v>
      </c>
      <c r="V416" s="7">
        <f t="shared" si="129"/>
        <v>2320</v>
      </c>
      <c r="W416" s="7">
        <f t="shared" ref="W416:W479" si="147">W415+$X416*1000-S416</f>
        <v>2690</v>
      </c>
      <c r="X416" s="6"/>
      <c r="Y416" s="5"/>
      <c r="Z416" s="5"/>
      <c r="AA416" s="5"/>
      <c r="AB416" s="5"/>
    </row>
    <row r="417" spans="1:28" ht="13.15" customHeight="1">
      <c r="A417" s="9">
        <f t="shared" si="146"/>
        <v>403</v>
      </c>
      <c r="B417" s="10">
        <f t="shared" si="138"/>
        <v>45673</v>
      </c>
      <c r="C417" s="9">
        <f t="shared" si="139"/>
        <v>842</v>
      </c>
      <c r="D417" s="8">
        <f t="shared" si="130"/>
        <v>1981</v>
      </c>
      <c r="E417" s="4">
        <f t="shared" si="131"/>
        <v>491</v>
      </c>
      <c r="F417" s="4">
        <f t="shared" si="132"/>
        <v>512</v>
      </c>
      <c r="G417" s="4">
        <f t="shared" si="133"/>
        <v>626</v>
      </c>
      <c r="H417" s="5">
        <f t="shared" si="134"/>
        <v>2332</v>
      </c>
      <c r="I417" s="5">
        <f t="shared" si="135"/>
        <v>2311</v>
      </c>
      <c r="J417" s="5">
        <f t="shared" si="136"/>
        <v>2197</v>
      </c>
      <c r="K417" s="5">
        <f t="shared" si="143"/>
        <v>3000</v>
      </c>
      <c r="L417" s="5">
        <f t="shared" si="144"/>
        <v>3000</v>
      </c>
      <c r="M417" s="5">
        <f t="shared" si="145"/>
        <v>3000</v>
      </c>
      <c r="N417" s="5">
        <f t="shared" si="140"/>
        <v>-668</v>
      </c>
      <c r="O417" s="5">
        <f t="shared" si="141"/>
        <v>-689</v>
      </c>
      <c r="P417" s="5">
        <f t="shared" si="142"/>
        <v>-803</v>
      </c>
      <c r="Q417" s="4">
        <v>9</v>
      </c>
      <c r="R417" s="4">
        <v>9</v>
      </c>
      <c r="S417" s="4">
        <v>3</v>
      </c>
      <c r="T417" s="6">
        <f t="shared" si="137"/>
        <v>512</v>
      </c>
      <c r="U417" s="7">
        <f t="shared" si="128"/>
        <v>2512</v>
      </c>
      <c r="V417" s="7">
        <f t="shared" si="129"/>
        <v>2311</v>
      </c>
      <c r="W417" s="7">
        <f t="shared" si="147"/>
        <v>2687</v>
      </c>
      <c r="X417" s="6"/>
      <c r="Y417" s="5"/>
      <c r="Z417" s="5"/>
      <c r="AA417" s="5"/>
      <c r="AB417" s="5"/>
    </row>
    <row r="418" spans="1:28" ht="13.15" customHeight="1">
      <c r="A418" s="9">
        <f t="shared" si="146"/>
        <v>404</v>
      </c>
      <c r="B418" s="10">
        <f t="shared" si="138"/>
        <v>45674</v>
      </c>
      <c r="C418" s="9">
        <f t="shared" si="139"/>
        <v>842</v>
      </c>
      <c r="D418" s="8">
        <f t="shared" si="130"/>
        <v>1983</v>
      </c>
      <c r="E418" s="4">
        <f t="shared" si="131"/>
        <v>501</v>
      </c>
      <c r="F418" s="4">
        <f t="shared" si="132"/>
        <v>522</v>
      </c>
      <c r="G418" s="4">
        <f t="shared" si="133"/>
        <v>629</v>
      </c>
      <c r="H418" s="5">
        <f t="shared" si="134"/>
        <v>2324</v>
      </c>
      <c r="I418" s="5">
        <f t="shared" si="135"/>
        <v>2303</v>
      </c>
      <c r="J418" s="5">
        <f t="shared" si="136"/>
        <v>2196</v>
      </c>
      <c r="K418" s="5">
        <f t="shared" si="143"/>
        <v>3000</v>
      </c>
      <c r="L418" s="5">
        <f t="shared" si="144"/>
        <v>3000</v>
      </c>
      <c r="M418" s="5">
        <f t="shared" si="145"/>
        <v>3000</v>
      </c>
      <c r="N418" s="5">
        <f t="shared" si="140"/>
        <v>-676</v>
      </c>
      <c r="O418" s="5">
        <f t="shared" si="141"/>
        <v>-697</v>
      </c>
      <c r="P418" s="5">
        <f t="shared" si="142"/>
        <v>-804</v>
      </c>
      <c r="Q418" s="4">
        <v>8</v>
      </c>
      <c r="R418" s="4">
        <v>8</v>
      </c>
      <c r="S418" s="4">
        <v>1</v>
      </c>
      <c r="T418" s="6">
        <f t="shared" si="137"/>
        <v>522</v>
      </c>
      <c r="U418" s="7">
        <f t="shared" si="128"/>
        <v>2504</v>
      </c>
      <c r="V418" s="7">
        <f t="shared" si="129"/>
        <v>2303</v>
      </c>
      <c r="W418" s="7">
        <f t="shared" si="147"/>
        <v>2686</v>
      </c>
      <c r="X418" s="6"/>
      <c r="Y418" s="5"/>
      <c r="Z418" s="5"/>
      <c r="AA418" s="5"/>
      <c r="AB418" s="5"/>
    </row>
    <row r="419" spans="1:28" ht="13.15" customHeight="1">
      <c r="A419" s="9">
        <f t="shared" si="146"/>
        <v>405</v>
      </c>
      <c r="B419" s="10">
        <f t="shared" si="138"/>
        <v>45675</v>
      </c>
      <c r="C419" s="9">
        <f t="shared" si="139"/>
        <v>842</v>
      </c>
      <c r="D419" s="8">
        <f t="shared" si="130"/>
        <v>1985</v>
      </c>
      <c r="E419" s="4">
        <f t="shared" si="131"/>
        <v>511</v>
      </c>
      <c r="F419" s="4">
        <f t="shared" si="132"/>
        <v>532</v>
      </c>
      <c r="G419" s="4">
        <f t="shared" si="133"/>
        <v>633</v>
      </c>
      <c r="H419" s="5">
        <f t="shared" si="134"/>
        <v>2316</v>
      </c>
      <c r="I419" s="5">
        <f t="shared" si="135"/>
        <v>2295</v>
      </c>
      <c r="J419" s="5">
        <f t="shared" si="136"/>
        <v>2194</v>
      </c>
      <c r="K419" s="5">
        <f t="shared" si="143"/>
        <v>3000</v>
      </c>
      <c r="L419" s="5">
        <f t="shared" si="144"/>
        <v>3000</v>
      </c>
      <c r="M419" s="5">
        <f t="shared" si="145"/>
        <v>3000</v>
      </c>
      <c r="N419" s="5">
        <f t="shared" si="140"/>
        <v>-684</v>
      </c>
      <c r="O419" s="5">
        <f t="shared" si="141"/>
        <v>-705</v>
      </c>
      <c r="P419" s="5">
        <f t="shared" si="142"/>
        <v>-806</v>
      </c>
      <c r="Q419" s="4">
        <v>8</v>
      </c>
      <c r="R419" s="4">
        <v>8</v>
      </c>
      <c r="S419" s="4">
        <v>2</v>
      </c>
      <c r="T419" s="6">
        <f t="shared" si="137"/>
        <v>532</v>
      </c>
      <c r="U419" s="7">
        <f t="shared" si="128"/>
        <v>2496</v>
      </c>
      <c r="V419" s="7">
        <f t="shared" si="129"/>
        <v>2295</v>
      </c>
      <c r="W419" s="7">
        <f t="shared" si="147"/>
        <v>2684</v>
      </c>
      <c r="X419" s="6"/>
      <c r="Y419" s="5"/>
      <c r="Z419" s="5"/>
      <c r="AA419" s="5"/>
      <c r="AB419" s="5"/>
    </row>
    <row r="420" spans="1:28" ht="13.15" customHeight="1">
      <c r="A420" s="9">
        <f t="shared" si="146"/>
        <v>406</v>
      </c>
      <c r="B420" s="10">
        <f t="shared" si="138"/>
        <v>45676</v>
      </c>
      <c r="C420" s="9">
        <f t="shared" si="139"/>
        <v>842</v>
      </c>
      <c r="D420" s="8">
        <f t="shared" si="130"/>
        <v>1987</v>
      </c>
      <c r="E420" s="4">
        <f t="shared" si="131"/>
        <v>520</v>
      </c>
      <c r="F420" s="4">
        <f t="shared" si="132"/>
        <v>541</v>
      </c>
      <c r="G420" s="4">
        <f t="shared" si="133"/>
        <v>637</v>
      </c>
      <c r="H420" s="5">
        <f t="shared" si="134"/>
        <v>2309</v>
      </c>
      <c r="I420" s="5">
        <f t="shared" si="135"/>
        <v>2288</v>
      </c>
      <c r="J420" s="5">
        <f t="shared" si="136"/>
        <v>2192</v>
      </c>
      <c r="K420" s="5">
        <f t="shared" si="143"/>
        <v>3000</v>
      </c>
      <c r="L420" s="5">
        <f t="shared" si="144"/>
        <v>3000</v>
      </c>
      <c r="M420" s="5">
        <f t="shared" si="145"/>
        <v>3000</v>
      </c>
      <c r="N420" s="5">
        <f t="shared" si="140"/>
        <v>-691</v>
      </c>
      <c r="O420" s="5">
        <f t="shared" si="141"/>
        <v>-712</v>
      </c>
      <c r="P420" s="5">
        <f t="shared" si="142"/>
        <v>-808</v>
      </c>
      <c r="Q420" s="4">
        <v>7</v>
      </c>
      <c r="R420" s="4">
        <v>7</v>
      </c>
      <c r="S420" s="4">
        <v>2</v>
      </c>
      <c r="T420" s="6">
        <f t="shared" si="137"/>
        <v>541</v>
      </c>
      <c r="U420" s="7">
        <f t="shared" si="128"/>
        <v>2489</v>
      </c>
      <c r="V420" s="7">
        <f t="shared" si="129"/>
        <v>2288</v>
      </c>
      <c r="W420" s="7">
        <f t="shared" si="147"/>
        <v>2682</v>
      </c>
      <c r="X420" s="6"/>
      <c r="Y420" s="5"/>
      <c r="Z420" s="5"/>
      <c r="AA420" s="5"/>
      <c r="AB420" s="5"/>
    </row>
    <row r="421" spans="1:28" ht="13.15" customHeight="1">
      <c r="A421" s="9">
        <f t="shared" si="146"/>
        <v>407</v>
      </c>
      <c r="B421" s="10">
        <f t="shared" si="138"/>
        <v>45677</v>
      </c>
      <c r="C421" s="9">
        <f t="shared" si="139"/>
        <v>842</v>
      </c>
      <c r="D421" s="8">
        <f t="shared" si="130"/>
        <v>1989</v>
      </c>
      <c r="E421" s="4">
        <f t="shared" si="131"/>
        <v>529</v>
      </c>
      <c r="F421" s="4">
        <f t="shared" si="132"/>
        <v>550</v>
      </c>
      <c r="G421" s="4">
        <f t="shared" si="133"/>
        <v>640</v>
      </c>
      <c r="H421" s="5">
        <f t="shared" si="134"/>
        <v>2302</v>
      </c>
      <c r="I421" s="5">
        <f t="shared" si="135"/>
        <v>2281</v>
      </c>
      <c r="J421" s="5">
        <f t="shared" si="136"/>
        <v>2191</v>
      </c>
      <c r="K421" s="5">
        <f t="shared" si="143"/>
        <v>3000</v>
      </c>
      <c r="L421" s="5">
        <f t="shared" si="144"/>
        <v>3000</v>
      </c>
      <c r="M421" s="5">
        <f t="shared" si="145"/>
        <v>3000</v>
      </c>
      <c r="N421" s="5">
        <f t="shared" si="140"/>
        <v>-698</v>
      </c>
      <c r="O421" s="5">
        <f t="shared" si="141"/>
        <v>-719</v>
      </c>
      <c r="P421" s="5">
        <f t="shared" si="142"/>
        <v>-809</v>
      </c>
      <c r="Q421" s="4">
        <v>7</v>
      </c>
      <c r="R421" s="4">
        <v>7</v>
      </c>
      <c r="S421" s="4">
        <v>1</v>
      </c>
      <c r="T421" s="6">
        <f t="shared" si="137"/>
        <v>550</v>
      </c>
      <c r="U421" s="7">
        <f t="shared" si="128"/>
        <v>2482</v>
      </c>
      <c r="V421" s="7">
        <f t="shared" si="129"/>
        <v>2281</v>
      </c>
      <c r="W421" s="7">
        <f t="shared" si="147"/>
        <v>2681</v>
      </c>
      <c r="X421" s="6"/>
      <c r="Y421" s="5"/>
      <c r="Z421" s="5"/>
      <c r="AA421" s="5"/>
      <c r="AB421" s="5"/>
    </row>
    <row r="422" spans="1:28" ht="13.15" customHeight="1">
      <c r="A422" s="9">
        <f t="shared" si="146"/>
        <v>408</v>
      </c>
      <c r="B422" s="10">
        <f t="shared" si="138"/>
        <v>45678</v>
      </c>
      <c r="C422" s="9">
        <f t="shared" si="139"/>
        <v>842</v>
      </c>
      <c r="D422" s="8">
        <f t="shared" si="130"/>
        <v>1991</v>
      </c>
      <c r="E422" s="4">
        <f t="shared" si="131"/>
        <v>537</v>
      </c>
      <c r="F422" s="4">
        <f t="shared" si="132"/>
        <v>558</v>
      </c>
      <c r="G422" s="4">
        <f t="shared" si="133"/>
        <v>644</v>
      </c>
      <c r="H422" s="5">
        <f t="shared" si="134"/>
        <v>2296</v>
      </c>
      <c r="I422" s="5">
        <f t="shared" si="135"/>
        <v>2275</v>
      </c>
      <c r="J422" s="5">
        <f t="shared" si="136"/>
        <v>2189</v>
      </c>
      <c r="K422" s="5">
        <f t="shared" si="143"/>
        <v>3000</v>
      </c>
      <c r="L422" s="5">
        <f t="shared" si="144"/>
        <v>3000</v>
      </c>
      <c r="M422" s="5">
        <f t="shared" si="145"/>
        <v>3000</v>
      </c>
      <c r="N422" s="5">
        <f t="shared" si="140"/>
        <v>-704</v>
      </c>
      <c r="O422" s="5">
        <f t="shared" si="141"/>
        <v>-725</v>
      </c>
      <c r="P422" s="5">
        <f t="shared" si="142"/>
        <v>-811</v>
      </c>
      <c r="Q422" s="4">
        <v>6</v>
      </c>
      <c r="R422" s="4">
        <v>6</v>
      </c>
      <c r="S422" s="4">
        <v>2</v>
      </c>
      <c r="T422" s="6">
        <f t="shared" si="137"/>
        <v>558</v>
      </c>
      <c r="U422" s="7">
        <f t="shared" ref="U422:U485" si="148">U421+$X422*1000-Q422</f>
        <v>2476</v>
      </c>
      <c r="V422" s="7">
        <f t="shared" ref="V422:V485" si="149">V421+$X422*1000-R422</f>
        <v>2275</v>
      </c>
      <c r="W422" s="7">
        <f t="shared" si="147"/>
        <v>2679</v>
      </c>
      <c r="X422" s="6"/>
      <c r="Y422" s="5"/>
      <c r="Z422" s="5"/>
      <c r="AA422" s="5"/>
      <c r="AB422" s="5"/>
    </row>
    <row r="423" spans="1:28" ht="13.15" customHeight="1">
      <c r="A423" s="9">
        <f t="shared" si="146"/>
        <v>409</v>
      </c>
      <c r="B423" s="10">
        <f t="shared" si="138"/>
        <v>45679</v>
      </c>
      <c r="C423" s="9">
        <f t="shared" si="139"/>
        <v>842</v>
      </c>
      <c r="D423" s="8">
        <f t="shared" si="130"/>
        <v>1993</v>
      </c>
      <c r="E423" s="4">
        <f t="shared" si="131"/>
        <v>544</v>
      </c>
      <c r="F423" s="4">
        <f t="shared" si="132"/>
        <v>568</v>
      </c>
      <c r="G423" s="4">
        <f t="shared" si="133"/>
        <v>647</v>
      </c>
      <c r="H423" s="5">
        <f t="shared" si="134"/>
        <v>2291</v>
      </c>
      <c r="I423" s="5">
        <f t="shared" si="135"/>
        <v>2267</v>
      </c>
      <c r="J423" s="5">
        <f t="shared" si="136"/>
        <v>2188</v>
      </c>
      <c r="K423" s="5">
        <f t="shared" si="143"/>
        <v>3000</v>
      </c>
      <c r="L423" s="5">
        <f t="shared" si="144"/>
        <v>3000</v>
      </c>
      <c r="M423" s="5">
        <f t="shared" si="145"/>
        <v>3000</v>
      </c>
      <c r="N423" s="5">
        <f t="shared" si="140"/>
        <v>-709</v>
      </c>
      <c r="O423" s="5">
        <f t="shared" si="141"/>
        <v>-733</v>
      </c>
      <c r="P423" s="5">
        <f t="shared" si="142"/>
        <v>-812</v>
      </c>
      <c r="Q423" s="4">
        <v>5</v>
      </c>
      <c r="R423" s="4">
        <v>8</v>
      </c>
      <c r="S423" s="4">
        <v>1</v>
      </c>
      <c r="T423" s="6">
        <f t="shared" si="137"/>
        <v>568</v>
      </c>
      <c r="U423" s="7">
        <f t="shared" si="148"/>
        <v>2471</v>
      </c>
      <c r="V423" s="7">
        <f t="shared" si="149"/>
        <v>2267</v>
      </c>
      <c r="W423" s="7">
        <f t="shared" si="147"/>
        <v>2678</v>
      </c>
      <c r="X423" s="6"/>
      <c r="Y423" s="5"/>
      <c r="Z423" s="5"/>
      <c r="AA423" s="5"/>
      <c r="AB423" s="5"/>
    </row>
    <row r="424" spans="1:28" ht="13.15" customHeight="1">
      <c r="A424" s="9">
        <f t="shared" si="146"/>
        <v>410</v>
      </c>
      <c r="B424" s="10">
        <f t="shared" si="138"/>
        <v>45680</v>
      </c>
      <c r="C424" s="9">
        <f t="shared" si="139"/>
        <v>842</v>
      </c>
      <c r="D424" s="8">
        <f t="shared" si="130"/>
        <v>1995</v>
      </c>
      <c r="E424" s="4">
        <f t="shared" si="131"/>
        <v>551</v>
      </c>
      <c r="F424" s="4">
        <f t="shared" si="132"/>
        <v>577</v>
      </c>
      <c r="G424" s="4">
        <f t="shared" si="133"/>
        <v>650</v>
      </c>
      <c r="H424" s="5">
        <f t="shared" si="134"/>
        <v>2286</v>
      </c>
      <c r="I424" s="5">
        <f t="shared" si="135"/>
        <v>2260</v>
      </c>
      <c r="J424" s="5">
        <f t="shared" si="136"/>
        <v>2187</v>
      </c>
      <c r="K424" s="5">
        <f t="shared" si="143"/>
        <v>3000</v>
      </c>
      <c r="L424" s="5">
        <f t="shared" si="144"/>
        <v>3000</v>
      </c>
      <c r="M424" s="5">
        <f t="shared" si="145"/>
        <v>3000</v>
      </c>
      <c r="N424" s="5">
        <f t="shared" si="140"/>
        <v>-714</v>
      </c>
      <c r="O424" s="5">
        <f t="shared" si="141"/>
        <v>-740</v>
      </c>
      <c r="P424" s="5">
        <f t="shared" si="142"/>
        <v>-813</v>
      </c>
      <c r="Q424" s="4">
        <v>5</v>
      </c>
      <c r="R424" s="4">
        <v>7</v>
      </c>
      <c r="S424" s="4">
        <v>1</v>
      </c>
      <c r="T424" s="6">
        <f t="shared" si="137"/>
        <v>577</v>
      </c>
      <c r="U424" s="7">
        <f t="shared" si="148"/>
        <v>2466</v>
      </c>
      <c r="V424" s="7">
        <f t="shared" si="149"/>
        <v>2260</v>
      </c>
      <c r="W424" s="7">
        <f t="shared" si="147"/>
        <v>2677</v>
      </c>
      <c r="X424" s="6"/>
      <c r="Y424" s="5"/>
      <c r="Z424" s="5"/>
      <c r="AA424" s="5"/>
      <c r="AB424" s="5"/>
    </row>
    <row r="425" spans="1:28" ht="13.15" customHeight="1">
      <c r="A425" s="9">
        <f t="shared" si="146"/>
        <v>411</v>
      </c>
      <c r="B425" s="10">
        <f t="shared" si="138"/>
        <v>45681</v>
      </c>
      <c r="C425" s="9">
        <f t="shared" si="139"/>
        <v>842</v>
      </c>
      <c r="D425" s="8">
        <f t="shared" si="130"/>
        <v>1997</v>
      </c>
      <c r="E425" s="4">
        <f t="shared" si="131"/>
        <v>557</v>
      </c>
      <c r="F425" s="4">
        <f t="shared" si="132"/>
        <v>588</v>
      </c>
      <c r="G425" s="4">
        <f t="shared" si="133"/>
        <v>655</v>
      </c>
      <c r="H425" s="5">
        <f t="shared" si="134"/>
        <v>2282</v>
      </c>
      <c r="I425" s="5">
        <f t="shared" si="135"/>
        <v>2251</v>
      </c>
      <c r="J425" s="5">
        <f t="shared" si="136"/>
        <v>2184</v>
      </c>
      <c r="K425" s="5">
        <f t="shared" si="143"/>
        <v>3000</v>
      </c>
      <c r="L425" s="5">
        <f t="shared" si="144"/>
        <v>3000</v>
      </c>
      <c r="M425" s="5">
        <f t="shared" si="145"/>
        <v>3000</v>
      </c>
      <c r="N425" s="5">
        <f t="shared" si="140"/>
        <v>-718</v>
      </c>
      <c r="O425" s="5">
        <f t="shared" si="141"/>
        <v>-749</v>
      </c>
      <c r="P425" s="5">
        <f t="shared" si="142"/>
        <v>-816</v>
      </c>
      <c r="Q425" s="4">
        <v>4</v>
      </c>
      <c r="R425" s="4">
        <v>9</v>
      </c>
      <c r="S425" s="4">
        <v>3</v>
      </c>
      <c r="T425" s="6">
        <f t="shared" si="137"/>
        <v>588</v>
      </c>
      <c r="U425" s="7">
        <f t="shared" si="148"/>
        <v>2462</v>
      </c>
      <c r="V425" s="7">
        <f t="shared" si="149"/>
        <v>2251</v>
      </c>
      <c r="W425" s="7">
        <f t="shared" si="147"/>
        <v>2674</v>
      </c>
      <c r="X425" s="6"/>
      <c r="Y425" s="5"/>
      <c r="Z425" s="5"/>
      <c r="AA425" s="5"/>
      <c r="AB425" s="5"/>
    </row>
    <row r="426" spans="1:28" ht="13.15" customHeight="1">
      <c r="A426" s="9">
        <f t="shared" si="146"/>
        <v>412</v>
      </c>
      <c r="B426" s="10">
        <f t="shared" si="138"/>
        <v>45682</v>
      </c>
      <c r="C426" s="9">
        <f t="shared" si="139"/>
        <v>842</v>
      </c>
      <c r="D426" s="8">
        <f t="shared" si="130"/>
        <v>1999</v>
      </c>
      <c r="E426" s="4">
        <f t="shared" si="131"/>
        <v>562</v>
      </c>
      <c r="F426" s="4">
        <f t="shared" si="132"/>
        <v>598</v>
      </c>
      <c r="G426" s="4">
        <f t="shared" si="133"/>
        <v>658</v>
      </c>
      <c r="H426" s="5">
        <f t="shared" si="134"/>
        <v>2279</v>
      </c>
      <c r="I426" s="5">
        <f t="shared" si="135"/>
        <v>2243</v>
      </c>
      <c r="J426" s="5">
        <f t="shared" si="136"/>
        <v>2183</v>
      </c>
      <c r="K426" s="5">
        <f t="shared" si="143"/>
        <v>3000</v>
      </c>
      <c r="L426" s="5">
        <f t="shared" si="144"/>
        <v>3000</v>
      </c>
      <c r="M426" s="5">
        <f t="shared" si="145"/>
        <v>3000</v>
      </c>
      <c r="N426" s="5">
        <f t="shared" si="140"/>
        <v>-721</v>
      </c>
      <c r="O426" s="5">
        <f t="shared" si="141"/>
        <v>-757</v>
      </c>
      <c r="P426" s="5">
        <f t="shared" si="142"/>
        <v>-817</v>
      </c>
      <c r="Q426" s="4">
        <v>3</v>
      </c>
      <c r="R426" s="4">
        <v>8</v>
      </c>
      <c r="S426" s="4">
        <v>1</v>
      </c>
      <c r="T426" s="6">
        <f t="shared" si="137"/>
        <v>598</v>
      </c>
      <c r="U426" s="7">
        <f t="shared" si="148"/>
        <v>2459</v>
      </c>
      <c r="V426" s="7">
        <f t="shared" si="149"/>
        <v>2243</v>
      </c>
      <c r="W426" s="7">
        <f t="shared" si="147"/>
        <v>2673</v>
      </c>
      <c r="X426" s="6"/>
      <c r="Y426" s="5"/>
      <c r="Z426" s="5"/>
      <c r="AA426" s="5"/>
      <c r="AB426" s="5"/>
    </row>
    <row r="427" spans="1:28" ht="13.15" customHeight="1">
      <c r="A427" s="9">
        <f t="shared" si="146"/>
        <v>413</v>
      </c>
      <c r="B427" s="10">
        <f t="shared" si="138"/>
        <v>45683</v>
      </c>
      <c r="C427" s="9">
        <f t="shared" si="139"/>
        <v>842</v>
      </c>
      <c r="D427" s="8">
        <f t="shared" si="130"/>
        <v>2001</v>
      </c>
      <c r="E427" s="4">
        <f t="shared" si="131"/>
        <v>566</v>
      </c>
      <c r="F427" s="4">
        <f t="shared" si="132"/>
        <v>608</v>
      </c>
      <c r="G427" s="4">
        <f t="shared" si="133"/>
        <v>662</v>
      </c>
      <c r="H427" s="5">
        <f t="shared" si="134"/>
        <v>2277</v>
      </c>
      <c r="I427" s="5">
        <f t="shared" si="135"/>
        <v>2235</v>
      </c>
      <c r="J427" s="5">
        <f t="shared" si="136"/>
        <v>2181</v>
      </c>
      <c r="K427" s="5">
        <f t="shared" si="143"/>
        <v>3000</v>
      </c>
      <c r="L427" s="5">
        <f t="shared" si="144"/>
        <v>3000</v>
      </c>
      <c r="M427" s="5">
        <f t="shared" si="145"/>
        <v>3000</v>
      </c>
      <c r="N427" s="5">
        <f t="shared" si="140"/>
        <v>-723</v>
      </c>
      <c r="O427" s="5">
        <f t="shared" si="141"/>
        <v>-765</v>
      </c>
      <c r="P427" s="5">
        <f t="shared" si="142"/>
        <v>-819</v>
      </c>
      <c r="Q427" s="4">
        <v>2</v>
      </c>
      <c r="R427" s="4">
        <v>8</v>
      </c>
      <c r="S427" s="4">
        <v>2</v>
      </c>
      <c r="T427" s="6">
        <f t="shared" si="137"/>
        <v>608</v>
      </c>
      <c r="U427" s="7">
        <f t="shared" si="148"/>
        <v>2457</v>
      </c>
      <c r="V427" s="7">
        <f t="shared" si="149"/>
        <v>2235</v>
      </c>
      <c r="W427" s="7">
        <f t="shared" si="147"/>
        <v>2671</v>
      </c>
      <c r="X427" s="6"/>
      <c r="Y427" s="5"/>
      <c r="Z427" s="5"/>
      <c r="AA427" s="5"/>
      <c r="AB427" s="5"/>
    </row>
    <row r="428" spans="1:28" ht="13.15" customHeight="1">
      <c r="A428" s="9">
        <f t="shared" si="146"/>
        <v>414</v>
      </c>
      <c r="B428" s="10">
        <f t="shared" si="138"/>
        <v>45684</v>
      </c>
      <c r="C428" s="9">
        <f t="shared" si="139"/>
        <v>842</v>
      </c>
      <c r="D428" s="8">
        <f t="shared" si="130"/>
        <v>2003</v>
      </c>
      <c r="E428" s="4">
        <f t="shared" si="131"/>
        <v>572</v>
      </c>
      <c r="F428" s="4">
        <f t="shared" si="132"/>
        <v>619</v>
      </c>
      <c r="G428" s="4">
        <f t="shared" si="133"/>
        <v>665</v>
      </c>
      <c r="H428" s="5">
        <f t="shared" si="134"/>
        <v>2273</v>
      </c>
      <c r="I428" s="5">
        <f t="shared" si="135"/>
        <v>2226</v>
      </c>
      <c r="J428" s="5">
        <f t="shared" si="136"/>
        <v>2180</v>
      </c>
      <c r="K428" s="5">
        <f t="shared" si="143"/>
        <v>3000</v>
      </c>
      <c r="L428" s="5">
        <f t="shared" si="144"/>
        <v>3000</v>
      </c>
      <c r="M428" s="5">
        <f t="shared" si="145"/>
        <v>3000</v>
      </c>
      <c r="N428" s="5">
        <f t="shared" si="140"/>
        <v>-727</v>
      </c>
      <c r="O428" s="5">
        <f t="shared" si="141"/>
        <v>-774</v>
      </c>
      <c r="P428" s="5">
        <f t="shared" si="142"/>
        <v>-820</v>
      </c>
      <c r="Q428" s="4">
        <v>4</v>
      </c>
      <c r="R428" s="4">
        <v>9</v>
      </c>
      <c r="S428" s="4">
        <v>1</v>
      </c>
      <c r="T428" s="6">
        <f t="shared" si="137"/>
        <v>619</v>
      </c>
      <c r="U428" s="7">
        <f t="shared" si="148"/>
        <v>2453</v>
      </c>
      <c r="V428" s="7">
        <f t="shared" si="149"/>
        <v>2226</v>
      </c>
      <c r="W428" s="7">
        <f t="shared" si="147"/>
        <v>2670</v>
      </c>
      <c r="X428" s="6"/>
      <c r="Y428" s="5"/>
      <c r="Z428" s="5"/>
      <c r="AA428" s="5"/>
      <c r="AB428" s="5"/>
    </row>
    <row r="429" spans="1:28" ht="13.15" customHeight="1">
      <c r="A429" s="9">
        <f t="shared" si="146"/>
        <v>415</v>
      </c>
      <c r="B429" s="10">
        <f t="shared" si="138"/>
        <v>45685</v>
      </c>
      <c r="C429" s="9">
        <f t="shared" si="139"/>
        <v>842</v>
      </c>
      <c r="D429" s="8">
        <f t="shared" si="130"/>
        <v>2005</v>
      </c>
      <c r="E429" s="4">
        <f t="shared" si="131"/>
        <v>577</v>
      </c>
      <c r="F429" s="4">
        <f t="shared" si="132"/>
        <v>629</v>
      </c>
      <c r="G429" s="4">
        <f t="shared" si="133"/>
        <v>669</v>
      </c>
      <c r="H429" s="5">
        <f t="shared" si="134"/>
        <v>2270</v>
      </c>
      <c r="I429" s="5">
        <f t="shared" si="135"/>
        <v>2218</v>
      </c>
      <c r="J429" s="5">
        <f t="shared" si="136"/>
        <v>2178</v>
      </c>
      <c r="K429" s="5">
        <f t="shared" si="143"/>
        <v>3000</v>
      </c>
      <c r="L429" s="5">
        <f t="shared" si="144"/>
        <v>3000</v>
      </c>
      <c r="M429" s="5">
        <f t="shared" si="145"/>
        <v>3000</v>
      </c>
      <c r="N429" s="5">
        <f t="shared" si="140"/>
        <v>-730</v>
      </c>
      <c r="O429" s="5">
        <f t="shared" si="141"/>
        <v>-782</v>
      </c>
      <c r="P429" s="5">
        <f t="shared" si="142"/>
        <v>-822</v>
      </c>
      <c r="Q429" s="4">
        <v>3</v>
      </c>
      <c r="R429" s="4">
        <v>8</v>
      </c>
      <c r="S429" s="4">
        <v>2</v>
      </c>
      <c r="T429" s="6">
        <f t="shared" si="137"/>
        <v>629</v>
      </c>
      <c r="U429" s="7">
        <f t="shared" si="148"/>
        <v>2450</v>
      </c>
      <c r="V429" s="7">
        <f t="shared" si="149"/>
        <v>2218</v>
      </c>
      <c r="W429" s="7">
        <f t="shared" si="147"/>
        <v>2668</v>
      </c>
      <c r="X429" s="6"/>
      <c r="Y429" s="5"/>
      <c r="Z429" s="5"/>
      <c r="AA429" s="5"/>
      <c r="AB429" s="5"/>
    </row>
    <row r="430" spans="1:28" ht="13.15" customHeight="1">
      <c r="A430" s="9">
        <f t="shared" si="146"/>
        <v>416</v>
      </c>
      <c r="B430" s="10">
        <f t="shared" si="138"/>
        <v>45686</v>
      </c>
      <c r="C430" s="9">
        <f t="shared" si="139"/>
        <v>842</v>
      </c>
      <c r="D430" s="8">
        <f t="shared" si="130"/>
        <v>2007</v>
      </c>
      <c r="E430" s="4">
        <f t="shared" si="131"/>
        <v>583</v>
      </c>
      <c r="F430" s="4">
        <f t="shared" si="132"/>
        <v>640</v>
      </c>
      <c r="G430" s="4">
        <f t="shared" si="133"/>
        <v>673</v>
      </c>
      <c r="H430" s="5">
        <f t="shared" si="134"/>
        <v>2266</v>
      </c>
      <c r="I430" s="5">
        <f t="shared" si="135"/>
        <v>2209</v>
      </c>
      <c r="J430" s="5">
        <f t="shared" si="136"/>
        <v>2176</v>
      </c>
      <c r="K430" s="5">
        <f t="shared" si="143"/>
        <v>3000</v>
      </c>
      <c r="L430" s="5">
        <f t="shared" si="144"/>
        <v>3000</v>
      </c>
      <c r="M430" s="5">
        <f t="shared" si="145"/>
        <v>3000</v>
      </c>
      <c r="N430" s="5">
        <f t="shared" si="140"/>
        <v>-734</v>
      </c>
      <c r="O430" s="5">
        <f t="shared" si="141"/>
        <v>-791</v>
      </c>
      <c r="P430" s="5">
        <f t="shared" si="142"/>
        <v>-824</v>
      </c>
      <c r="Q430" s="4">
        <v>4</v>
      </c>
      <c r="R430" s="4">
        <v>9</v>
      </c>
      <c r="S430" s="4">
        <v>2</v>
      </c>
      <c r="T430" s="6">
        <f t="shared" si="137"/>
        <v>640</v>
      </c>
      <c r="U430" s="7">
        <f t="shared" si="148"/>
        <v>2446</v>
      </c>
      <c r="V430" s="7">
        <f t="shared" si="149"/>
        <v>2209</v>
      </c>
      <c r="W430" s="7">
        <f t="shared" si="147"/>
        <v>2666</v>
      </c>
      <c r="X430" s="6"/>
      <c r="Y430" s="5"/>
      <c r="Z430" s="5"/>
      <c r="AA430" s="5"/>
      <c r="AB430" s="5"/>
    </row>
    <row r="431" spans="1:28" ht="13.15" customHeight="1">
      <c r="A431" s="9">
        <f t="shared" si="146"/>
        <v>417</v>
      </c>
      <c r="B431" s="10">
        <f t="shared" si="138"/>
        <v>45687</v>
      </c>
      <c r="C431" s="9">
        <f t="shared" si="139"/>
        <v>842</v>
      </c>
      <c r="D431" s="8">
        <f t="shared" si="130"/>
        <v>2009</v>
      </c>
      <c r="E431" s="4">
        <f t="shared" si="131"/>
        <v>592</v>
      </c>
      <c r="F431" s="4">
        <f t="shared" si="132"/>
        <v>650</v>
      </c>
      <c r="G431" s="4">
        <f t="shared" si="133"/>
        <v>678</v>
      </c>
      <c r="H431" s="5">
        <f t="shared" si="134"/>
        <v>2259</v>
      </c>
      <c r="I431" s="5">
        <f t="shared" si="135"/>
        <v>2201</v>
      </c>
      <c r="J431" s="5">
        <f t="shared" si="136"/>
        <v>2173</v>
      </c>
      <c r="K431" s="5">
        <f t="shared" si="143"/>
        <v>3000</v>
      </c>
      <c r="L431" s="5">
        <f t="shared" si="144"/>
        <v>3000</v>
      </c>
      <c r="M431" s="5">
        <f t="shared" si="145"/>
        <v>3000</v>
      </c>
      <c r="N431" s="5">
        <f t="shared" si="140"/>
        <v>-741</v>
      </c>
      <c r="O431" s="5">
        <f t="shared" si="141"/>
        <v>-799</v>
      </c>
      <c r="P431" s="5">
        <f t="shared" si="142"/>
        <v>-827</v>
      </c>
      <c r="Q431" s="4">
        <v>7</v>
      </c>
      <c r="R431" s="4">
        <v>8</v>
      </c>
      <c r="S431" s="4">
        <v>3</v>
      </c>
      <c r="T431" s="6">
        <f t="shared" si="137"/>
        <v>650</v>
      </c>
      <c r="U431" s="7">
        <f t="shared" si="148"/>
        <v>2439</v>
      </c>
      <c r="V431" s="7">
        <f t="shared" si="149"/>
        <v>2201</v>
      </c>
      <c r="W431" s="7">
        <f t="shared" si="147"/>
        <v>2663</v>
      </c>
      <c r="X431" s="6"/>
      <c r="Y431" s="5"/>
      <c r="Z431" s="5"/>
      <c r="AA431" s="5"/>
      <c r="AB431" s="5"/>
    </row>
    <row r="432" spans="1:28" ht="13.15" customHeight="1">
      <c r="A432" s="9">
        <f t="shared" si="146"/>
        <v>418</v>
      </c>
      <c r="B432" s="10">
        <f t="shared" si="138"/>
        <v>45688</v>
      </c>
      <c r="C432" s="9">
        <f t="shared" si="139"/>
        <v>842</v>
      </c>
      <c r="D432" s="8">
        <f t="shared" si="130"/>
        <v>2011</v>
      </c>
      <c r="E432" s="4">
        <f t="shared" si="131"/>
        <v>599</v>
      </c>
      <c r="F432" s="4">
        <f t="shared" si="132"/>
        <v>661</v>
      </c>
      <c r="G432" s="4">
        <f t="shared" si="133"/>
        <v>681</v>
      </c>
      <c r="H432" s="5">
        <f t="shared" si="134"/>
        <v>2254</v>
      </c>
      <c r="I432" s="5">
        <f t="shared" si="135"/>
        <v>2192</v>
      </c>
      <c r="J432" s="5">
        <f t="shared" si="136"/>
        <v>2172</v>
      </c>
      <c r="K432" s="5">
        <f t="shared" si="143"/>
        <v>3000</v>
      </c>
      <c r="L432" s="5">
        <f t="shared" si="144"/>
        <v>3000</v>
      </c>
      <c r="M432" s="5">
        <f t="shared" si="145"/>
        <v>3000</v>
      </c>
      <c r="N432" s="5">
        <f t="shared" si="140"/>
        <v>-746</v>
      </c>
      <c r="O432" s="5">
        <f t="shared" si="141"/>
        <v>-808</v>
      </c>
      <c r="P432" s="5">
        <f t="shared" si="142"/>
        <v>-828</v>
      </c>
      <c r="Q432" s="4">
        <v>5</v>
      </c>
      <c r="R432" s="4">
        <v>9</v>
      </c>
      <c r="S432" s="4">
        <v>1</v>
      </c>
      <c r="T432" s="6">
        <f t="shared" si="137"/>
        <v>661</v>
      </c>
      <c r="U432" s="7">
        <f t="shared" si="148"/>
        <v>2434</v>
      </c>
      <c r="V432" s="7">
        <f t="shared" si="149"/>
        <v>2192</v>
      </c>
      <c r="W432" s="7">
        <f t="shared" si="147"/>
        <v>2662</v>
      </c>
      <c r="X432" s="6"/>
      <c r="Y432" s="5"/>
      <c r="Z432" s="5"/>
      <c r="AA432" s="5"/>
      <c r="AB432" s="5"/>
    </row>
    <row r="433" spans="1:28" ht="13.15" customHeight="1">
      <c r="A433" s="9">
        <f t="shared" si="146"/>
        <v>419</v>
      </c>
      <c r="B433" s="10">
        <f t="shared" si="138"/>
        <v>45689</v>
      </c>
      <c r="C433" s="9">
        <f t="shared" si="139"/>
        <v>842</v>
      </c>
      <c r="D433" s="8">
        <f t="shared" si="130"/>
        <v>2013</v>
      </c>
      <c r="E433" s="4">
        <f t="shared" si="131"/>
        <v>606</v>
      </c>
      <c r="F433" s="4">
        <f t="shared" si="132"/>
        <v>671</v>
      </c>
      <c r="G433" s="4">
        <f t="shared" si="133"/>
        <v>685</v>
      </c>
      <c r="H433" s="5">
        <f t="shared" si="134"/>
        <v>2249</v>
      </c>
      <c r="I433" s="5">
        <f t="shared" si="135"/>
        <v>2184</v>
      </c>
      <c r="J433" s="5">
        <f t="shared" si="136"/>
        <v>2170</v>
      </c>
      <c r="K433" s="5">
        <f t="shared" si="143"/>
        <v>3000</v>
      </c>
      <c r="L433" s="5">
        <f t="shared" si="144"/>
        <v>3000</v>
      </c>
      <c r="M433" s="5">
        <f t="shared" si="145"/>
        <v>3000</v>
      </c>
      <c r="N433" s="5">
        <f t="shared" si="140"/>
        <v>-751</v>
      </c>
      <c r="O433" s="5">
        <f t="shared" si="141"/>
        <v>-816</v>
      </c>
      <c r="P433" s="5">
        <f t="shared" si="142"/>
        <v>-830</v>
      </c>
      <c r="Q433" s="4">
        <v>5</v>
      </c>
      <c r="R433" s="4">
        <v>8</v>
      </c>
      <c r="S433" s="4">
        <v>2</v>
      </c>
      <c r="T433" s="6">
        <f t="shared" si="137"/>
        <v>671</v>
      </c>
      <c r="U433" s="7">
        <f t="shared" si="148"/>
        <v>2429</v>
      </c>
      <c r="V433" s="7">
        <f t="shared" si="149"/>
        <v>2184</v>
      </c>
      <c r="W433" s="7">
        <f t="shared" si="147"/>
        <v>2660</v>
      </c>
      <c r="X433" s="6"/>
      <c r="Y433" s="5"/>
      <c r="Z433" s="5"/>
      <c r="AA433" s="5"/>
      <c r="AB433" s="5"/>
    </row>
    <row r="434" spans="1:28" ht="13.15" customHeight="1">
      <c r="A434" s="9">
        <f t="shared" si="146"/>
        <v>420</v>
      </c>
      <c r="B434" s="10">
        <f t="shared" si="138"/>
        <v>45690</v>
      </c>
      <c r="C434" s="9">
        <f t="shared" si="139"/>
        <v>842</v>
      </c>
      <c r="D434" s="8">
        <f t="shared" si="130"/>
        <v>2015</v>
      </c>
      <c r="E434" s="4">
        <f t="shared" si="131"/>
        <v>612</v>
      </c>
      <c r="F434" s="4">
        <f t="shared" si="132"/>
        <v>682</v>
      </c>
      <c r="G434" s="4">
        <f t="shared" si="133"/>
        <v>689</v>
      </c>
      <c r="H434" s="5">
        <f t="shared" si="134"/>
        <v>2245</v>
      </c>
      <c r="I434" s="5">
        <f t="shared" si="135"/>
        <v>2175</v>
      </c>
      <c r="J434" s="5">
        <f t="shared" si="136"/>
        <v>2168</v>
      </c>
      <c r="K434" s="5">
        <f t="shared" si="143"/>
        <v>3000</v>
      </c>
      <c r="L434" s="5">
        <f t="shared" si="144"/>
        <v>3000</v>
      </c>
      <c r="M434" s="5">
        <f t="shared" si="145"/>
        <v>3000</v>
      </c>
      <c r="N434" s="5">
        <f t="shared" si="140"/>
        <v>-755</v>
      </c>
      <c r="O434" s="5">
        <f t="shared" si="141"/>
        <v>-825</v>
      </c>
      <c r="P434" s="5">
        <f t="shared" si="142"/>
        <v>-832</v>
      </c>
      <c r="Q434" s="4">
        <v>4</v>
      </c>
      <c r="R434" s="4">
        <v>9</v>
      </c>
      <c r="S434" s="4">
        <v>2</v>
      </c>
      <c r="T434" s="6">
        <f t="shared" si="137"/>
        <v>682</v>
      </c>
      <c r="U434" s="7">
        <f t="shared" si="148"/>
        <v>2425</v>
      </c>
      <c r="V434" s="7">
        <f t="shared" si="149"/>
        <v>2175</v>
      </c>
      <c r="W434" s="7">
        <f t="shared" si="147"/>
        <v>2658</v>
      </c>
      <c r="X434" s="6"/>
      <c r="Y434" s="5"/>
      <c r="Z434" s="5"/>
      <c r="AA434" s="5"/>
      <c r="AB434" s="5"/>
    </row>
    <row r="435" spans="1:28" ht="13.15" customHeight="1">
      <c r="A435" s="9">
        <f t="shared" si="146"/>
        <v>421</v>
      </c>
      <c r="B435" s="10">
        <f t="shared" si="138"/>
        <v>45691</v>
      </c>
      <c r="C435" s="9">
        <f t="shared" si="139"/>
        <v>842</v>
      </c>
      <c r="D435" s="8">
        <f t="shared" si="130"/>
        <v>2017</v>
      </c>
      <c r="E435" s="4">
        <f t="shared" si="131"/>
        <v>617</v>
      </c>
      <c r="F435" s="4">
        <f t="shared" si="132"/>
        <v>692</v>
      </c>
      <c r="G435" s="4">
        <f t="shared" si="133"/>
        <v>692</v>
      </c>
      <c r="H435" s="5">
        <f t="shared" si="134"/>
        <v>2242</v>
      </c>
      <c r="I435" s="5">
        <f t="shared" si="135"/>
        <v>2167</v>
      </c>
      <c r="J435" s="5">
        <f t="shared" si="136"/>
        <v>2167</v>
      </c>
      <c r="K435" s="5">
        <f t="shared" si="143"/>
        <v>3000</v>
      </c>
      <c r="L435" s="5">
        <f t="shared" si="144"/>
        <v>3000</v>
      </c>
      <c r="M435" s="5">
        <f t="shared" si="145"/>
        <v>3000</v>
      </c>
      <c r="N435" s="5">
        <f t="shared" si="140"/>
        <v>-758</v>
      </c>
      <c r="O435" s="5">
        <f t="shared" si="141"/>
        <v>-833</v>
      </c>
      <c r="P435" s="5">
        <f t="shared" si="142"/>
        <v>-833</v>
      </c>
      <c r="Q435" s="4">
        <v>3</v>
      </c>
      <c r="R435" s="4">
        <v>8</v>
      </c>
      <c r="S435" s="4">
        <v>1</v>
      </c>
      <c r="T435" s="6">
        <f t="shared" si="137"/>
        <v>692</v>
      </c>
      <c r="U435" s="7">
        <f t="shared" si="148"/>
        <v>2422</v>
      </c>
      <c r="V435" s="7">
        <f t="shared" si="149"/>
        <v>2167</v>
      </c>
      <c r="W435" s="7">
        <f t="shared" si="147"/>
        <v>2657</v>
      </c>
      <c r="X435" s="6"/>
      <c r="Y435" s="5"/>
      <c r="Z435" s="5"/>
      <c r="AA435" s="5"/>
      <c r="AB435" s="5"/>
    </row>
    <row r="436" spans="1:28" ht="13.15" customHeight="1">
      <c r="A436" s="9">
        <f t="shared" si="146"/>
        <v>422</v>
      </c>
      <c r="B436" s="10">
        <f t="shared" si="138"/>
        <v>45692</v>
      </c>
      <c r="C436" s="9">
        <f t="shared" si="139"/>
        <v>842</v>
      </c>
      <c r="D436" s="8">
        <f t="shared" si="130"/>
        <v>2019</v>
      </c>
      <c r="E436" s="4">
        <f t="shared" si="131"/>
        <v>621</v>
      </c>
      <c r="F436" s="4">
        <f t="shared" si="132"/>
        <v>701</v>
      </c>
      <c r="G436" s="4">
        <f t="shared" si="133"/>
        <v>696</v>
      </c>
      <c r="H436" s="5">
        <f t="shared" si="134"/>
        <v>2240</v>
      </c>
      <c r="I436" s="5">
        <f t="shared" si="135"/>
        <v>2160</v>
      </c>
      <c r="J436" s="5">
        <f t="shared" si="136"/>
        <v>2165</v>
      </c>
      <c r="K436" s="5">
        <f t="shared" si="143"/>
        <v>3000</v>
      </c>
      <c r="L436" s="5">
        <f t="shared" si="144"/>
        <v>3000</v>
      </c>
      <c r="M436" s="5">
        <f t="shared" si="145"/>
        <v>3000</v>
      </c>
      <c r="N436" s="5">
        <f t="shared" si="140"/>
        <v>-760</v>
      </c>
      <c r="O436" s="5">
        <f t="shared" si="141"/>
        <v>-840</v>
      </c>
      <c r="P436" s="5">
        <f t="shared" si="142"/>
        <v>-835</v>
      </c>
      <c r="Q436" s="4">
        <v>2</v>
      </c>
      <c r="R436" s="4">
        <v>7</v>
      </c>
      <c r="S436" s="4">
        <v>2</v>
      </c>
      <c r="T436" s="6">
        <f t="shared" si="137"/>
        <v>701</v>
      </c>
      <c r="U436" s="7">
        <f t="shared" si="148"/>
        <v>2420</v>
      </c>
      <c r="V436" s="7">
        <f t="shared" si="149"/>
        <v>2160</v>
      </c>
      <c r="W436" s="7">
        <f t="shared" si="147"/>
        <v>2655</v>
      </c>
      <c r="X436" s="6"/>
      <c r="Y436" s="5"/>
      <c r="Z436" s="5"/>
      <c r="AA436" s="5"/>
      <c r="AB436" s="5"/>
    </row>
    <row r="437" spans="1:28" ht="13.15" customHeight="1">
      <c r="A437" s="9">
        <f t="shared" si="146"/>
        <v>423</v>
      </c>
      <c r="B437" s="10">
        <f t="shared" si="138"/>
        <v>45693</v>
      </c>
      <c r="C437" s="9">
        <f t="shared" si="139"/>
        <v>842</v>
      </c>
      <c r="D437" s="8">
        <f t="shared" si="130"/>
        <v>2021</v>
      </c>
      <c r="E437" s="4">
        <f t="shared" si="131"/>
        <v>627</v>
      </c>
      <c r="F437" s="4">
        <f t="shared" si="132"/>
        <v>712</v>
      </c>
      <c r="G437" s="4">
        <f t="shared" si="133"/>
        <v>700</v>
      </c>
      <c r="H437" s="5">
        <f t="shared" si="134"/>
        <v>2236</v>
      </c>
      <c r="I437" s="5">
        <f t="shared" si="135"/>
        <v>2151</v>
      </c>
      <c r="J437" s="5">
        <f t="shared" si="136"/>
        <v>2163</v>
      </c>
      <c r="K437" s="5">
        <f t="shared" si="143"/>
        <v>3000</v>
      </c>
      <c r="L437" s="5">
        <f t="shared" si="144"/>
        <v>3000</v>
      </c>
      <c r="M437" s="5">
        <f t="shared" si="145"/>
        <v>3000</v>
      </c>
      <c r="N437" s="5">
        <f t="shared" si="140"/>
        <v>-764</v>
      </c>
      <c r="O437" s="5">
        <f t="shared" si="141"/>
        <v>-849</v>
      </c>
      <c r="P437" s="5">
        <f t="shared" si="142"/>
        <v>-837</v>
      </c>
      <c r="Q437" s="4">
        <v>4</v>
      </c>
      <c r="R437" s="4">
        <v>9</v>
      </c>
      <c r="S437" s="4">
        <v>2</v>
      </c>
      <c r="T437" s="6">
        <f t="shared" si="137"/>
        <v>712</v>
      </c>
      <c r="U437" s="7">
        <f t="shared" si="148"/>
        <v>2416</v>
      </c>
      <c r="V437" s="7">
        <f t="shared" si="149"/>
        <v>2151</v>
      </c>
      <c r="W437" s="7">
        <f t="shared" si="147"/>
        <v>2653</v>
      </c>
      <c r="X437" s="6"/>
      <c r="Y437" s="5"/>
      <c r="Z437" s="5"/>
      <c r="AA437" s="5"/>
      <c r="AB437" s="5"/>
    </row>
    <row r="438" spans="1:28" ht="13.15" customHeight="1">
      <c r="A438" s="9">
        <f t="shared" si="146"/>
        <v>424</v>
      </c>
      <c r="B438" s="10">
        <f t="shared" si="138"/>
        <v>45694</v>
      </c>
      <c r="C438" s="9">
        <f t="shared" si="139"/>
        <v>842</v>
      </c>
      <c r="D438" s="8">
        <f t="shared" si="130"/>
        <v>2023</v>
      </c>
      <c r="E438" s="4">
        <f t="shared" si="131"/>
        <v>632</v>
      </c>
      <c r="F438" s="4">
        <f t="shared" si="132"/>
        <v>722</v>
      </c>
      <c r="G438" s="4">
        <f t="shared" si="133"/>
        <v>704</v>
      </c>
      <c r="H438" s="5">
        <f t="shared" si="134"/>
        <v>2233</v>
      </c>
      <c r="I438" s="5">
        <f t="shared" si="135"/>
        <v>2143</v>
      </c>
      <c r="J438" s="5">
        <f t="shared" si="136"/>
        <v>2161</v>
      </c>
      <c r="K438" s="5">
        <f t="shared" si="143"/>
        <v>3000</v>
      </c>
      <c r="L438" s="5">
        <f t="shared" si="144"/>
        <v>3000</v>
      </c>
      <c r="M438" s="5">
        <f t="shared" si="145"/>
        <v>3000</v>
      </c>
      <c r="N438" s="5">
        <f t="shared" si="140"/>
        <v>-767</v>
      </c>
      <c r="O438" s="5">
        <f t="shared" si="141"/>
        <v>-857</v>
      </c>
      <c r="P438" s="5">
        <f t="shared" si="142"/>
        <v>-839</v>
      </c>
      <c r="Q438" s="4">
        <v>3</v>
      </c>
      <c r="R438" s="4">
        <v>8</v>
      </c>
      <c r="S438" s="4">
        <v>2</v>
      </c>
      <c r="T438" s="6">
        <f t="shared" si="137"/>
        <v>722</v>
      </c>
      <c r="U438" s="7">
        <f t="shared" si="148"/>
        <v>2413</v>
      </c>
      <c r="V438" s="7">
        <f t="shared" si="149"/>
        <v>2143</v>
      </c>
      <c r="W438" s="7">
        <f t="shared" si="147"/>
        <v>2651</v>
      </c>
      <c r="X438" s="6"/>
      <c r="Y438" s="5"/>
      <c r="Z438" s="5"/>
      <c r="AA438" s="5"/>
      <c r="AB438" s="5"/>
    </row>
    <row r="439" spans="1:28" ht="13.15" customHeight="1">
      <c r="A439" s="9">
        <f t="shared" si="146"/>
        <v>425</v>
      </c>
      <c r="B439" s="10">
        <f t="shared" si="138"/>
        <v>45695</v>
      </c>
      <c r="C439" s="9">
        <f t="shared" si="139"/>
        <v>842</v>
      </c>
      <c r="D439" s="8">
        <f t="shared" si="130"/>
        <v>2025</v>
      </c>
      <c r="E439" s="4">
        <f t="shared" si="131"/>
        <v>636</v>
      </c>
      <c r="F439" s="4">
        <f t="shared" si="132"/>
        <v>732</v>
      </c>
      <c r="G439" s="4">
        <f t="shared" si="133"/>
        <v>708</v>
      </c>
      <c r="H439" s="5">
        <f t="shared" si="134"/>
        <v>2231</v>
      </c>
      <c r="I439" s="5">
        <f t="shared" si="135"/>
        <v>2135</v>
      </c>
      <c r="J439" s="5">
        <f t="shared" si="136"/>
        <v>2159</v>
      </c>
      <c r="K439" s="5">
        <f t="shared" si="143"/>
        <v>3000</v>
      </c>
      <c r="L439" s="5">
        <f t="shared" si="144"/>
        <v>3000</v>
      </c>
      <c r="M439" s="5">
        <f t="shared" si="145"/>
        <v>3000</v>
      </c>
      <c r="N439" s="5">
        <f t="shared" si="140"/>
        <v>-769</v>
      </c>
      <c r="O439" s="5">
        <f t="shared" si="141"/>
        <v>-865</v>
      </c>
      <c r="P439" s="5">
        <f t="shared" si="142"/>
        <v>-841</v>
      </c>
      <c r="Q439" s="4">
        <v>2</v>
      </c>
      <c r="R439" s="4">
        <v>8</v>
      </c>
      <c r="S439" s="4">
        <v>2</v>
      </c>
      <c r="T439" s="6">
        <f t="shared" si="137"/>
        <v>732</v>
      </c>
      <c r="U439" s="7">
        <f t="shared" si="148"/>
        <v>2411</v>
      </c>
      <c r="V439" s="7">
        <f t="shared" si="149"/>
        <v>2135</v>
      </c>
      <c r="W439" s="7">
        <f t="shared" si="147"/>
        <v>2649</v>
      </c>
      <c r="X439" s="6"/>
      <c r="Y439" s="5"/>
      <c r="Z439" s="5"/>
      <c r="AA439" s="5"/>
      <c r="AB439" s="5"/>
    </row>
    <row r="440" spans="1:28" ht="13.15" customHeight="1">
      <c r="A440" s="9">
        <f t="shared" si="146"/>
        <v>426</v>
      </c>
      <c r="B440" s="10">
        <f t="shared" si="138"/>
        <v>45696</v>
      </c>
      <c r="C440" s="9">
        <f t="shared" si="139"/>
        <v>842</v>
      </c>
      <c r="D440" s="8">
        <f t="shared" si="130"/>
        <v>2027</v>
      </c>
      <c r="E440" s="4">
        <f t="shared" si="131"/>
        <v>642</v>
      </c>
      <c r="F440" s="4">
        <f t="shared" si="132"/>
        <v>741</v>
      </c>
      <c r="G440" s="4">
        <f t="shared" si="133"/>
        <v>711</v>
      </c>
      <c r="H440" s="5">
        <f t="shared" si="134"/>
        <v>2227</v>
      </c>
      <c r="I440" s="5">
        <f t="shared" si="135"/>
        <v>2128</v>
      </c>
      <c r="J440" s="5">
        <f t="shared" si="136"/>
        <v>2158</v>
      </c>
      <c r="K440" s="5">
        <f t="shared" si="143"/>
        <v>3000</v>
      </c>
      <c r="L440" s="5">
        <f t="shared" si="144"/>
        <v>3000</v>
      </c>
      <c r="M440" s="5">
        <f t="shared" si="145"/>
        <v>3000</v>
      </c>
      <c r="N440" s="5">
        <f t="shared" si="140"/>
        <v>-773</v>
      </c>
      <c r="O440" s="5">
        <f t="shared" si="141"/>
        <v>-872</v>
      </c>
      <c r="P440" s="5">
        <f t="shared" si="142"/>
        <v>-842</v>
      </c>
      <c r="Q440" s="4">
        <v>4</v>
      </c>
      <c r="R440" s="4">
        <v>7</v>
      </c>
      <c r="S440" s="4">
        <v>1</v>
      </c>
      <c r="T440" s="6">
        <f t="shared" si="137"/>
        <v>741</v>
      </c>
      <c r="U440" s="7">
        <f t="shared" si="148"/>
        <v>2407</v>
      </c>
      <c r="V440" s="7">
        <f t="shared" si="149"/>
        <v>2128</v>
      </c>
      <c r="W440" s="7">
        <f t="shared" si="147"/>
        <v>2648</v>
      </c>
      <c r="X440" s="6"/>
      <c r="Y440" s="5"/>
      <c r="Z440" s="5"/>
      <c r="AA440" s="5"/>
      <c r="AB440" s="5"/>
    </row>
    <row r="441" spans="1:28" ht="13.15" customHeight="1">
      <c r="A441" s="9">
        <f t="shared" si="146"/>
        <v>427</v>
      </c>
      <c r="B441" s="10">
        <f t="shared" si="138"/>
        <v>45697</v>
      </c>
      <c r="C441" s="9">
        <f t="shared" si="139"/>
        <v>842</v>
      </c>
      <c r="D441" s="8">
        <f t="shared" si="130"/>
        <v>2029</v>
      </c>
      <c r="E441" s="4">
        <f t="shared" si="131"/>
        <v>646</v>
      </c>
      <c r="F441" s="4">
        <f t="shared" si="132"/>
        <v>750</v>
      </c>
      <c r="G441" s="4">
        <f t="shared" si="133"/>
        <v>715</v>
      </c>
      <c r="H441" s="5">
        <f t="shared" si="134"/>
        <v>2225</v>
      </c>
      <c r="I441" s="5">
        <f t="shared" si="135"/>
        <v>2121</v>
      </c>
      <c r="J441" s="5">
        <f t="shared" si="136"/>
        <v>2156</v>
      </c>
      <c r="K441" s="5">
        <f t="shared" si="143"/>
        <v>3000</v>
      </c>
      <c r="L441" s="5">
        <f t="shared" si="144"/>
        <v>3000</v>
      </c>
      <c r="M441" s="5">
        <f t="shared" si="145"/>
        <v>3000</v>
      </c>
      <c r="N441" s="5">
        <f t="shared" si="140"/>
        <v>-775</v>
      </c>
      <c r="O441" s="5">
        <f t="shared" si="141"/>
        <v>-879</v>
      </c>
      <c r="P441" s="5">
        <f t="shared" si="142"/>
        <v>-844</v>
      </c>
      <c r="Q441" s="4">
        <v>2</v>
      </c>
      <c r="R441" s="4">
        <v>7</v>
      </c>
      <c r="S441" s="4">
        <v>2</v>
      </c>
      <c r="T441" s="6">
        <f t="shared" si="137"/>
        <v>750</v>
      </c>
      <c r="U441" s="7">
        <f t="shared" si="148"/>
        <v>2405</v>
      </c>
      <c r="V441" s="7">
        <f t="shared" si="149"/>
        <v>2121</v>
      </c>
      <c r="W441" s="7">
        <f t="shared" si="147"/>
        <v>2646</v>
      </c>
      <c r="X441" s="6"/>
      <c r="Y441" s="5"/>
      <c r="Z441" s="5"/>
      <c r="AA441" s="5"/>
      <c r="AB441" s="5"/>
    </row>
    <row r="442" spans="1:28" ht="13.15" customHeight="1">
      <c r="A442" s="9">
        <f t="shared" si="146"/>
        <v>428</v>
      </c>
      <c r="B442" s="10">
        <f t="shared" si="138"/>
        <v>45698</v>
      </c>
      <c r="C442" s="9">
        <f t="shared" si="139"/>
        <v>842</v>
      </c>
      <c r="D442" s="8">
        <f t="shared" si="130"/>
        <v>2031</v>
      </c>
      <c r="E442" s="4">
        <f t="shared" si="131"/>
        <v>653</v>
      </c>
      <c r="F442" s="4">
        <f t="shared" si="132"/>
        <v>758</v>
      </c>
      <c r="G442" s="4">
        <f t="shared" si="133"/>
        <v>719</v>
      </c>
      <c r="H442" s="5">
        <f t="shared" si="134"/>
        <v>2220</v>
      </c>
      <c r="I442" s="5">
        <f t="shared" si="135"/>
        <v>2115</v>
      </c>
      <c r="J442" s="5">
        <f t="shared" si="136"/>
        <v>2154</v>
      </c>
      <c r="K442" s="5">
        <f t="shared" si="143"/>
        <v>3000</v>
      </c>
      <c r="L442" s="5">
        <f t="shared" si="144"/>
        <v>3000</v>
      </c>
      <c r="M442" s="5">
        <f t="shared" si="145"/>
        <v>3000</v>
      </c>
      <c r="N442" s="5">
        <f t="shared" si="140"/>
        <v>-780</v>
      </c>
      <c r="O442" s="5">
        <f t="shared" si="141"/>
        <v>-885</v>
      </c>
      <c r="P442" s="5">
        <f t="shared" si="142"/>
        <v>-846</v>
      </c>
      <c r="Q442" s="4">
        <v>5</v>
      </c>
      <c r="R442" s="4">
        <v>6</v>
      </c>
      <c r="S442" s="4">
        <v>2</v>
      </c>
      <c r="T442" s="6">
        <f t="shared" si="137"/>
        <v>758</v>
      </c>
      <c r="U442" s="7">
        <f t="shared" si="148"/>
        <v>2400</v>
      </c>
      <c r="V442" s="7">
        <f t="shared" si="149"/>
        <v>2115</v>
      </c>
      <c r="W442" s="7">
        <f t="shared" si="147"/>
        <v>2644</v>
      </c>
      <c r="X442" s="6"/>
      <c r="Y442" s="5"/>
      <c r="Z442" s="5"/>
      <c r="AA442" s="5"/>
      <c r="AB442" s="5"/>
    </row>
    <row r="443" spans="1:28" ht="13.15" customHeight="1">
      <c r="A443" s="9">
        <f t="shared" si="146"/>
        <v>429</v>
      </c>
      <c r="B443" s="10">
        <f t="shared" si="138"/>
        <v>45699</v>
      </c>
      <c r="C443" s="9">
        <f t="shared" si="139"/>
        <v>842</v>
      </c>
      <c r="D443" s="8">
        <f t="shared" si="130"/>
        <v>2033</v>
      </c>
      <c r="E443" s="4">
        <f t="shared" si="131"/>
        <v>660</v>
      </c>
      <c r="F443" s="4">
        <f t="shared" si="132"/>
        <v>768</v>
      </c>
      <c r="G443" s="4">
        <f t="shared" si="133"/>
        <v>724</v>
      </c>
      <c r="H443" s="5">
        <f t="shared" si="134"/>
        <v>2215</v>
      </c>
      <c r="I443" s="5">
        <f t="shared" si="135"/>
        <v>2107</v>
      </c>
      <c r="J443" s="5">
        <f t="shared" si="136"/>
        <v>2151</v>
      </c>
      <c r="K443" s="5">
        <f t="shared" si="143"/>
        <v>3000</v>
      </c>
      <c r="L443" s="5">
        <f t="shared" si="144"/>
        <v>3000</v>
      </c>
      <c r="M443" s="5">
        <f t="shared" si="145"/>
        <v>3000</v>
      </c>
      <c r="N443" s="5">
        <f t="shared" si="140"/>
        <v>-785</v>
      </c>
      <c r="O443" s="5">
        <f t="shared" si="141"/>
        <v>-893</v>
      </c>
      <c r="P443" s="5">
        <f t="shared" si="142"/>
        <v>-849</v>
      </c>
      <c r="Q443" s="4">
        <v>5</v>
      </c>
      <c r="R443" s="4">
        <v>8</v>
      </c>
      <c r="S443" s="4">
        <v>3</v>
      </c>
      <c r="T443" s="6">
        <f t="shared" si="137"/>
        <v>768</v>
      </c>
      <c r="U443" s="7">
        <f t="shared" si="148"/>
        <v>2395</v>
      </c>
      <c r="V443" s="7">
        <f t="shared" si="149"/>
        <v>2107</v>
      </c>
      <c r="W443" s="7">
        <f t="shared" si="147"/>
        <v>2641</v>
      </c>
      <c r="X443" s="6"/>
      <c r="Y443" s="5"/>
      <c r="Z443" s="5"/>
      <c r="AA443" s="5"/>
      <c r="AB443" s="5"/>
    </row>
    <row r="444" spans="1:28" ht="13.15" customHeight="1">
      <c r="A444" s="9">
        <f t="shared" si="146"/>
        <v>430</v>
      </c>
      <c r="B444" s="10">
        <f t="shared" si="138"/>
        <v>45700</v>
      </c>
      <c r="C444" s="9">
        <f t="shared" si="139"/>
        <v>842</v>
      </c>
      <c r="D444" s="8">
        <f t="shared" si="130"/>
        <v>2035</v>
      </c>
      <c r="E444" s="4">
        <f t="shared" si="131"/>
        <v>666</v>
      </c>
      <c r="F444" s="4">
        <f t="shared" si="132"/>
        <v>777</v>
      </c>
      <c r="G444" s="4">
        <f t="shared" si="133"/>
        <v>727</v>
      </c>
      <c r="H444" s="5">
        <f t="shared" si="134"/>
        <v>2211</v>
      </c>
      <c r="I444" s="5">
        <f t="shared" si="135"/>
        <v>2100</v>
      </c>
      <c r="J444" s="5">
        <f t="shared" si="136"/>
        <v>2150</v>
      </c>
      <c r="K444" s="5">
        <f t="shared" si="143"/>
        <v>3000</v>
      </c>
      <c r="L444" s="5">
        <f t="shared" si="144"/>
        <v>3000</v>
      </c>
      <c r="M444" s="5">
        <f t="shared" si="145"/>
        <v>3000</v>
      </c>
      <c r="N444" s="5">
        <f t="shared" si="140"/>
        <v>-789</v>
      </c>
      <c r="O444" s="5">
        <f t="shared" si="141"/>
        <v>-900</v>
      </c>
      <c r="P444" s="5">
        <f t="shared" si="142"/>
        <v>-850</v>
      </c>
      <c r="Q444" s="4">
        <v>4</v>
      </c>
      <c r="R444" s="4">
        <v>7</v>
      </c>
      <c r="S444" s="4">
        <v>1</v>
      </c>
      <c r="T444" s="6">
        <f t="shared" si="137"/>
        <v>777</v>
      </c>
      <c r="U444" s="7">
        <f t="shared" si="148"/>
        <v>2391</v>
      </c>
      <c r="V444" s="7">
        <f t="shared" si="149"/>
        <v>2100</v>
      </c>
      <c r="W444" s="7">
        <f t="shared" si="147"/>
        <v>2640</v>
      </c>
      <c r="X444" s="6"/>
      <c r="Y444" s="5"/>
      <c r="Z444" s="5"/>
      <c r="AA444" s="5"/>
      <c r="AB444" s="5"/>
    </row>
    <row r="445" spans="1:28" ht="13.15" customHeight="1">
      <c r="A445" s="9">
        <f t="shared" si="146"/>
        <v>431</v>
      </c>
      <c r="B445" s="10">
        <f t="shared" si="138"/>
        <v>45701</v>
      </c>
      <c r="C445" s="9">
        <f t="shared" si="139"/>
        <v>842</v>
      </c>
      <c r="D445" s="8">
        <f t="shared" si="130"/>
        <v>2037</v>
      </c>
      <c r="E445" s="4">
        <f t="shared" si="131"/>
        <v>671</v>
      </c>
      <c r="F445" s="4">
        <f t="shared" si="132"/>
        <v>788</v>
      </c>
      <c r="G445" s="4">
        <f t="shared" si="133"/>
        <v>731</v>
      </c>
      <c r="H445" s="5">
        <f t="shared" si="134"/>
        <v>2208</v>
      </c>
      <c r="I445" s="5">
        <f t="shared" si="135"/>
        <v>2091</v>
      </c>
      <c r="J445" s="5">
        <f t="shared" si="136"/>
        <v>2148</v>
      </c>
      <c r="K445" s="5">
        <f t="shared" si="143"/>
        <v>3000</v>
      </c>
      <c r="L445" s="5">
        <f t="shared" si="144"/>
        <v>3000</v>
      </c>
      <c r="M445" s="5">
        <f t="shared" si="145"/>
        <v>3000</v>
      </c>
      <c r="N445" s="5">
        <f t="shared" si="140"/>
        <v>-792</v>
      </c>
      <c r="O445" s="5">
        <f t="shared" si="141"/>
        <v>-909</v>
      </c>
      <c r="P445" s="5">
        <f t="shared" si="142"/>
        <v>-852</v>
      </c>
      <c r="Q445" s="4">
        <v>3</v>
      </c>
      <c r="R445" s="4">
        <v>9</v>
      </c>
      <c r="S445" s="4">
        <v>2</v>
      </c>
      <c r="T445" s="6">
        <f t="shared" si="137"/>
        <v>788</v>
      </c>
      <c r="U445" s="7">
        <f t="shared" si="148"/>
        <v>2388</v>
      </c>
      <c r="V445" s="7">
        <f t="shared" si="149"/>
        <v>2091</v>
      </c>
      <c r="W445" s="7">
        <f t="shared" si="147"/>
        <v>2638</v>
      </c>
      <c r="X445" s="6"/>
      <c r="Y445" s="5"/>
      <c r="Z445" s="5"/>
      <c r="AA445" s="5"/>
      <c r="AB445" s="5"/>
    </row>
    <row r="446" spans="1:28" ht="13.15" customHeight="1">
      <c r="A446" s="9">
        <f t="shared" si="146"/>
        <v>432</v>
      </c>
      <c r="B446" s="10">
        <f t="shared" si="138"/>
        <v>45702</v>
      </c>
      <c r="C446" s="9">
        <f t="shared" si="139"/>
        <v>842</v>
      </c>
      <c r="D446" s="8">
        <f t="shared" si="130"/>
        <v>2039</v>
      </c>
      <c r="E446" s="4">
        <f t="shared" si="131"/>
        <v>675</v>
      </c>
      <c r="F446" s="4">
        <f t="shared" si="132"/>
        <v>798</v>
      </c>
      <c r="G446" s="4">
        <f t="shared" si="133"/>
        <v>735</v>
      </c>
      <c r="H446" s="5">
        <f t="shared" si="134"/>
        <v>2206</v>
      </c>
      <c r="I446" s="5">
        <f t="shared" si="135"/>
        <v>2083</v>
      </c>
      <c r="J446" s="5">
        <f t="shared" si="136"/>
        <v>2146</v>
      </c>
      <c r="K446" s="5">
        <f t="shared" si="143"/>
        <v>3000</v>
      </c>
      <c r="L446" s="5">
        <f t="shared" si="144"/>
        <v>3000</v>
      </c>
      <c r="M446" s="5">
        <f t="shared" si="145"/>
        <v>3000</v>
      </c>
      <c r="N446" s="5">
        <f t="shared" si="140"/>
        <v>-794</v>
      </c>
      <c r="O446" s="5">
        <f t="shared" si="141"/>
        <v>-917</v>
      </c>
      <c r="P446" s="5">
        <f t="shared" si="142"/>
        <v>-854</v>
      </c>
      <c r="Q446" s="4">
        <v>2</v>
      </c>
      <c r="R446" s="4">
        <v>8</v>
      </c>
      <c r="S446" s="4">
        <v>2</v>
      </c>
      <c r="T446" s="6">
        <f t="shared" si="137"/>
        <v>798</v>
      </c>
      <c r="U446" s="7">
        <f t="shared" si="148"/>
        <v>2386</v>
      </c>
      <c r="V446" s="7">
        <f t="shared" si="149"/>
        <v>2083</v>
      </c>
      <c r="W446" s="7">
        <f t="shared" si="147"/>
        <v>2636</v>
      </c>
      <c r="X446" s="6"/>
      <c r="Y446" s="5"/>
      <c r="Z446" s="5"/>
      <c r="AA446" s="5"/>
      <c r="AB446" s="5"/>
    </row>
    <row r="447" spans="1:28" ht="13.15" customHeight="1">
      <c r="A447" s="9">
        <f t="shared" si="146"/>
        <v>433</v>
      </c>
      <c r="B447" s="10">
        <f t="shared" si="138"/>
        <v>45703</v>
      </c>
      <c r="C447" s="9">
        <f t="shared" si="139"/>
        <v>842</v>
      </c>
      <c r="D447" s="8">
        <f t="shared" ref="D447:D491" si="150">D446+2</f>
        <v>2041</v>
      </c>
      <c r="E447" s="4">
        <f t="shared" si="131"/>
        <v>681</v>
      </c>
      <c r="F447" s="4">
        <f t="shared" si="132"/>
        <v>808</v>
      </c>
      <c r="G447" s="4">
        <f t="shared" si="133"/>
        <v>738</v>
      </c>
      <c r="H447" s="5">
        <f t="shared" si="134"/>
        <v>2202</v>
      </c>
      <c r="I447" s="5">
        <f t="shared" si="135"/>
        <v>2075</v>
      </c>
      <c r="J447" s="5">
        <f t="shared" si="136"/>
        <v>2145</v>
      </c>
      <c r="K447" s="5">
        <f t="shared" si="143"/>
        <v>3000</v>
      </c>
      <c r="L447" s="5">
        <f t="shared" si="144"/>
        <v>3000</v>
      </c>
      <c r="M447" s="5">
        <f t="shared" si="145"/>
        <v>3000</v>
      </c>
      <c r="N447" s="5">
        <f t="shared" si="140"/>
        <v>-798</v>
      </c>
      <c r="O447" s="5">
        <f t="shared" si="141"/>
        <v>-925</v>
      </c>
      <c r="P447" s="5">
        <f t="shared" si="142"/>
        <v>-855</v>
      </c>
      <c r="Q447" s="4">
        <v>4</v>
      </c>
      <c r="R447" s="4">
        <v>8</v>
      </c>
      <c r="S447" s="4">
        <v>1</v>
      </c>
      <c r="T447" s="6">
        <f t="shared" si="137"/>
        <v>808</v>
      </c>
      <c r="U447" s="7">
        <f t="shared" si="148"/>
        <v>2382</v>
      </c>
      <c r="V447" s="7">
        <f t="shared" si="149"/>
        <v>2075</v>
      </c>
      <c r="W447" s="7">
        <f t="shared" si="147"/>
        <v>2635</v>
      </c>
      <c r="X447" s="6"/>
      <c r="Y447" s="5"/>
      <c r="Z447" s="5"/>
      <c r="AA447" s="5"/>
      <c r="AB447" s="5"/>
    </row>
    <row r="448" spans="1:28" ht="13.15" customHeight="1">
      <c r="A448" s="9">
        <f t="shared" si="146"/>
        <v>434</v>
      </c>
      <c r="B448" s="10">
        <f t="shared" si="138"/>
        <v>45704</v>
      </c>
      <c r="C448" s="9">
        <f t="shared" si="139"/>
        <v>842</v>
      </c>
      <c r="D448" s="8">
        <f t="shared" si="150"/>
        <v>2043</v>
      </c>
      <c r="E448" s="4">
        <f t="shared" si="131"/>
        <v>686</v>
      </c>
      <c r="F448" s="4">
        <f t="shared" si="132"/>
        <v>819</v>
      </c>
      <c r="G448" s="4">
        <f t="shared" si="133"/>
        <v>742</v>
      </c>
      <c r="H448" s="5">
        <f t="shared" si="134"/>
        <v>2199</v>
      </c>
      <c r="I448" s="5">
        <f t="shared" si="135"/>
        <v>2066</v>
      </c>
      <c r="J448" s="5">
        <f t="shared" si="136"/>
        <v>2143</v>
      </c>
      <c r="K448" s="5">
        <f t="shared" si="143"/>
        <v>3000</v>
      </c>
      <c r="L448" s="5">
        <f t="shared" si="144"/>
        <v>3000</v>
      </c>
      <c r="M448" s="5">
        <f t="shared" si="145"/>
        <v>3000</v>
      </c>
      <c r="N448" s="5">
        <f t="shared" si="140"/>
        <v>-801</v>
      </c>
      <c r="O448" s="5">
        <f t="shared" si="141"/>
        <v>-934</v>
      </c>
      <c r="P448" s="5">
        <f t="shared" si="142"/>
        <v>-857</v>
      </c>
      <c r="Q448" s="4">
        <v>3</v>
      </c>
      <c r="R448" s="4">
        <v>9</v>
      </c>
      <c r="S448" s="4">
        <v>2</v>
      </c>
      <c r="T448" s="6">
        <f t="shared" si="137"/>
        <v>819</v>
      </c>
      <c r="U448" s="7">
        <f t="shared" si="148"/>
        <v>2379</v>
      </c>
      <c r="V448" s="7">
        <f t="shared" si="149"/>
        <v>2066</v>
      </c>
      <c r="W448" s="7">
        <f t="shared" si="147"/>
        <v>2633</v>
      </c>
      <c r="X448" s="6"/>
      <c r="Y448" s="5"/>
      <c r="Z448" s="5"/>
      <c r="AA448" s="5"/>
      <c r="AB448" s="5"/>
    </row>
    <row r="449" spans="1:28" ht="13.15" customHeight="1">
      <c r="A449" s="9">
        <f t="shared" si="146"/>
        <v>435</v>
      </c>
      <c r="B449" s="10">
        <f t="shared" si="138"/>
        <v>45705</v>
      </c>
      <c r="C449" s="9">
        <f t="shared" si="139"/>
        <v>842</v>
      </c>
      <c r="D449" s="8">
        <f t="shared" si="150"/>
        <v>2045</v>
      </c>
      <c r="E449" s="4">
        <f t="shared" si="131"/>
        <v>692</v>
      </c>
      <c r="F449" s="4">
        <f t="shared" si="132"/>
        <v>830</v>
      </c>
      <c r="G449" s="4">
        <f t="shared" si="133"/>
        <v>746</v>
      </c>
      <c r="H449" s="5">
        <f t="shared" si="134"/>
        <v>2195</v>
      </c>
      <c r="I449" s="5">
        <f t="shared" si="135"/>
        <v>2057</v>
      </c>
      <c r="J449" s="5">
        <f t="shared" si="136"/>
        <v>2141</v>
      </c>
      <c r="K449" s="5">
        <f t="shared" si="143"/>
        <v>3000</v>
      </c>
      <c r="L449" s="5">
        <f t="shared" si="144"/>
        <v>3000</v>
      </c>
      <c r="M449" s="5">
        <f t="shared" si="145"/>
        <v>3000</v>
      </c>
      <c r="N449" s="5">
        <f t="shared" si="140"/>
        <v>-805</v>
      </c>
      <c r="O449" s="5">
        <f t="shared" si="141"/>
        <v>-943</v>
      </c>
      <c r="P449" s="5">
        <f t="shared" si="142"/>
        <v>-859</v>
      </c>
      <c r="Q449" s="4">
        <v>4</v>
      </c>
      <c r="R449" s="4">
        <v>9</v>
      </c>
      <c r="S449" s="4">
        <v>2</v>
      </c>
      <c r="T449" s="6">
        <f t="shared" si="137"/>
        <v>830</v>
      </c>
      <c r="U449" s="7">
        <f t="shared" si="148"/>
        <v>2375</v>
      </c>
      <c r="V449" s="7">
        <f t="shared" si="149"/>
        <v>2057</v>
      </c>
      <c r="W449" s="7">
        <f t="shared" si="147"/>
        <v>2631</v>
      </c>
      <c r="X449" s="6"/>
      <c r="Y449" s="5"/>
      <c r="Z449" s="5"/>
      <c r="AA449" s="5"/>
      <c r="AB449" s="5"/>
    </row>
    <row r="450" spans="1:28" ht="13.15" customHeight="1">
      <c r="A450" s="9">
        <f t="shared" si="146"/>
        <v>436</v>
      </c>
      <c r="B450" s="10">
        <f t="shared" si="138"/>
        <v>45706</v>
      </c>
      <c r="C450" s="9">
        <f t="shared" si="139"/>
        <v>842</v>
      </c>
      <c r="D450" s="8">
        <f t="shared" si="150"/>
        <v>2047</v>
      </c>
      <c r="E450" s="4">
        <f t="shared" si="131"/>
        <v>696</v>
      </c>
      <c r="F450" s="4">
        <f t="shared" si="132"/>
        <v>840</v>
      </c>
      <c r="G450" s="4">
        <f t="shared" si="133"/>
        <v>750</v>
      </c>
      <c r="H450" s="5">
        <f t="shared" si="134"/>
        <v>2193</v>
      </c>
      <c r="I450" s="5">
        <f t="shared" si="135"/>
        <v>2049</v>
      </c>
      <c r="J450" s="5">
        <f t="shared" si="136"/>
        <v>2139</v>
      </c>
      <c r="K450" s="5">
        <f t="shared" si="143"/>
        <v>3000</v>
      </c>
      <c r="L450" s="5">
        <f t="shared" si="144"/>
        <v>3000</v>
      </c>
      <c r="M450" s="5">
        <f t="shared" si="145"/>
        <v>3000</v>
      </c>
      <c r="N450" s="5">
        <f t="shared" si="140"/>
        <v>-807</v>
      </c>
      <c r="O450" s="5">
        <f t="shared" si="141"/>
        <v>-951</v>
      </c>
      <c r="P450" s="5">
        <f t="shared" si="142"/>
        <v>-861</v>
      </c>
      <c r="Q450" s="4">
        <v>2</v>
      </c>
      <c r="R450" s="4">
        <v>8</v>
      </c>
      <c r="S450" s="4">
        <v>2</v>
      </c>
      <c r="T450" s="6">
        <f t="shared" si="137"/>
        <v>840</v>
      </c>
      <c r="U450" s="7">
        <f t="shared" si="148"/>
        <v>2373</v>
      </c>
      <c r="V450" s="7">
        <f t="shared" si="149"/>
        <v>2049</v>
      </c>
      <c r="W450" s="7">
        <f t="shared" si="147"/>
        <v>2629</v>
      </c>
      <c r="X450" s="6"/>
      <c r="Y450" s="5"/>
      <c r="Z450" s="5"/>
      <c r="AA450" s="5"/>
      <c r="AB450" s="5"/>
    </row>
    <row r="451" spans="1:28" ht="13.15" customHeight="1">
      <c r="A451" s="9">
        <f t="shared" si="146"/>
        <v>437</v>
      </c>
      <c r="B451" s="10">
        <f t="shared" si="138"/>
        <v>45707</v>
      </c>
      <c r="C451" s="9">
        <f t="shared" si="139"/>
        <v>842</v>
      </c>
      <c r="D451" s="8">
        <f t="shared" si="150"/>
        <v>2049</v>
      </c>
      <c r="E451" s="4">
        <f t="shared" si="131"/>
        <v>703</v>
      </c>
      <c r="F451" s="4">
        <f t="shared" si="132"/>
        <v>851</v>
      </c>
      <c r="G451" s="4">
        <f t="shared" si="133"/>
        <v>754</v>
      </c>
      <c r="H451" s="5">
        <f t="shared" si="134"/>
        <v>2188</v>
      </c>
      <c r="I451" s="5">
        <f t="shared" si="135"/>
        <v>2040</v>
      </c>
      <c r="J451" s="5">
        <f t="shared" si="136"/>
        <v>2137</v>
      </c>
      <c r="K451" s="5">
        <f t="shared" si="143"/>
        <v>3000</v>
      </c>
      <c r="L451" s="5">
        <f t="shared" si="144"/>
        <v>3000</v>
      </c>
      <c r="M451" s="5">
        <f t="shared" si="145"/>
        <v>3000</v>
      </c>
      <c r="N451" s="5">
        <f t="shared" si="140"/>
        <v>-812</v>
      </c>
      <c r="O451" s="5">
        <f t="shared" si="141"/>
        <v>-960</v>
      </c>
      <c r="P451" s="5">
        <f t="shared" si="142"/>
        <v>-863</v>
      </c>
      <c r="Q451" s="4">
        <v>5</v>
      </c>
      <c r="R451" s="4">
        <v>9</v>
      </c>
      <c r="S451" s="4">
        <v>2</v>
      </c>
      <c r="T451" s="6">
        <f t="shared" si="137"/>
        <v>851</v>
      </c>
      <c r="U451" s="7">
        <f t="shared" si="148"/>
        <v>2368</v>
      </c>
      <c r="V451" s="7">
        <f t="shared" si="149"/>
        <v>2040</v>
      </c>
      <c r="W451" s="7">
        <f t="shared" si="147"/>
        <v>2627</v>
      </c>
      <c r="X451" s="6"/>
      <c r="Y451" s="5"/>
      <c r="Z451" s="5"/>
      <c r="AA451" s="5"/>
      <c r="AB451" s="5"/>
    </row>
    <row r="452" spans="1:28" ht="13.15" customHeight="1">
      <c r="A452" s="9">
        <f t="shared" si="146"/>
        <v>438</v>
      </c>
      <c r="B452" s="10">
        <f t="shared" si="138"/>
        <v>45708</v>
      </c>
      <c r="C452" s="9">
        <f t="shared" si="139"/>
        <v>842</v>
      </c>
      <c r="D452" s="8">
        <f t="shared" si="150"/>
        <v>2051</v>
      </c>
      <c r="E452" s="4">
        <f t="shared" si="131"/>
        <v>710</v>
      </c>
      <c r="F452" s="4">
        <f t="shared" si="132"/>
        <v>861</v>
      </c>
      <c r="G452" s="4">
        <f t="shared" si="133"/>
        <v>758</v>
      </c>
      <c r="H452" s="5">
        <f t="shared" si="134"/>
        <v>2183</v>
      </c>
      <c r="I452" s="5">
        <f t="shared" si="135"/>
        <v>2032</v>
      </c>
      <c r="J452" s="5">
        <f t="shared" si="136"/>
        <v>2135</v>
      </c>
      <c r="K452" s="5">
        <f t="shared" si="143"/>
        <v>3000</v>
      </c>
      <c r="L452" s="5">
        <f t="shared" si="144"/>
        <v>3000</v>
      </c>
      <c r="M452" s="5">
        <f t="shared" si="145"/>
        <v>3000</v>
      </c>
      <c r="N452" s="5">
        <f t="shared" si="140"/>
        <v>-817</v>
      </c>
      <c r="O452" s="5">
        <f t="shared" si="141"/>
        <v>-968</v>
      </c>
      <c r="P452" s="5">
        <f t="shared" si="142"/>
        <v>-865</v>
      </c>
      <c r="Q452" s="4">
        <v>5</v>
      </c>
      <c r="R452" s="4">
        <v>8</v>
      </c>
      <c r="S452" s="4">
        <v>2</v>
      </c>
      <c r="T452" s="6">
        <f t="shared" si="137"/>
        <v>861</v>
      </c>
      <c r="U452" s="7">
        <f t="shared" si="148"/>
        <v>2363</v>
      </c>
      <c r="V452" s="7">
        <f t="shared" si="149"/>
        <v>2032</v>
      </c>
      <c r="W452" s="7">
        <f t="shared" si="147"/>
        <v>2625</v>
      </c>
      <c r="X452" s="6"/>
      <c r="Y452" s="5"/>
      <c r="Z452" s="5"/>
      <c r="AA452" s="5"/>
      <c r="AB452" s="5"/>
    </row>
    <row r="453" spans="1:28" ht="13.15" customHeight="1">
      <c r="A453" s="9">
        <f t="shared" si="146"/>
        <v>439</v>
      </c>
      <c r="B453" s="10">
        <f t="shared" si="138"/>
        <v>45709</v>
      </c>
      <c r="C453" s="9">
        <f t="shared" si="139"/>
        <v>842</v>
      </c>
      <c r="D453" s="8">
        <f t="shared" si="150"/>
        <v>2053</v>
      </c>
      <c r="E453" s="4">
        <f t="shared" si="131"/>
        <v>719</v>
      </c>
      <c r="F453" s="4">
        <f t="shared" si="132"/>
        <v>870</v>
      </c>
      <c r="G453" s="4">
        <f t="shared" si="133"/>
        <v>761</v>
      </c>
      <c r="H453" s="5">
        <f t="shared" si="134"/>
        <v>2176</v>
      </c>
      <c r="I453" s="5">
        <f t="shared" si="135"/>
        <v>2025</v>
      </c>
      <c r="J453" s="5">
        <f t="shared" si="136"/>
        <v>2134</v>
      </c>
      <c r="K453" s="5">
        <f t="shared" si="143"/>
        <v>3000</v>
      </c>
      <c r="L453" s="5">
        <f t="shared" si="144"/>
        <v>3000</v>
      </c>
      <c r="M453" s="5">
        <f t="shared" si="145"/>
        <v>3000</v>
      </c>
      <c r="N453" s="5">
        <f t="shared" si="140"/>
        <v>-824</v>
      </c>
      <c r="O453" s="5">
        <f t="shared" si="141"/>
        <v>-975</v>
      </c>
      <c r="P453" s="5">
        <f t="shared" si="142"/>
        <v>-866</v>
      </c>
      <c r="Q453" s="4">
        <v>7</v>
      </c>
      <c r="R453" s="4">
        <v>7</v>
      </c>
      <c r="S453" s="4">
        <v>1</v>
      </c>
      <c r="T453" s="6">
        <f t="shared" si="137"/>
        <v>870</v>
      </c>
      <c r="U453" s="7">
        <f t="shared" si="148"/>
        <v>2356</v>
      </c>
      <c r="V453" s="7">
        <f t="shared" si="149"/>
        <v>2025</v>
      </c>
      <c r="W453" s="7">
        <f t="shared" si="147"/>
        <v>2624</v>
      </c>
      <c r="X453" s="6"/>
      <c r="Y453" s="5"/>
      <c r="Z453" s="5"/>
      <c r="AA453" s="5"/>
      <c r="AB453" s="5"/>
    </row>
    <row r="454" spans="1:28" ht="13.15" customHeight="1">
      <c r="A454" s="9">
        <f t="shared" si="146"/>
        <v>440</v>
      </c>
      <c r="B454" s="10">
        <f t="shared" si="138"/>
        <v>45710</v>
      </c>
      <c r="C454" s="9">
        <f t="shared" si="139"/>
        <v>842</v>
      </c>
      <c r="D454" s="8">
        <f t="shared" si="150"/>
        <v>2055</v>
      </c>
      <c r="E454" s="4">
        <f t="shared" si="131"/>
        <v>726</v>
      </c>
      <c r="F454" s="4">
        <f t="shared" si="132"/>
        <v>881</v>
      </c>
      <c r="G454" s="4">
        <f t="shared" si="133"/>
        <v>765</v>
      </c>
      <c r="H454" s="5">
        <f t="shared" si="134"/>
        <v>2171</v>
      </c>
      <c r="I454" s="5">
        <f t="shared" si="135"/>
        <v>2016</v>
      </c>
      <c r="J454" s="5">
        <f t="shared" si="136"/>
        <v>2132</v>
      </c>
      <c r="K454" s="5">
        <f t="shared" si="143"/>
        <v>3000</v>
      </c>
      <c r="L454" s="5">
        <f t="shared" si="144"/>
        <v>3000</v>
      </c>
      <c r="M454" s="5">
        <f t="shared" si="145"/>
        <v>3000</v>
      </c>
      <c r="N454" s="5">
        <f t="shared" si="140"/>
        <v>-829</v>
      </c>
      <c r="O454" s="5">
        <f t="shared" si="141"/>
        <v>-984</v>
      </c>
      <c r="P454" s="5">
        <f t="shared" si="142"/>
        <v>-868</v>
      </c>
      <c r="Q454" s="4">
        <v>5</v>
      </c>
      <c r="R454" s="4">
        <v>9</v>
      </c>
      <c r="S454" s="4">
        <v>2</v>
      </c>
      <c r="T454" s="6">
        <f t="shared" si="137"/>
        <v>881</v>
      </c>
      <c r="U454" s="7">
        <f t="shared" si="148"/>
        <v>2351</v>
      </c>
      <c r="V454" s="7">
        <f t="shared" si="149"/>
        <v>2016</v>
      </c>
      <c r="W454" s="7">
        <f t="shared" si="147"/>
        <v>2622</v>
      </c>
      <c r="X454" s="6"/>
      <c r="Y454" s="5"/>
      <c r="Z454" s="5"/>
      <c r="AA454" s="5"/>
      <c r="AB454" s="5"/>
    </row>
    <row r="455" spans="1:28" ht="13.15" customHeight="1">
      <c r="A455" s="9">
        <f t="shared" si="146"/>
        <v>441</v>
      </c>
      <c r="B455" s="10">
        <f t="shared" si="138"/>
        <v>45711</v>
      </c>
      <c r="C455" s="9">
        <f t="shared" si="139"/>
        <v>842</v>
      </c>
      <c r="D455" s="8">
        <f t="shared" si="150"/>
        <v>2057</v>
      </c>
      <c r="E455" s="4">
        <f t="shared" si="131"/>
        <v>735</v>
      </c>
      <c r="F455" s="4">
        <f t="shared" si="132"/>
        <v>891</v>
      </c>
      <c r="G455" s="4">
        <f t="shared" si="133"/>
        <v>768</v>
      </c>
      <c r="H455" s="5">
        <f t="shared" si="134"/>
        <v>2164</v>
      </c>
      <c r="I455" s="5">
        <f t="shared" si="135"/>
        <v>2008</v>
      </c>
      <c r="J455" s="5">
        <f t="shared" si="136"/>
        <v>2131</v>
      </c>
      <c r="K455" s="5">
        <f t="shared" si="143"/>
        <v>3000</v>
      </c>
      <c r="L455" s="5">
        <f t="shared" si="144"/>
        <v>3000</v>
      </c>
      <c r="M455" s="5">
        <f t="shared" si="145"/>
        <v>3000</v>
      </c>
      <c r="N455" s="5">
        <f t="shared" si="140"/>
        <v>-836</v>
      </c>
      <c r="O455" s="5">
        <f t="shared" si="141"/>
        <v>-992</v>
      </c>
      <c r="P455" s="5">
        <f t="shared" si="142"/>
        <v>-869</v>
      </c>
      <c r="Q455" s="4">
        <v>7</v>
      </c>
      <c r="R455" s="4">
        <v>8</v>
      </c>
      <c r="S455" s="4">
        <v>1</v>
      </c>
      <c r="T455" s="6">
        <f t="shared" si="137"/>
        <v>891</v>
      </c>
      <c r="U455" s="7">
        <f t="shared" si="148"/>
        <v>2344</v>
      </c>
      <c r="V455" s="7">
        <f t="shared" si="149"/>
        <v>2008</v>
      </c>
      <c r="W455" s="7">
        <f t="shared" si="147"/>
        <v>2621</v>
      </c>
      <c r="X455" s="6"/>
      <c r="Y455" s="5"/>
      <c r="Z455" s="5"/>
      <c r="AA455" s="5"/>
      <c r="AB455" s="5"/>
    </row>
    <row r="456" spans="1:28" ht="13.15" customHeight="1">
      <c r="A456" s="9">
        <f t="shared" si="146"/>
        <v>442</v>
      </c>
      <c r="B456" s="10">
        <f t="shared" si="138"/>
        <v>45712</v>
      </c>
      <c r="C456" s="9">
        <f t="shared" si="139"/>
        <v>842</v>
      </c>
      <c r="D456" s="8">
        <f t="shared" si="150"/>
        <v>2059</v>
      </c>
      <c r="E456" s="4">
        <f t="shared" si="131"/>
        <v>740</v>
      </c>
      <c r="F456" s="4">
        <f t="shared" si="132"/>
        <v>901</v>
      </c>
      <c r="G456" s="4">
        <f t="shared" si="133"/>
        <v>771</v>
      </c>
      <c r="H456" s="5">
        <f t="shared" si="134"/>
        <v>2161</v>
      </c>
      <c r="I456" s="5">
        <f t="shared" si="135"/>
        <v>2000</v>
      </c>
      <c r="J456" s="5">
        <f t="shared" si="136"/>
        <v>2130</v>
      </c>
      <c r="K456" s="5">
        <f t="shared" si="143"/>
        <v>3000</v>
      </c>
      <c r="L456" s="5">
        <f t="shared" si="144"/>
        <v>3000</v>
      </c>
      <c r="M456" s="5">
        <f t="shared" si="145"/>
        <v>3000</v>
      </c>
      <c r="N456" s="5">
        <f t="shared" si="140"/>
        <v>-839</v>
      </c>
      <c r="O456" s="5">
        <f t="shared" si="141"/>
        <v>-1000</v>
      </c>
      <c r="P456" s="5">
        <f t="shared" si="142"/>
        <v>-870</v>
      </c>
      <c r="Q456" s="4">
        <v>3</v>
      </c>
      <c r="R456" s="4">
        <v>8</v>
      </c>
      <c r="S456" s="4">
        <v>1</v>
      </c>
      <c r="T456" s="6">
        <f t="shared" si="137"/>
        <v>901</v>
      </c>
      <c r="U456" s="7">
        <f t="shared" si="148"/>
        <v>2341</v>
      </c>
      <c r="V456" s="7">
        <f t="shared" si="149"/>
        <v>2000</v>
      </c>
      <c r="W456" s="7">
        <f t="shared" si="147"/>
        <v>2620</v>
      </c>
      <c r="X456" s="6"/>
      <c r="Y456" s="5"/>
      <c r="Z456" s="5"/>
      <c r="AA456" s="5"/>
      <c r="AB456" s="5"/>
    </row>
    <row r="457" spans="1:28" ht="13.15" customHeight="1">
      <c r="A457" s="9">
        <f t="shared" si="146"/>
        <v>443</v>
      </c>
      <c r="B457" s="10">
        <f t="shared" si="138"/>
        <v>45713</v>
      </c>
      <c r="C457" s="9">
        <f t="shared" si="139"/>
        <v>842</v>
      </c>
      <c r="D457" s="8">
        <f t="shared" si="150"/>
        <v>2061</v>
      </c>
      <c r="E457" s="4">
        <f t="shared" si="131"/>
        <v>744</v>
      </c>
      <c r="F457" s="4">
        <f t="shared" si="132"/>
        <v>910</v>
      </c>
      <c r="G457" s="4">
        <f t="shared" si="133"/>
        <v>776</v>
      </c>
      <c r="H457" s="5">
        <f t="shared" si="134"/>
        <v>2159</v>
      </c>
      <c r="I457" s="5">
        <f t="shared" si="135"/>
        <v>1993</v>
      </c>
      <c r="J457" s="5">
        <f t="shared" si="136"/>
        <v>2127</v>
      </c>
      <c r="K457" s="5">
        <f t="shared" si="143"/>
        <v>3000</v>
      </c>
      <c r="L457" s="5">
        <f t="shared" si="144"/>
        <v>3000</v>
      </c>
      <c r="M457" s="5">
        <f t="shared" si="145"/>
        <v>3000</v>
      </c>
      <c r="N457" s="5">
        <f t="shared" si="140"/>
        <v>-841</v>
      </c>
      <c r="O457" s="5">
        <f t="shared" si="141"/>
        <v>-1007</v>
      </c>
      <c r="P457" s="5">
        <f t="shared" si="142"/>
        <v>-873</v>
      </c>
      <c r="Q457" s="4">
        <v>2</v>
      </c>
      <c r="R457" s="4">
        <v>7</v>
      </c>
      <c r="S457" s="4">
        <v>3</v>
      </c>
      <c r="T457" s="6">
        <f t="shared" si="137"/>
        <v>910</v>
      </c>
      <c r="U457" s="7">
        <f t="shared" si="148"/>
        <v>2339</v>
      </c>
      <c r="V457" s="7">
        <f t="shared" si="149"/>
        <v>1993</v>
      </c>
      <c r="W457" s="7">
        <f t="shared" si="147"/>
        <v>2617</v>
      </c>
      <c r="X457" s="6"/>
      <c r="Y457" s="5"/>
      <c r="Z457" s="5"/>
      <c r="AA457" s="5"/>
      <c r="AB457" s="5"/>
    </row>
    <row r="458" spans="1:28" ht="13.15" customHeight="1">
      <c r="A458" s="9">
        <f t="shared" si="146"/>
        <v>444</v>
      </c>
      <c r="B458" s="10">
        <f t="shared" si="138"/>
        <v>45714</v>
      </c>
      <c r="C458" s="9">
        <f t="shared" si="139"/>
        <v>842</v>
      </c>
      <c r="D458" s="8">
        <f t="shared" si="150"/>
        <v>2063</v>
      </c>
      <c r="E458" s="4">
        <f t="shared" si="131"/>
        <v>750</v>
      </c>
      <c r="F458" s="4">
        <f t="shared" si="132"/>
        <v>919</v>
      </c>
      <c r="G458" s="4">
        <f t="shared" si="133"/>
        <v>779</v>
      </c>
      <c r="H458" s="5">
        <f t="shared" si="134"/>
        <v>2155</v>
      </c>
      <c r="I458" s="5">
        <f t="shared" si="135"/>
        <v>1986</v>
      </c>
      <c r="J458" s="5">
        <f t="shared" si="136"/>
        <v>2126</v>
      </c>
      <c r="K458" s="5">
        <f t="shared" si="143"/>
        <v>3000</v>
      </c>
      <c r="L458" s="5">
        <f t="shared" si="144"/>
        <v>3000</v>
      </c>
      <c r="M458" s="5">
        <f t="shared" si="145"/>
        <v>3000</v>
      </c>
      <c r="N458" s="5">
        <f t="shared" si="140"/>
        <v>-845</v>
      </c>
      <c r="O458" s="5">
        <f t="shared" si="141"/>
        <v>-1014</v>
      </c>
      <c r="P458" s="5">
        <f t="shared" si="142"/>
        <v>-874</v>
      </c>
      <c r="Q458" s="4">
        <v>4</v>
      </c>
      <c r="R458" s="4">
        <v>7</v>
      </c>
      <c r="S458" s="4">
        <v>1</v>
      </c>
      <c r="T458" s="6">
        <f t="shared" si="137"/>
        <v>919</v>
      </c>
      <c r="U458" s="7">
        <f t="shared" si="148"/>
        <v>2335</v>
      </c>
      <c r="V458" s="7">
        <f t="shared" si="149"/>
        <v>1986</v>
      </c>
      <c r="W458" s="7">
        <f t="shared" si="147"/>
        <v>2616</v>
      </c>
      <c r="X458" s="6"/>
      <c r="Y458" s="5"/>
      <c r="Z458" s="5"/>
      <c r="AA458" s="5"/>
      <c r="AB458" s="5"/>
    </row>
    <row r="459" spans="1:28" ht="13.15" customHeight="1">
      <c r="A459" s="9">
        <f t="shared" si="146"/>
        <v>445</v>
      </c>
      <c r="B459" s="10">
        <f t="shared" si="138"/>
        <v>45715</v>
      </c>
      <c r="C459" s="9">
        <f t="shared" si="139"/>
        <v>842</v>
      </c>
      <c r="D459" s="8">
        <f t="shared" si="150"/>
        <v>2065</v>
      </c>
      <c r="E459" s="4">
        <f t="shared" si="131"/>
        <v>759</v>
      </c>
      <c r="F459" s="4">
        <f t="shared" si="132"/>
        <v>927</v>
      </c>
      <c r="G459" s="4">
        <f t="shared" si="133"/>
        <v>783</v>
      </c>
      <c r="H459" s="5">
        <f t="shared" si="134"/>
        <v>2148</v>
      </c>
      <c r="I459" s="5">
        <f t="shared" si="135"/>
        <v>1980</v>
      </c>
      <c r="J459" s="5">
        <f t="shared" si="136"/>
        <v>2124</v>
      </c>
      <c r="K459" s="5">
        <f t="shared" si="143"/>
        <v>3000</v>
      </c>
      <c r="L459" s="5">
        <f t="shared" si="144"/>
        <v>3000</v>
      </c>
      <c r="M459" s="5">
        <f t="shared" si="145"/>
        <v>3000</v>
      </c>
      <c r="N459" s="5">
        <f t="shared" si="140"/>
        <v>-852</v>
      </c>
      <c r="O459" s="5">
        <f t="shared" si="141"/>
        <v>-1020</v>
      </c>
      <c r="P459" s="5">
        <f t="shared" si="142"/>
        <v>-876</v>
      </c>
      <c r="Q459" s="4">
        <v>7</v>
      </c>
      <c r="R459" s="4">
        <v>6</v>
      </c>
      <c r="S459" s="4">
        <v>2</v>
      </c>
      <c r="T459" s="6">
        <f t="shared" si="137"/>
        <v>927</v>
      </c>
      <c r="U459" s="7">
        <f t="shared" si="148"/>
        <v>2328</v>
      </c>
      <c r="V459" s="7">
        <f t="shared" si="149"/>
        <v>1980</v>
      </c>
      <c r="W459" s="7">
        <f t="shared" si="147"/>
        <v>2614</v>
      </c>
      <c r="X459" s="6"/>
      <c r="Y459" s="5"/>
      <c r="Z459" s="5"/>
      <c r="AA459" s="5"/>
      <c r="AB459" s="5"/>
    </row>
    <row r="460" spans="1:28" ht="13.15" customHeight="1">
      <c r="A460" s="9">
        <f t="shared" si="146"/>
        <v>446</v>
      </c>
      <c r="B460" s="10">
        <f t="shared" si="138"/>
        <v>45716</v>
      </c>
      <c r="C460" s="9">
        <f t="shared" si="139"/>
        <v>842</v>
      </c>
      <c r="D460" s="8">
        <f t="shared" si="150"/>
        <v>2067</v>
      </c>
      <c r="E460" s="4">
        <f t="shared" si="131"/>
        <v>766</v>
      </c>
      <c r="F460" s="4">
        <f t="shared" si="132"/>
        <v>937</v>
      </c>
      <c r="G460" s="4">
        <f t="shared" si="133"/>
        <v>786</v>
      </c>
      <c r="H460" s="5">
        <f t="shared" si="134"/>
        <v>2143</v>
      </c>
      <c r="I460" s="5">
        <f t="shared" si="135"/>
        <v>1972</v>
      </c>
      <c r="J460" s="5">
        <f t="shared" si="136"/>
        <v>2123</v>
      </c>
      <c r="K460" s="5">
        <f t="shared" si="143"/>
        <v>3000</v>
      </c>
      <c r="L460" s="5">
        <f t="shared" si="144"/>
        <v>3000</v>
      </c>
      <c r="M460" s="5">
        <f t="shared" si="145"/>
        <v>3000</v>
      </c>
      <c r="N460" s="5">
        <f t="shared" si="140"/>
        <v>-857</v>
      </c>
      <c r="O460" s="5">
        <f t="shared" si="141"/>
        <v>-1028</v>
      </c>
      <c r="P460" s="5">
        <f t="shared" si="142"/>
        <v>-877</v>
      </c>
      <c r="Q460" s="4">
        <v>5</v>
      </c>
      <c r="R460" s="4">
        <v>8</v>
      </c>
      <c r="S460" s="4">
        <v>1</v>
      </c>
      <c r="T460" s="6">
        <f t="shared" si="137"/>
        <v>937</v>
      </c>
      <c r="U460" s="7">
        <f t="shared" si="148"/>
        <v>2323</v>
      </c>
      <c r="V460" s="7">
        <f t="shared" si="149"/>
        <v>1972</v>
      </c>
      <c r="W460" s="7">
        <f t="shared" si="147"/>
        <v>2613</v>
      </c>
      <c r="X460" s="6"/>
      <c r="Y460" s="5"/>
      <c r="Z460" s="5"/>
      <c r="AA460" s="5"/>
      <c r="AB460" s="5"/>
    </row>
    <row r="461" spans="1:28" ht="13.15" customHeight="1">
      <c r="A461" s="9">
        <f t="shared" si="146"/>
        <v>447</v>
      </c>
      <c r="B461" s="10">
        <f t="shared" si="138"/>
        <v>45717</v>
      </c>
      <c r="C461" s="9">
        <f t="shared" si="139"/>
        <v>842</v>
      </c>
      <c r="D461" s="8">
        <f t="shared" si="150"/>
        <v>2069</v>
      </c>
      <c r="E461" s="4">
        <f t="shared" si="131"/>
        <v>773</v>
      </c>
      <c r="F461" s="4">
        <f t="shared" si="132"/>
        <v>946</v>
      </c>
      <c r="G461" s="4">
        <f t="shared" si="133"/>
        <v>790</v>
      </c>
      <c r="H461" s="5">
        <f t="shared" si="134"/>
        <v>2138</v>
      </c>
      <c r="I461" s="5">
        <f t="shared" si="135"/>
        <v>1965</v>
      </c>
      <c r="J461" s="5">
        <f t="shared" si="136"/>
        <v>2121</v>
      </c>
      <c r="K461" s="5">
        <f t="shared" si="143"/>
        <v>3000</v>
      </c>
      <c r="L461" s="5">
        <f t="shared" si="144"/>
        <v>3000</v>
      </c>
      <c r="M461" s="5">
        <f t="shared" si="145"/>
        <v>3000</v>
      </c>
      <c r="N461" s="5">
        <f t="shared" si="140"/>
        <v>-862</v>
      </c>
      <c r="O461" s="5">
        <f t="shared" si="141"/>
        <v>-1035</v>
      </c>
      <c r="P461" s="5">
        <f t="shared" si="142"/>
        <v>-879</v>
      </c>
      <c r="Q461" s="4">
        <v>5</v>
      </c>
      <c r="R461" s="4">
        <v>7</v>
      </c>
      <c r="S461" s="4">
        <v>2</v>
      </c>
      <c r="T461" s="6">
        <f t="shared" si="137"/>
        <v>946</v>
      </c>
      <c r="U461" s="7">
        <f t="shared" si="148"/>
        <v>2318</v>
      </c>
      <c r="V461" s="7">
        <f t="shared" si="149"/>
        <v>1965</v>
      </c>
      <c r="W461" s="7">
        <f t="shared" si="147"/>
        <v>2611</v>
      </c>
      <c r="X461" s="6"/>
      <c r="Y461" s="5"/>
      <c r="Z461" s="5"/>
      <c r="AA461" s="5"/>
      <c r="AB461" s="5"/>
    </row>
    <row r="462" spans="1:28" ht="13.15" customHeight="1">
      <c r="A462" s="9">
        <f t="shared" si="146"/>
        <v>448</v>
      </c>
      <c r="B462" s="10">
        <f t="shared" si="138"/>
        <v>45718</v>
      </c>
      <c r="C462" s="9">
        <f t="shared" si="139"/>
        <v>842</v>
      </c>
      <c r="D462" s="8">
        <f t="shared" si="150"/>
        <v>2071</v>
      </c>
      <c r="E462" s="4">
        <f t="shared" ref="E462:E491" si="151">C462+D462-H462</f>
        <v>779</v>
      </c>
      <c r="F462" s="4">
        <f t="shared" ref="F462:F491" si="152">C462+D462-I462</f>
        <v>957</v>
      </c>
      <c r="G462" s="4">
        <f t="shared" ref="G462:G491" si="153">D462+C462-J462</f>
        <v>794</v>
      </c>
      <c r="H462" s="5">
        <f t="shared" ref="H462:H491" si="154">K462+N462</f>
        <v>2134</v>
      </c>
      <c r="I462" s="5">
        <f t="shared" ref="I462:I491" si="155">L462+O462</f>
        <v>1956</v>
      </c>
      <c r="J462" s="5">
        <f t="shared" ref="J462:J491" si="156">M462+P462</f>
        <v>2119</v>
      </c>
      <c r="K462" s="5">
        <f t="shared" si="143"/>
        <v>3000</v>
      </c>
      <c r="L462" s="5">
        <f t="shared" si="144"/>
        <v>3000</v>
      </c>
      <c r="M462" s="5">
        <f t="shared" si="145"/>
        <v>3000</v>
      </c>
      <c r="N462" s="5">
        <f t="shared" si="140"/>
        <v>-866</v>
      </c>
      <c r="O462" s="5">
        <f t="shared" si="141"/>
        <v>-1044</v>
      </c>
      <c r="P462" s="5">
        <f t="shared" si="142"/>
        <v>-881</v>
      </c>
      <c r="Q462" s="4">
        <v>4</v>
      </c>
      <c r="R462" s="4">
        <v>9</v>
      </c>
      <c r="S462" s="4">
        <v>2</v>
      </c>
      <c r="T462" s="6">
        <f t="shared" ref="T462:T491" si="157">D462+C462-V462</f>
        <v>957</v>
      </c>
      <c r="U462" s="7">
        <f t="shared" si="148"/>
        <v>2314</v>
      </c>
      <c r="V462" s="7">
        <f t="shared" si="149"/>
        <v>1956</v>
      </c>
      <c r="W462" s="7">
        <f t="shared" si="147"/>
        <v>2609</v>
      </c>
      <c r="X462" s="6"/>
      <c r="Y462" s="5"/>
      <c r="Z462" s="5"/>
      <c r="AA462" s="5"/>
      <c r="AB462" s="5"/>
    </row>
    <row r="463" spans="1:28" ht="13.15" customHeight="1">
      <c r="A463" s="9">
        <f t="shared" si="146"/>
        <v>449</v>
      </c>
      <c r="B463" s="10">
        <f t="shared" ref="B463:B491" si="158">B462+1</f>
        <v>45719</v>
      </c>
      <c r="C463" s="9">
        <f t="shared" ref="C463:C491" si="159">C462</f>
        <v>842</v>
      </c>
      <c r="D463" s="8">
        <f t="shared" si="150"/>
        <v>2073</v>
      </c>
      <c r="E463" s="4">
        <f t="shared" si="151"/>
        <v>784</v>
      </c>
      <c r="F463" s="4">
        <f t="shared" si="152"/>
        <v>967</v>
      </c>
      <c r="G463" s="4">
        <f t="shared" si="153"/>
        <v>799</v>
      </c>
      <c r="H463" s="5">
        <f t="shared" si="154"/>
        <v>2131</v>
      </c>
      <c r="I463" s="5">
        <f t="shared" si="155"/>
        <v>1948</v>
      </c>
      <c r="J463" s="5">
        <f t="shared" si="156"/>
        <v>2116</v>
      </c>
      <c r="K463" s="5">
        <f t="shared" si="143"/>
        <v>3000</v>
      </c>
      <c r="L463" s="5">
        <f t="shared" si="144"/>
        <v>3000</v>
      </c>
      <c r="M463" s="5">
        <f t="shared" si="145"/>
        <v>3000</v>
      </c>
      <c r="N463" s="5">
        <f t="shared" ref="N463:N491" si="160">N462-Q463</f>
        <v>-869</v>
      </c>
      <c r="O463" s="5">
        <f t="shared" ref="O463:O491" si="161">O462-R463</f>
        <v>-1052</v>
      </c>
      <c r="P463" s="5">
        <f t="shared" ref="P463:P491" si="162">P462-S463</f>
        <v>-884</v>
      </c>
      <c r="Q463" s="4">
        <v>3</v>
      </c>
      <c r="R463" s="4">
        <v>8</v>
      </c>
      <c r="S463" s="4">
        <v>3</v>
      </c>
      <c r="T463" s="6">
        <f t="shared" si="157"/>
        <v>967</v>
      </c>
      <c r="U463" s="7">
        <f t="shared" si="148"/>
        <v>2311</v>
      </c>
      <c r="V463" s="7">
        <f t="shared" si="149"/>
        <v>1948</v>
      </c>
      <c r="W463" s="7">
        <f t="shared" si="147"/>
        <v>2606</v>
      </c>
      <c r="X463" s="6"/>
      <c r="Y463" s="5"/>
      <c r="Z463" s="5"/>
      <c r="AA463" s="5"/>
      <c r="AB463" s="5"/>
    </row>
    <row r="464" spans="1:28" ht="13.15" customHeight="1">
      <c r="A464" s="9">
        <f t="shared" si="146"/>
        <v>450</v>
      </c>
      <c r="B464" s="10">
        <f t="shared" si="158"/>
        <v>45720</v>
      </c>
      <c r="C464" s="9">
        <f t="shared" si="159"/>
        <v>842</v>
      </c>
      <c r="D464" s="8">
        <f t="shared" si="150"/>
        <v>2075</v>
      </c>
      <c r="E464" s="4">
        <f t="shared" si="151"/>
        <v>788</v>
      </c>
      <c r="F464" s="4">
        <f t="shared" si="152"/>
        <v>977</v>
      </c>
      <c r="G464" s="4">
        <f t="shared" si="153"/>
        <v>802</v>
      </c>
      <c r="H464" s="5">
        <f t="shared" si="154"/>
        <v>2129</v>
      </c>
      <c r="I464" s="5">
        <f t="shared" si="155"/>
        <v>1940</v>
      </c>
      <c r="J464" s="5">
        <f t="shared" si="156"/>
        <v>2115</v>
      </c>
      <c r="K464" s="5">
        <f t="shared" si="143"/>
        <v>3000</v>
      </c>
      <c r="L464" s="5">
        <f t="shared" si="144"/>
        <v>3000</v>
      </c>
      <c r="M464" s="5">
        <f t="shared" si="145"/>
        <v>3000</v>
      </c>
      <c r="N464" s="5">
        <f t="shared" si="160"/>
        <v>-871</v>
      </c>
      <c r="O464" s="5">
        <f t="shared" si="161"/>
        <v>-1060</v>
      </c>
      <c r="P464" s="5">
        <f t="shared" si="162"/>
        <v>-885</v>
      </c>
      <c r="Q464" s="4">
        <v>2</v>
      </c>
      <c r="R464" s="4">
        <v>8</v>
      </c>
      <c r="S464" s="4">
        <v>1</v>
      </c>
      <c r="T464" s="6">
        <f t="shared" si="157"/>
        <v>977</v>
      </c>
      <c r="U464" s="7">
        <f t="shared" si="148"/>
        <v>2309</v>
      </c>
      <c r="V464" s="7">
        <f t="shared" si="149"/>
        <v>1940</v>
      </c>
      <c r="W464" s="7">
        <f t="shared" si="147"/>
        <v>2605</v>
      </c>
      <c r="X464" s="6"/>
      <c r="Y464" s="5"/>
      <c r="Z464" s="5"/>
      <c r="AA464" s="5"/>
      <c r="AB464" s="5"/>
    </row>
    <row r="465" spans="1:28" ht="13.15" customHeight="1">
      <c r="A465" s="9">
        <f t="shared" si="146"/>
        <v>451</v>
      </c>
      <c r="B465" s="10">
        <f t="shared" si="158"/>
        <v>45721</v>
      </c>
      <c r="C465" s="9">
        <f t="shared" si="159"/>
        <v>842</v>
      </c>
      <c r="D465" s="8">
        <f t="shared" si="150"/>
        <v>2077</v>
      </c>
      <c r="E465" s="4">
        <f t="shared" si="151"/>
        <v>794</v>
      </c>
      <c r="F465" s="4">
        <f t="shared" si="152"/>
        <v>986</v>
      </c>
      <c r="G465" s="4">
        <f t="shared" si="153"/>
        <v>806</v>
      </c>
      <c r="H465" s="5">
        <f t="shared" si="154"/>
        <v>2125</v>
      </c>
      <c r="I465" s="5">
        <f t="shared" si="155"/>
        <v>1933</v>
      </c>
      <c r="J465" s="5">
        <f t="shared" si="156"/>
        <v>2113</v>
      </c>
      <c r="K465" s="5">
        <f t="shared" si="143"/>
        <v>3000</v>
      </c>
      <c r="L465" s="5">
        <f t="shared" si="144"/>
        <v>3000</v>
      </c>
      <c r="M465" s="5">
        <f t="shared" si="145"/>
        <v>3000</v>
      </c>
      <c r="N465" s="5">
        <f t="shared" si="160"/>
        <v>-875</v>
      </c>
      <c r="O465" s="5">
        <f t="shared" si="161"/>
        <v>-1067</v>
      </c>
      <c r="P465" s="5">
        <f t="shared" si="162"/>
        <v>-887</v>
      </c>
      <c r="Q465" s="4">
        <v>4</v>
      </c>
      <c r="R465" s="4">
        <v>7</v>
      </c>
      <c r="S465" s="4">
        <v>2</v>
      </c>
      <c r="T465" s="6">
        <f t="shared" si="157"/>
        <v>986</v>
      </c>
      <c r="U465" s="7">
        <f t="shared" si="148"/>
        <v>2305</v>
      </c>
      <c r="V465" s="7">
        <f t="shared" si="149"/>
        <v>1933</v>
      </c>
      <c r="W465" s="7">
        <f t="shared" si="147"/>
        <v>2603</v>
      </c>
      <c r="X465" s="6"/>
      <c r="Y465" s="5"/>
      <c r="Z465" s="5"/>
      <c r="AA465" s="5"/>
      <c r="AB465" s="5"/>
    </row>
    <row r="466" spans="1:28" ht="13.15" customHeight="1">
      <c r="A466" s="9">
        <f t="shared" si="146"/>
        <v>452</v>
      </c>
      <c r="B466" s="10">
        <f t="shared" si="158"/>
        <v>45722</v>
      </c>
      <c r="C466" s="9">
        <f t="shared" si="159"/>
        <v>842</v>
      </c>
      <c r="D466" s="8">
        <f t="shared" si="150"/>
        <v>2079</v>
      </c>
      <c r="E466" s="4">
        <f t="shared" si="151"/>
        <v>799</v>
      </c>
      <c r="F466" s="4">
        <f t="shared" si="152"/>
        <v>995</v>
      </c>
      <c r="G466" s="4">
        <f t="shared" si="153"/>
        <v>810</v>
      </c>
      <c r="H466" s="5">
        <f t="shared" si="154"/>
        <v>2122</v>
      </c>
      <c r="I466" s="5">
        <f t="shared" si="155"/>
        <v>1926</v>
      </c>
      <c r="J466" s="5">
        <f t="shared" si="156"/>
        <v>2111</v>
      </c>
      <c r="K466" s="5">
        <f t="shared" si="143"/>
        <v>3000</v>
      </c>
      <c r="L466" s="5">
        <f t="shared" si="144"/>
        <v>3000</v>
      </c>
      <c r="M466" s="5">
        <f t="shared" si="145"/>
        <v>3000</v>
      </c>
      <c r="N466" s="5">
        <f t="shared" si="160"/>
        <v>-878</v>
      </c>
      <c r="O466" s="5">
        <f t="shared" si="161"/>
        <v>-1074</v>
      </c>
      <c r="P466" s="5">
        <f t="shared" si="162"/>
        <v>-889</v>
      </c>
      <c r="Q466" s="4">
        <v>3</v>
      </c>
      <c r="R466" s="4">
        <v>7</v>
      </c>
      <c r="S466" s="4">
        <v>2</v>
      </c>
      <c r="T466" s="6">
        <f t="shared" si="157"/>
        <v>995</v>
      </c>
      <c r="U466" s="7">
        <f t="shared" si="148"/>
        <v>2302</v>
      </c>
      <c r="V466" s="7">
        <f t="shared" si="149"/>
        <v>1926</v>
      </c>
      <c r="W466" s="7">
        <f t="shared" si="147"/>
        <v>2601</v>
      </c>
      <c r="X466" s="6"/>
      <c r="Y466" s="5"/>
      <c r="Z466" s="5"/>
      <c r="AA466" s="5"/>
      <c r="AB466" s="5"/>
    </row>
    <row r="467" spans="1:28" ht="13.15" customHeight="1">
      <c r="A467" s="9">
        <f t="shared" si="146"/>
        <v>453</v>
      </c>
      <c r="B467" s="10">
        <f t="shared" si="158"/>
        <v>45723</v>
      </c>
      <c r="C467" s="9">
        <f t="shared" si="159"/>
        <v>842</v>
      </c>
      <c r="D467" s="8">
        <f t="shared" si="150"/>
        <v>2081</v>
      </c>
      <c r="E467" s="4">
        <f t="shared" si="151"/>
        <v>805</v>
      </c>
      <c r="F467" s="4">
        <f t="shared" si="152"/>
        <v>1006</v>
      </c>
      <c r="G467" s="4">
        <f t="shared" si="153"/>
        <v>813</v>
      </c>
      <c r="H467" s="5">
        <f t="shared" si="154"/>
        <v>2118</v>
      </c>
      <c r="I467" s="5">
        <f t="shared" si="155"/>
        <v>1917</v>
      </c>
      <c r="J467" s="5">
        <f t="shared" si="156"/>
        <v>2110</v>
      </c>
      <c r="K467" s="5">
        <f t="shared" si="143"/>
        <v>3000</v>
      </c>
      <c r="L467" s="5">
        <f t="shared" si="144"/>
        <v>3000</v>
      </c>
      <c r="M467" s="5">
        <f t="shared" si="145"/>
        <v>3000</v>
      </c>
      <c r="N467" s="5">
        <f t="shared" si="160"/>
        <v>-882</v>
      </c>
      <c r="O467" s="5">
        <f t="shared" si="161"/>
        <v>-1083</v>
      </c>
      <c r="P467" s="5">
        <f t="shared" si="162"/>
        <v>-890</v>
      </c>
      <c r="Q467" s="4">
        <v>4</v>
      </c>
      <c r="R467" s="4">
        <v>9</v>
      </c>
      <c r="S467" s="4">
        <v>1</v>
      </c>
      <c r="T467" s="6">
        <f t="shared" si="157"/>
        <v>1006</v>
      </c>
      <c r="U467" s="7">
        <f t="shared" si="148"/>
        <v>2298</v>
      </c>
      <c r="V467" s="7">
        <f t="shared" si="149"/>
        <v>1917</v>
      </c>
      <c r="W467" s="7">
        <f t="shared" si="147"/>
        <v>2600</v>
      </c>
      <c r="X467" s="6"/>
      <c r="Y467" s="5"/>
      <c r="Z467" s="5"/>
      <c r="AA467" s="5"/>
      <c r="AB467" s="5"/>
    </row>
    <row r="468" spans="1:28" ht="13.15" customHeight="1">
      <c r="A468" s="9">
        <f t="shared" si="146"/>
        <v>454</v>
      </c>
      <c r="B468" s="10">
        <f t="shared" si="158"/>
        <v>45724</v>
      </c>
      <c r="C468" s="9">
        <f t="shared" si="159"/>
        <v>842</v>
      </c>
      <c r="D468" s="8">
        <f t="shared" si="150"/>
        <v>2083</v>
      </c>
      <c r="E468" s="4">
        <f t="shared" si="151"/>
        <v>814</v>
      </c>
      <c r="F468" s="4">
        <f t="shared" si="152"/>
        <v>1016</v>
      </c>
      <c r="G468" s="4">
        <f t="shared" si="153"/>
        <v>817</v>
      </c>
      <c r="H468" s="5">
        <f t="shared" si="154"/>
        <v>2111</v>
      </c>
      <c r="I468" s="5">
        <f t="shared" si="155"/>
        <v>1909</v>
      </c>
      <c r="J468" s="5">
        <f t="shared" si="156"/>
        <v>2108</v>
      </c>
      <c r="K468" s="5">
        <f t="shared" si="143"/>
        <v>3000</v>
      </c>
      <c r="L468" s="5">
        <f t="shared" si="144"/>
        <v>3000</v>
      </c>
      <c r="M468" s="5">
        <f t="shared" si="145"/>
        <v>3000</v>
      </c>
      <c r="N468" s="5">
        <f t="shared" si="160"/>
        <v>-889</v>
      </c>
      <c r="O468" s="5">
        <f t="shared" si="161"/>
        <v>-1091</v>
      </c>
      <c r="P468" s="5">
        <f t="shared" si="162"/>
        <v>-892</v>
      </c>
      <c r="Q468" s="4">
        <v>7</v>
      </c>
      <c r="R468" s="4">
        <v>8</v>
      </c>
      <c r="S468" s="4">
        <v>2</v>
      </c>
      <c r="T468" s="6">
        <f t="shared" si="157"/>
        <v>1016</v>
      </c>
      <c r="U468" s="7">
        <f t="shared" si="148"/>
        <v>2291</v>
      </c>
      <c r="V468" s="7">
        <f t="shared" si="149"/>
        <v>1909</v>
      </c>
      <c r="W468" s="7">
        <f t="shared" si="147"/>
        <v>2598</v>
      </c>
      <c r="X468" s="6"/>
      <c r="Y468" s="5"/>
      <c r="Z468" s="5"/>
      <c r="AA468" s="5"/>
      <c r="AB468" s="5"/>
    </row>
    <row r="469" spans="1:28" ht="13.15" customHeight="1">
      <c r="A469" s="9">
        <f t="shared" si="146"/>
        <v>455</v>
      </c>
      <c r="B469" s="10">
        <f t="shared" si="158"/>
        <v>45725</v>
      </c>
      <c r="C469" s="9">
        <f t="shared" si="159"/>
        <v>842</v>
      </c>
      <c r="D469" s="8">
        <f t="shared" si="150"/>
        <v>2085</v>
      </c>
      <c r="E469" s="4">
        <f t="shared" si="151"/>
        <v>821</v>
      </c>
      <c r="F469" s="4">
        <f t="shared" si="152"/>
        <v>1026</v>
      </c>
      <c r="G469" s="4">
        <f t="shared" si="153"/>
        <v>821</v>
      </c>
      <c r="H469" s="5">
        <f t="shared" si="154"/>
        <v>2106</v>
      </c>
      <c r="I469" s="5">
        <f t="shared" si="155"/>
        <v>1901</v>
      </c>
      <c r="J469" s="5">
        <f t="shared" si="156"/>
        <v>2106</v>
      </c>
      <c r="K469" s="5">
        <f t="shared" ref="K469:K491" si="163">K468</f>
        <v>3000</v>
      </c>
      <c r="L469" s="5">
        <f t="shared" ref="L469:L491" si="164">L468</f>
        <v>3000</v>
      </c>
      <c r="M469" s="5">
        <f t="shared" ref="M469:M491" si="165">M468</f>
        <v>3000</v>
      </c>
      <c r="N469" s="5">
        <f t="shared" si="160"/>
        <v>-894</v>
      </c>
      <c r="O469" s="5">
        <f t="shared" si="161"/>
        <v>-1099</v>
      </c>
      <c r="P469" s="5">
        <f t="shared" si="162"/>
        <v>-894</v>
      </c>
      <c r="Q469" s="4">
        <v>5</v>
      </c>
      <c r="R469" s="4">
        <v>8</v>
      </c>
      <c r="S469" s="4">
        <v>2</v>
      </c>
      <c r="T469" s="6">
        <f t="shared" si="157"/>
        <v>1026</v>
      </c>
      <c r="U469" s="7">
        <f t="shared" si="148"/>
        <v>2286</v>
      </c>
      <c r="V469" s="7">
        <f t="shared" si="149"/>
        <v>1901</v>
      </c>
      <c r="W469" s="7">
        <f t="shared" si="147"/>
        <v>2596</v>
      </c>
      <c r="X469" s="6"/>
      <c r="Y469" s="5"/>
      <c r="Z469" s="5"/>
      <c r="AA469" s="5"/>
      <c r="AB469" s="5"/>
    </row>
    <row r="470" spans="1:28" ht="13.15" customHeight="1">
      <c r="A470" s="9">
        <f t="shared" si="146"/>
        <v>456</v>
      </c>
      <c r="B470" s="10">
        <f t="shared" si="158"/>
        <v>45726</v>
      </c>
      <c r="C470" s="9">
        <f t="shared" si="159"/>
        <v>842</v>
      </c>
      <c r="D470" s="8">
        <f t="shared" si="150"/>
        <v>2087</v>
      </c>
      <c r="E470" s="4">
        <f t="shared" si="151"/>
        <v>828</v>
      </c>
      <c r="F470" s="4">
        <f t="shared" si="152"/>
        <v>1035</v>
      </c>
      <c r="G470" s="4">
        <f t="shared" si="153"/>
        <v>825</v>
      </c>
      <c r="H470" s="5">
        <f t="shared" si="154"/>
        <v>2101</v>
      </c>
      <c r="I470" s="5">
        <f t="shared" si="155"/>
        <v>1894</v>
      </c>
      <c r="J470" s="5">
        <f t="shared" si="156"/>
        <v>2104</v>
      </c>
      <c r="K470" s="5">
        <f t="shared" si="163"/>
        <v>3000</v>
      </c>
      <c r="L470" s="5">
        <f t="shared" si="164"/>
        <v>3000</v>
      </c>
      <c r="M470" s="5">
        <f t="shared" si="165"/>
        <v>3000</v>
      </c>
      <c r="N470" s="5">
        <f t="shared" si="160"/>
        <v>-899</v>
      </c>
      <c r="O470" s="5">
        <f t="shared" si="161"/>
        <v>-1106</v>
      </c>
      <c r="P470" s="5">
        <f t="shared" si="162"/>
        <v>-896</v>
      </c>
      <c r="Q470" s="4">
        <v>5</v>
      </c>
      <c r="R470" s="4">
        <v>7</v>
      </c>
      <c r="S470" s="4">
        <v>2</v>
      </c>
      <c r="T470" s="6">
        <f t="shared" si="157"/>
        <v>1035</v>
      </c>
      <c r="U470" s="7">
        <f t="shared" si="148"/>
        <v>2281</v>
      </c>
      <c r="V470" s="7">
        <f t="shared" si="149"/>
        <v>1894</v>
      </c>
      <c r="W470" s="7">
        <f t="shared" si="147"/>
        <v>2594</v>
      </c>
      <c r="X470" s="6"/>
      <c r="Y470" s="5"/>
      <c r="Z470" s="5"/>
      <c r="AA470" s="5"/>
      <c r="AB470" s="5"/>
    </row>
    <row r="471" spans="1:28" ht="13.15" customHeight="1">
      <c r="A471" s="9">
        <f t="shared" ref="A471:A491" si="166">+A470+1</f>
        <v>457</v>
      </c>
      <c r="B471" s="10">
        <f t="shared" si="158"/>
        <v>45727</v>
      </c>
      <c r="C471" s="9">
        <f t="shared" si="159"/>
        <v>842</v>
      </c>
      <c r="D471" s="8">
        <f t="shared" si="150"/>
        <v>2089</v>
      </c>
      <c r="E471" s="4">
        <f t="shared" si="151"/>
        <v>834</v>
      </c>
      <c r="F471" s="4">
        <f t="shared" si="152"/>
        <v>1044</v>
      </c>
      <c r="G471" s="4">
        <f t="shared" si="153"/>
        <v>829</v>
      </c>
      <c r="H471" s="5">
        <f t="shared" si="154"/>
        <v>2097</v>
      </c>
      <c r="I471" s="5">
        <f t="shared" si="155"/>
        <v>1887</v>
      </c>
      <c r="J471" s="5">
        <f t="shared" si="156"/>
        <v>2102</v>
      </c>
      <c r="K471" s="5">
        <f t="shared" si="163"/>
        <v>3000</v>
      </c>
      <c r="L471" s="5">
        <f t="shared" si="164"/>
        <v>3000</v>
      </c>
      <c r="M471" s="5">
        <f t="shared" si="165"/>
        <v>3000</v>
      </c>
      <c r="N471" s="5">
        <f t="shared" si="160"/>
        <v>-903</v>
      </c>
      <c r="O471" s="5">
        <f t="shared" si="161"/>
        <v>-1113</v>
      </c>
      <c r="P471" s="5">
        <f t="shared" si="162"/>
        <v>-898</v>
      </c>
      <c r="Q471" s="4">
        <v>4</v>
      </c>
      <c r="R471" s="4">
        <v>7</v>
      </c>
      <c r="S471" s="4">
        <v>2</v>
      </c>
      <c r="T471" s="6">
        <f t="shared" si="157"/>
        <v>1044</v>
      </c>
      <c r="U471" s="7">
        <f t="shared" si="148"/>
        <v>2277</v>
      </c>
      <c r="V471" s="7">
        <f t="shared" si="149"/>
        <v>1887</v>
      </c>
      <c r="W471" s="7">
        <f t="shared" si="147"/>
        <v>2592</v>
      </c>
      <c r="X471" s="6"/>
      <c r="Y471" s="5"/>
      <c r="Z471" s="5"/>
      <c r="AA471" s="5"/>
      <c r="AB471" s="5"/>
    </row>
    <row r="472" spans="1:28" ht="13.15" customHeight="1">
      <c r="A472" s="9">
        <f t="shared" si="166"/>
        <v>458</v>
      </c>
      <c r="B472" s="10">
        <f t="shared" si="158"/>
        <v>45728</v>
      </c>
      <c r="C472" s="9">
        <f t="shared" si="159"/>
        <v>842</v>
      </c>
      <c r="D472" s="8">
        <f t="shared" si="150"/>
        <v>2091</v>
      </c>
      <c r="E472" s="4">
        <f t="shared" si="151"/>
        <v>839</v>
      </c>
      <c r="F472" s="4">
        <f t="shared" si="152"/>
        <v>1052</v>
      </c>
      <c r="G472" s="4">
        <f t="shared" si="153"/>
        <v>832</v>
      </c>
      <c r="H472" s="5">
        <f t="shared" si="154"/>
        <v>2094</v>
      </c>
      <c r="I472" s="5">
        <f t="shared" si="155"/>
        <v>1881</v>
      </c>
      <c r="J472" s="5">
        <f t="shared" si="156"/>
        <v>2101</v>
      </c>
      <c r="K472" s="5">
        <f t="shared" si="163"/>
        <v>3000</v>
      </c>
      <c r="L472" s="5">
        <f t="shared" si="164"/>
        <v>3000</v>
      </c>
      <c r="M472" s="5">
        <f t="shared" si="165"/>
        <v>3000</v>
      </c>
      <c r="N472" s="5">
        <f t="shared" si="160"/>
        <v>-906</v>
      </c>
      <c r="O472" s="5">
        <f t="shared" si="161"/>
        <v>-1119</v>
      </c>
      <c r="P472" s="5">
        <f t="shared" si="162"/>
        <v>-899</v>
      </c>
      <c r="Q472" s="4">
        <v>3</v>
      </c>
      <c r="R472" s="4">
        <v>6</v>
      </c>
      <c r="S472" s="4">
        <v>1</v>
      </c>
      <c r="T472" s="6">
        <f t="shared" si="157"/>
        <v>1052</v>
      </c>
      <c r="U472" s="7">
        <f t="shared" si="148"/>
        <v>2274</v>
      </c>
      <c r="V472" s="7">
        <f t="shared" si="149"/>
        <v>1881</v>
      </c>
      <c r="W472" s="7">
        <f t="shared" si="147"/>
        <v>2591</v>
      </c>
      <c r="X472" s="6"/>
      <c r="Y472" s="5"/>
      <c r="Z472" s="5"/>
      <c r="AA472" s="5"/>
      <c r="AB472" s="5"/>
    </row>
    <row r="473" spans="1:28" ht="13.15" customHeight="1">
      <c r="A473" s="9">
        <f t="shared" si="166"/>
        <v>459</v>
      </c>
      <c r="B473" s="10">
        <f t="shared" si="158"/>
        <v>45729</v>
      </c>
      <c r="C473" s="9">
        <f t="shared" si="159"/>
        <v>842</v>
      </c>
      <c r="D473" s="8">
        <f t="shared" si="150"/>
        <v>2093</v>
      </c>
      <c r="E473" s="4">
        <f t="shared" si="151"/>
        <v>843</v>
      </c>
      <c r="F473" s="4">
        <f t="shared" si="152"/>
        <v>1062</v>
      </c>
      <c r="G473" s="4">
        <f t="shared" si="153"/>
        <v>836</v>
      </c>
      <c r="H473" s="5">
        <f t="shared" si="154"/>
        <v>2092</v>
      </c>
      <c r="I473" s="5">
        <f t="shared" si="155"/>
        <v>1873</v>
      </c>
      <c r="J473" s="5">
        <f t="shared" si="156"/>
        <v>2099</v>
      </c>
      <c r="K473" s="5">
        <f t="shared" si="163"/>
        <v>3000</v>
      </c>
      <c r="L473" s="5">
        <f t="shared" si="164"/>
        <v>3000</v>
      </c>
      <c r="M473" s="5">
        <f t="shared" si="165"/>
        <v>3000</v>
      </c>
      <c r="N473" s="5">
        <f t="shared" si="160"/>
        <v>-908</v>
      </c>
      <c r="O473" s="5">
        <f t="shared" si="161"/>
        <v>-1127</v>
      </c>
      <c r="P473" s="5">
        <f t="shared" si="162"/>
        <v>-901</v>
      </c>
      <c r="Q473" s="4">
        <v>2</v>
      </c>
      <c r="R473" s="4">
        <v>8</v>
      </c>
      <c r="S473" s="4">
        <v>2</v>
      </c>
      <c r="T473" s="6">
        <f t="shared" si="157"/>
        <v>1062</v>
      </c>
      <c r="U473" s="7">
        <f t="shared" si="148"/>
        <v>2272</v>
      </c>
      <c r="V473" s="7">
        <f t="shared" si="149"/>
        <v>1873</v>
      </c>
      <c r="W473" s="7">
        <f t="shared" si="147"/>
        <v>2589</v>
      </c>
      <c r="X473" s="6"/>
      <c r="Y473" s="5"/>
      <c r="Z473" s="5"/>
      <c r="AA473" s="5"/>
      <c r="AB473" s="5"/>
    </row>
    <row r="474" spans="1:28" ht="13.15" customHeight="1">
      <c r="A474" s="9">
        <f t="shared" si="166"/>
        <v>460</v>
      </c>
      <c r="B474" s="10">
        <f t="shared" si="158"/>
        <v>45730</v>
      </c>
      <c r="C474" s="9">
        <f t="shared" si="159"/>
        <v>842</v>
      </c>
      <c r="D474" s="8">
        <f t="shared" si="150"/>
        <v>2095</v>
      </c>
      <c r="E474" s="4">
        <f t="shared" si="151"/>
        <v>849</v>
      </c>
      <c r="F474" s="4">
        <f t="shared" si="152"/>
        <v>1071</v>
      </c>
      <c r="G474" s="4">
        <f t="shared" si="153"/>
        <v>839</v>
      </c>
      <c r="H474" s="5">
        <f t="shared" si="154"/>
        <v>2088</v>
      </c>
      <c r="I474" s="5">
        <f t="shared" si="155"/>
        <v>1866</v>
      </c>
      <c r="J474" s="5">
        <f t="shared" si="156"/>
        <v>2098</v>
      </c>
      <c r="K474" s="5">
        <f t="shared" si="163"/>
        <v>3000</v>
      </c>
      <c r="L474" s="5">
        <f t="shared" si="164"/>
        <v>3000</v>
      </c>
      <c r="M474" s="5">
        <f t="shared" si="165"/>
        <v>3000</v>
      </c>
      <c r="N474" s="5">
        <f t="shared" si="160"/>
        <v>-912</v>
      </c>
      <c r="O474" s="5">
        <f t="shared" si="161"/>
        <v>-1134</v>
      </c>
      <c r="P474" s="5">
        <f t="shared" si="162"/>
        <v>-902</v>
      </c>
      <c r="Q474" s="4">
        <v>4</v>
      </c>
      <c r="R474" s="4">
        <v>7</v>
      </c>
      <c r="S474" s="4">
        <v>1</v>
      </c>
      <c r="T474" s="6">
        <f t="shared" si="157"/>
        <v>1071</v>
      </c>
      <c r="U474" s="7">
        <f t="shared" si="148"/>
        <v>2268</v>
      </c>
      <c r="V474" s="7">
        <f t="shared" si="149"/>
        <v>1866</v>
      </c>
      <c r="W474" s="7">
        <f t="shared" si="147"/>
        <v>2588</v>
      </c>
      <c r="X474" s="6"/>
      <c r="Y474" s="5"/>
      <c r="Z474" s="5"/>
      <c r="AA474" s="5"/>
      <c r="AB474" s="5"/>
    </row>
    <row r="475" spans="1:28" ht="13.15" customHeight="1">
      <c r="A475" s="9">
        <f t="shared" si="166"/>
        <v>461</v>
      </c>
      <c r="B475" s="10">
        <f t="shared" si="158"/>
        <v>45731</v>
      </c>
      <c r="C475" s="9">
        <f t="shared" si="159"/>
        <v>842</v>
      </c>
      <c r="D475" s="8">
        <f t="shared" si="150"/>
        <v>2097</v>
      </c>
      <c r="E475" s="4">
        <f t="shared" si="151"/>
        <v>854</v>
      </c>
      <c r="F475" s="4">
        <f t="shared" si="152"/>
        <v>1082</v>
      </c>
      <c r="G475" s="4">
        <f t="shared" si="153"/>
        <v>842</v>
      </c>
      <c r="H475" s="5">
        <f t="shared" si="154"/>
        <v>2085</v>
      </c>
      <c r="I475" s="5">
        <f t="shared" si="155"/>
        <v>1857</v>
      </c>
      <c r="J475" s="5">
        <f t="shared" si="156"/>
        <v>2097</v>
      </c>
      <c r="K475" s="5">
        <f t="shared" si="163"/>
        <v>3000</v>
      </c>
      <c r="L475" s="5">
        <f t="shared" si="164"/>
        <v>3000</v>
      </c>
      <c r="M475" s="5">
        <f t="shared" si="165"/>
        <v>3000</v>
      </c>
      <c r="N475" s="5">
        <f t="shared" si="160"/>
        <v>-915</v>
      </c>
      <c r="O475" s="5">
        <f t="shared" si="161"/>
        <v>-1143</v>
      </c>
      <c r="P475" s="5">
        <f t="shared" si="162"/>
        <v>-903</v>
      </c>
      <c r="Q475" s="4">
        <v>3</v>
      </c>
      <c r="R475" s="4">
        <v>9</v>
      </c>
      <c r="S475" s="4">
        <v>1</v>
      </c>
      <c r="T475" s="6">
        <f t="shared" si="157"/>
        <v>1082</v>
      </c>
      <c r="U475" s="7">
        <f t="shared" si="148"/>
        <v>2265</v>
      </c>
      <c r="V475" s="7">
        <f t="shared" si="149"/>
        <v>1857</v>
      </c>
      <c r="W475" s="7">
        <f t="shared" si="147"/>
        <v>2587</v>
      </c>
      <c r="X475" s="6"/>
      <c r="Y475" s="5"/>
      <c r="Z475" s="5"/>
      <c r="AA475" s="5"/>
      <c r="AB475" s="5"/>
    </row>
    <row r="476" spans="1:28" ht="13.15" customHeight="1">
      <c r="A476" s="9">
        <f t="shared" si="166"/>
        <v>462</v>
      </c>
      <c r="B476" s="10">
        <f t="shared" si="158"/>
        <v>45732</v>
      </c>
      <c r="C476" s="9">
        <f t="shared" si="159"/>
        <v>842</v>
      </c>
      <c r="D476" s="8">
        <f t="shared" si="150"/>
        <v>2099</v>
      </c>
      <c r="E476" s="4">
        <f t="shared" si="151"/>
        <v>858</v>
      </c>
      <c r="F476" s="4">
        <f t="shared" si="152"/>
        <v>1092</v>
      </c>
      <c r="G476" s="4">
        <f t="shared" si="153"/>
        <v>847</v>
      </c>
      <c r="H476" s="5">
        <f t="shared" si="154"/>
        <v>2083</v>
      </c>
      <c r="I476" s="5">
        <f t="shared" si="155"/>
        <v>1849</v>
      </c>
      <c r="J476" s="5">
        <f t="shared" si="156"/>
        <v>2094</v>
      </c>
      <c r="K476" s="5">
        <f t="shared" si="163"/>
        <v>3000</v>
      </c>
      <c r="L476" s="5">
        <f t="shared" si="164"/>
        <v>3000</v>
      </c>
      <c r="M476" s="5">
        <f t="shared" si="165"/>
        <v>3000</v>
      </c>
      <c r="N476" s="5">
        <f t="shared" si="160"/>
        <v>-917</v>
      </c>
      <c r="O476" s="5">
        <f t="shared" si="161"/>
        <v>-1151</v>
      </c>
      <c r="P476" s="5">
        <f t="shared" si="162"/>
        <v>-906</v>
      </c>
      <c r="Q476" s="4">
        <v>2</v>
      </c>
      <c r="R476" s="4">
        <v>8</v>
      </c>
      <c r="S476" s="4">
        <v>3</v>
      </c>
      <c r="T476" s="6">
        <f t="shared" si="157"/>
        <v>1092</v>
      </c>
      <c r="U476" s="7">
        <f t="shared" si="148"/>
        <v>2263</v>
      </c>
      <c r="V476" s="7">
        <f t="shared" si="149"/>
        <v>1849</v>
      </c>
      <c r="W476" s="7">
        <f t="shared" si="147"/>
        <v>2584</v>
      </c>
      <c r="X476" s="6"/>
      <c r="Y476" s="5"/>
      <c r="Z476" s="5"/>
      <c r="AA476" s="5"/>
      <c r="AB476" s="5"/>
    </row>
    <row r="477" spans="1:28" ht="13.15" customHeight="1">
      <c r="A477" s="9">
        <f t="shared" si="166"/>
        <v>463</v>
      </c>
      <c r="B477" s="10">
        <f t="shared" si="158"/>
        <v>45733</v>
      </c>
      <c r="C477" s="9">
        <f t="shared" si="159"/>
        <v>842</v>
      </c>
      <c r="D477" s="8">
        <f t="shared" si="150"/>
        <v>2101</v>
      </c>
      <c r="E477" s="4">
        <f t="shared" si="151"/>
        <v>864</v>
      </c>
      <c r="F477" s="4">
        <f t="shared" si="152"/>
        <v>1101</v>
      </c>
      <c r="G477" s="4">
        <f t="shared" si="153"/>
        <v>850</v>
      </c>
      <c r="H477" s="5">
        <f t="shared" si="154"/>
        <v>2079</v>
      </c>
      <c r="I477" s="5">
        <f t="shared" si="155"/>
        <v>1842</v>
      </c>
      <c r="J477" s="5">
        <f t="shared" si="156"/>
        <v>2093</v>
      </c>
      <c r="K477" s="5">
        <f t="shared" si="163"/>
        <v>3000</v>
      </c>
      <c r="L477" s="5">
        <f t="shared" si="164"/>
        <v>3000</v>
      </c>
      <c r="M477" s="5">
        <f t="shared" si="165"/>
        <v>3000</v>
      </c>
      <c r="N477" s="5">
        <f t="shared" si="160"/>
        <v>-921</v>
      </c>
      <c r="O477" s="5">
        <f t="shared" si="161"/>
        <v>-1158</v>
      </c>
      <c r="P477" s="5">
        <f t="shared" si="162"/>
        <v>-907</v>
      </c>
      <c r="Q477" s="4">
        <v>4</v>
      </c>
      <c r="R477" s="4">
        <v>7</v>
      </c>
      <c r="S477" s="4">
        <v>1</v>
      </c>
      <c r="T477" s="6">
        <f t="shared" si="157"/>
        <v>1101</v>
      </c>
      <c r="U477" s="7">
        <f t="shared" si="148"/>
        <v>2259</v>
      </c>
      <c r="V477" s="7">
        <f t="shared" si="149"/>
        <v>1842</v>
      </c>
      <c r="W477" s="7">
        <f t="shared" si="147"/>
        <v>2583</v>
      </c>
      <c r="X477" s="6"/>
      <c r="Y477" s="5"/>
      <c r="Z477" s="5"/>
      <c r="AA477" s="5"/>
      <c r="AB477" s="5"/>
    </row>
    <row r="478" spans="1:28" ht="13.15" customHeight="1">
      <c r="A478" s="9">
        <f t="shared" si="166"/>
        <v>464</v>
      </c>
      <c r="B478" s="10">
        <f t="shared" si="158"/>
        <v>45734</v>
      </c>
      <c r="C478" s="9">
        <f t="shared" si="159"/>
        <v>842</v>
      </c>
      <c r="D478" s="8">
        <f t="shared" si="150"/>
        <v>2103</v>
      </c>
      <c r="E478" s="4">
        <f t="shared" si="151"/>
        <v>868</v>
      </c>
      <c r="F478" s="4">
        <f t="shared" si="152"/>
        <v>1110</v>
      </c>
      <c r="G478" s="4">
        <f t="shared" si="153"/>
        <v>854</v>
      </c>
      <c r="H478" s="5">
        <f t="shared" si="154"/>
        <v>2077</v>
      </c>
      <c r="I478" s="5">
        <f t="shared" si="155"/>
        <v>1835</v>
      </c>
      <c r="J478" s="5">
        <f t="shared" si="156"/>
        <v>2091</v>
      </c>
      <c r="K478" s="5">
        <f t="shared" si="163"/>
        <v>3000</v>
      </c>
      <c r="L478" s="5">
        <f t="shared" si="164"/>
        <v>3000</v>
      </c>
      <c r="M478" s="5">
        <f t="shared" si="165"/>
        <v>3000</v>
      </c>
      <c r="N478" s="5">
        <f t="shared" si="160"/>
        <v>-923</v>
      </c>
      <c r="O478" s="5">
        <f t="shared" si="161"/>
        <v>-1165</v>
      </c>
      <c r="P478" s="5">
        <f t="shared" si="162"/>
        <v>-909</v>
      </c>
      <c r="Q478" s="4">
        <v>2</v>
      </c>
      <c r="R478" s="4">
        <v>7</v>
      </c>
      <c r="S478" s="4">
        <v>2</v>
      </c>
      <c r="T478" s="6">
        <f t="shared" si="157"/>
        <v>1110</v>
      </c>
      <c r="U478" s="7">
        <f t="shared" si="148"/>
        <v>2257</v>
      </c>
      <c r="V478" s="7">
        <f t="shared" si="149"/>
        <v>1835</v>
      </c>
      <c r="W478" s="7">
        <f t="shared" si="147"/>
        <v>2581</v>
      </c>
      <c r="X478" s="6"/>
      <c r="Y478" s="5"/>
      <c r="Z478" s="5"/>
      <c r="AA478" s="5"/>
      <c r="AB478" s="5"/>
    </row>
    <row r="479" spans="1:28" ht="13.15" customHeight="1">
      <c r="A479" s="9">
        <f t="shared" si="166"/>
        <v>465</v>
      </c>
      <c r="B479" s="10">
        <f t="shared" si="158"/>
        <v>45735</v>
      </c>
      <c r="C479" s="9">
        <f t="shared" si="159"/>
        <v>842</v>
      </c>
      <c r="D479" s="8">
        <f t="shared" si="150"/>
        <v>2105</v>
      </c>
      <c r="E479" s="4">
        <f t="shared" si="151"/>
        <v>875</v>
      </c>
      <c r="F479" s="4">
        <f t="shared" si="152"/>
        <v>1119</v>
      </c>
      <c r="G479" s="4">
        <f t="shared" si="153"/>
        <v>857</v>
      </c>
      <c r="H479" s="5">
        <f t="shared" si="154"/>
        <v>2072</v>
      </c>
      <c r="I479" s="5">
        <f t="shared" si="155"/>
        <v>1828</v>
      </c>
      <c r="J479" s="5">
        <f t="shared" si="156"/>
        <v>2090</v>
      </c>
      <c r="K479" s="5">
        <f t="shared" si="163"/>
        <v>3000</v>
      </c>
      <c r="L479" s="5">
        <f t="shared" si="164"/>
        <v>3000</v>
      </c>
      <c r="M479" s="5">
        <f t="shared" si="165"/>
        <v>3000</v>
      </c>
      <c r="N479" s="5">
        <f t="shared" si="160"/>
        <v>-928</v>
      </c>
      <c r="O479" s="5">
        <f t="shared" si="161"/>
        <v>-1172</v>
      </c>
      <c r="P479" s="5">
        <f t="shared" si="162"/>
        <v>-910</v>
      </c>
      <c r="Q479" s="4">
        <v>5</v>
      </c>
      <c r="R479" s="4">
        <v>7</v>
      </c>
      <c r="S479" s="4">
        <v>1</v>
      </c>
      <c r="T479" s="6">
        <f t="shared" si="157"/>
        <v>1119</v>
      </c>
      <c r="U479" s="7">
        <f t="shared" si="148"/>
        <v>2252</v>
      </c>
      <c r="V479" s="7">
        <f t="shared" si="149"/>
        <v>1828</v>
      </c>
      <c r="W479" s="7">
        <f t="shared" si="147"/>
        <v>2580</v>
      </c>
      <c r="X479" s="6"/>
      <c r="Y479" s="5"/>
      <c r="Z479" s="5"/>
      <c r="AA479" s="5"/>
      <c r="AB479" s="5"/>
    </row>
    <row r="480" spans="1:28" ht="13.15" customHeight="1">
      <c r="A480" s="9">
        <f t="shared" si="166"/>
        <v>466</v>
      </c>
      <c r="B480" s="10">
        <f t="shared" si="158"/>
        <v>45736</v>
      </c>
      <c r="C480" s="9">
        <f t="shared" si="159"/>
        <v>842</v>
      </c>
      <c r="D480" s="8">
        <f t="shared" si="150"/>
        <v>2107</v>
      </c>
      <c r="E480" s="4">
        <f t="shared" si="151"/>
        <v>882</v>
      </c>
      <c r="F480" s="4">
        <f t="shared" si="152"/>
        <v>1126</v>
      </c>
      <c r="G480" s="4">
        <f t="shared" si="153"/>
        <v>861</v>
      </c>
      <c r="H480" s="5">
        <f t="shared" si="154"/>
        <v>2067</v>
      </c>
      <c r="I480" s="5">
        <f t="shared" si="155"/>
        <v>1823</v>
      </c>
      <c r="J480" s="5">
        <f t="shared" si="156"/>
        <v>2088</v>
      </c>
      <c r="K480" s="5">
        <f t="shared" si="163"/>
        <v>3000</v>
      </c>
      <c r="L480" s="5">
        <f t="shared" si="164"/>
        <v>3000</v>
      </c>
      <c r="M480" s="5">
        <f t="shared" si="165"/>
        <v>3000</v>
      </c>
      <c r="N480" s="5">
        <f t="shared" si="160"/>
        <v>-933</v>
      </c>
      <c r="O480" s="5">
        <f t="shared" si="161"/>
        <v>-1177</v>
      </c>
      <c r="P480" s="5">
        <f t="shared" si="162"/>
        <v>-912</v>
      </c>
      <c r="Q480" s="4">
        <v>5</v>
      </c>
      <c r="R480" s="4">
        <v>5</v>
      </c>
      <c r="S480" s="4">
        <v>2</v>
      </c>
      <c r="T480" s="6">
        <f t="shared" si="157"/>
        <v>1126</v>
      </c>
      <c r="U480" s="7">
        <f t="shared" si="148"/>
        <v>2247</v>
      </c>
      <c r="V480" s="7">
        <f t="shared" si="149"/>
        <v>1823</v>
      </c>
      <c r="W480" s="7">
        <f t="shared" ref="W480:W491" si="167">W479+$X480*1000-S480</f>
        <v>2578</v>
      </c>
      <c r="X480" s="6"/>
      <c r="Y480" s="5"/>
      <c r="Z480" s="5"/>
      <c r="AA480" s="5"/>
      <c r="AB480" s="5"/>
    </row>
    <row r="481" spans="1:28" ht="13.15" customHeight="1">
      <c r="A481" s="9">
        <f t="shared" si="166"/>
        <v>467</v>
      </c>
      <c r="B481" s="10">
        <f t="shared" si="158"/>
        <v>45737</v>
      </c>
      <c r="C481" s="9">
        <f t="shared" si="159"/>
        <v>842</v>
      </c>
      <c r="D481" s="8">
        <f t="shared" si="150"/>
        <v>2109</v>
      </c>
      <c r="E481" s="4">
        <f t="shared" si="151"/>
        <v>888</v>
      </c>
      <c r="F481" s="4">
        <f t="shared" si="152"/>
        <v>1133</v>
      </c>
      <c r="G481" s="4">
        <f t="shared" si="153"/>
        <v>865</v>
      </c>
      <c r="H481" s="5">
        <f t="shared" si="154"/>
        <v>2063</v>
      </c>
      <c r="I481" s="5">
        <f t="shared" si="155"/>
        <v>1818</v>
      </c>
      <c r="J481" s="5">
        <f t="shared" si="156"/>
        <v>2086</v>
      </c>
      <c r="K481" s="5">
        <f t="shared" si="163"/>
        <v>3000</v>
      </c>
      <c r="L481" s="5">
        <f t="shared" si="164"/>
        <v>3000</v>
      </c>
      <c r="M481" s="5">
        <f t="shared" si="165"/>
        <v>3000</v>
      </c>
      <c r="N481" s="5">
        <f t="shared" si="160"/>
        <v>-937</v>
      </c>
      <c r="O481" s="5">
        <f t="shared" si="161"/>
        <v>-1182</v>
      </c>
      <c r="P481" s="5">
        <f t="shared" si="162"/>
        <v>-914</v>
      </c>
      <c r="Q481" s="4">
        <v>4</v>
      </c>
      <c r="R481" s="4">
        <v>5</v>
      </c>
      <c r="S481" s="4">
        <v>2</v>
      </c>
      <c r="T481" s="6">
        <f t="shared" si="157"/>
        <v>1133</v>
      </c>
      <c r="U481" s="7">
        <f t="shared" si="148"/>
        <v>2243</v>
      </c>
      <c r="V481" s="7">
        <f t="shared" si="149"/>
        <v>1818</v>
      </c>
      <c r="W481" s="7">
        <f t="shared" si="167"/>
        <v>2576</v>
      </c>
      <c r="X481" s="6"/>
      <c r="Y481" s="5"/>
      <c r="Z481" s="5"/>
      <c r="AA481" s="5"/>
      <c r="AB481" s="5"/>
    </row>
    <row r="482" spans="1:28" ht="13.15" customHeight="1">
      <c r="A482" s="9">
        <f t="shared" si="166"/>
        <v>468</v>
      </c>
      <c r="B482" s="10">
        <f t="shared" si="158"/>
        <v>45738</v>
      </c>
      <c r="C482" s="9">
        <f t="shared" si="159"/>
        <v>842</v>
      </c>
      <c r="D482" s="8">
        <f t="shared" si="150"/>
        <v>2111</v>
      </c>
      <c r="E482" s="4">
        <f t="shared" si="151"/>
        <v>893</v>
      </c>
      <c r="F482" s="4">
        <f t="shared" si="152"/>
        <v>1142</v>
      </c>
      <c r="G482" s="4">
        <f t="shared" si="153"/>
        <v>870</v>
      </c>
      <c r="H482" s="5">
        <f t="shared" si="154"/>
        <v>2060</v>
      </c>
      <c r="I482" s="5">
        <f t="shared" si="155"/>
        <v>1811</v>
      </c>
      <c r="J482" s="5">
        <f t="shared" si="156"/>
        <v>2083</v>
      </c>
      <c r="K482" s="5">
        <f t="shared" si="163"/>
        <v>3000</v>
      </c>
      <c r="L482" s="5">
        <f t="shared" si="164"/>
        <v>3000</v>
      </c>
      <c r="M482" s="5">
        <f t="shared" si="165"/>
        <v>3000</v>
      </c>
      <c r="N482" s="5">
        <f t="shared" si="160"/>
        <v>-940</v>
      </c>
      <c r="O482" s="5">
        <f t="shared" si="161"/>
        <v>-1189</v>
      </c>
      <c r="P482" s="5">
        <f t="shared" si="162"/>
        <v>-917</v>
      </c>
      <c r="Q482" s="4">
        <v>3</v>
      </c>
      <c r="R482" s="4">
        <v>7</v>
      </c>
      <c r="S482" s="4">
        <v>3</v>
      </c>
      <c r="T482" s="6">
        <f t="shared" si="157"/>
        <v>1142</v>
      </c>
      <c r="U482" s="7">
        <f t="shared" si="148"/>
        <v>2240</v>
      </c>
      <c r="V482" s="7">
        <f t="shared" si="149"/>
        <v>1811</v>
      </c>
      <c r="W482" s="7">
        <f t="shared" si="167"/>
        <v>2573</v>
      </c>
      <c r="X482" s="6"/>
      <c r="Y482" s="5"/>
      <c r="Z482" s="5"/>
      <c r="AA482" s="5"/>
      <c r="AB482" s="5"/>
    </row>
    <row r="483" spans="1:28" ht="13.15" customHeight="1">
      <c r="A483" s="9">
        <f t="shared" si="166"/>
        <v>469</v>
      </c>
      <c r="B483" s="10">
        <f t="shared" si="158"/>
        <v>45739</v>
      </c>
      <c r="C483" s="9">
        <f t="shared" si="159"/>
        <v>842</v>
      </c>
      <c r="D483" s="8">
        <f t="shared" si="150"/>
        <v>2113</v>
      </c>
      <c r="E483" s="4">
        <f t="shared" si="151"/>
        <v>897</v>
      </c>
      <c r="F483" s="4">
        <f t="shared" si="152"/>
        <v>1148</v>
      </c>
      <c r="G483" s="4">
        <f t="shared" si="153"/>
        <v>873</v>
      </c>
      <c r="H483" s="5">
        <f t="shared" si="154"/>
        <v>2058</v>
      </c>
      <c r="I483" s="5">
        <f t="shared" si="155"/>
        <v>1807</v>
      </c>
      <c r="J483" s="5">
        <f t="shared" si="156"/>
        <v>2082</v>
      </c>
      <c r="K483" s="5">
        <f t="shared" si="163"/>
        <v>3000</v>
      </c>
      <c r="L483" s="5">
        <f t="shared" si="164"/>
        <v>3000</v>
      </c>
      <c r="M483" s="5">
        <f t="shared" si="165"/>
        <v>3000</v>
      </c>
      <c r="N483" s="5">
        <f t="shared" si="160"/>
        <v>-942</v>
      </c>
      <c r="O483" s="5">
        <f t="shared" si="161"/>
        <v>-1193</v>
      </c>
      <c r="P483" s="5">
        <f t="shared" si="162"/>
        <v>-918</v>
      </c>
      <c r="Q483" s="4">
        <v>2</v>
      </c>
      <c r="R483" s="4">
        <v>4</v>
      </c>
      <c r="S483" s="4">
        <v>1</v>
      </c>
      <c r="T483" s="6">
        <f t="shared" si="157"/>
        <v>1148</v>
      </c>
      <c r="U483" s="7">
        <f t="shared" si="148"/>
        <v>2238</v>
      </c>
      <c r="V483" s="7">
        <f t="shared" si="149"/>
        <v>1807</v>
      </c>
      <c r="W483" s="7">
        <f t="shared" si="167"/>
        <v>2572</v>
      </c>
      <c r="X483" s="6"/>
      <c r="Y483" s="5"/>
      <c r="Z483" s="5"/>
      <c r="AA483" s="5"/>
      <c r="AB483" s="5"/>
    </row>
    <row r="484" spans="1:28" ht="13.15" customHeight="1">
      <c r="A484" s="9">
        <f t="shared" si="166"/>
        <v>470</v>
      </c>
      <c r="B484" s="10">
        <f t="shared" si="158"/>
        <v>45740</v>
      </c>
      <c r="C484" s="9">
        <f t="shared" si="159"/>
        <v>842</v>
      </c>
      <c r="D484" s="8">
        <f t="shared" si="150"/>
        <v>2115</v>
      </c>
      <c r="E484" s="4">
        <f t="shared" si="151"/>
        <v>903</v>
      </c>
      <c r="F484" s="4">
        <f t="shared" si="152"/>
        <v>1154</v>
      </c>
      <c r="G484" s="4">
        <f t="shared" si="153"/>
        <v>877</v>
      </c>
      <c r="H484" s="5">
        <f t="shared" si="154"/>
        <v>2054</v>
      </c>
      <c r="I484" s="5">
        <f t="shared" si="155"/>
        <v>1803</v>
      </c>
      <c r="J484" s="5">
        <f t="shared" si="156"/>
        <v>2080</v>
      </c>
      <c r="K484" s="5">
        <f t="shared" si="163"/>
        <v>3000</v>
      </c>
      <c r="L484" s="5">
        <f t="shared" si="164"/>
        <v>3000</v>
      </c>
      <c r="M484" s="5">
        <f t="shared" si="165"/>
        <v>3000</v>
      </c>
      <c r="N484" s="5">
        <f t="shared" si="160"/>
        <v>-946</v>
      </c>
      <c r="O484" s="5">
        <f t="shared" si="161"/>
        <v>-1197</v>
      </c>
      <c r="P484" s="5">
        <f t="shared" si="162"/>
        <v>-920</v>
      </c>
      <c r="Q484" s="4">
        <v>4</v>
      </c>
      <c r="R484" s="4">
        <v>4</v>
      </c>
      <c r="S484" s="4">
        <v>2</v>
      </c>
      <c r="T484" s="6">
        <f t="shared" si="157"/>
        <v>1154</v>
      </c>
      <c r="U484" s="7">
        <f t="shared" si="148"/>
        <v>2234</v>
      </c>
      <c r="V484" s="7">
        <f t="shared" si="149"/>
        <v>1803</v>
      </c>
      <c r="W484" s="7">
        <f t="shared" si="167"/>
        <v>2570</v>
      </c>
      <c r="X484" s="6"/>
      <c r="Y484" s="5"/>
      <c r="Z484" s="5"/>
      <c r="AA484" s="5"/>
      <c r="AB484" s="5"/>
    </row>
    <row r="485" spans="1:28" ht="13.15" customHeight="1">
      <c r="A485" s="9">
        <f t="shared" si="166"/>
        <v>471</v>
      </c>
      <c r="B485" s="10">
        <f t="shared" si="158"/>
        <v>45741</v>
      </c>
      <c r="C485" s="9">
        <f t="shared" si="159"/>
        <v>842</v>
      </c>
      <c r="D485" s="8">
        <f t="shared" si="150"/>
        <v>2117</v>
      </c>
      <c r="E485" s="4">
        <f t="shared" si="151"/>
        <v>908</v>
      </c>
      <c r="F485" s="4">
        <f t="shared" si="152"/>
        <v>1161</v>
      </c>
      <c r="G485" s="4">
        <f t="shared" si="153"/>
        <v>881</v>
      </c>
      <c r="H485" s="5">
        <f t="shared" si="154"/>
        <v>2051</v>
      </c>
      <c r="I485" s="5">
        <f t="shared" si="155"/>
        <v>1798</v>
      </c>
      <c r="J485" s="5">
        <f t="shared" si="156"/>
        <v>2078</v>
      </c>
      <c r="K485" s="5">
        <f t="shared" si="163"/>
        <v>3000</v>
      </c>
      <c r="L485" s="5">
        <f t="shared" si="164"/>
        <v>3000</v>
      </c>
      <c r="M485" s="5">
        <f t="shared" si="165"/>
        <v>3000</v>
      </c>
      <c r="N485" s="5">
        <f t="shared" si="160"/>
        <v>-949</v>
      </c>
      <c r="O485" s="5">
        <f t="shared" si="161"/>
        <v>-1202</v>
      </c>
      <c r="P485" s="5">
        <f t="shared" si="162"/>
        <v>-922</v>
      </c>
      <c r="Q485" s="4">
        <v>3</v>
      </c>
      <c r="R485" s="4">
        <v>5</v>
      </c>
      <c r="S485" s="4">
        <v>2</v>
      </c>
      <c r="T485" s="6">
        <f t="shared" si="157"/>
        <v>1161</v>
      </c>
      <c r="U485" s="7">
        <f t="shared" si="148"/>
        <v>2231</v>
      </c>
      <c r="V485" s="7">
        <f t="shared" si="149"/>
        <v>1798</v>
      </c>
      <c r="W485" s="7">
        <f t="shared" si="167"/>
        <v>2568</v>
      </c>
      <c r="X485" s="6"/>
      <c r="Y485" s="5"/>
      <c r="Z485" s="5"/>
      <c r="AA485" s="5"/>
      <c r="AB485" s="5"/>
    </row>
    <row r="486" spans="1:28" ht="13.15" customHeight="1">
      <c r="A486" s="9">
        <f t="shared" si="166"/>
        <v>472</v>
      </c>
      <c r="B486" s="10">
        <f t="shared" si="158"/>
        <v>45742</v>
      </c>
      <c r="C486" s="9">
        <f t="shared" si="159"/>
        <v>842</v>
      </c>
      <c r="D486" s="8">
        <f t="shared" si="150"/>
        <v>2119</v>
      </c>
      <c r="E486" s="4">
        <f t="shared" si="151"/>
        <v>914</v>
      </c>
      <c r="F486" s="4">
        <f t="shared" si="152"/>
        <v>1167</v>
      </c>
      <c r="G486" s="4">
        <f t="shared" si="153"/>
        <v>884</v>
      </c>
      <c r="H486" s="5">
        <f t="shared" si="154"/>
        <v>2047</v>
      </c>
      <c r="I486" s="5">
        <f t="shared" si="155"/>
        <v>1794</v>
      </c>
      <c r="J486" s="5">
        <f t="shared" si="156"/>
        <v>2077</v>
      </c>
      <c r="K486" s="5">
        <f t="shared" si="163"/>
        <v>3000</v>
      </c>
      <c r="L486" s="5">
        <f t="shared" si="164"/>
        <v>3000</v>
      </c>
      <c r="M486" s="5">
        <f t="shared" si="165"/>
        <v>3000</v>
      </c>
      <c r="N486" s="5">
        <f t="shared" si="160"/>
        <v>-953</v>
      </c>
      <c r="O486" s="5">
        <f t="shared" si="161"/>
        <v>-1206</v>
      </c>
      <c r="P486" s="5">
        <f t="shared" si="162"/>
        <v>-923</v>
      </c>
      <c r="Q486" s="4">
        <v>4</v>
      </c>
      <c r="R486" s="4">
        <v>4</v>
      </c>
      <c r="S486" s="4">
        <v>1</v>
      </c>
      <c r="T486" s="6">
        <f t="shared" si="157"/>
        <v>1167</v>
      </c>
      <c r="U486" s="7">
        <f t="shared" ref="U486:U491" si="168">U485+$X486*1000-Q486</f>
        <v>2227</v>
      </c>
      <c r="V486" s="7">
        <f t="shared" ref="V486:V491" si="169">V485+$X486*1000-R486</f>
        <v>1794</v>
      </c>
      <c r="W486" s="7">
        <f t="shared" si="167"/>
        <v>2567</v>
      </c>
      <c r="X486" s="6"/>
      <c r="Y486" s="5"/>
      <c r="Z486" s="5"/>
      <c r="AA486" s="5"/>
      <c r="AB486" s="5"/>
    </row>
    <row r="487" spans="1:28" ht="13.15" customHeight="1">
      <c r="A487" s="9">
        <f t="shared" si="166"/>
        <v>473</v>
      </c>
      <c r="B487" s="10">
        <f t="shared" si="158"/>
        <v>45743</v>
      </c>
      <c r="C487" s="9">
        <f t="shared" si="159"/>
        <v>842</v>
      </c>
      <c r="D487" s="8">
        <f t="shared" si="150"/>
        <v>2121</v>
      </c>
      <c r="E487" s="4">
        <f t="shared" si="151"/>
        <v>918</v>
      </c>
      <c r="F487" s="4">
        <f t="shared" si="152"/>
        <v>1173</v>
      </c>
      <c r="G487" s="4">
        <f t="shared" si="153"/>
        <v>888</v>
      </c>
      <c r="H487" s="5">
        <f t="shared" si="154"/>
        <v>2045</v>
      </c>
      <c r="I487" s="5">
        <f t="shared" si="155"/>
        <v>1790</v>
      </c>
      <c r="J487" s="5">
        <f t="shared" si="156"/>
        <v>2075</v>
      </c>
      <c r="K487" s="5">
        <f t="shared" si="163"/>
        <v>3000</v>
      </c>
      <c r="L487" s="5">
        <f t="shared" si="164"/>
        <v>3000</v>
      </c>
      <c r="M487" s="5">
        <f t="shared" si="165"/>
        <v>3000</v>
      </c>
      <c r="N487" s="5">
        <f t="shared" si="160"/>
        <v>-955</v>
      </c>
      <c r="O487" s="5">
        <f t="shared" si="161"/>
        <v>-1210</v>
      </c>
      <c r="P487" s="5">
        <f t="shared" si="162"/>
        <v>-925</v>
      </c>
      <c r="Q487" s="4">
        <v>2</v>
      </c>
      <c r="R487" s="4">
        <v>4</v>
      </c>
      <c r="S487" s="4">
        <v>2</v>
      </c>
      <c r="T487" s="6">
        <f t="shared" si="157"/>
        <v>1173</v>
      </c>
      <c r="U487" s="7">
        <f t="shared" si="168"/>
        <v>2225</v>
      </c>
      <c r="V487" s="7">
        <f t="shared" si="169"/>
        <v>1790</v>
      </c>
      <c r="W487" s="7">
        <f t="shared" si="167"/>
        <v>2565</v>
      </c>
      <c r="X487" s="6"/>
      <c r="Y487" s="5"/>
      <c r="Z487" s="5"/>
      <c r="AA487" s="5"/>
      <c r="AB487" s="5"/>
    </row>
    <row r="488" spans="1:28" ht="13.15" customHeight="1">
      <c r="A488" s="9">
        <f t="shared" si="166"/>
        <v>474</v>
      </c>
      <c r="B488" s="10">
        <f t="shared" si="158"/>
        <v>45744</v>
      </c>
      <c r="C488" s="9">
        <f t="shared" si="159"/>
        <v>842</v>
      </c>
      <c r="D488" s="8">
        <f t="shared" si="150"/>
        <v>2123</v>
      </c>
      <c r="E488" s="4">
        <f t="shared" si="151"/>
        <v>925</v>
      </c>
      <c r="F488" s="4">
        <f t="shared" si="152"/>
        <v>1178</v>
      </c>
      <c r="G488" s="4">
        <f t="shared" si="153"/>
        <v>892</v>
      </c>
      <c r="H488" s="5">
        <f t="shared" si="154"/>
        <v>2040</v>
      </c>
      <c r="I488" s="5">
        <f t="shared" si="155"/>
        <v>1787</v>
      </c>
      <c r="J488" s="5">
        <f t="shared" si="156"/>
        <v>2073</v>
      </c>
      <c r="K488" s="5">
        <f t="shared" si="163"/>
        <v>3000</v>
      </c>
      <c r="L488" s="5">
        <f t="shared" si="164"/>
        <v>3000</v>
      </c>
      <c r="M488" s="5">
        <f t="shared" si="165"/>
        <v>3000</v>
      </c>
      <c r="N488" s="5">
        <f t="shared" si="160"/>
        <v>-960</v>
      </c>
      <c r="O488" s="5">
        <f t="shared" si="161"/>
        <v>-1213</v>
      </c>
      <c r="P488" s="5">
        <f t="shared" si="162"/>
        <v>-927</v>
      </c>
      <c r="Q488" s="4">
        <v>5</v>
      </c>
      <c r="R488" s="4">
        <v>3</v>
      </c>
      <c r="S488" s="4">
        <v>2</v>
      </c>
      <c r="T488" s="6">
        <f t="shared" si="157"/>
        <v>1178</v>
      </c>
      <c r="U488" s="7">
        <f t="shared" si="168"/>
        <v>2220</v>
      </c>
      <c r="V488" s="7">
        <f t="shared" si="169"/>
        <v>1787</v>
      </c>
      <c r="W488" s="7">
        <f t="shared" si="167"/>
        <v>2563</v>
      </c>
      <c r="X488" s="6"/>
      <c r="Y488" s="5"/>
      <c r="Z488" s="5"/>
      <c r="AA488" s="5"/>
      <c r="AB488" s="5"/>
    </row>
    <row r="489" spans="1:28" ht="13.15" customHeight="1">
      <c r="A489" s="9">
        <f t="shared" si="166"/>
        <v>475</v>
      </c>
      <c r="B489" s="10">
        <f t="shared" si="158"/>
        <v>45745</v>
      </c>
      <c r="C489" s="9">
        <f t="shared" si="159"/>
        <v>842</v>
      </c>
      <c r="D489" s="8">
        <f t="shared" si="150"/>
        <v>2125</v>
      </c>
      <c r="E489" s="4">
        <f t="shared" si="151"/>
        <v>930</v>
      </c>
      <c r="F489" s="4">
        <f t="shared" si="152"/>
        <v>1183</v>
      </c>
      <c r="G489" s="4">
        <f t="shared" si="153"/>
        <v>896</v>
      </c>
      <c r="H489" s="5">
        <f t="shared" si="154"/>
        <v>2037</v>
      </c>
      <c r="I489" s="5">
        <f t="shared" si="155"/>
        <v>1784</v>
      </c>
      <c r="J489" s="5">
        <f t="shared" si="156"/>
        <v>2071</v>
      </c>
      <c r="K489" s="5">
        <f t="shared" si="163"/>
        <v>3000</v>
      </c>
      <c r="L489" s="5">
        <f t="shared" si="164"/>
        <v>3000</v>
      </c>
      <c r="M489" s="5">
        <f t="shared" si="165"/>
        <v>3000</v>
      </c>
      <c r="N489" s="5">
        <f t="shared" si="160"/>
        <v>-963</v>
      </c>
      <c r="O489" s="5">
        <f t="shared" si="161"/>
        <v>-1216</v>
      </c>
      <c r="P489" s="5">
        <f t="shared" si="162"/>
        <v>-929</v>
      </c>
      <c r="Q489" s="4">
        <v>3</v>
      </c>
      <c r="R489" s="4">
        <v>3</v>
      </c>
      <c r="S489" s="4">
        <v>2</v>
      </c>
      <c r="T489" s="6">
        <f t="shared" si="157"/>
        <v>1183</v>
      </c>
      <c r="U489" s="7">
        <f t="shared" si="168"/>
        <v>2217</v>
      </c>
      <c r="V489" s="7">
        <f t="shared" si="169"/>
        <v>1784</v>
      </c>
      <c r="W489" s="7">
        <f t="shared" si="167"/>
        <v>2561</v>
      </c>
      <c r="X489" s="6"/>
      <c r="Y489" s="5"/>
      <c r="Z489" s="5"/>
      <c r="AA489" s="5"/>
      <c r="AB489" s="5"/>
    </row>
    <row r="490" spans="1:28" ht="13.15" customHeight="1">
      <c r="A490" s="9">
        <f t="shared" si="166"/>
        <v>476</v>
      </c>
      <c r="B490" s="10">
        <f t="shared" si="158"/>
        <v>45746</v>
      </c>
      <c r="C490" s="9">
        <f t="shared" si="159"/>
        <v>842</v>
      </c>
      <c r="D490" s="8">
        <f t="shared" si="150"/>
        <v>2127</v>
      </c>
      <c r="E490" s="4">
        <f t="shared" si="151"/>
        <v>936</v>
      </c>
      <c r="F490" s="4">
        <f t="shared" si="152"/>
        <v>1189</v>
      </c>
      <c r="G490" s="4">
        <f t="shared" si="153"/>
        <v>900</v>
      </c>
      <c r="H490" s="5">
        <f t="shared" si="154"/>
        <v>2033</v>
      </c>
      <c r="I490" s="5">
        <f t="shared" si="155"/>
        <v>1780</v>
      </c>
      <c r="J490" s="5">
        <f t="shared" si="156"/>
        <v>2069</v>
      </c>
      <c r="K490" s="5">
        <f t="shared" si="163"/>
        <v>3000</v>
      </c>
      <c r="L490" s="5">
        <f t="shared" si="164"/>
        <v>3000</v>
      </c>
      <c r="M490" s="5">
        <f t="shared" si="165"/>
        <v>3000</v>
      </c>
      <c r="N490" s="5">
        <f t="shared" si="160"/>
        <v>-967</v>
      </c>
      <c r="O490" s="5">
        <f t="shared" si="161"/>
        <v>-1220</v>
      </c>
      <c r="P490" s="5">
        <f t="shared" si="162"/>
        <v>-931</v>
      </c>
      <c r="Q490" s="4">
        <v>4</v>
      </c>
      <c r="R490" s="4">
        <v>4</v>
      </c>
      <c r="S490" s="4">
        <v>2</v>
      </c>
      <c r="T490" s="6">
        <f t="shared" si="157"/>
        <v>1189</v>
      </c>
      <c r="U490" s="7">
        <f t="shared" si="168"/>
        <v>2213</v>
      </c>
      <c r="V490" s="7">
        <f t="shared" si="169"/>
        <v>1780</v>
      </c>
      <c r="W490" s="7">
        <f t="shared" si="167"/>
        <v>2559</v>
      </c>
      <c r="X490" s="6"/>
      <c r="Y490" s="5"/>
      <c r="Z490" s="5"/>
      <c r="AA490" s="5"/>
      <c r="AB490" s="5"/>
    </row>
    <row r="491" spans="1:28" ht="13.15" customHeight="1">
      <c r="A491" s="9">
        <f t="shared" si="166"/>
        <v>477</v>
      </c>
      <c r="B491" s="10">
        <f t="shared" si="158"/>
        <v>45747</v>
      </c>
      <c r="C491" s="9">
        <f t="shared" si="159"/>
        <v>842</v>
      </c>
      <c r="D491" s="8">
        <f t="shared" si="150"/>
        <v>2129</v>
      </c>
      <c r="E491" s="4">
        <f t="shared" si="151"/>
        <v>941</v>
      </c>
      <c r="F491" s="4">
        <f t="shared" si="152"/>
        <v>1194</v>
      </c>
      <c r="G491" s="4">
        <f t="shared" si="153"/>
        <v>906</v>
      </c>
      <c r="H491" s="5">
        <f t="shared" si="154"/>
        <v>2030</v>
      </c>
      <c r="I491" s="5">
        <f t="shared" si="155"/>
        <v>1777</v>
      </c>
      <c r="J491" s="5">
        <f t="shared" si="156"/>
        <v>2065</v>
      </c>
      <c r="K491" s="5">
        <f t="shared" si="163"/>
        <v>3000</v>
      </c>
      <c r="L491" s="5">
        <f t="shared" si="164"/>
        <v>3000</v>
      </c>
      <c r="M491" s="5">
        <f t="shared" si="165"/>
        <v>3000</v>
      </c>
      <c r="N491" s="5">
        <f t="shared" si="160"/>
        <v>-970</v>
      </c>
      <c r="O491" s="5">
        <f t="shared" si="161"/>
        <v>-1223</v>
      </c>
      <c r="P491" s="5">
        <f t="shared" si="162"/>
        <v>-935</v>
      </c>
      <c r="Q491" s="4">
        <v>3</v>
      </c>
      <c r="R491" s="4">
        <v>3</v>
      </c>
      <c r="S491" s="4">
        <v>4</v>
      </c>
      <c r="T491" s="6">
        <f t="shared" si="157"/>
        <v>1194</v>
      </c>
      <c r="U491" s="7">
        <f t="shared" si="168"/>
        <v>2210</v>
      </c>
      <c r="V491" s="7">
        <f t="shared" si="169"/>
        <v>1777</v>
      </c>
      <c r="W491" s="7">
        <f t="shared" si="167"/>
        <v>2555</v>
      </c>
      <c r="X491" s="6"/>
      <c r="Y491" s="5"/>
      <c r="Z491" s="5"/>
      <c r="AA491" s="5"/>
      <c r="AB491" s="5"/>
    </row>
    <row r="492" spans="1:28" ht="13.15" customHeight="1">
      <c r="A492" s="9">
        <f t="shared" ref="A492:A500" si="170">+A491+1</f>
        <v>478</v>
      </c>
      <c r="B492" s="10">
        <f t="shared" ref="B492:B500" si="171">B491+1</f>
        <v>45748</v>
      </c>
      <c r="C492" s="9">
        <f t="shared" ref="C492:C500" si="172">C491</f>
        <v>842</v>
      </c>
      <c r="D492" s="8">
        <f t="shared" ref="D492:D500" si="173">D491+2</f>
        <v>2131</v>
      </c>
      <c r="E492" s="4">
        <f t="shared" ref="E492:E500" si="174">C492+D492-H492</f>
        <v>943</v>
      </c>
      <c r="F492" s="4">
        <f t="shared" ref="F492:F500" si="175">C492+D492-I492</f>
        <v>1203</v>
      </c>
      <c r="G492" s="4">
        <f t="shared" ref="G492:G500" si="176">D492+C492-J492</f>
        <v>908</v>
      </c>
      <c r="H492" s="5">
        <f t="shared" ref="H492:H500" si="177">K492+N492</f>
        <v>2030</v>
      </c>
      <c r="I492" s="5">
        <f t="shared" ref="I492:I500" si="178">L492+O492</f>
        <v>1770</v>
      </c>
      <c r="J492" s="5">
        <f t="shared" ref="J492:J500" si="179">M492+P492</f>
        <v>2065</v>
      </c>
      <c r="K492" s="5">
        <f t="shared" ref="K492:K500" si="180">K491</f>
        <v>3000</v>
      </c>
      <c r="L492" s="5">
        <f t="shared" ref="L492:L500" si="181">L491</f>
        <v>3000</v>
      </c>
      <c r="M492" s="5">
        <f t="shared" ref="M492:M500" si="182">M491</f>
        <v>3000</v>
      </c>
      <c r="N492" s="5">
        <f t="shared" ref="N492:N500" si="183">N491-Q492</f>
        <v>-970</v>
      </c>
      <c r="O492" s="5">
        <f t="shared" ref="O492:O500" si="184">O491-R492</f>
        <v>-1230</v>
      </c>
      <c r="P492" s="5">
        <f t="shared" ref="P492:P500" si="185">P491-S492</f>
        <v>-935</v>
      </c>
      <c r="Q492" s="4">
        <v>0</v>
      </c>
      <c r="R492" s="4">
        <v>7</v>
      </c>
      <c r="S492" s="4">
        <v>0</v>
      </c>
      <c r="T492" s="6">
        <f t="shared" ref="T492:T500" si="186">D492+C492-V492</f>
        <v>1203</v>
      </c>
      <c r="U492" s="7">
        <f t="shared" ref="U492:U500" si="187">U491+$X492*1000-Q492</f>
        <v>2210</v>
      </c>
      <c r="V492" s="7">
        <f t="shared" ref="V492:V500" si="188">V491+$X492*1000-R492</f>
        <v>1770</v>
      </c>
      <c r="W492" s="7">
        <f t="shared" ref="W492:W500" si="189">W491+$X492*1000-S492</f>
        <v>2555</v>
      </c>
      <c r="X492" s="6"/>
      <c r="Y492" s="5"/>
      <c r="Z492" s="5"/>
      <c r="AA492" s="5"/>
      <c r="AB492" s="5"/>
    </row>
    <row r="493" spans="1:28" ht="13.15" customHeight="1">
      <c r="A493" s="9">
        <f t="shared" si="170"/>
        <v>479</v>
      </c>
      <c r="B493" s="10">
        <f t="shared" si="171"/>
        <v>45749</v>
      </c>
      <c r="C493" s="9">
        <f t="shared" si="172"/>
        <v>842</v>
      </c>
      <c r="D493" s="8">
        <f t="shared" si="173"/>
        <v>2133</v>
      </c>
      <c r="E493" s="4">
        <f t="shared" si="174"/>
        <v>945</v>
      </c>
      <c r="F493" s="4">
        <f t="shared" si="175"/>
        <v>1210</v>
      </c>
      <c r="G493" s="4">
        <f t="shared" si="176"/>
        <v>910</v>
      </c>
      <c r="H493" s="5">
        <f t="shared" si="177"/>
        <v>2030</v>
      </c>
      <c r="I493" s="5">
        <f t="shared" si="178"/>
        <v>1765</v>
      </c>
      <c r="J493" s="5">
        <f t="shared" si="179"/>
        <v>2065</v>
      </c>
      <c r="K493" s="5">
        <f t="shared" si="180"/>
        <v>3000</v>
      </c>
      <c r="L493" s="5">
        <f t="shared" si="181"/>
        <v>3000</v>
      </c>
      <c r="M493" s="5">
        <f t="shared" si="182"/>
        <v>3000</v>
      </c>
      <c r="N493" s="5">
        <f t="shared" si="183"/>
        <v>-970</v>
      </c>
      <c r="O493" s="5">
        <f t="shared" si="184"/>
        <v>-1235</v>
      </c>
      <c r="P493" s="5">
        <f t="shared" si="185"/>
        <v>-935</v>
      </c>
      <c r="Q493" s="4">
        <v>0</v>
      </c>
      <c r="R493" s="4">
        <v>5</v>
      </c>
      <c r="S493" s="4">
        <v>0</v>
      </c>
      <c r="T493" s="6">
        <f t="shared" si="186"/>
        <v>1210</v>
      </c>
      <c r="U493" s="7">
        <f t="shared" si="187"/>
        <v>2210</v>
      </c>
      <c r="V493" s="7">
        <f t="shared" si="188"/>
        <v>1765</v>
      </c>
      <c r="W493" s="7">
        <f t="shared" si="189"/>
        <v>2555</v>
      </c>
      <c r="X493" s="6"/>
      <c r="Y493" s="5"/>
      <c r="Z493" s="5"/>
      <c r="AA493" s="5"/>
      <c r="AB493" s="5"/>
    </row>
    <row r="494" spans="1:28" ht="13.15" customHeight="1">
      <c r="A494" s="9">
        <f t="shared" si="170"/>
        <v>480</v>
      </c>
      <c r="B494" s="10">
        <f t="shared" si="171"/>
        <v>45750</v>
      </c>
      <c r="C494" s="9">
        <f t="shared" si="172"/>
        <v>842</v>
      </c>
      <c r="D494" s="8">
        <f t="shared" si="173"/>
        <v>2135</v>
      </c>
      <c r="E494" s="4">
        <f t="shared" si="174"/>
        <v>947</v>
      </c>
      <c r="F494" s="4">
        <f t="shared" si="175"/>
        <v>1217</v>
      </c>
      <c r="G494" s="4">
        <f t="shared" si="176"/>
        <v>912</v>
      </c>
      <c r="H494" s="5">
        <f t="shared" si="177"/>
        <v>2030</v>
      </c>
      <c r="I494" s="5">
        <f t="shared" si="178"/>
        <v>1760</v>
      </c>
      <c r="J494" s="5">
        <f t="shared" si="179"/>
        <v>2065</v>
      </c>
      <c r="K494" s="5">
        <f t="shared" si="180"/>
        <v>3000</v>
      </c>
      <c r="L494" s="5">
        <f t="shared" si="181"/>
        <v>3000</v>
      </c>
      <c r="M494" s="5">
        <f t="shared" si="182"/>
        <v>3000</v>
      </c>
      <c r="N494" s="5">
        <f t="shared" si="183"/>
        <v>-970</v>
      </c>
      <c r="O494" s="5">
        <f t="shared" si="184"/>
        <v>-1240</v>
      </c>
      <c r="P494" s="5">
        <f t="shared" si="185"/>
        <v>-935</v>
      </c>
      <c r="Q494" s="4">
        <v>0</v>
      </c>
      <c r="R494" s="4">
        <v>5</v>
      </c>
      <c r="S494" s="4">
        <v>0</v>
      </c>
      <c r="T494" s="6">
        <f t="shared" si="186"/>
        <v>1217</v>
      </c>
      <c r="U494" s="7">
        <f t="shared" si="187"/>
        <v>2210</v>
      </c>
      <c r="V494" s="7">
        <f t="shared" si="188"/>
        <v>1760</v>
      </c>
      <c r="W494" s="7">
        <f t="shared" si="189"/>
        <v>2555</v>
      </c>
      <c r="X494" s="6"/>
      <c r="Y494" s="5"/>
      <c r="Z494" s="5"/>
      <c r="AA494" s="5"/>
      <c r="AB494" s="5"/>
    </row>
    <row r="495" spans="1:28" ht="13.15" customHeight="1">
      <c r="A495" s="9">
        <f t="shared" si="170"/>
        <v>481</v>
      </c>
      <c r="B495" s="10">
        <f t="shared" si="171"/>
        <v>45751</v>
      </c>
      <c r="C495" s="9">
        <f t="shared" si="172"/>
        <v>842</v>
      </c>
      <c r="D495" s="8">
        <f t="shared" si="173"/>
        <v>2137</v>
      </c>
      <c r="E495" s="4">
        <f t="shared" si="174"/>
        <v>949</v>
      </c>
      <c r="F495" s="4">
        <f t="shared" si="175"/>
        <v>1226</v>
      </c>
      <c r="G495" s="4">
        <f t="shared" si="176"/>
        <v>914</v>
      </c>
      <c r="H495" s="5">
        <f t="shared" si="177"/>
        <v>2030</v>
      </c>
      <c r="I495" s="5">
        <f t="shared" si="178"/>
        <v>1753</v>
      </c>
      <c r="J495" s="5">
        <f t="shared" si="179"/>
        <v>2065</v>
      </c>
      <c r="K495" s="5">
        <f t="shared" si="180"/>
        <v>3000</v>
      </c>
      <c r="L495" s="5">
        <f t="shared" si="181"/>
        <v>3000</v>
      </c>
      <c r="M495" s="5">
        <f t="shared" si="182"/>
        <v>3000</v>
      </c>
      <c r="N495" s="5">
        <f t="shared" si="183"/>
        <v>-970</v>
      </c>
      <c r="O495" s="5">
        <f t="shared" si="184"/>
        <v>-1247</v>
      </c>
      <c r="P495" s="5">
        <f t="shared" si="185"/>
        <v>-935</v>
      </c>
      <c r="Q495" s="4">
        <v>0</v>
      </c>
      <c r="R495" s="4">
        <v>7</v>
      </c>
      <c r="S495" s="4">
        <v>0</v>
      </c>
      <c r="T495" s="6">
        <f t="shared" si="186"/>
        <v>1226</v>
      </c>
      <c r="U495" s="7">
        <f t="shared" si="187"/>
        <v>2210</v>
      </c>
      <c r="V495" s="7">
        <f t="shared" si="188"/>
        <v>1753</v>
      </c>
      <c r="W495" s="7">
        <f t="shared" si="189"/>
        <v>2555</v>
      </c>
      <c r="X495" s="6"/>
      <c r="Y495" s="5"/>
      <c r="Z495" s="5"/>
      <c r="AA495" s="5"/>
      <c r="AB495" s="5"/>
    </row>
    <row r="496" spans="1:28" ht="13.15" customHeight="1">
      <c r="A496" s="9">
        <f t="shared" si="170"/>
        <v>482</v>
      </c>
      <c r="B496" s="10">
        <f t="shared" si="171"/>
        <v>45752</v>
      </c>
      <c r="C496" s="9">
        <f t="shared" si="172"/>
        <v>842</v>
      </c>
      <c r="D496" s="8">
        <f t="shared" si="173"/>
        <v>2139</v>
      </c>
      <c r="E496" s="4">
        <f t="shared" si="174"/>
        <v>951</v>
      </c>
      <c r="F496" s="4">
        <f t="shared" si="175"/>
        <v>1232</v>
      </c>
      <c r="G496" s="4">
        <f t="shared" si="176"/>
        <v>916</v>
      </c>
      <c r="H496" s="5">
        <f t="shared" si="177"/>
        <v>2030</v>
      </c>
      <c r="I496" s="5">
        <f t="shared" si="178"/>
        <v>1749</v>
      </c>
      <c r="J496" s="5">
        <f t="shared" si="179"/>
        <v>2065</v>
      </c>
      <c r="K496" s="5">
        <f t="shared" si="180"/>
        <v>3000</v>
      </c>
      <c r="L496" s="5">
        <f t="shared" si="181"/>
        <v>3000</v>
      </c>
      <c r="M496" s="5">
        <f t="shared" si="182"/>
        <v>3000</v>
      </c>
      <c r="N496" s="5">
        <f t="shared" si="183"/>
        <v>-970</v>
      </c>
      <c r="O496" s="5">
        <f t="shared" si="184"/>
        <v>-1251</v>
      </c>
      <c r="P496" s="5">
        <f t="shared" si="185"/>
        <v>-935</v>
      </c>
      <c r="Q496" s="4">
        <v>0</v>
      </c>
      <c r="R496" s="4">
        <v>4</v>
      </c>
      <c r="S496" s="4">
        <v>0</v>
      </c>
      <c r="T496" s="6">
        <f t="shared" si="186"/>
        <v>1232</v>
      </c>
      <c r="U496" s="7">
        <f t="shared" si="187"/>
        <v>2210</v>
      </c>
      <c r="V496" s="7">
        <f t="shared" si="188"/>
        <v>1749</v>
      </c>
      <c r="W496" s="7">
        <f t="shared" si="189"/>
        <v>2555</v>
      </c>
      <c r="X496" s="6"/>
      <c r="Y496" s="5"/>
      <c r="Z496" s="5"/>
      <c r="AA496" s="5"/>
      <c r="AB496" s="5"/>
    </row>
    <row r="497" spans="1:28" ht="13.15" customHeight="1">
      <c r="A497" s="9">
        <f t="shared" si="170"/>
        <v>483</v>
      </c>
      <c r="B497" s="10">
        <f t="shared" si="171"/>
        <v>45753</v>
      </c>
      <c r="C497" s="9">
        <f t="shared" si="172"/>
        <v>842</v>
      </c>
      <c r="D497" s="8">
        <f t="shared" si="173"/>
        <v>2141</v>
      </c>
      <c r="E497" s="4">
        <f t="shared" si="174"/>
        <v>953</v>
      </c>
      <c r="F497" s="4">
        <f t="shared" si="175"/>
        <v>1238</v>
      </c>
      <c r="G497" s="4">
        <f t="shared" si="176"/>
        <v>918</v>
      </c>
      <c r="H497" s="5">
        <f t="shared" si="177"/>
        <v>2030</v>
      </c>
      <c r="I497" s="5">
        <f t="shared" si="178"/>
        <v>1745</v>
      </c>
      <c r="J497" s="5">
        <f t="shared" si="179"/>
        <v>2065</v>
      </c>
      <c r="K497" s="5">
        <f t="shared" si="180"/>
        <v>3000</v>
      </c>
      <c r="L497" s="5">
        <f t="shared" si="181"/>
        <v>3000</v>
      </c>
      <c r="M497" s="5">
        <f t="shared" si="182"/>
        <v>3000</v>
      </c>
      <c r="N497" s="5">
        <f t="shared" si="183"/>
        <v>-970</v>
      </c>
      <c r="O497" s="5">
        <f t="shared" si="184"/>
        <v>-1255</v>
      </c>
      <c r="P497" s="5">
        <f t="shared" si="185"/>
        <v>-935</v>
      </c>
      <c r="Q497" s="4">
        <v>0</v>
      </c>
      <c r="R497" s="4">
        <v>4</v>
      </c>
      <c r="S497" s="4">
        <v>0</v>
      </c>
      <c r="T497" s="6">
        <f t="shared" si="186"/>
        <v>1238</v>
      </c>
      <c r="U497" s="7">
        <f t="shared" si="187"/>
        <v>2210</v>
      </c>
      <c r="V497" s="7">
        <f t="shared" si="188"/>
        <v>1745</v>
      </c>
      <c r="W497" s="7">
        <f t="shared" si="189"/>
        <v>2555</v>
      </c>
      <c r="X497" s="6"/>
      <c r="Y497" s="5"/>
      <c r="Z497" s="5"/>
      <c r="AA497" s="5"/>
      <c r="AB497" s="5"/>
    </row>
    <row r="498" spans="1:28" ht="13.15" customHeight="1">
      <c r="A498" s="9">
        <f t="shared" si="170"/>
        <v>484</v>
      </c>
      <c r="B498" s="10">
        <f t="shared" si="171"/>
        <v>45754</v>
      </c>
      <c r="C498" s="9">
        <f t="shared" si="172"/>
        <v>842</v>
      </c>
      <c r="D498" s="8">
        <f t="shared" si="173"/>
        <v>2143</v>
      </c>
      <c r="E498" s="4">
        <f t="shared" si="174"/>
        <v>955</v>
      </c>
      <c r="F498" s="4">
        <f t="shared" si="175"/>
        <v>1245</v>
      </c>
      <c r="G498" s="4">
        <f t="shared" si="176"/>
        <v>920</v>
      </c>
      <c r="H498" s="5">
        <f t="shared" si="177"/>
        <v>2030</v>
      </c>
      <c r="I498" s="5">
        <f t="shared" si="178"/>
        <v>1740</v>
      </c>
      <c r="J498" s="5">
        <f t="shared" si="179"/>
        <v>2065</v>
      </c>
      <c r="K498" s="5">
        <f t="shared" si="180"/>
        <v>3000</v>
      </c>
      <c r="L498" s="5">
        <f t="shared" si="181"/>
        <v>3000</v>
      </c>
      <c r="M498" s="5">
        <f t="shared" si="182"/>
        <v>3000</v>
      </c>
      <c r="N498" s="5">
        <f t="shared" si="183"/>
        <v>-970</v>
      </c>
      <c r="O498" s="5">
        <f t="shared" si="184"/>
        <v>-1260</v>
      </c>
      <c r="P498" s="5">
        <f t="shared" si="185"/>
        <v>-935</v>
      </c>
      <c r="Q498" s="4">
        <v>0</v>
      </c>
      <c r="R498" s="4">
        <v>5</v>
      </c>
      <c r="S498" s="4">
        <v>0</v>
      </c>
      <c r="T498" s="6">
        <f t="shared" si="186"/>
        <v>1245</v>
      </c>
      <c r="U498" s="7">
        <f t="shared" si="187"/>
        <v>2210</v>
      </c>
      <c r="V498" s="7">
        <f t="shared" si="188"/>
        <v>1740</v>
      </c>
      <c r="W498" s="7">
        <f t="shared" si="189"/>
        <v>2555</v>
      </c>
      <c r="X498" s="6"/>
      <c r="Y498" s="5"/>
      <c r="Z498" s="5"/>
      <c r="AA498" s="5"/>
      <c r="AB498" s="5"/>
    </row>
    <row r="499" spans="1:28" ht="13.15" customHeight="1">
      <c r="A499" s="9">
        <f t="shared" si="170"/>
        <v>485</v>
      </c>
      <c r="B499" s="10">
        <f t="shared" si="171"/>
        <v>45755</v>
      </c>
      <c r="C499" s="9">
        <f t="shared" si="172"/>
        <v>842</v>
      </c>
      <c r="D499" s="8">
        <f t="shared" si="173"/>
        <v>2145</v>
      </c>
      <c r="E499" s="4">
        <f t="shared" si="174"/>
        <v>957</v>
      </c>
      <c r="F499" s="4">
        <f t="shared" si="175"/>
        <v>1251</v>
      </c>
      <c r="G499" s="4">
        <f t="shared" si="176"/>
        <v>922</v>
      </c>
      <c r="H499" s="5">
        <f t="shared" si="177"/>
        <v>2030</v>
      </c>
      <c r="I499" s="5">
        <f t="shared" si="178"/>
        <v>1736</v>
      </c>
      <c r="J499" s="5">
        <f t="shared" si="179"/>
        <v>2065</v>
      </c>
      <c r="K499" s="5">
        <f t="shared" si="180"/>
        <v>3000</v>
      </c>
      <c r="L499" s="5">
        <f t="shared" si="181"/>
        <v>3000</v>
      </c>
      <c r="M499" s="5">
        <f t="shared" si="182"/>
        <v>3000</v>
      </c>
      <c r="N499" s="5">
        <f t="shared" si="183"/>
        <v>-970</v>
      </c>
      <c r="O499" s="5">
        <f t="shared" si="184"/>
        <v>-1264</v>
      </c>
      <c r="P499" s="5">
        <f t="shared" si="185"/>
        <v>-935</v>
      </c>
      <c r="Q499" s="4">
        <v>0</v>
      </c>
      <c r="R499" s="4">
        <v>4</v>
      </c>
      <c r="S499" s="4">
        <v>0</v>
      </c>
      <c r="T499" s="6">
        <f t="shared" si="186"/>
        <v>1251</v>
      </c>
      <c r="U499" s="7">
        <f t="shared" si="187"/>
        <v>2210</v>
      </c>
      <c r="V499" s="7">
        <f t="shared" si="188"/>
        <v>1736</v>
      </c>
      <c r="W499" s="7">
        <f t="shared" si="189"/>
        <v>2555</v>
      </c>
      <c r="X499" s="6"/>
      <c r="Y499" s="5"/>
      <c r="Z499" s="5"/>
      <c r="AA499" s="5"/>
      <c r="AB499" s="5"/>
    </row>
    <row r="500" spans="1:28" ht="13.15" customHeight="1">
      <c r="A500" s="9">
        <f t="shared" si="170"/>
        <v>486</v>
      </c>
      <c r="B500" s="10">
        <f t="shared" si="171"/>
        <v>45756</v>
      </c>
      <c r="C500" s="9">
        <f t="shared" si="172"/>
        <v>842</v>
      </c>
      <c r="D500" s="8">
        <f t="shared" si="173"/>
        <v>2147</v>
      </c>
      <c r="E500" s="4">
        <f t="shared" si="174"/>
        <v>959</v>
      </c>
      <c r="F500" s="4">
        <f t="shared" si="175"/>
        <v>1263</v>
      </c>
      <c r="G500" s="4">
        <f t="shared" si="176"/>
        <v>924</v>
      </c>
      <c r="H500" s="5">
        <f t="shared" si="177"/>
        <v>2030</v>
      </c>
      <c r="I500" s="5">
        <f t="shared" si="178"/>
        <v>1726</v>
      </c>
      <c r="J500" s="5">
        <f t="shared" si="179"/>
        <v>2065</v>
      </c>
      <c r="K500" s="5">
        <f t="shared" si="180"/>
        <v>3000</v>
      </c>
      <c r="L500" s="5">
        <f t="shared" si="181"/>
        <v>3000</v>
      </c>
      <c r="M500" s="5">
        <f t="shared" si="182"/>
        <v>3000</v>
      </c>
      <c r="N500" s="5">
        <f t="shared" si="183"/>
        <v>-970</v>
      </c>
      <c r="O500" s="5">
        <f t="shared" si="184"/>
        <v>-1274</v>
      </c>
      <c r="P500" s="5">
        <f t="shared" si="185"/>
        <v>-935</v>
      </c>
      <c r="Q500" s="4">
        <v>0</v>
      </c>
      <c r="R500" s="4">
        <v>10</v>
      </c>
      <c r="S500" s="4">
        <v>0</v>
      </c>
      <c r="T500" s="6">
        <f t="shared" si="186"/>
        <v>1263</v>
      </c>
      <c r="U500" s="7">
        <f t="shared" si="187"/>
        <v>2210</v>
      </c>
      <c r="V500" s="7">
        <f t="shared" si="188"/>
        <v>1726</v>
      </c>
      <c r="W500" s="7">
        <f t="shared" si="189"/>
        <v>2555</v>
      </c>
      <c r="X500" s="6"/>
      <c r="Y500" s="5"/>
      <c r="Z500" s="5"/>
      <c r="AA500" s="5"/>
      <c r="AB500" s="5"/>
    </row>
    <row r="501" spans="1:28" ht="13.15" customHeight="1">
      <c r="A501" s="9">
        <f t="shared" ref="A501:A516" si="190">+A500+1</f>
        <v>487</v>
      </c>
      <c r="B501" s="10">
        <f t="shared" ref="B501:B512" si="191">B500+1</f>
        <v>45757</v>
      </c>
      <c r="C501" s="9">
        <f t="shared" ref="C501:C516" si="192">C500</f>
        <v>842</v>
      </c>
      <c r="D501" s="8">
        <f t="shared" ref="D501:D516" si="193">D500+2</f>
        <v>2149</v>
      </c>
      <c r="E501" s="4">
        <f t="shared" ref="E501:E516" si="194">C501+D501-H501</f>
        <v>961</v>
      </c>
      <c r="F501" s="4">
        <f t="shared" ref="F501:F516" si="195">C501+D501-I501</f>
        <v>1275</v>
      </c>
      <c r="G501" s="4">
        <f t="shared" ref="G501:G516" si="196">D501+C501-J501</f>
        <v>926</v>
      </c>
      <c r="H501" s="5">
        <f t="shared" ref="H501:H516" si="197">K501+N501</f>
        <v>2030</v>
      </c>
      <c r="I501" s="5">
        <f t="shared" ref="I501:I516" si="198">L501+O501</f>
        <v>1716</v>
      </c>
      <c r="J501" s="5">
        <f t="shared" ref="J501:J516" si="199">M501+P501</f>
        <v>2065</v>
      </c>
      <c r="K501" s="5">
        <f t="shared" ref="K501:K516" si="200">K500</f>
        <v>3000</v>
      </c>
      <c r="L501" s="5">
        <f t="shared" ref="L501:L516" si="201">L500</f>
        <v>3000</v>
      </c>
      <c r="M501" s="5">
        <f t="shared" ref="M501:M516" si="202">M500</f>
        <v>3000</v>
      </c>
      <c r="N501" s="5">
        <f t="shared" ref="N501:N516" si="203">N500-Q501</f>
        <v>-970</v>
      </c>
      <c r="O501" s="5">
        <f t="shared" ref="O501:O516" si="204">O500-R501</f>
        <v>-1284</v>
      </c>
      <c r="P501" s="5">
        <f t="shared" ref="P501:P516" si="205">P500-S501</f>
        <v>-935</v>
      </c>
      <c r="Q501" s="4">
        <v>0</v>
      </c>
      <c r="R501" s="4">
        <v>10</v>
      </c>
      <c r="S501" s="4">
        <v>0</v>
      </c>
      <c r="T501" s="6">
        <f t="shared" ref="T501:T516" si="206">D501+C501-V501</f>
        <v>1275</v>
      </c>
      <c r="U501" s="7">
        <f t="shared" ref="U501:U516" si="207">U500+$X501*1000-Q501</f>
        <v>2210</v>
      </c>
      <c r="V501" s="7">
        <f t="shared" ref="V501:V516" si="208">V500+$X501*1000-R501</f>
        <v>1716</v>
      </c>
      <c r="W501" s="7">
        <f t="shared" ref="W501:W516" si="209">W500+$X501*1000-S501</f>
        <v>2555</v>
      </c>
      <c r="X501" s="6"/>
      <c r="Y501" s="5"/>
      <c r="Z501" s="5"/>
      <c r="AA501" s="5"/>
      <c r="AB501" s="5"/>
    </row>
    <row r="502" spans="1:28" ht="13.15" customHeight="1">
      <c r="A502" s="9">
        <f t="shared" si="190"/>
        <v>488</v>
      </c>
      <c r="B502" s="10">
        <f t="shared" si="191"/>
        <v>45758</v>
      </c>
      <c r="C502" s="9">
        <f t="shared" si="192"/>
        <v>842</v>
      </c>
      <c r="D502" s="8">
        <f t="shared" si="193"/>
        <v>2151</v>
      </c>
      <c r="E502" s="4">
        <f t="shared" si="194"/>
        <v>963</v>
      </c>
      <c r="F502" s="4">
        <f t="shared" si="195"/>
        <v>1287</v>
      </c>
      <c r="G502" s="4">
        <f t="shared" si="196"/>
        <v>928</v>
      </c>
      <c r="H502" s="5">
        <f t="shared" si="197"/>
        <v>2030</v>
      </c>
      <c r="I502" s="5">
        <f t="shared" si="198"/>
        <v>1706</v>
      </c>
      <c r="J502" s="5">
        <f t="shared" si="199"/>
        <v>2065</v>
      </c>
      <c r="K502" s="5">
        <f t="shared" si="200"/>
        <v>3000</v>
      </c>
      <c r="L502" s="5">
        <f t="shared" si="201"/>
        <v>3000</v>
      </c>
      <c r="M502" s="5">
        <f t="shared" si="202"/>
        <v>3000</v>
      </c>
      <c r="N502" s="5">
        <f t="shared" si="203"/>
        <v>-970</v>
      </c>
      <c r="O502" s="5">
        <f t="shared" si="204"/>
        <v>-1294</v>
      </c>
      <c r="P502" s="5">
        <f t="shared" si="205"/>
        <v>-935</v>
      </c>
      <c r="Q502" s="4">
        <v>0</v>
      </c>
      <c r="R502" s="4">
        <v>10</v>
      </c>
      <c r="S502" s="4">
        <v>0</v>
      </c>
      <c r="T502" s="6">
        <f t="shared" si="206"/>
        <v>1287</v>
      </c>
      <c r="U502" s="7">
        <f t="shared" si="207"/>
        <v>2210</v>
      </c>
      <c r="V502" s="7">
        <f t="shared" si="208"/>
        <v>1706</v>
      </c>
      <c r="W502" s="7">
        <f t="shared" si="209"/>
        <v>2555</v>
      </c>
      <c r="X502" s="6"/>
      <c r="Y502" s="5"/>
      <c r="Z502" s="5"/>
      <c r="AA502" s="5"/>
      <c r="AB502" s="5"/>
    </row>
    <row r="503" spans="1:28" ht="13.15" customHeight="1">
      <c r="A503" s="9">
        <f t="shared" si="190"/>
        <v>489</v>
      </c>
      <c r="B503" s="10">
        <f t="shared" si="191"/>
        <v>45759</v>
      </c>
      <c r="C503" s="9">
        <f t="shared" si="192"/>
        <v>842</v>
      </c>
      <c r="D503" s="8">
        <f t="shared" si="193"/>
        <v>2153</v>
      </c>
      <c r="E503" s="4">
        <f t="shared" si="194"/>
        <v>965</v>
      </c>
      <c r="F503" s="4">
        <f t="shared" si="195"/>
        <v>1296</v>
      </c>
      <c r="G503" s="4">
        <f t="shared" si="196"/>
        <v>930</v>
      </c>
      <c r="H503" s="5">
        <f t="shared" si="197"/>
        <v>2030</v>
      </c>
      <c r="I503" s="5">
        <f t="shared" si="198"/>
        <v>1699</v>
      </c>
      <c r="J503" s="5">
        <f t="shared" si="199"/>
        <v>2065</v>
      </c>
      <c r="K503" s="5">
        <f t="shared" si="200"/>
        <v>3000</v>
      </c>
      <c r="L503" s="5">
        <f t="shared" si="201"/>
        <v>3000</v>
      </c>
      <c r="M503" s="5">
        <f t="shared" si="202"/>
        <v>3000</v>
      </c>
      <c r="N503" s="5">
        <f t="shared" si="203"/>
        <v>-970</v>
      </c>
      <c r="O503" s="5">
        <f t="shared" si="204"/>
        <v>-1301</v>
      </c>
      <c r="P503" s="5">
        <f t="shared" si="205"/>
        <v>-935</v>
      </c>
      <c r="Q503" s="4">
        <v>0</v>
      </c>
      <c r="R503" s="4">
        <v>7</v>
      </c>
      <c r="S503" s="4">
        <v>0</v>
      </c>
      <c r="T503" s="6">
        <f t="shared" si="206"/>
        <v>1076</v>
      </c>
      <c r="U503" s="7">
        <f t="shared" si="207"/>
        <v>2430</v>
      </c>
      <c r="V503" s="7">
        <f t="shared" si="208"/>
        <v>1919</v>
      </c>
      <c r="W503" s="7">
        <f t="shared" si="209"/>
        <v>2775</v>
      </c>
      <c r="X503" s="13">
        <v>0.22</v>
      </c>
      <c r="Y503" s="5"/>
      <c r="Z503" s="5"/>
      <c r="AA503" s="5"/>
      <c r="AB503" s="5" t="s">
        <v>74</v>
      </c>
    </row>
    <row r="504" spans="1:28" ht="13.15" customHeight="1">
      <c r="A504" s="9">
        <f t="shared" si="190"/>
        <v>490</v>
      </c>
      <c r="B504" s="10">
        <f t="shared" si="191"/>
        <v>45760</v>
      </c>
      <c r="C504" s="9">
        <f t="shared" si="192"/>
        <v>842</v>
      </c>
      <c r="D504" s="8">
        <f t="shared" si="193"/>
        <v>2155</v>
      </c>
      <c r="E504" s="4">
        <f t="shared" si="194"/>
        <v>967</v>
      </c>
      <c r="F504" s="4">
        <f t="shared" si="195"/>
        <v>1308</v>
      </c>
      <c r="G504" s="4">
        <f t="shared" si="196"/>
        <v>932</v>
      </c>
      <c r="H504" s="5">
        <f t="shared" si="197"/>
        <v>2030</v>
      </c>
      <c r="I504" s="5">
        <f t="shared" si="198"/>
        <v>1689</v>
      </c>
      <c r="J504" s="5">
        <f t="shared" si="199"/>
        <v>2065</v>
      </c>
      <c r="K504" s="5">
        <f t="shared" si="200"/>
        <v>3000</v>
      </c>
      <c r="L504" s="5">
        <f t="shared" si="201"/>
        <v>3000</v>
      </c>
      <c r="M504" s="5">
        <f t="shared" si="202"/>
        <v>3000</v>
      </c>
      <c r="N504" s="5">
        <f t="shared" si="203"/>
        <v>-970</v>
      </c>
      <c r="O504" s="5">
        <f t="shared" si="204"/>
        <v>-1311</v>
      </c>
      <c r="P504" s="5">
        <f t="shared" si="205"/>
        <v>-935</v>
      </c>
      <c r="Q504" s="4">
        <v>0</v>
      </c>
      <c r="R504" s="4">
        <v>10</v>
      </c>
      <c r="S504" s="4">
        <v>0</v>
      </c>
      <c r="T504" s="6">
        <f t="shared" si="206"/>
        <v>1088</v>
      </c>
      <c r="U504" s="7">
        <f t="shared" si="207"/>
        <v>2430</v>
      </c>
      <c r="V504" s="7">
        <f t="shared" si="208"/>
        <v>1909</v>
      </c>
      <c r="W504" s="7">
        <f t="shared" si="209"/>
        <v>2775</v>
      </c>
      <c r="X504" s="6"/>
      <c r="Y504" s="5"/>
      <c r="Z504" s="5"/>
      <c r="AA504" s="5"/>
      <c r="AB504" s="5"/>
    </row>
    <row r="505" spans="1:28" ht="13.15" customHeight="1">
      <c r="A505" s="9">
        <f t="shared" si="190"/>
        <v>491</v>
      </c>
      <c r="B505" s="10">
        <f t="shared" si="191"/>
        <v>45761</v>
      </c>
      <c r="C505" s="9">
        <f t="shared" si="192"/>
        <v>842</v>
      </c>
      <c r="D505" s="8">
        <f t="shared" si="193"/>
        <v>2157</v>
      </c>
      <c r="E505" s="4">
        <f t="shared" si="194"/>
        <v>969</v>
      </c>
      <c r="F505" s="4">
        <f t="shared" si="195"/>
        <v>1320</v>
      </c>
      <c r="G505" s="4">
        <f t="shared" si="196"/>
        <v>934</v>
      </c>
      <c r="H505" s="5">
        <f t="shared" si="197"/>
        <v>2030</v>
      </c>
      <c r="I505" s="5">
        <f t="shared" si="198"/>
        <v>1679</v>
      </c>
      <c r="J505" s="5">
        <f t="shared" si="199"/>
        <v>2065</v>
      </c>
      <c r="K505" s="5">
        <f t="shared" si="200"/>
        <v>3000</v>
      </c>
      <c r="L505" s="5">
        <f t="shared" si="201"/>
        <v>3000</v>
      </c>
      <c r="M505" s="5">
        <f t="shared" si="202"/>
        <v>3000</v>
      </c>
      <c r="N505" s="5">
        <f t="shared" si="203"/>
        <v>-970</v>
      </c>
      <c r="O505" s="5">
        <f t="shared" si="204"/>
        <v>-1321</v>
      </c>
      <c r="P505" s="5">
        <f t="shared" si="205"/>
        <v>-935</v>
      </c>
      <c r="Q505" s="4">
        <v>0</v>
      </c>
      <c r="R505" s="4">
        <v>10</v>
      </c>
      <c r="S505" s="4">
        <v>0</v>
      </c>
      <c r="T505" s="6">
        <f t="shared" si="206"/>
        <v>1100</v>
      </c>
      <c r="U505" s="7">
        <f t="shared" si="207"/>
        <v>2430</v>
      </c>
      <c r="V505" s="7">
        <f t="shared" si="208"/>
        <v>1899</v>
      </c>
      <c r="W505" s="7">
        <f t="shared" si="209"/>
        <v>2775</v>
      </c>
      <c r="X505" s="6"/>
      <c r="Y505" s="5"/>
      <c r="Z505" s="5"/>
      <c r="AA505" s="5"/>
      <c r="AB505" s="5"/>
    </row>
    <row r="506" spans="1:28" ht="13.15" customHeight="1">
      <c r="A506" s="9">
        <f t="shared" si="190"/>
        <v>492</v>
      </c>
      <c r="B506" s="10">
        <f t="shared" si="191"/>
        <v>45762</v>
      </c>
      <c r="C506" s="9">
        <f t="shared" si="192"/>
        <v>842</v>
      </c>
      <c r="D506" s="8">
        <f t="shared" si="193"/>
        <v>2159</v>
      </c>
      <c r="E506" s="4">
        <f t="shared" si="194"/>
        <v>971</v>
      </c>
      <c r="F506" s="4">
        <f t="shared" si="195"/>
        <v>1330</v>
      </c>
      <c r="G506" s="4">
        <f t="shared" si="196"/>
        <v>936</v>
      </c>
      <c r="H506" s="5">
        <f t="shared" si="197"/>
        <v>2030</v>
      </c>
      <c r="I506" s="5">
        <f t="shared" si="198"/>
        <v>1671</v>
      </c>
      <c r="J506" s="5">
        <f t="shared" si="199"/>
        <v>2065</v>
      </c>
      <c r="K506" s="5">
        <f t="shared" si="200"/>
        <v>3000</v>
      </c>
      <c r="L506" s="5">
        <f t="shared" si="201"/>
        <v>3000</v>
      </c>
      <c r="M506" s="5">
        <f t="shared" si="202"/>
        <v>3000</v>
      </c>
      <c r="N506" s="5">
        <f t="shared" si="203"/>
        <v>-970</v>
      </c>
      <c r="O506" s="5">
        <f t="shared" si="204"/>
        <v>-1329</v>
      </c>
      <c r="P506" s="5">
        <f t="shared" si="205"/>
        <v>-935</v>
      </c>
      <c r="Q506" s="4">
        <v>0</v>
      </c>
      <c r="R506" s="4">
        <v>8</v>
      </c>
      <c r="S506" s="4">
        <v>0</v>
      </c>
      <c r="T506" s="6">
        <f t="shared" si="206"/>
        <v>810</v>
      </c>
      <c r="U506" s="7">
        <f t="shared" si="207"/>
        <v>2730</v>
      </c>
      <c r="V506" s="7">
        <f t="shared" si="208"/>
        <v>2191</v>
      </c>
      <c r="W506" s="7">
        <f t="shared" si="209"/>
        <v>3075</v>
      </c>
      <c r="X506" s="13">
        <v>0.3</v>
      </c>
      <c r="Y506" s="5"/>
      <c r="Z506" s="5"/>
      <c r="AA506" s="5"/>
      <c r="AB506" s="5" t="s">
        <v>75</v>
      </c>
    </row>
    <row r="507" spans="1:28" ht="13.15" customHeight="1">
      <c r="A507" s="9">
        <f t="shared" si="190"/>
        <v>493</v>
      </c>
      <c r="B507" s="10">
        <f t="shared" si="191"/>
        <v>45763</v>
      </c>
      <c r="C507" s="9">
        <f t="shared" si="192"/>
        <v>842</v>
      </c>
      <c r="D507" s="8">
        <f t="shared" si="193"/>
        <v>2161</v>
      </c>
      <c r="E507" s="4">
        <f t="shared" si="194"/>
        <v>973</v>
      </c>
      <c r="F507" s="4">
        <f t="shared" si="195"/>
        <v>1342</v>
      </c>
      <c r="G507" s="4">
        <f t="shared" si="196"/>
        <v>938</v>
      </c>
      <c r="H507" s="5">
        <f t="shared" si="197"/>
        <v>2030</v>
      </c>
      <c r="I507" s="5">
        <f t="shared" si="198"/>
        <v>1661</v>
      </c>
      <c r="J507" s="5">
        <f t="shared" si="199"/>
        <v>2065</v>
      </c>
      <c r="K507" s="5">
        <f t="shared" si="200"/>
        <v>3000</v>
      </c>
      <c r="L507" s="5">
        <f t="shared" si="201"/>
        <v>3000</v>
      </c>
      <c r="M507" s="5">
        <f t="shared" si="202"/>
        <v>3000</v>
      </c>
      <c r="N507" s="5">
        <f t="shared" si="203"/>
        <v>-970</v>
      </c>
      <c r="O507" s="5">
        <f t="shared" si="204"/>
        <v>-1339</v>
      </c>
      <c r="P507" s="5">
        <f t="shared" si="205"/>
        <v>-935</v>
      </c>
      <c r="Q507" s="4">
        <v>0</v>
      </c>
      <c r="R507" s="4">
        <v>10</v>
      </c>
      <c r="S507" s="4">
        <v>0</v>
      </c>
      <c r="T507" s="6">
        <f t="shared" si="206"/>
        <v>822</v>
      </c>
      <c r="U507" s="7">
        <f t="shared" si="207"/>
        <v>2730</v>
      </c>
      <c r="V507" s="7">
        <f t="shared" si="208"/>
        <v>2181</v>
      </c>
      <c r="W507" s="7">
        <f t="shared" si="209"/>
        <v>3075</v>
      </c>
      <c r="X507" s="6"/>
      <c r="Y507" s="5"/>
      <c r="Z507" s="5"/>
      <c r="AA507" s="5"/>
      <c r="AB507" s="5"/>
    </row>
    <row r="508" spans="1:28" ht="13.15" customHeight="1">
      <c r="A508" s="9">
        <f t="shared" si="190"/>
        <v>494</v>
      </c>
      <c r="B508" s="10">
        <f t="shared" si="191"/>
        <v>45764</v>
      </c>
      <c r="C508" s="9">
        <f t="shared" si="192"/>
        <v>842</v>
      </c>
      <c r="D508" s="8">
        <f t="shared" si="193"/>
        <v>2163</v>
      </c>
      <c r="E508" s="4">
        <f t="shared" si="194"/>
        <v>975</v>
      </c>
      <c r="F508" s="4">
        <f t="shared" si="195"/>
        <v>1354</v>
      </c>
      <c r="G508" s="4">
        <f t="shared" si="196"/>
        <v>940</v>
      </c>
      <c r="H508" s="5">
        <f t="shared" si="197"/>
        <v>2030</v>
      </c>
      <c r="I508" s="5">
        <f t="shared" si="198"/>
        <v>1651</v>
      </c>
      <c r="J508" s="5">
        <f t="shared" si="199"/>
        <v>2065</v>
      </c>
      <c r="K508" s="5">
        <f t="shared" si="200"/>
        <v>3000</v>
      </c>
      <c r="L508" s="5">
        <f t="shared" si="201"/>
        <v>3000</v>
      </c>
      <c r="M508" s="5">
        <f t="shared" si="202"/>
        <v>3000</v>
      </c>
      <c r="N508" s="5">
        <f t="shared" si="203"/>
        <v>-970</v>
      </c>
      <c r="O508" s="5">
        <f t="shared" si="204"/>
        <v>-1349</v>
      </c>
      <c r="P508" s="5">
        <f t="shared" si="205"/>
        <v>-935</v>
      </c>
      <c r="Q508" s="4">
        <v>0</v>
      </c>
      <c r="R508" s="4">
        <v>10</v>
      </c>
      <c r="S508" s="4">
        <v>0</v>
      </c>
      <c r="T508" s="6">
        <f t="shared" si="206"/>
        <v>834</v>
      </c>
      <c r="U508" s="7">
        <f t="shared" si="207"/>
        <v>2730</v>
      </c>
      <c r="V508" s="7">
        <f t="shared" si="208"/>
        <v>2171</v>
      </c>
      <c r="W508" s="7">
        <f t="shared" si="209"/>
        <v>3075</v>
      </c>
      <c r="X508" s="6"/>
      <c r="Y508" s="5"/>
      <c r="Z508" s="5"/>
      <c r="AA508" s="5"/>
      <c r="AB508" s="5"/>
    </row>
    <row r="509" spans="1:28" ht="13.15" customHeight="1">
      <c r="A509" s="9">
        <f t="shared" si="190"/>
        <v>495</v>
      </c>
      <c r="B509" s="10">
        <f t="shared" si="191"/>
        <v>45765</v>
      </c>
      <c r="C509" s="9">
        <f t="shared" si="192"/>
        <v>842</v>
      </c>
      <c r="D509" s="8">
        <f t="shared" si="193"/>
        <v>2165</v>
      </c>
      <c r="E509" s="4">
        <f t="shared" si="194"/>
        <v>977</v>
      </c>
      <c r="F509" s="4">
        <f t="shared" si="195"/>
        <v>1365</v>
      </c>
      <c r="G509" s="4">
        <f t="shared" si="196"/>
        <v>942</v>
      </c>
      <c r="H509" s="5">
        <f t="shared" si="197"/>
        <v>2030</v>
      </c>
      <c r="I509" s="5">
        <f t="shared" si="198"/>
        <v>1642</v>
      </c>
      <c r="J509" s="5">
        <f t="shared" si="199"/>
        <v>2065</v>
      </c>
      <c r="K509" s="5">
        <f t="shared" si="200"/>
        <v>3000</v>
      </c>
      <c r="L509" s="5">
        <f t="shared" si="201"/>
        <v>3000</v>
      </c>
      <c r="M509" s="5">
        <f t="shared" si="202"/>
        <v>3000</v>
      </c>
      <c r="N509" s="5">
        <f t="shared" si="203"/>
        <v>-970</v>
      </c>
      <c r="O509" s="5">
        <f t="shared" si="204"/>
        <v>-1358</v>
      </c>
      <c r="P509" s="5">
        <f t="shared" si="205"/>
        <v>-935</v>
      </c>
      <c r="Q509" s="4">
        <v>0</v>
      </c>
      <c r="R509" s="4">
        <v>9</v>
      </c>
      <c r="S509" s="4">
        <v>0</v>
      </c>
      <c r="T509" s="6">
        <f t="shared" si="206"/>
        <v>545</v>
      </c>
      <c r="U509" s="7">
        <f t="shared" si="207"/>
        <v>3030</v>
      </c>
      <c r="V509" s="7">
        <f t="shared" si="208"/>
        <v>2462</v>
      </c>
      <c r="W509" s="7">
        <f t="shared" si="209"/>
        <v>3375</v>
      </c>
      <c r="X509" s="13">
        <v>0.3</v>
      </c>
      <c r="Y509" s="5"/>
      <c r="Z509" s="5"/>
      <c r="AA509" s="5"/>
      <c r="AB509" s="5" t="s">
        <v>76</v>
      </c>
    </row>
    <row r="510" spans="1:28" ht="13.15" customHeight="1">
      <c r="A510" s="9">
        <f t="shared" si="190"/>
        <v>496</v>
      </c>
      <c r="B510" s="10">
        <f t="shared" si="191"/>
        <v>45766</v>
      </c>
      <c r="C510" s="9">
        <f t="shared" si="192"/>
        <v>842</v>
      </c>
      <c r="D510" s="8">
        <f t="shared" si="193"/>
        <v>2167</v>
      </c>
      <c r="E510" s="4">
        <f t="shared" si="194"/>
        <v>979</v>
      </c>
      <c r="F510" s="4">
        <f t="shared" si="195"/>
        <v>1375</v>
      </c>
      <c r="G510" s="4">
        <f t="shared" si="196"/>
        <v>944</v>
      </c>
      <c r="H510" s="5">
        <f t="shared" si="197"/>
        <v>2030</v>
      </c>
      <c r="I510" s="5">
        <f t="shared" si="198"/>
        <v>1634</v>
      </c>
      <c r="J510" s="5">
        <f t="shared" si="199"/>
        <v>2065</v>
      </c>
      <c r="K510" s="5">
        <f t="shared" si="200"/>
        <v>3000</v>
      </c>
      <c r="L510" s="5">
        <f t="shared" si="201"/>
        <v>3000</v>
      </c>
      <c r="M510" s="5">
        <f t="shared" si="202"/>
        <v>3000</v>
      </c>
      <c r="N510" s="5">
        <f t="shared" si="203"/>
        <v>-970</v>
      </c>
      <c r="O510" s="5">
        <f t="shared" si="204"/>
        <v>-1366</v>
      </c>
      <c r="P510" s="5">
        <f t="shared" si="205"/>
        <v>-935</v>
      </c>
      <c r="Q510" s="4">
        <v>0</v>
      </c>
      <c r="R510" s="4">
        <v>8</v>
      </c>
      <c r="S510" s="4">
        <v>0</v>
      </c>
      <c r="T510" s="6">
        <f t="shared" si="206"/>
        <v>555</v>
      </c>
      <c r="U510" s="7">
        <f t="shared" si="207"/>
        <v>3030</v>
      </c>
      <c r="V510" s="7">
        <f t="shared" si="208"/>
        <v>2454</v>
      </c>
      <c r="W510" s="7">
        <f t="shared" si="209"/>
        <v>3375</v>
      </c>
      <c r="X510" s="6"/>
      <c r="Y510" s="5"/>
      <c r="Z510" s="5"/>
      <c r="AA510" s="5"/>
      <c r="AB510" s="5"/>
    </row>
    <row r="511" spans="1:28" ht="13.15" customHeight="1">
      <c r="A511" s="9">
        <f t="shared" si="190"/>
        <v>497</v>
      </c>
      <c r="B511" s="10">
        <f t="shared" si="191"/>
        <v>45767</v>
      </c>
      <c r="C511" s="9">
        <f t="shared" si="192"/>
        <v>842</v>
      </c>
      <c r="D511" s="8">
        <f t="shared" si="193"/>
        <v>2169</v>
      </c>
      <c r="E511" s="4">
        <f t="shared" si="194"/>
        <v>981</v>
      </c>
      <c r="F511" s="4">
        <f t="shared" si="195"/>
        <v>1383</v>
      </c>
      <c r="G511" s="4">
        <f t="shared" si="196"/>
        <v>946</v>
      </c>
      <c r="H511" s="5">
        <f t="shared" si="197"/>
        <v>2030</v>
      </c>
      <c r="I511" s="5">
        <f t="shared" si="198"/>
        <v>1628</v>
      </c>
      <c r="J511" s="5">
        <f t="shared" si="199"/>
        <v>2065</v>
      </c>
      <c r="K511" s="5">
        <f t="shared" si="200"/>
        <v>3000</v>
      </c>
      <c r="L511" s="5">
        <f t="shared" si="201"/>
        <v>3000</v>
      </c>
      <c r="M511" s="5">
        <f t="shared" si="202"/>
        <v>3000</v>
      </c>
      <c r="N511" s="5">
        <f t="shared" si="203"/>
        <v>-970</v>
      </c>
      <c r="O511" s="5">
        <f t="shared" si="204"/>
        <v>-1372</v>
      </c>
      <c r="P511" s="5">
        <f t="shared" si="205"/>
        <v>-935</v>
      </c>
      <c r="Q511" s="4">
        <v>0</v>
      </c>
      <c r="R511" s="4">
        <v>6</v>
      </c>
      <c r="S511" s="4">
        <v>0</v>
      </c>
      <c r="T511" s="6">
        <f t="shared" si="206"/>
        <v>563</v>
      </c>
      <c r="U511" s="7">
        <f t="shared" si="207"/>
        <v>3030</v>
      </c>
      <c r="V511" s="7">
        <f t="shared" si="208"/>
        <v>2448</v>
      </c>
      <c r="W511" s="7">
        <f t="shared" si="209"/>
        <v>3375</v>
      </c>
      <c r="X511" s="6"/>
      <c r="Y511" s="5"/>
      <c r="Z511" s="5"/>
      <c r="AA511" s="5"/>
      <c r="AB511" s="5"/>
    </row>
    <row r="512" spans="1:28" s="168" customFormat="1" ht="13.15" customHeight="1">
      <c r="A512" s="163">
        <f t="shared" si="190"/>
        <v>498</v>
      </c>
      <c r="B512" s="164">
        <f t="shared" si="191"/>
        <v>45768</v>
      </c>
      <c r="C512" s="163">
        <f t="shared" si="192"/>
        <v>842</v>
      </c>
      <c r="D512" s="165">
        <f t="shared" si="193"/>
        <v>2171</v>
      </c>
      <c r="E512" s="166">
        <f t="shared" si="194"/>
        <v>983</v>
      </c>
      <c r="F512" s="166">
        <f t="shared" si="195"/>
        <v>1390</v>
      </c>
      <c r="G512" s="166">
        <f t="shared" si="196"/>
        <v>948</v>
      </c>
      <c r="H512" s="166">
        <f t="shared" si="197"/>
        <v>2030</v>
      </c>
      <c r="I512" s="166">
        <f t="shared" si="198"/>
        <v>1623</v>
      </c>
      <c r="J512" s="166">
        <f t="shared" si="199"/>
        <v>2065</v>
      </c>
      <c r="K512" s="166">
        <f t="shared" si="200"/>
        <v>3000</v>
      </c>
      <c r="L512" s="166">
        <f t="shared" si="201"/>
        <v>3000</v>
      </c>
      <c r="M512" s="166">
        <f t="shared" si="202"/>
        <v>3000</v>
      </c>
      <c r="N512" s="166">
        <f t="shared" si="203"/>
        <v>-970</v>
      </c>
      <c r="O512" s="166">
        <f t="shared" si="204"/>
        <v>-1377</v>
      </c>
      <c r="P512" s="166">
        <f t="shared" si="205"/>
        <v>-935</v>
      </c>
      <c r="Q512" s="166">
        <v>0</v>
      </c>
      <c r="R512" s="18">
        <v>5</v>
      </c>
      <c r="S512" s="166">
        <v>0</v>
      </c>
      <c r="T512" s="166">
        <f t="shared" si="206"/>
        <v>270</v>
      </c>
      <c r="U512" s="167">
        <f t="shared" si="207"/>
        <v>3330</v>
      </c>
      <c r="V512" s="167">
        <f t="shared" si="208"/>
        <v>2743</v>
      </c>
      <c r="W512" s="167">
        <f t="shared" si="209"/>
        <v>3675</v>
      </c>
      <c r="X512" s="255">
        <v>0.3</v>
      </c>
      <c r="Y512" s="166"/>
      <c r="Z512" s="166"/>
      <c r="AA512" s="166"/>
      <c r="AB512" s="166" t="s">
        <v>73</v>
      </c>
    </row>
    <row r="513" spans="1:28" ht="13.15" customHeight="1">
      <c r="A513" s="9">
        <f t="shared" si="190"/>
        <v>499</v>
      </c>
      <c r="B513" s="10">
        <f>B512+3</f>
        <v>45771</v>
      </c>
      <c r="C513" s="9">
        <f t="shared" si="192"/>
        <v>842</v>
      </c>
      <c r="D513" s="8">
        <f t="shared" si="193"/>
        <v>2173</v>
      </c>
      <c r="E513" s="4">
        <f t="shared" si="194"/>
        <v>1007</v>
      </c>
      <c r="F513" s="4">
        <f t="shared" si="195"/>
        <v>1412</v>
      </c>
      <c r="G513" s="4">
        <f t="shared" si="196"/>
        <v>967</v>
      </c>
      <c r="H513" s="5">
        <f t="shared" si="197"/>
        <v>2008</v>
      </c>
      <c r="I513" s="5">
        <f t="shared" si="198"/>
        <v>1603</v>
      </c>
      <c r="J513" s="5">
        <f t="shared" si="199"/>
        <v>2048</v>
      </c>
      <c r="K513" s="5">
        <f t="shared" si="200"/>
        <v>3000</v>
      </c>
      <c r="L513" s="5">
        <f t="shared" si="201"/>
        <v>3000</v>
      </c>
      <c r="M513" s="5">
        <f t="shared" si="202"/>
        <v>3000</v>
      </c>
      <c r="N513" s="5">
        <f t="shared" si="203"/>
        <v>-992</v>
      </c>
      <c r="O513" s="5">
        <f t="shared" si="204"/>
        <v>-1397</v>
      </c>
      <c r="P513" s="5">
        <f t="shared" si="205"/>
        <v>-952</v>
      </c>
      <c r="Q513" s="181">
        <v>22</v>
      </c>
      <c r="R513" s="4">
        <v>20</v>
      </c>
      <c r="S513" s="181">
        <v>17</v>
      </c>
      <c r="T513" s="6">
        <f t="shared" si="206"/>
        <v>292</v>
      </c>
      <c r="U513" s="7">
        <f t="shared" si="207"/>
        <v>3308</v>
      </c>
      <c r="V513" s="7">
        <f t="shared" si="208"/>
        <v>2723</v>
      </c>
      <c r="W513" s="7">
        <f t="shared" si="209"/>
        <v>3658</v>
      </c>
      <c r="X513" s="6"/>
      <c r="Y513" s="5"/>
      <c r="Z513" s="5"/>
      <c r="AA513" s="5"/>
      <c r="AB513" s="5"/>
    </row>
    <row r="514" spans="1:28" ht="13.15" customHeight="1">
      <c r="A514" s="9">
        <f t="shared" si="190"/>
        <v>500</v>
      </c>
      <c r="B514" s="10">
        <f>B513+4</f>
        <v>45775</v>
      </c>
      <c r="C514" s="9">
        <f t="shared" si="192"/>
        <v>842</v>
      </c>
      <c r="D514" s="8">
        <f t="shared" si="193"/>
        <v>2175</v>
      </c>
      <c r="E514" s="4">
        <f t="shared" si="194"/>
        <v>1034</v>
      </c>
      <c r="F514" s="4">
        <f t="shared" si="195"/>
        <v>1439</v>
      </c>
      <c r="G514" s="4">
        <f t="shared" si="196"/>
        <v>995</v>
      </c>
      <c r="H514" s="5">
        <f t="shared" si="197"/>
        <v>1983</v>
      </c>
      <c r="I514" s="5">
        <f t="shared" si="198"/>
        <v>1578</v>
      </c>
      <c r="J514" s="5">
        <f t="shared" si="199"/>
        <v>2022</v>
      </c>
      <c r="K514" s="5">
        <f t="shared" si="200"/>
        <v>3000</v>
      </c>
      <c r="L514" s="5">
        <f t="shared" si="201"/>
        <v>3000</v>
      </c>
      <c r="M514" s="5">
        <f t="shared" si="202"/>
        <v>3000</v>
      </c>
      <c r="N514" s="5">
        <f t="shared" si="203"/>
        <v>-1017</v>
      </c>
      <c r="O514" s="5">
        <f t="shared" si="204"/>
        <v>-1422</v>
      </c>
      <c r="P514" s="5">
        <f t="shared" si="205"/>
        <v>-978</v>
      </c>
      <c r="Q514" s="181">
        <v>25</v>
      </c>
      <c r="R514" s="4">
        <v>25</v>
      </c>
      <c r="S514" s="181">
        <v>26</v>
      </c>
      <c r="T514" s="6">
        <f t="shared" si="206"/>
        <v>319</v>
      </c>
      <c r="U514" s="7">
        <f t="shared" si="207"/>
        <v>3283</v>
      </c>
      <c r="V514" s="7">
        <f t="shared" si="208"/>
        <v>2698</v>
      </c>
      <c r="W514" s="7">
        <f t="shared" si="209"/>
        <v>3632</v>
      </c>
      <c r="X514" s="6"/>
      <c r="Y514" s="5"/>
      <c r="Z514" s="5"/>
      <c r="AA514" s="5"/>
      <c r="AB514" s="5"/>
    </row>
    <row r="515" spans="1:28" ht="13.15" customHeight="1">
      <c r="A515" s="9">
        <f t="shared" si="190"/>
        <v>501</v>
      </c>
      <c r="B515" s="10">
        <f>B514+3</f>
        <v>45778</v>
      </c>
      <c r="C515" s="9">
        <f t="shared" si="192"/>
        <v>842</v>
      </c>
      <c r="D515" s="8">
        <f t="shared" si="193"/>
        <v>2177</v>
      </c>
      <c r="E515" s="4">
        <f t="shared" si="194"/>
        <v>1058</v>
      </c>
      <c r="F515" s="4">
        <f t="shared" si="195"/>
        <v>1456</v>
      </c>
      <c r="G515" s="4">
        <f t="shared" si="196"/>
        <v>1015</v>
      </c>
      <c r="H515" s="5">
        <f t="shared" si="197"/>
        <v>1961</v>
      </c>
      <c r="I515" s="5">
        <f t="shared" si="198"/>
        <v>1563</v>
      </c>
      <c r="J515" s="5">
        <f t="shared" si="199"/>
        <v>2004</v>
      </c>
      <c r="K515" s="5">
        <f t="shared" si="200"/>
        <v>3000</v>
      </c>
      <c r="L515" s="5">
        <f t="shared" si="201"/>
        <v>3000</v>
      </c>
      <c r="M515" s="5">
        <f t="shared" si="202"/>
        <v>3000</v>
      </c>
      <c r="N515" s="5">
        <f t="shared" si="203"/>
        <v>-1039</v>
      </c>
      <c r="O515" s="5">
        <f t="shared" si="204"/>
        <v>-1437</v>
      </c>
      <c r="P515" s="5">
        <f t="shared" si="205"/>
        <v>-996</v>
      </c>
      <c r="Q515" s="181">
        <v>22</v>
      </c>
      <c r="R515" s="4">
        <v>15</v>
      </c>
      <c r="S515" s="181">
        <v>18</v>
      </c>
      <c r="T515" s="6">
        <f t="shared" si="206"/>
        <v>336</v>
      </c>
      <c r="U515" s="7">
        <f t="shared" si="207"/>
        <v>3261</v>
      </c>
      <c r="V515" s="7">
        <f t="shared" si="208"/>
        <v>2683</v>
      </c>
      <c r="W515" s="7">
        <f t="shared" si="209"/>
        <v>3614</v>
      </c>
      <c r="X515" s="6"/>
      <c r="Y515" s="5"/>
      <c r="Z515" s="5"/>
      <c r="AA515" s="5"/>
      <c r="AB515" s="5"/>
    </row>
    <row r="516" spans="1:28" s="173" customFormat="1" ht="13.15" customHeight="1">
      <c r="A516" s="170">
        <f t="shared" si="190"/>
        <v>502</v>
      </c>
      <c r="B516" s="169">
        <f>B515+4</f>
        <v>45782</v>
      </c>
      <c r="C516" s="170">
        <f t="shared" si="192"/>
        <v>842</v>
      </c>
      <c r="D516" s="171">
        <f t="shared" si="193"/>
        <v>2179</v>
      </c>
      <c r="E516" s="172">
        <f t="shared" si="194"/>
        <v>1090</v>
      </c>
      <c r="F516" s="172">
        <f t="shared" si="195"/>
        <v>1482</v>
      </c>
      <c r="G516" s="172">
        <f t="shared" si="196"/>
        <v>1039</v>
      </c>
      <c r="H516" s="172">
        <f t="shared" si="197"/>
        <v>1931</v>
      </c>
      <c r="I516" s="172">
        <f t="shared" si="198"/>
        <v>1539</v>
      </c>
      <c r="J516" s="172">
        <f t="shared" si="199"/>
        <v>1982</v>
      </c>
      <c r="K516" s="172">
        <f t="shared" si="200"/>
        <v>3000</v>
      </c>
      <c r="L516" s="172">
        <f t="shared" si="201"/>
        <v>3000</v>
      </c>
      <c r="M516" s="172">
        <f t="shared" si="202"/>
        <v>3000</v>
      </c>
      <c r="N516" s="172">
        <f t="shared" si="203"/>
        <v>-1069</v>
      </c>
      <c r="O516" s="172">
        <f t="shared" si="204"/>
        <v>-1461</v>
      </c>
      <c r="P516" s="172">
        <f t="shared" si="205"/>
        <v>-1018</v>
      </c>
      <c r="Q516" s="30">
        <v>30</v>
      </c>
      <c r="R516" s="172">
        <v>24</v>
      </c>
      <c r="S516" s="30">
        <v>22</v>
      </c>
      <c r="T516" s="172">
        <f t="shared" si="206"/>
        <v>362</v>
      </c>
      <c r="U516" s="17">
        <f t="shared" si="207"/>
        <v>3231</v>
      </c>
      <c r="V516" s="17">
        <f t="shared" si="208"/>
        <v>2659</v>
      </c>
      <c r="W516" s="17">
        <f t="shared" si="209"/>
        <v>3592</v>
      </c>
      <c r="X516" s="172"/>
      <c r="Y516" s="172"/>
      <c r="Z516" s="172"/>
      <c r="AA516" s="172"/>
      <c r="AB516" s="172"/>
    </row>
    <row r="517" spans="1:28" ht="13.15" customHeight="1">
      <c r="A517" s="9">
        <f t="shared" ref="A517:A530" si="210">+A516+1</f>
        <v>503</v>
      </c>
      <c r="B517" s="10">
        <f>B516+3</f>
        <v>45785</v>
      </c>
      <c r="C517" s="9">
        <f t="shared" ref="C517:C530" si="211">C516</f>
        <v>842</v>
      </c>
      <c r="D517" s="8">
        <f t="shared" ref="D517:D530" si="212">D516+2</f>
        <v>2181</v>
      </c>
      <c r="E517" s="4">
        <f t="shared" ref="E517:E528" si="213">C517+D517-H517</f>
        <v>1108</v>
      </c>
      <c r="F517" s="4">
        <f t="shared" ref="F517:F528" si="214">C517+D517-I517</f>
        <v>1496</v>
      </c>
      <c r="G517" s="4">
        <f t="shared" ref="G517:G528" si="215">D517+C517-J517</f>
        <v>1056</v>
      </c>
      <c r="H517" s="5">
        <f t="shared" ref="H517:H528" si="216">K517+N517</f>
        <v>1915</v>
      </c>
      <c r="I517" s="5">
        <f t="shared" ref="I517:I528" si="217">L517+O517</f>
        <v>1527</v>
      </c>
      <c r="J517" s="5">
        <f t="shared" ref="J517:J528" si="218">M517+P517</f>
        <v>1967</v>
      </c>
      <c r="K517" s="5">
        <f t="shared" ref="K517:K530" si="219">K516</f>
        <v>3000</v>
      </c>
      <c r="L517" s="5">
        <f t="shared" ref="L517:L530" si="220">L516</f>
        <v>3000</v>
      </c>
      <c r="M517" s="5">
        <f t="shared" ref="M517:M530" si="221">M516</f>
        <v>3000</v>
      </c>
      <c r="N517" s="5">
        <f t="shared" ref="N517:N528" si="222">N516-Q517</f>
        <v>-1085</v>
      </c>
      <c r="O517" s="5">
        <f t="shared" ref="O517:O528" si="223">O516-R517</f>
        <v>-1473</v>
      </c>
      <c r="P517" s="5">
        <f t="shared" ref="P517:P528" si="224">P516-S517</f>
        <v>-1033</v>
      </c>
      <c r="Q517" s="181">
        <v>16</v>
      </c>
      <c r="R517" s="4">
        <v>12</v>
      </c>
      <c r="S517" s="181">
        <v>15</v>
      </c>
      <c r="T517" s="6">
        <f t="shared" ref="T517:T528" si="225">D517+C517-V517</f>
        <v>376</v>
      </c>
      <c r="U517" s="7">
        <f t="shared" ref="U517:U528" si="226">U516+$X517*1000-Q517</f>
        <v>3215</v>
      </c>
      <c r="V517" s="7">
        <f t="shared" ref="V517:V528" si="227">V516+$X517*1000-R517</f>
        <v>2647</v>
      </c>
      <c r="W517" s="7">
        <f t="shared" ref="W517:W528" si="228">W516+$X517*1000-S517</f>
        <v>3577</v>
      </c>
      <c r="X517" s="6"/>
      <c r="Y517" s="5"/>
      <c r="Z517" s="5"/>
      <c r="AA517" s="5"/>
      <c r="AB517" s="5"/>
    </row>
    <row r="518" spans="1:28" ht="13.15" customHeight="1">
      <c r="A518" s="9">
        <f t="shared" si="210"/>
        <v>504</v>
      </c>
      <c r="B518" s="10">
        <f>B517+4</f>
        <v>45789</v>
      </c>
      <c r="C518" s="9">
        <f t="shared" si="211"/>
        <v>842</v>
      </c>
      <c r="D518" s="8">
        <f t="shared" si="212"/>
        <v>2183</v>
      </c>
      <c r="E518" s="4">
        <f t="shared" si="213"/>
        <v>1136</v>
      </c>
      <c r="F518" s="4">
        <f t="shared" si="214"/>
        <v>1523</v>
      </c>
      <c r="G518" s="4">
        <f t="shared" si="215"/>
        <v>1078</v>
      </c>
      <c r="H518" s="5">
        <f t="shared" si="216"/>
        <v>1889</v>
      </c>
      <c r="I518" s="5">
        <f t="shared" si="217"/>
        <v>1502</v>
      </c>
      <c r="J518" s="5">
        <f t="shared" si="218"/>
        <v>1947</v>
      </c>
      <c r="K518" s="5">
        <f t="shared" si="219"/>
        <v>3000</v>
      </c>
      <c r="L518" s="5">
        <f t="shared" si="220"/>
        <v>3000</v>
      </c>
      <c r="M518" s="5">
        <f t="shared" si="221"/>
        <v>3000</v>
      </c>
      <c r="N518" s="5">
        <f t="shared" si="222"/>
        <v>-1111</v>
      </c>
      <c r="O518" s="5">
        <f t="shared" si="223"/>
        <v>-1498</v>
      </c>
      <c r="P518" s="5">
        <f t="shared" si="224"/>
        <v>-1053</v>
      </c>
      <c r="Q518" s="181">
        <v>26</v>
      </c>
      <c r="R518" s="4">
        <v>25</v>
      </c>
      <c r="S518" s="181">
        <v>20</v>
      </c>
      <c r="T518" s="6">
        <f t="shared" si="225"/>
        <v>403</v>
      </c>
      <c r="U518" s="7">
        <f t="shared" si="226"/>
        <v>3189</v>
      </c>
      <c r="V518" s="7">
        <f t="shared" si="227"/>
        <v>2622</v>
      </c>
      <c r="W518" s="7">
        <f t="shared" si="228"/>
        <v>3557</v>
      </c>
      <c r="X518" s="6"/>
      <c r="Y518" s="5"/>
      <c r="Z518" s="5"/>
      <c r="AA518" s="5"/>
      <c r="AB518" s="5"/>
    </row>
    <row r="519" spans="1:28" ht="13.15" customHeight="1">
      <c r="A519" s="9">
        <f t="shared" si="210"/>
        <v>505</v>
      </c>
      <c r="B519" s="10">
        <f>B518+3</f>
        <v>45792</v>
      </c>
      <c r="C519" s="9">
        <f t="shared" si="211"/>
        <v>842</v>
      </c>
      <c r="D519" s="8">
        <f t="shared" si="212"/>
        <v>2185</v>
      </c>
      <c r="E519" s="4">
        <f t="shared" si="213"/>
        <v>1150</v>
      </c>
      <c r="F519" s="4">
        <f t="shared" si="214"/>
        <v>1535</v>
      </c>
      <c r="G519" s="4">
        <f t="shared" si="215"/>
        <v>1090</v>
      </c>
      <c r="H519" s="5">
        <f t="shared" si="216"/>
        <v>1877</v>
      </c>
      <c r="I519" s="5">
        <f t="shared" si="217"/>
        <v>1492</v>
      </c>
      <c r="J519" s="5">
        <f t="shared" si="218"/>
        <v>1937</v>
      </c>
      <c r="K519" s="5">
        <f t="shared" si="219"/>
        <v>3000</v>
      </c>
      <c r="L519" s="5">
        <f t="shared" si="220"/>
        <v>3000</v>
      </c>
      <c r="M519" s="5">
        <f t="shared" si="221"/>
        <v>3000</v>
      </c>
      <c r="N519" s="5">
        <f t="shared" si="222"/>
        <v>-1123</v>
      </c>
      <c r="O519" s="5">
        <f t="shared" si="223"/>
        <v>-1508</v>
      </c>
      <c r="P519" s="5">
        <f t="shared" si="224"/>
        <v>-1063</v>
      </c>
      <c r="Q519" s="181">
        <v>12</v>
      </c>
      <c r="R519" s="4">
        <v>10</v>
      </c>
      <c r="S519" s="181">
        <v>10</v>
      </c>
      <c r="T519" s="6">
        <f t="shared" si="225"/>
        <v>415</v>
      </c>
      <c r="U519" s="7">
        <f t="shared" si="226"/>
        <v>3177</v>
      </c>
      <c r="V519" s="7">
        <f t="shared" si="227"/>
        <v>2612</v>
      </c>
      <c r="W519" s="7">
        <f t="shared" si="228"/>
        <v>3547</v>
      </c>
      <c r="X519" s="6"/>
      <c r="Y519" s="5"/>
      <c r="Z519" s="5"/>
      <c r="AA519" s="5"/>
      <c r="AB519" s="5"/>
    </row>
    <row r="520" spans="1:28" s="173" customFormat="1" ht="13.15" customHeight="1">
      <c r="A520" s="170">
        <f t="shared" si="210"/>
        <v>506</v>
      </c>
      <c r="B520" s="169">
        <f>B519+4</f>
        <v>45796</v>
      </c>
      <c r="C520" s="170">
        <f t="shared" si="211"/>
        <v>842</v>
      </c>
      <c r="D520" s="171">
        <f t="shared" si="212"/>
        <v>2187</v>
      </c>
      <c r="E520" s="172">
        <f t="shared" si="213"/>
        <v>1174</v>
      </c>
      <c r="F520" s="172">
        <f t="shared" si="214"/>
        <v>1559</v>
      </c>
      <c r="G520" s="172">
        <f t="shared" si="215"/>
        <v>1111</v>
      </c>
      <c r="H520" s="172">
        <f t="shared" si="216"/>
        <v>1855</v>
      </c>
      <c r="I520" s="172">
        <f t="shared" si="217"/>
        <v>1470</v>
      </c>
      <c r="J520" s="172">
        <f t="shared" si="218"/>
        <v>1918</v>
      </c>
      <c r="K520" s="172">
        <f t="shared" si="219"/>
        <v>3000</v>
      </c>
      <c r="L520" s="172">
        <f t="shared" si="220"/>
        <v>3000</v>
      </c>
      <c r="M520" s="172">
        <f t="shared" si="221"/>
        <v>3000</v>
      </c>
      <c r="N520" s="172">
        <f t="shared" si="222"/>
        <v>-1145</v>
      </c>
      <c r="O520" s="172">
        <f t="shared" si="223"/>
        <v>-1530</v>
      </c>
      <c r="P520" s="172">
        <f t="shared" si="224"/>
        <v>-1082</v>
      </c>
      <c r="Q520" s="30">
        <v>22</v>
      </c>
      <c r="R520" s="172">
        <v>21.999999999999886</v>
      </c>
      <c r="S520" s="30">
        <v>19</v>
      </c>
      <c r="T520" s="172">
        <f t="shared" si="225"/>
        <v>439</v>
      </c>
      <c r="U520" s="17">
        <f t="shared" si="226"/>
        <v>3155</v>
      </c>
      <c r="V520" s="17">
        <f t="shared" si="227"/>
        <v>2590</v>
      </c>
      <c r="W520" s="17">
        <f t="shared" si="228"/>
        <v>3528</v>
      </c>
      <c r="X520" s="172"/>
      <c r="Y520" s="172"/>
      <c r="Z520" s="172"/>
      <c r="AA520" s="172"/>
      <c r="AB520" s="172"/>
    </row>
    <row r="521" spans="1:28" ht="13.15" customHeight="1">
      <c r="A521" s="9">
        <f t="shared" si="210"/>
        <v>507</v>
      </c>
      <c r="B521" s="10">
        <f>B520+7</f>
        <v>45803</v>
      </c>
      <c r="C521" s="9">
        <f t="shared" si="211"/>
        <v>842</v>
      </c>
      <c r="D521" s="8">
        <f t="shared" si="212"/>
        <v>2189</v>
      </c>
      <c r="E521" s="4">
        <f t="shared" si="213"/>
        <v>1201</v>
      </c>
      <c r="F521" s="4">
        <f t="shared" si="214"/>
        <v>1581</v>
      </c>
      <c r="G521" s="4">
        <f t="shared" si="215"/>
        <v>1137</v>
      </c>
      <c r="H521" s="5">
        <f t="shared" si="216"/>
        <v>1830</v>
      </c>
      <c r="I521" s="5">
        <f t="shared" si="217"/>
        <v>1450</v>
      </c>
      <c r="J521" s="5">
        <f t="shared" si="218"/>
        <v>1894</v>
      </c>
      <c r="K521" s="5">
        <f t="shared" si="219"/>
        <v>3000</v>
      </c>
      <c r="L521" s="5">
        <f t="shared" si="220"/>
        <v>3000</v>
      </c>
      <c r="M521" s="5">
        <f t="shared" si="221"/>
        <v>3000</v>
      </c>
      <c r="N521" s="5">
        <f t="shared" si="222"/>
        <v>-1170</v>
      </c>
      <c r="O521" s="5">
        <f t="shared" si="223"/>
        <v>-1550</v>
      </c>
      <c r="P521" s="5">
        <f t="shared" si="224"/>
        <v>-1106</v>
      </c>
      <c r="Q521" s="181">
        <v>25</v>
      </c>
      <c r="R521" s="4">
        <v>20.000000000000114</v>
      </c>
      <c r="S521" s="181">
        <v>24</v>
      </c>
      <c r="T521" s="6">
        <f t="shared" si="225"/>
        <v>461</v>
      </c>
      <c r="U521" s="7">
        <f t="shared" si="226"/>
        <v>3130</v>
      </c>
      <c r="V521" s="7">
        <f t="shared" si="227"/>
        <v>2570</v>
      </c>
      <c r="W521" s="7">
        <f t="shared" si="228"/>
        <v>3504</v>
      </c>
      <c r="X521" s="6"/>
      <c r="Y521" s="5"/>
      <c r="Z521" s="5"/>
      <c r="AA521" s="5"/>
      <c r="AB521" s="5"/>
    </row>
    <row r="522" spans="1:28" ht="13.15" customHeight="1">
      <c r="A522" s="9">
        <f t="shared" si="210"/>
        <v>508</v>
      </c>
      <c r="B522" s="10">
        <f t="shared" ref="B522:B530" si="229">B521+7</f>
        <v>45810</v>
      </c>
      <c r="C522" s="9">
        <f t="shared" si="211"/>
        <v>842</v>
      </c>
      <c r="D522" s="8">
        <f t="shared" si="212"/>
        <v>2191</v>
      </c>
      <c r="E522" s="4">
        <f t="shared" si="213"/>
        <v>1223</v>
      </c>
      <c r="F522" s="4">
        <f t="shared" si="214"/>
        <v>1601</v>
      </c>
      <c r="G522" s="4">
        <f t="shared" si="215"/>
        <v>1159</v>
      </c>
      <c r="H522" s="5">
        <f t="shared" si="216"/>
        <v>1810</v>
      </c>
      <c r="I522" s="5">
        <f t="shared" si="217"/>
        <v>1432</v>
      </c>
      <c r="J522" s="5">
        <f t="shared" si="218"/>
        <v>1874</v>
      </c>
      <c r="K522" s="5">
        <f t="shared" si="219"/>
        <v>3000</v>
      </c>
      <c r="L522" s="5">
        <f t="shared" si="220"/>
        <v>3000</v>
      </c>
      <c r="M522" s="5">
        <f t="shared" si="221"/>
        <v>3000</v>
      </c>
      <c r="N522" s="5">
        <f t="shared" si="222"/>
        <v>-1190</v>
      </c>
      <c r="O522" s="5">
        <f t="shared" si="223"/>
        <v>-1568</v>
      </c>
      <c r="P522" s="5">
        <f t="shared" si="224"/>
        <v>-1126</v>
      </c>
      <c r="Q522" s="181">
        <v>20</v>
      </c>
      <c r="R522" s="4">
        <v>18</v>
      </c>
      <c r="S522" s="181">
        <v>20</v>
      </c>
      <c r="T522" s="6">
        <f t="shared" si="225"/>
        <v>481</v>
      </c>
      <c r="U522" s="7">
        <f t="shared" si="226"/>
        <v>3110</v>
      </c>
      <c r="V522" s="7">
        <f t="shared" si="227"/>
        <v>2552</v>
      </c>
      <c r="W522" s="7">
        <f t="shared" si="228"/>
        <v>3484</v>
      </c>
      <c r="X522" s="6"/>
      <c r="Y522" s="5"/>
      <c r="Z522" s="5"/>
      <c r="AA522" s="5"/>
      <c r="AB522" s="5"/>
    </row>
    <row r="523" spans="1:28" ht="13.15" customHeight="1">
      <c r="A523" s="9">
        <f t="shared" si="210"/>
        <v>509</v>
      </c>
      <c r="B523" s="10">
        <f t="shared" si="229"/>
        <v>45817</v>
      </c>
      <c r="C523" s="9">
        <f t="shared" si="211"/>
        <v>842</v>
      </c>
      <c r="D523" s="8">
        <f t="shared" si="212"/>
        <v>2193</v>
      </c>
      <c r="E523" s="4">
        <f t="shared" si="213"/>
        <v>1240</v>
      </c>
      <c r="F523" s="4">
        <f t="shared" si="214"/>
        <v>1619</v>
      </c>
      <c r="G523" s="4">
        <f t="shared" si="215"/>
        <v>1181</v>
      </c>
      <c r="H523" s="5">
        <f t="shared" si="216"/>
        <v>1795</v>
      </c>
      <c r="I523" s="5">
        <f t="shared" si="217"/>
        <v>1416</v>
      </c>
      <c r="J523" s="5">
        <f t="shared" si="218"/>
        <v>1854</v>
      </c>
      <c r="K523" s="5">
        <f t="shared" si="219"/>
        <v>3000</v>
      </c>
      <c r="L523" s="5">
        <f t="shared" si="220"/>
        <v>3000</v>
      </c>
      <c r="M523" s="5">
        <f t="shared" si="221"/>
        <v>3000</v>
      </c>
      <c r="N523" s="5">
        <f t="shared" si="222"/>
        <v>-1205</v>
      </c>
      <c r="O523" s="5">
        <f t="shared" si="223"/>
        <v>-1584</v>
      </c>
      <c r="P523" s="5">
        <f t="shared" si="224"/>
        <v>-1146</v>
      </c>
      <c r="Q523" s="181">
        <v>15</v>
      </c>
      <c r="R523" s="4">
        <v>16</v>
      </c>
      <c r="S523" s="181">
        <v>20</v>
      </c>
      <c r="T523" s="6">
        <f t="shared" si="225"/>
        <v>499</v>
      </c>
      <c r="U523" s="7">
        <f t="shared" si="226"/>
        <v>3095</v>
      </c>
      <c r="V523" s="7">
        <f t="shared" si="227"/>
        <v>2536</v>
      </c>
      <c r="W523" s="7">
        <f t="shared" si="228"/>
        <v>3464</v>
      </c>
      <c r="X523" s="6"/>
      <c r="Y523" s="5"/>
      <c r="Z523" s="5"/>
      <c r="AA523" s="5"/>
      <c r="AB523" s="5"/>
    </row>
    <row r="524" spans="1:28" ht="13.15" customHeight="1">
      <c r="A524" s="9">
        <f t="shared" si="210"/>
        <v>510</v>
      </c>
      <c r="B524" s="10">
        <f t="shared" si="229"/>
        <v>45824</v>
      </c>
      <c r="C524" s="9">
        <f t="shared" si="211"/>
        <v>842</v>
      </c>
      <c r="D524" s="8">
        <f t="shared" si="212"/>
        <v>2195</v>
      </c>
      <c r="E524" s="4">
        <f t="shared" si="213"/>
        <v>1255</v>
      </c>
      <c r="F524" s="4">
        <f t="shared" si="214"/>
        <v>1637</v>
      </c>
      <c r="G524" s="4">
        <f t="shared" si="215"/>
        <v>1199</v>
      </c>
      <c r="H524" s="5">
        <f t="shared" si="216"/>
        <v>1782</v>
      </c>
      <c r="I524" s="5">
        <f t="shared" si="217"/>
        <v>1400</v>
      </c>
      <c r="J524" s="5">
        <f t="shared" si="218"/>
        <v>1838</v>
      </c>
      <c r="K524" s="5">
        <f t="shared" si="219"/>
        <v>3000</v>
      </c>
      <c r="L524" s="5">
        <f t="shared" si="220"/>
        <v>3000</v>
      </c>
      <c r="M524" s="5">
        <f t="shared" si="221"/>
        <v>3000</v>
      </c>
      <c r="N524" s="5">
        <f t="shared" si="222"/>
        <v>-1218</v>
      </c>
      <c r="O524" s="5">
        <f t="shared" si="223"/>
        <v>-1600</v>
      </c>
      <c r="P524" s="5">
        <f t="shared" si="224"/>
        <v>-1162</v>
      </c>
      <c r="Q524" s="181">
        <v>13</v>
      </c>
      <c r="R524" s="4">
        <v>16</v>
      </c>
      <c r="S524" s="181">
        <v>16</v>
      </c>
      <c r="T524" s="6">
        <f t="shared" si="225"/>
        <v>517</v>
      </c>
      <c r="U524" s="7">
        <f t="shared" si="226"/>
        <v>3082</v>
      </c>
      <c r="V524" s="7">
        <f t="shared" si="227"/>
        <v>2520</v>
      </c>
      <c r="W524" s="7">
        <f t="shared" si="228"/>
        <v>3448</v>
      </c>
      <c r="X524" s="6"/>
      <c r="Y524" s="5"/>
      <c r="Z524" s="5"/>
      <c r="AA524" s="5"/>
      <c r="AB524" s="5"/>
    </row>
    <row r="525" spans="1:28" ht="13.15" customHeight="1">
      <c r="A525" s="9">
        <f t="shared" si="210"/>
        <v>511</v>
      </c>
      <c r="B525" s="10">
        <f t="shared" si="229"/>
        <v>45831</v>
      </c>
      <c r="C525" s="9">
        <f t="shared" si="211"/>
        <v>842</v>
      </c>
      <c r="D525" s="8">
        <f t="shared" si="212"/>
        <v>2197</v>
      </c>
      <c r="E525" s="4">
        <f t="shared" si="213"/>
        <v>1269</v>
      </c>
      <c r="F525" s="4">
        <f t="shared" si="214"/>
        <v>1654</v>
      </c>
      <c r="G525" s="4">
        <f t="shared" si="215"/>
        <v>1217</v>
      </c>
      <c r="H525" s="5">
        <f t="shared" si="216"/>
        <v>1770</v>
      </c>
      <c r="I525" s="5">
        <f t="shared" si="217"/>
        <v>1385</v>
      </c>
      <c r="J525" s="5">
        <f t="shared" si="218"/>
        <v>1822</v>
      </c>
      <c r="K525" s="5">
        <f t="shared" si="219"/>
        <v>3000</v>
      </c>
      <c r="L525" s="5">
        <f t="shared" si="220"/>
        <v>3000</v>
      </c>
      <c r="M525" s="5">
        <f t="shared" si="221"/>
        <v>3000</v>
      </c>
      <c r="N525" s="5">
        <f t="shared" si="222"/>
        <v>-1230</v>
      </c>
      <c r="O525" s="5">
        <f t="shared" si="223"/>
        <v>-1615</v>
      </c>
      <c r="P525" s="5">
        <f t="shared" si="224"/>
        <v>-1178</v>
      </c>
      <c r="Q525" s="181">
        <v>12</v>
      </c>
      <c r="R525" s="4">
        <v>15</v>
      </c>
      <c r="S525" s="181">
        <v>16</v>
      </c>
      <c r="T525" s="6">
        <f t="shared" si="225"/>
        <v>534</v>
      </c>
      <c r="U525" s="7">
        <f t="shared" si="226"/>
        <v>3070</v>
      </c>
      <c r="V525" s="7">
        <f t="shared" si="227"/>
        <v>2505</v>
      </c>
      <c r="W525" s="7">
        <f t="shared" si="228"/>
        <v>3432</v>
      </c>
      <c r="X525" s="6"/>
      <c r="Y525" s="5"/>
      <c r="Z525" s="5"/>
      <c r="AA525" s="5"/>
      <c r="AB525" s="5"/>
    </row>
    <row r="526" spans="1:28" ht="13.15" customHeight="1">
      <c r="A526" s="9">
        <f t="shared" si="210"/>
        <v>512</v>
      </c>
      <c r="B526" s="10">
        <f t="shared" si="229"/>
        <v>45838</v>
      </c>
      <c r="C526" s="9">
        <f t="shared" si="211"/>
        <v>842</v>
      </c>
      <c r="D526" s="8">
        <f t="shared" si="212"/>
        <v>2199</v>
      </c>
      <c r="E526" s="4">
        <f t="shared" si="213"/>
        <v>1281</v>
      </c>
      <c r="F526" s="4">
        <f t="shared" si="214"/>
        <v>1671</v>
      </c>
      <c r="G526" s="4">
        <f t="shared" si="215"/>
        <v>1233</v>
      </c>
      <c r="H526" s="5">
        <f t="shared" si="216"/>
        <v>1760</v>
      </c>
      <c r="I526" s="5">
        <f t="shared" si="217"/>
        <v>1370</v>
      </c>
      <c r="J526" s="5">
        <f t="shared" si="218"/>
        <v>1808</v>
      </c>
      <c r="K526" s="5">
        <f t="shared" si="219"/>
        <v>3000</v>
      </c>
      <c r="L526" s="5">
        <f t="shared" si="220"/>
        <v>3000</v>
      </c>
      <c r="M526" s="5">
        <f t="shared" si="221"/>
        <v>3000</v>
      </c>
      <c r="N526" s="5">
        <f t="shared" si="222"/>
        <v>-1240</v>
      </c>
      <c r="O526" s="5">
        <f t="shared" si="223"/>
        <v>-1630</v>
      </c>
      <c r="P526" s="5">
        <f t="shared" si="224"/>
        <v>-1192</v>
      </c>
      <c r="Q526" s="181">
        <v>10</v>
      </c>
      <c r="R526" s="4">
        <v>15</v>
      </c>
      <c r="S526" s="181">
        <v>14</v>
      </c>
      <c r="T526" s="6">
        <f t="shared" si="225"/>
        <v>551</v>
      </c>
      <c r="U526" s="7">
        <f t="shared" si="226"/>
        <v>3060</v>
      </c>
      <c r="V526" s="7">
        <f t="shared" si="227"/>
        <v>2490</v>
      </c>
      <c r="W526" s="7">
        <f t="shared" si="228"/>
        <v>3418</v>
      </c>
      <c r="X526" s="6"/>
      <c r="Y526" s="5"/>
      <c r="Z526" s="5"/>
      <c r="AA526" s="5"/>
      <c r="AB526" s="5"/>
    </row>
    <row r="527" spans="1:28" ht="13.15" customHeight="1">
      <c r="A527" s="9">
        <f t="shared" si="210"/>
        <v>513</v>
      </c>
      <c r="B527" s="10">
        <f t="shared" si="229"/>
        <v>45845</v>
      </c>
      <c r="C527" s="9">
        <f t="shared" si="211"/>
        <v>842</v>
      </c>
      <c r="D527" s="8">
        <f t="shared" si="212"/>
        <v>2201</v>
      </c>
      <c r="E527" s="4">
        <f t="shared" si="213"/>
        <v>1293</v>
      </c>
      <c r="F527" s="4">
        <f t="shared" si="214"/>
        <v>1686</v>
      </c>
      <c r="G527" s="4">
        <f t="shared" si="215"/>
        <v>1247</v>
      </c>
      <c r="H527" s="5">
        <f t="shared" si="216"/>
        <v>1750</v>
      </c>
      <c r="I527" s="5">
        <f t="shared" si="217"/>
        <v>1357</v>
      </c>
      <c r="J527" s="5">
        <f t="shared" si="218"/>
        <v>1796</v>
      </c>
      <c r="K527" s="5">
        <f t="shared" si="219"/>
        <v>3000</v>
      </c>
      <c r="L527" s="5">
        <f t="shared" si="220"/>
        <v>3000</v>
      </c>
      <c r="M527" s="5">
        <f t="shared" si="221"/>
        <v>3000</v>
      </c>
      <c r="N527" s="5">
        <f t="shared" si="222"/>
        <v>-1250</v>
      </c>
      <c r="O527" s="5">
        <f t="shared" si="223"/>
        <v>-1643</v>
      </c>
      <c r="P527" s="5">
        <f t="shared" si="224"/>
        <v>-1204</v>
      </c>
      <c r="Q527" s="9">
        <v>10</v>
      </c>
      <c r="R527" s="4">
        <v>13</v>
      </c>
      <c r="S527" s="9">
        <v>12</v>
      </c>
      <c r="T527" s="6">
        <f t="shared" si="225"/>
        <v>566</v>
      </c>
      <c r="U527" s="7">
        <f t="shared" si="226"/>
        <v>3050</v>
      </c>
      <c r="V527" s="7">
        <f t="shared" si="227"/>
        <v>2477</v>
      </c>
      <c r="W527" s="7">
        <f t="shared" si="228"/>
        <v>3406</v>
      </c>
      <c r="X527" s="6"/>
      <c r="Y527" s="5"/>
      <c r="Z527" s="5"/>
      <c r="AA527" s="5"/>
      <c r="AB527" s="5"/>
    </row>
    <row r="528" spans="1:28" ht="13.15" customHeight="1">
      <c r="A528" s="9">
        <f t="shared" si="210"/>
        <v>514</v>
      </c>
      <c r="B528" s="10">
        <f t="shared" si="229"/>
        <v>45852</v>
      </c>
      <c r="C528" s="9">
        <f t="shared" si="211"/>
        <v>842</v>
      </c>
      <c r="D528" s="8">
        <f t="shared" si="212"/>
        <v>2203</v>
      </c>
      <c r="E528" s="4">
        <f t="shared" si="213"/>
        <v>1305</v>
      </c>
      <c r="F528" s="4">
        <f t="shared" si="214"/>
        <v>1700</v>
      </c>
      <c r="G528" s="4">
        <f t="shared" si="215"/>
        <v>1259</v>
      </c>
      <c r="H528" s="5">
        <f t="shared" si="216"/>
        <v>1740</v>
      </c>
      <c r="I528" s="5">
        <f t="shared" si="217"/>
        <v>1345</v>
      </c>
      <c r="J528" s="5">
        <f t="shared" si="218"/>
        <v>1786</v>
      </c>
      <c r="K528" s="5">
        <f t="shared" si="219"/>
        <v>3000</v>
      </c>
      <c r="L528" s="5">
        <f t="shared" si="220"/>
        <v>3000</v>
      </c>
      <c r="M528" s="5">
        <f t="shared" si="221"/>
        <v>3000</v>
      </c>
      <c r="N528" s="5">
        <f t="shared" si="222"/>
        <v>-1260</v>
      </c>
      <c r="O528" s="5">
        <f t="shared" si="223"/>
        <v>-1655</v>
      </c>
      <c r="P528" s="5">
        <f t="shared" si="224"/>
        <v>-1214</v>
      </c>
      <c r="Q528" s="181">
        <v>10</v>
      </c>
      <c r="R528" s="4">
        <v>12</v>
      </c>
      <c r="S528" s="181">
        <v>10</v>
      </c>
      <c r="T528" s="6">
        <f t="shared" si="225"/>
        <v>580</v>
      </c>
      <c r="U528" s="7">
        <f t="shared" si="226"/>
        <v>3040</v>
      </c>
      <c r="V528" s="7">
        <f t="shared" si="227"/>
        <v>2465</v>
      </c>
      <c r="W528" s="7">
        <f t="shared" si="228"/>
        <v>3396</v>
      </c>
      <c r="X528" s="6"/>
      <c r="Y528" s="5"/>
      <c r="Z528" s="5"/>
      <c r="AA528" s="5"/>
      <c r="AB528" s="5"/>
    </row>
    <row r="529" spans="1:28" ht="13.15" customHeight="1">
      <c r="A529" s="9">
        <f t="shared" si="210"/>
        <v>515</v>
      </c>
      <c r="B529" s="10">
        <f t="shared" si="229"/>
        <v>45859</v>
      </c>
      <c r="C529" s="9">
        <f t="shared" si="211"/>
        <v>842</v>
      </c>
      <c r="D529" s="8">
        <f t="shared" si="212"/>
        <v>2205</v>
      </c>
      <c r="E529" s="4">
        <f t="shared" ref="E529:E530" si="230">C529+D529-H529</f>
        <v>1316</v>
      </c>
      <c r="F529" s="4">
        <f t="shared" ref="F529:F530" si="231">C529+D529-I529</f>
        <v>1712</v>
      </c>
      <c r="G529" s="4">
        <f t="shared" ref="G529:G530" si="232">D529+C529-J529</f>
        <v>1271</v>
      </c>
      <c r="H529" s="5">
        <f t="shared" ref="H529:H530" si="233">K529+N529</f>
        <v>1731</v>
      </c>
      <c r="I529" s="5">
        <f t="shared" ref="I529:I530" si="234">L529+O529</f>
        <v>1335</v>
      </c>
      <c r="J529" s="5">
        <f t="shared" ref="J529:J530" si="235">M529+P529</f>
        <v>1776</v>
      </c>
      <c r="K529" s="5">
        <f t="shared" si="219"/>
        <v>3000</v>
      </c>
      <c r="L529" s="5">
        <f t="shared" si="220"/>
        <v>3000</v>
      </c>
      <c r="M529" s="5">
        <f t="shared" si="221"/>
        <v>3000</v>
      </c>
      <c r="N529" s="5">
        <f t="shared" ref="N529:N530" si="236">N528-Q529</f>
        <v>-1269</v>
      </c>
      <c r="O529" s="5">
        <f t="shared" ref="O529:O530" si="237">O528-R529</f>
        <v>-1665</v>
      </c>
      <c r="P529" s="5">
        <f t="shared" ref="P529:P530" si="238">P528-S529</f>
        <v>-1224</v>
      </c>
      <c r="Q529" s="181">
        <v>9</v>
      </c>
      <c r="R529" s="179">
        <v>10</v>
      </c>
      <c r="S529" s="181">
        <v>10</v>
      </c>
      <c r="T529" s="6">
        <f t="shared" ref="T529:T530" si="239">D529+C529-V529</f>
        <v>592</v>
      </c>
      <c r="U529" s="7">
        <f t="shared" ref="U529:U530" si="240">U528+$X529*1000-Q529</f>
        <v>3031</v>
      </c>
      <c r="V529" s="7">
        <f t="shared" ref="V529:V530" si="241">V528+$X529*1000-R529</f>
        <v>2455</v>
      </c>
      <c r="W529" s="7">
        <f t="shared" ref="W529:W530" si="242">W528+$X529*1000-S529</f>
        <v>3386</v>
      </c>
      <c r="X529" s="6"/>
      <c r="Y529" s="5"/>
      <c r="Z529" s="5"/>
      <c r="AA529" s="5"/>
      <c r="AB529" s="5"/>
    </row>
    <row r="530" spans="1:28" ht="13.15" customHeight="1">
      <c r="A530" s="9">
        <f t="shared" si="210"/>
        <v>516</v>
      </c>
      <c r="B530" s="10">
        <f t="shared" si="229"/>
        <v>45866</v>
      </c>
      <c r="C530" s="9">
        <f t="shared" si="211"/>
        <v>842</v>
      </c>
      <c r="D530" s="8">
        <f t="shared" si="212"/>
        <v>2207</v>
      </c>
      <c r="E530" s="4">
        <f t="shared" si="230"/>
        <v>1327</v>
      </c>
      <c r="F530" s="4">
        <f t="shared" si="231"/>
        <v>1724</v>
      </c>
      <c r="G530" s="4">
        <f t="shared" si="232"/>
        <v>1282</v>
      </c>
      <c r="H530" s="5">
        <f t="shared" si="233"/>
        <v>1722</v>
      </c>
      <c r="I530" s="5">
        <f t="shared" si="234"/>
        <v>1325</v>
      </c>
      <c r="J530" s="5">
        <f t="shared" si="235"/>
        <v>1767</v>
      </c>
      <c r="K530" s="5">
        <f t="shared" si="219"/>
        <v>3000</v>
      </c>
      <c r="L530" s="5">
        <f t="shared" si="220"/>
        <v>3000</v>
      </c>
      <c r="M530" s="5">
        <f t="shared" si="221"/>
        <v>3000</v>
      </c>
      <c r="N530" s="5">
        <f t="shared" si="236"/>
        <v>-1278</v>
      </c>
      <c r="O530" s="5">
        <f t="shared" si="237"/>
        <v>-1675</v>
      </c>
      <c r="P530" s="5">
        <f t="shared" si="238"/>
        <v>-1233</v>
      </c>
      <c r="Q530" s="181">
        <v>9</v>
      </c>
      <c r="R530" s="180">
        <v>10</v>
      </c>
      <c r="S530" s="181">
        <v>9</v>
      </c>
      <c r="T530" s="6">
        <f t="shared" si="239"/>
        <v>604</v>
      </c>
      <c r="U530" s="7">
        <f t="shared" si="240"/>
        <v>3022</v>
      </c>
      <c r="V530" s="7">
        <f t="shared" si="241"/>
        <v>2445</v>
      </c>
      <c r="W530" s="7">
        <f t="shared" si="242"/>
        <v>3377</v>
      </c>
      <c r="X530" s="6"/>
      <c r="Y530" s="5"/>
      <c r="Z530" s="5"/>
      <c r="AA530" s="5"/>
      <c r="AB530" s="5"/>
    </row>
    <row r="531" spans="1:28" ht="13.15" customHeight="1">
      <c r="A531"/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/>
      <c r="W531"/>
      <c r="X531"/>
      <c r="Y531"/>
      <c r="Z531"/>
      <c r="AA531"/>
      <c r="AB531"/>
    </row>
    <row r="532" spans="1:28" ht="13.15" customHeight="1">
      <c r="A532"/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  <c r="V532"/>
      <c r="W532"/>
      <c r="X532"/>
      <c r="Y532"/>
      <c r="Z532"/>
      <c r="AA532"/>
      <c r="AB532"/>
    </row>
    <row r="533" spans="1:28" ht="13.15" customHeight="1">
      <c r="A533"/>
      <c r="B533"/>
      <c r="C533"/>
      <c r="D533"/>
      <c r="E533"/>
      <c r="F533"/>
      <c r="G533"/>
      <c r="H533"/>
      <c r="I533"/>
      <c r="J533"/>
      <c r="K533"/>
      <c r="L533"/>
      <c r="M533"/>
      <c r="N533">
        <v>-1278</v>
      </c>
      <c r="O533">
        <v>-1670</v>
      </c>
      <c r="P533">
        <v>-1224</v>
      </c>
      <c r="Q533" s="174">
        <f>N533-N530</f>
        <v>0</v>
      </c>
      <c r="R533" s="174">
        <f t="shared" ref="R533:S533" si="243">O533-O530</f>
        <v>5</v>
      </c>
      <c r="S533" s="174">
        <f t="shared" si="243"/>
        <v>9</v>
      </c>
      <c r="T533"/>
      <c r="U533"/>
      <c r="V533"/>
      <c r="W533"/>
      <c r="X533"/>
      <c r="Y533"/>
      <c r="Z533"/>
      <c r="AA533"/>
      <c r="AB533"/>
    </row>
    <row r="534" spans="1:28" ht="13.15" customHeight="1">
      <c r="A534"/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/>
      <c r="W534"/>
      <c r="X534"/>
      <c r="Y534"/>
      <c r="Z534"/>
      <c r="AA534"/>
      <c r="AB534"/>
    </row>
    <row r="535" spans="1:28" ht="13.15" customHeight="1">
      <c r="A535"/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  <c r="AA535"/>
      <c r="AB535"/>
    </row>
  </sheetData>
  <mergeCells count="27">
    <mergeCell ref="A2:AB2"/>
    <mergeCell ref="A3:AB3"/>
    <mergeCell ref="A4:AB4"/>
    <mergeCell ref="A5:H5"/>
    <mergeCell ref="I5:R5"/>
    <mergeCell ref="S5:AB5"/>
    <mergeCell ref="A6:H6"/>
    <mergeCell ref="A7:AB7"/>
    <mergeCell ref="M10:N10"/>
    <mergeCell ref="Y12:Y13"/>
    <mergeCell ref="Z12:Z13"/>
    <mergeCell ref="D12:D13"/>
    <mergeCell ref="E12:G12"/>
    <mergeCell ref="N12:P12"/>
    <mergeCell ref="Q12:S12"/>
    <mergeCell ref="T12:T13"/>
    <mergeCell ref="U12:W12"/>
    <mergeCell ref="I6:R6"/>
    <mergeCell ref="S6:AB6"/>
    <mergeCell ref="X12:X13"/>
    <mergeCell ref="AA12:AA13"/>
    <mergeCell ref="AB12:AB13"/>
    <mergeCell ref="H12:J12"/>
    <mergeCell ref="K12:M12"/>
    <mergeCell ref="A12:A13"/>
    <mergeCell ref="B12:B13"/>
    <mergeCell ref="C12:C13"/>
  </mergeCells>
  <printOptions horizontalCentered="1"/>
  <pageMargins left="0.39370078740157483" right="0.39370078740157483" top="0.78740157480314965" bottom="0.39370078740157483" header="0.31496062992125984" footer="0.31496062992125984"/>
  <pageSetup paperSize="9" scale="55" fitToHeight="0" orientation="landscape" blackAndWhite="1" r:id="rId1"/>
  <rowBreaks count="1" manualBreakCount="1">
    <brk id="433" max="16383" man="1"/>
  </rowBreaks>
  <colBreaks count="1" manualBreakCount="1">
    <brk id="28" max="1048575" man="1"/>
  </col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4F8CA-07C7-49E3-B8F4-791548E41CE8}">
  <sheetPr codeName="Sheet17">
    <tabColor rgb="FFFFFF00"/>
    <pageSetUpPr fitToPage="1"/>
  </sheetPr>
  <dimension ref="A1:AF532"/>
  <sheetViews>
    <sheetView topLeftCell="B1" zoomScale="80" zoomScaleNormal="80" zoomScaleSheetLayoutView="80" workbookViewId="0">
      <pane ySplit="12" topLeftCell="A518" activePane="bottomLeft" state="frozen"/>
      <selection activeCell="Q37" sqref="Q37:S78"/>
      <selection pane="bottomLeft" activeCell="B520" sqref="B520:AB532"/>
    </sheetView>
  </sheetViews>
  <sheetFormatPr defaultColWidth="9.140625" defaultRowHeight="15.75"/>
  <cols>
    <col min="1" max="1" width="6.42578125" style="50" hidden="1" customWidth="1"/>
    <col min="2" max="2" width="11.85546875" style="62" customWidth="1"/>
    <col min="3" max="3" width="9.28515625" style="61" customWidth="1"/>
    <col min="4" max="4" width="7.42578125" style="61" customWidth="1"/>
    <col min="5" max="5" width="9.42578125" style="60" customWidth="1"/>
    <col min="6" max="6" width="8.28515625" style="60" customWidth="1"/>
    <col min="7" max="8" width="8.140625" style="59" customWidth="1"/>
    <col min="9" max="9" width="9.140625" style="59" customWidth="1"/>
    <col min="10" max="10" width="11.140625" style="58" bestFit="1" customWidth="1"/>
    <col min="11" max="12" width="8.140625" style="57" customWidth="1"/>
    <col min="13" max="13" width="8.140625" style="56" customWidth="1"/>
    <col min="14" max="14" width="8.140625" style="57" customWidth="1"/>
    <col min="15" max="15" width="8.85546875" style="57" customWidth="1"/>
    <col min="16" max="17" width="8.140625" style="56" customWidth="1"/>
    <col min="18" max="18" width="8.140625" style="57" customWidth="1"/>
    <col min="19" max="20" width="8.140625" style="56" customWidth="1"/>
    <col min="21" max="21" width="9.42578125" style="56" customWidth="1"/>
    <col min="22" max="22" width="8.140625" style="54" customWidth="1"/>
    <col min="23" max="23" width="8.140625" style="55" customWidth="1"/>
    <col min="24" max="24" width="8.5703125" style="54" customWidth="1"/>
    <col min="25" max="25" width="5.7109375" style="53" hidden="1" customWidth="1"/>
    <col min="26" max="26" width="10.140625" style="51" bestFit="1" customWidth="1"/>
    <col min="27" max="27" width="9.140625" style="52"/>
    <col min="28" max="28" width="9.140625" style="52" customWidth="1"/>
    <col min="29" max="30" width="9.140625" style="52"/>
    <col min="31" max="31" width="9.140625" style="51"/>
    <col min="32" max="16384" width="9.140625" style="50"/>
  </cols>
  <sheetData>
    <row r="1" spans="1:31" ht="24" customHeight="1" thickTop="1">
      <c r="A1" s="130">
        <v>13</v>
      </c>
      <c r="B1" s="213" t="s">
        <v>41</v>
      </c>
      <c r="C1" s="214"/>
      <c r="D1" s="214"/>
      <c r="E1" s="214"/>
      <c r="F1" s="214"/>
      <c r="G1" s="214"/>
      <c r="H1" s="214"/>
      <c r="I1" s="214"/>
      <c r="J1" s="214"/>
      <c r="K1" s="214"/>
      <c r="L1" s="214"/>
      <c r="M1" s="214"/>
      <c r="N1" s="214"/>
      <c r="O1" s="214"/>
      <c r="P1" s="214"/>
      <c r="Q1" s="214"/>
      <c r="R1" s="214"/>
      <c r="S1" s="214"/>
      <c r="T1" s="214"/>
      <c r="U1" s="214"/>
      <c r="V1" s="214"/>
      <c r="W1" s="214"/>
      <c r="X1" s="214"/>
      <c r="Y1" s="214"/>
      <c r="Z1" s="214"/>
      <c r="AA1" s="214"/>
      <c r="AB1" s="215"/>
    </row>
    <row r="2" spans="1:31" s="112" customFormat="1" ht="24" customHeight="1">
      <c r="A2" s="119"/>
      <c r="B2" s="216" t="s">
        <v>40</v>
      </c>
      <c r="C2" s="217"/>
      <c r="D2" s="217"/>
      <c r="E2" s="217"/>
      <c r="F2" s="217"/>
      <c r="G2" s="217"/>
      <c r="H2" s="217"/>
      <c r="I2" s="217"/>
      <c r="J2" s="217"/>
      <c r="K2" s="217"/>
      <c r="L2" s="217"/>
      <c r="M2" s="217"/>
      <c r="N2" s="217"/>
      <c r="O2" s="217"/>
      <c r="P2" s="217"/>
      <c r="Q2" s="217"/>
      <c r="R2" s="217"/>
      <c r="S2" s="217"/>
      <c r="T2" s="217"/>
      <c r="U2" s="217"/>
      <c r="V2" s="217"/>
      <c r="W2" s="217"/>
      <c r="X2" s="217"/>
      <c r="Y2" s="217"/>
      <c r="Z2" s="217"/>
      <c r="AA2" s="217"/>
      <c r="AB2" s="218"/>
      <c r="AC2" s="52"/>
      <c r="AD2" s="52"/>
      <c r="AE2" s="52"/>
    </row>
    <row r="3" spans="1:31" s="112" customFormat="1" ht="24" customHeight="1">
      <c r="A3" s="119"/>
      <c r="B3" s="216" t="str">
        <f>UPPER("GÓI THẦU XL03 :Thi Công Xây Dựng Đoạn Tuyến Km114+200 - Km126+223 Bao Gồm Tuyến Nối Nút Giao IC12  Với QL1 (bao gồm khảo sát, thiết kế BVTC)")</f>
        <v>GÓI THẦU XL03 :THI CÔNG XÂY DỰNG ĐOẠN TUYẾN KM114+200 - KM126+223 BAO GỒM TUYẾN NỐI NÚT GIAO IC12  VỚI QL1 (BAO GỒM KHẢO SÁT, THIẾT KẾ BVTC)</v>
      </c>
      <c r="C3" s="217"/>
      <c r="D3" s="217"/>
      <c r="E3" s="217"/>
      <c r="F3" s="217"/>
      <c r="G3" s="217"/>
      <c r="H3" s="217"/>
      <c r="I3" s="217"/>
      <c r="J3" s="217"/>
      <c r="K3" s="217"/>
      <c r="L3" s="217"/>
      <c r="M3" s="217"/>
      <c r="N3" s="217"/>
      <c r="O3" s="217"/>
      <c r="P3" s="217"/>
      <c r="Q3" s="217"/>
      <c r="R3" s="217"/>
      <c r="S3" s="217"/>
      <c r="T3" s="217"/>
      <c r="U3" s="217"/>
      <c r="V3" s="217"/>
      <c r="W3" s="217"/>
      <c r="X3" s="217"/>
      <c r="Y3" s="217"/>
      <c r="Z3" s="217"/>
      <c r="AA3" s="217"/>
      <c r="AB3" s="218"/>
      <c r="AC3" s="52"/>
      <c r="AD3" s="52"/>
      <c r="AE3" s="52"/>
    </row>
    <row r="4" spans="1:31" s="112" customFormat="1" ht="24" customHeight="1">
      <c r="A4" s="119"/>
      <c r="B4" s="207" t="s">
        <v>39</v>
      </c>
      <c r="C4" s="208"/>
      <c r="D4" s="208"/>
      <c r="E4" s="208"/>
      <c r="F4" s="208"/>
      <c r="G4" s="208"/>
      <c r="H4" s="208"/>
      <c r="I4" s="209"/>
      <c r="J4" s="219" t="s">
        <v>38</v>
      </c>
      <c r="K4" s="220"/>
      <c r="L4" s="220"/>
      <c r="M4" s="220"/>
      <c r="N4" s="220"/>
      <c r="O4" s="220"/>
      <c r="P4" s="220"/>
      <c r="Q4" s="220"/>
      <c r="R4" s="220"/>
      <c r="S4" s="221"/>
      <c r="T4" s="219" t="s">
        <v>37</v>
      </c>
      <c r="U4" s="220"/>
      <c r="V4" s="220"/>
      <c r="W4" s="220"/>
      <c r="X4" s="220"/>
      <c r="Y4" s="220"/>
      <c r="Z4" s="220"/>
      <c r="AA4" s="220"/>
      <c r="AB4" s="221"/>
      <c r="AC4" s="52"/>
      <c r="AD4" s="52"/>
      <c r="AE4" s="52"/>
    </row>
    <row r="5" spans="1:31" s="112" customFormat="1" ht="37.5" customHeight="1">
      <c r="A5" s="119"/>
      <c r="B5" s="187" t="s">
        <v>36</v>
      </c>
      <c r="C5" s="188"/>
      <c r="D5" s="188"/>
      <c r="E5" s="188"/>
      <c r="F5" s="188"/>
      <c r="G5" s="188"/>
      <c r="H5" s="188"/>
      <c r="I5" s="189"/>
      <c r="J5" s="223" t="str">
        <f>UPPER("Liên danh Phân viện KHCN GTVT phía Nam - Công ty Cổ phần Tư vấn kỹ thuật và xây dựng Hồng Hà")</f>
        <v>LIÊN DANH PHÂN VIỆN KHCN GTVT PHÍA NAM - CÔNG TY CỔ PHẦN TƯ VẤN KỸ THUẬT VÀ XÂY DỰNG HỒNG HÀ</v>
      </c>
      <c r="K5" s="224"/>
      <c r="L5" s="224"/>
      <c r="M5" s="224"/>
      <c r="N5" s="224"/>
      <c r="O5" s="224"/>
      <c r="P5" s="224"/>
      <c r="Q5" s="224"/>
      <c r="R5" s="224"/>
      <c r="S5" s="225"/>
      <c r="T5" s="226" t="s">
        <v>35</v>
      </c>
      <c r="U5" s="227"/>
      <c r="V5" s="227"/>
      <c r="W5" s="227"/>
      <c r="X5" s="227"/>
      <c r="Y5" s="227"/>
      <c r="Z5" s="227"/>
      <c r="AA5" s="227"/>
      <c r="AB5" s="228"/>
      <c r="AC5" s="52"/>
      <c r="AD5" s="52"/>
      <c r="AE5" s="52"/>
    </row>
    <row r="6" spans="1:31" s="112" customFormat="1" ht="24" customHeight="1">
      <c r="A6" s="119"/>
      <c r="B6" s="229" t="s">
        <v>34</v>
      </c>
      <c r="C6" s="230"/>
      <c r="D6" s="230"/>
      <c r="E6" s="230"/>
      <c r="F6" s="230"/>
      <c r="G6" s="230"/>
      <c r="H6" s="230"/>
      <c r="I6" s="230"/>
      <c r="J6" s="230"/>
      <c r="K6" s="230"/>
      <c r="L6" s="230"/>
      <c r="M6" s="230"/>
      <c r="N6" s="230"/>
      <c r="O6" s="230"/>
      <c r="P6" s="230"/>
      <c r="Q6" s="230"/>
      <c r="R6" s="230"/>
      <c r="S6" s="230"/>
      <c r="T6" s="230"/>
      <c r="U6" s="230"/>
      <c r="V6" s="230"/>
      <c r="W6" s="230"/>
      <c r="X6" s="230"/>
      <c r="Y6" s="230"/>
      <c r="Z6" s="230"/>
      <c r="AA6" s="230"/>
      <c r="AB6" s="231"/>
      <c r="AC6" s="52"/>
      <c r="AD6" s="52"/>
      <c r="AE6" s="52"/>
    </row>
    <row r="7" spans="1:31" s="112" customFormat="1" ht="15">
      <c r="A7" s="119"/>
      <c r="B7" s="49" t="s">
        <v>33</v>
      </c>
      <c r="C7" s="47">
        <f>'114+840'!C8</f>
        <v>0</v>
      </c>
      <c r="D7" s="47"/>
      <c r="E7" s="47"/>
      <c r="F7" s="47"/>
      <c r="G7" s="47"/>
      <c r="H7" s="47"/>
      <c r="I7" s="47"/>
      <c r="J7" s="47"/>
      <c r="K7" s="48"/>
      <c r="L7" s="48" t="s">
        <v>32</v>
      </c>
      <c r="M7" s="48"/>
      <c r="N7" s="48">
        <f>'114+840'!M8</f>
        <v>0</v>
      </c>
      <c r="O7" s="48"/>
      <c r="P7" s="47"/>
      <c r="Q7" s="47"/>
      <c r="R7" s="47"/>
      <c r="S7" s="47"/>
      <c r="T7" s="47"/>
      <c r="U7" s="47"/>
      <c r="V7" s="46"/>
      <c r="W7" s="46"/>
      <c r="X7" s="46"/>
      <c r="Y7" s="46"/>
      <c r="Z7" s="46"/>
      <c r="AA7" s="129"/>
      <c r="AB7" s="128"/>
      <c r="AC7" s="52"/>
      <c r="AD7" s="52"/>
      <c r="AE7" s="52"/>
    </row>
    <row r="8" spans="1:31" s="112" customFormat="1" ht="15">
      <c r="A8" s="119"/>
      <c r="B8" s="43" t="s">
        <v>31</v>
      </c>
      <c r="C8" s="41" t="str">
        <f>'114+840'!C9</f>
        <v>Nắng</v>
      </c>
      <c r="D8" s="41"/>
      <c r="E8" s="41"/>
      <c r="F8" s="41"/>
      <c r="G8" s="41"/>
      <c r="H8" s="41"/>
      <c r="I8" s="41"/>
      <c r="J8" s="41"/>
      <c r="K8" s="42"/>
      <c r="L8" s="42" t="s">
        <v>29</v>
      </c>
      <c r="M8" s="42"/>
      <c r="N8" s="42">
        <f>'114+840'!M9</f>
        <v>842</v>
      </c>
      <c r="O8" s="42"/>
      <c r="P8" s="41"/>
      <c r="Q8" s="41"/>
      <c r="R8" s="41"/>
      <c r="S8" s="41"/>
      <c r="T8" s="41"/>
      <c r="U8" s="41"/>
      <c r="V8" s="40"/>
      <c r="W8" s="40"/>
      <c r="X8" s="40"/>
      <c r="Y8" s="40"/>
      <c r="Z8" s="40"/>
      <c r="AA8" s="127"/>
      <c r="AB8" s="126"/>
      <c r="AC8" s="52"/>
      <c r="AD8" s="52"/>
      <c r="AE8" s="52"/>
    </row>
    <row r="9" spans="1:31" s="112" customFormat="1" ht="15">
      <c r="A9" s="119"/>
      <c r="B9" s="125" t="s">
        <v>28</v>
      </c>
      <c r="C9" s="123" t="str">
        <f>'114+840'!C10</f>
        <v>Km114+840</v>
      </c>
      <c r="D9" s="123"/>
      <c r="E9" s="123"/>
      <c r="F9" s="123"/>
      <c r="G9" s="123"/>
      <c r="H9" s="123"/>
      <c r="I9" s="123"/>
      <c r="J9" s="123"/>
      <c r="K9" s="124"/>
      <c r="L9" s="124" t="s">
        <v>26</v>
      </c>
      <c r="M9" s="124"/>
      <c r="N9" s="232">
        <f>'114+840'!M10</f>
        <v>45270</v>
      </c>
      <c r="O9" s="232"/>
      <c r="P9" s="123"/>
      <c r="Q9" s="123"/>
      <c r="R9" s="123"/>
      <c r="S9" s="123"/>
      <c r="T9" s="123"/>
      <c r="U9" s="123"/>
      <c r="V9" s="122"/>
      <c r="W9" s="122"/>
      <c r="X9" s="122"/>
      <c r="Y9" s="122"/>
      <c r="Z9" s="122"/>
      <c r="AA9" s="121"/>
      <c r="AB9" s="120"/>
      <c r="AC9" s="52"/>
      <c r="AD9" s="52"/>
      <c r="AE9" s="52"/>
    </row>
    <row r="10" spans="1:31" s="112" customFormat="1" ht="12.75">
      <c r="A10" s="119"/>
      <c r="B10" s="118"/>
      <c r="C10" s="117"/>
      <c r="D10" s="117"/>
      <c r="E10" s="116"/>
      <c r="F10" s="116"/>
      <c r="G10" s="116"/>
      <c r="H10" s="116"/>
      <c r="I10" s="116"/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5"/>
      <c r="V10" s="114"/>
      <c r="W10" s="114"/>
      <c r="X10" s="114"/>
      <c r="Y10" s="94"/>
      <c r="Z10" s="52"/>
      <c r="AA10" s="113"/>
      <c r="AB10" s="113"/>
      <c r="AC10" s="52"/>
      <c r="AD10" s="52"/>
      <c r="AE10" s="52"/>
    </row>
    <row r="11" spans="1:31" s="109" customFormat="1" ht="16.5" customHeight="1">
      <c r="A11" s="111"/>
      <c r="B11" s="237" t="s">
        <v>60</v>
      </c>
      <c r="C11" s="238" t="s">
        <v>59</v>
      </c>
      <c r="D11" s="238" t="s">
        <v>58</v>
      </c>
      <c r="E11" s="239" t="s">
        <v>57</v>
      </c>
      <c r="F11" s="239" t="s">
        <v>56</v>
      </c>
      <c r="G11" s="233" t="s">
        <v>55</v>
      </c>
      <c r="H11" s="233"/>
      <c r="I11" s="233"/>
      <c r="J11" s="233"/>
      <c r="K11" s="233"/>
      <c r="L11" s="233"/>
      <c r="M11" s="234" t="s">
        <v>54</v>
      </c>
      <c r="N11" s="234"/>
      <c r="O11" s="234"/>
      <c r="P11" s="234"/>
      <c r="Q11" s="234"/>
      <c r="R11" s="234"/>
      <c r="S11" s="235" t="s">
        <v>7</v>
      </c>
      <c r="T11" s="235"/>
      <c r="U11" s="235"/>
      <c r="V11" s="235"/>
      <c r="W11" s="235"/>
      <c r="X11" s="235"/>
      <c r="Y11" s="236"/>
      <c r="Z11" s="222" t="s">
        <v>14</v>
      </c>
      <c r="AA11" s="222" t="s">
        <v>53</v>
      </c>
      <c r="AB11" s="222" t="s">
        <v>52</v>
      </c>
      <c r="AC11" s="52"/>
      <c r="AD11" s="52"/>
      <c r="AE11" s="110"/>
    </row>
    <row r="12" spans="1:31" s="83" customFormat="1" ht="73.150000000000006" customHeight="1">
      <c r="A12" s="85"/>
      <c r="B12" s="237"/>
      <c r="C12" s="238"/>
      <c r="D12" s="238"/>
      <c r="E12" s="239"/>
      <c r="F12" s="239"/>
      <c r="G12" s="107" t="s">
        <v>51</v>
      </c>
      <c r="H12" s="107" t="s">
        <v>50</v>
      </c>
      <c r="I12" s="107" t="s">
        <v>49</v>
      </c>
      <c r="J12" s="107" t="s">
        <v>48</v>
      </c>
      <c r="K12" s="108" t="s">
        <v>47</v>
      </c>
      <c r="L12" s="108" t="s">
        <v>46</v>
      </c>
      <c r="M12" s="107" t="s">
        <v>51</v>
      </c>
      <c r="N12" s="107" t="s">
        <v>50</v>
      </c>
      <c r="O12" s="107" t="s">
        <v>49</v>
      </c>
      <c r="P12" s="107" t="s">
        <v>48</v>
      </c>
      <c r="Q12" s="108" t="s">
        <v>47</v>
      </c>
      <c r="R12" s="108" t="s">
        <v>46</v>
      </c>
      <c r="S12" s="107" t="s">
        <v>51</v>
      </c>
      <c r="T12" s="107" t="s">
        <v>50</v>
      </c>
      <c r="U12" s="107" t="s">
        <v>49</v>
      </c>
      <c r="V12" s="106" t="s">
        <v>48</v>
      </c>
      <c r="W12" s="105" t="s">
        <v>47</v>
      </c>
      <c r="X12" s="105" t="s">
        <v>46</v>
      </c>
      <c r="Y12" s="236"/>
      <c r="Z12" s="222"/>
      <c r="AA12" s="222"/>
      <c r="AB12" s="222"/>
      <c r="AC12" s="52"/>
      <c r="AD12" s="52"/>
      <c r="AE12" s="52"/>
    </row>
    <row r="13" spans="1:31" s="83" customFormat="1" ht="15" customHeight="1">
      <c r="A13" s="85"/>
      <c r="B13" s="104">
        <f>'114+840'!B14</f>
        <v>45270</v>
      </c>
      <c r="C13" s="103">
        <v>0</v>
      </c>
      <c r="D13" s="102">
        <f>VLOOKUP(B13,'114+840'!B14:AB115,2,FALSE)</f>
        <v>842</v>
      </c>
      <c r="E13" s="73">
        <f>VLOOKUP(B13,'114+840'!B14:AB115,3,FALSE)</f>
        <v>1623</v>
      </c>
      <c r="F13" s="73">
        <f t="shared" ref="F13:F76" si="0">D13+E13</f>
        <v>2465</v>
      </c>
      <c r="G13" s="101">
        <f>VLOOKUP(B13,'114+840'!$B$14:$AB$115,20,FALSE)</f>
        <v>-80</v>
      </c>
      <c r="H13" s="101">
        <f>VLOOKUP(B13,'114+840'!$B$14:$AB$115,4,FALSE)</f>
        <v>545</v>
      </c>
      <c r="I13" s="100">
        <f t="shared" ref="I13:I76" si="1">F13-H13</f>
        <v>1920</v>
      </c>
      <c r="J13" s="100">
        <f>VLOOKUP(B13,'114+840'!$B$14:$AB$115,13,FALSE)</f>
        <v>-80</v>
      </c>
      <c r="K13" s="67">
        <f>'114+840'!Q14</f>
        <v>0</v>
      </c>
      <c r="L13" s="98">
        <v>0</v>
      </c>
      <c r="M13" s="71">
        <f>VLOOKUP(B13,'114+840'!$B$14:$AB$115,21,FALSE)</f>
        <v>100</v>
      </c>
      <c r="N13" s="73">
        <f>VLOOKUP(B13,'114+840'!$B$14:$AB$115,5,FALSE)</f>
        <v>365</v>
      </c>
      <c r="O13" s="100">
        <f t="shared" ref="O13:O76" si="2">F13-N13</f>
        <v>2100</v>
      </c>
      <c r="P13" s="100">
        <f>VLOOKUP(B13,'114+840'!$B$14:$AB$115,14,FALSE)</f>
        <v>100</v>
      </c>
      <c r="Q13" s="67">
        <f>'114+840'!R14</f>
        <v>0</v>
      </c>
      <c r="R13" s="98">
        <v>0</v>
      </c>
      <c r="S13" s="71">
        <f>VLOOKUP(B13,'114+840'!$B$14:$AB$115,22,FALSE)</f>
        <v>-390</v>
      </c>
      <c r="T13" s="73">
        <f>VLOOKUP(B13,'114+840'!$B$13:$AB$115,6,FALSE)</f>
        <v>855</v>
      </c>
      <c r="U13" s="100">
        <f t="shared" ref="U13:U76" si="3">F13-T13</f>
        <v>1610</v>
      </c>
      <c r="V13" s="99">
        <f>VLOOKUP(B13,'114+840'!$B$14:$AB$115,15,FALSE)</f>
        <v>-390</v>
      </c>
      <c r="W13" s="67">
        <f>'114+840'!S14</f>
        <v>0</v>
      </c>
      <c r="X13" s="98">
        <v>0</v>
      </c>
      <c r="Y13" s="97">
        <v>0</v>
      </c>
      <c r="Z13" s="64">
        <f>IF(Y13&gt;0,Y13,0)</f>
        <v>0</v>
      </c>
      <c r="AA13" s="63">
        <f>Z13</f>
        <v>0</v>
      </c>
      <c r="AB13" s="63">
        <v>0</v>
      </c>
      <c r="AC13" s="52"/>
      <c r="AD13" s="52"/>
      <c r="AE13" s="52"/>
    </row>
    <row r="14" spans="1:31" s="83" customFormat="1" ht="15" customHeight="1">
      <c r="A14" s="85"/>
      <c r="B14" s="104">
        <f>'114+840'!B15</f>
        <v>45271</v>
      </c>
      <c r="C14" s="75">
        <f t="shared" ref="C14:C77" si="4">B14-B13</f>
        <v>1</v>
      </c>
      <c r="D14" s="74">
        <f t="shared" ref="D14:D77" si="5">D13</f>
        <v>842</v>
      </c>
      <c r="E14" s="73">
        <f>VLOOKUP(B14,'114+840'!B15:AB116,3,FALSE)</f>
        <v>1621</v>
      </c>
      <c r="F14" s="70">
        <f t="shared" si="0"/>
        <v>2463</v>
      </c>
      <c r="G14" s="72">
        <f>VLOOKUP(B14,'114+840'!$B$15:$AB$115,20,FALSE)</f>
        <v>-80</v>
      </c>
      <c r="H14" s="72">
        <f>VLOOKUP(B14,'114+840'!$B$15:$AB$115,4,FALSE)</f>
        <v>543</v>
      </c>
      <c r="I14" s="69">
        <f t="shared" si="1"/>
        <v>1920</v>
      </c>
      <c r="J14" s="69">
        <f>VLOOKUP(B14,'114+840'!$B$15:$AB$115,13,FALSE)</f>
        <v>-80</v>
      </c>
      <c r="K14" s="67">
        <f>'114+840'!Q15</f>
        <v>0</v>
      </c>
      <c r="L14" s="66">
        <f t="shared" ref="L14:L77" si="6">+K14+L13</f>
        <v>0</v>
      </c>
      <c r="M14" s="71">
        <f>VLOOKUP(B14,'114+840'!$B$14:$AB$115,21,FALSE)</f>
        <v>100</v>
      </c>
      <c r="N14" s="70">
        <f>VLOOKUP(B14,'114+840'!$B$15:$AB$115,5,FALSE)</f>
        <v>363</v>
      </c>
      <c r="O14" s="69">
        <f t="shared" si="2"/>
        <v>2100</v>
      </c>
      <c r="P14" s="69">
        <f>VLOOKUP(B14,'114+840'!$B$15:$AB$115,14,FALSE)</f>
        <v>100</v>
      </c>
      <c r="Q14" s="67">
        <f>'114+840'!R15</f>
        <v>0</v>
      </c>
      <c r="R14" s="66">
        <f t="shared" ref="R14:R77" si="7">+Q14+R13</f>
        <v>0</v>
      </c>
      <c r="S14" s="71">
        <f>VLOOKUP(B14,'114+840'!$B$14:$AB$115,22,FALSE)</f>
        <v>-390</v>
      </c>
      <c r="T14" s="70">
        <f>VLOOKUP(B14,'114+840'!$B$15:$AB$115,6,FALSE)</f>
        <v>853</v>
      </c>
      <c r="U14" s="69">
        <f t="shared" si="3"/>
        <v>1610</v>
      </c>
      <c r="V14" s="68">
        <f>VLOOKUP(B14,'114+840'!$B$15:$AB$115,15,FALSE)</f>
        <v>-390</v>
      </c>
      <c r="W14" s="67">
        <f>'114+840'!S15</f>
        <v>0</v>
      </c>
      <c r="X14" s="66">
        <f t="shared" ref="X14:X77" si="8">+W14+X13</f>
        <v>0</v>
      </c>
      <c r="Y14" s="65">
        <f t="shared" ref="Y14:Y77" si="9">S14-S13</f>
        <v>0</v>
      </c>
      <c r="Z14" s="64">
        <f t="shared" ref="Z14:Z77" si="10">IF(Y14&gt;0,Y14,0)/1000</f>
        <v>0</v>
      </c>
      <c r="AA14" s="63">
        <f t="shared" ref="AA14:AA77" si="11">AA13+Z14</f>
        <v>0</v>
      </c>
      <c r="AB14" s="63">
        <f t="shared" ref="AB14:AB77" si="12">(M14-$M$13-R14)/1000</f>
        <v>0</v>
      </c>
      <c r="AC14" s="52"/>
      <c r="AD14" s="52"/>
      <c r="AE14" s="52"/>
    </row>
    <row r="15" spans="1:31" s="83" customFormat="1" ht="15" customHeight="1">
      <c r="A15" s="85">
        <v>1</v>
      </c>
      <c r="B15" s="104">
        <f>'114+840'!B16</f>
        <v>45272</v>
      </c>
      <c r="C15" s="75">
        <f t="shared" si="4"/>
        <v>1</v>
      </c>
      <c r="D15" s="74">
        <f t="shared" si="5"/>
        <v>842</v>
      </c>
      <c r="E15" s="73">
        <f>VLOOKUP(B15,'114+840'!B16:AB117,3,FALSE)</f>
        <v>1619</v>
      </c>
      <c r="F15" s="70">
        <f t="shared" si="0"/>
        <v>2461</v>
      </c>
      <c r="G15" s="72">
        <f>VLOOKUP(B15,'114+840'!$B$15:$AB$115,20,FALSE)</f>
        <v>-80</v>
      </c>
      <c r="H15" s="72">
        <f>VLOOKUP(B15,'114+840'!$B$15:$AB$115,4,FALSE)</f>
        <v>541</v>
      </c>
      <c r="I15" s="69">
        <f t="shared" si="1"/>
        <v>1920</v>
      </c>
      <c r="J15" s="69">
        <f>VLOOKUP(B15,'114+840'!$B$15:$AB$115,13,FALSE)</f>
        <v>-80</v>
      </c>
      <c r="K15" s="67">
        <f>'114+840'!Q16</f>
        <v>0</v>
      </c>
      <c r="L15" s="66">
        <f t="shared" si="6"/>
        <v>0</v>
      </c>
      <c r="M15" s="71">
        <f>VLOOKUP(B15,'114+840'!$B$14:$AB$115,21,FALSE)</f>
        <v>100</v>
      </c>
      <c r="N15" s="70">
        <f>VLOOKUP(B15,'114+840'!$B$15:$AB$115,5,FALSE)</f>
        <v>361</v>
      </c>
      <c r="O15" s="69">
        <f t="shared" si="2"/>
        <v>2100</v>
      </c>
      <c r="P15" s="69">
        <f>VLOOKUP(B15,'114+840'!$B$15:$AB$115,14,FALSE)</f>
        <v>100</v>
      </c>
      <c r="Q15" s="67">
        <f>'114+840'!R16</f>
        <v>0</v>
      </c>
      <c r="R15" s="66">
        <f t="shared" si="7"/>
        <v>0</v>
      </c>
      <c r="S15" s="71">
        <f>VLOOKUP(B15,'114+840'!$B$14:$AB$115,22,FALSE)</f>
        <v>-390</v>
      </c>
      <c r="T15" s="70">
        <f>VLOOKUP(B15,'114+840'!$B$15:$AB$115,6,FALSE)</f>
        <v>851</v>
      </c>
      <c r="U15" s="69">
        <f t="shared" si="3"/>
        <v>1610</v>
      </c>
      <c r="V15" s="68">
        <f>VLOOKUP(B15,'114+840'!$B$15:$AB$115,15,FALSE)</f>
        <v>-390</v>
      </c>
      <c r="W15" s="67">
        <f>'114+840'!S16</f>
        <v>0</v>
      </c>
      <c r="X15" s="66">
        <f t="shared" si="8"/>
        <v>0</v>
      </c>
      <c r="Y15" s="65">
        <f t="shared" si="9"/>
        <v>0</v>
      </c>
      <c r="Z15" s="64">
        <f t="shared" si="10"/>
        <v>0</v>
      </c>
      <c r="AA15" s="63">
        <f t="shared" si="11"/>
        <v>0</v>
      </c>
      <c r="AB15" s="63">
        <f t="shared" si="12"/>
        <v>0</v>
      </c>
      <c r="AC15" s="52"/>
      <c r="AD15" s="52"/>
      <c r="AE15" s="52"/>
    </row>
    <row r="16" spans="1:31" s="83" customFormat="1" ht="15" customHeight="1">
      <c r="A16" s="85">
        <f t="shared" ref="A16:A21" si="13">A15+1</f>
        <v>2</v>
      </c>
      <c r="B16" s="104">
        <f>'114+840'!B17</f>
        <v>45273</v>
      </c>
      <c r="C16" s="75">
        <f t="shared" si="4"/>
        <v>1</v>
      </c>
      <c r="D16" s="74">
        <f t="shared" si="5"/>
        <v>842</v>
      </c>
      <c r="E16" s="73">
        <f>VLOOKUP(B16,'114+840'!B17:AB118,3,FALSE)</f>
        <v>1617</v>
      </c>
      <c r="F16" s="70">
        <f t="shared" si="0"/>
        <v>2459</v>
      </c>
      <c r="G16" s="72">
        <f>VLOOKUP(B16,'114+840'!$B$15:$AB$115,20,FALSE)</f>
        <v>-80</v>
      </c>
      <c r="H16" s="72">
        <f>VLOOKUP(B16,'114+840'!$B$15:$AB$115,4,FALSE)</f>
        <v>539</v>
      </c>
      <c r="I16" s="69">
        <f t="shared" si="1"/>
        <v>1920</v>
      </c>
      <c r="J16" s="69">
        <f>VLOOKUP(B16,'114+840'!$B$15:$AB$115,13,FALSE)</f>
        <v>-80</v>
      </c>
      <c r="K16" s="67">
        <f>'114+840'!Q17</f>
        <v>0</v>
      </c>
      <c r="L16" s="66">
        <f t="shared" si="6"/>
        <v>0</v>
      </c>
      <c r="M16" s="71">
        <f>VLOOKUP(B16,'114+840'!$B$14:$AB$115,21,FALSE)</f>
        <v>100</v>
      </c>
      <c r="N16" s="70">
        <f>VLOOKUP(B16,'114+840'!$B$15:$AB$115,5,FALSE)</f>
        <v>359</v>
      </c>
      <c r="O16" s="69">
        <f t="shared" si="2"/>
        <v>2100</v>
      </c>
      <c r="P16" s="69">
        <f>VLOOKUP(B16,'114+840'!$B$15:$AB$115,14,FALSE)</f>
        <v>100</v>
      </c>
      <c r="Q16" s="67">
        <f>'114+840'!R17</f>
        <v>0</v>
      </c>
      <c r="R16" s="66">
        <f t="shared" si="7"/>
        <v>0</v>
      </c>
      <c r="S16" s="71">
        <f>VLOOKUP(B16,'114+840'!$B$14:$AB$115,22,FALSE)</f>
        <v>-390</v>
      </c>
      <c r="T16" s="70">
        <f>VLOOKUP(B16,'114+840'!$B$15:$AB$115,6,FALSE)</f>
        <v>849</v>
      </c>
      <c r="U16" s="69">
        <f t="shared" si="3"/>
        <v>1610</v>
      </c>
      <c r="V16" s="68">
        <f>VLOOKUP(B16,'114+840'!$B$15:$AB$115,15,FALSE)</f>
        <v>-390</v>
      </c>
      <c r="W16" s="67">
        <f>'114+840'!S17</f>
        <v>0</v>
      </c>
      <c r="X16" s="66">
        <f t="shared" si="8"/>
        <v>0</v>
      </c>
      <c r="Y16" s="65">
        <f t="shared" si="9"/>
        <v>0</v>
      </c>
      <c r="Z16" s="64">
        <f t="shared" si="10"/>
        <v>0</v>
      </c>
      <c r="AA16" s="63">
        <f t="shared" si="11"/>
        <v>0</v>
      </c>
      <c r="AB16" s="63">
        <f t="shared" si="12"/>
        <v>0</v>
      </c>
      <c r="AC16" s="52"/>
      <c r="AD16" s="52"/>
      <c r="AE16" s="84"/>
    </row>
    <row r="17" spans="1:31" s="83" customFormat="1" ht="15" customHeight="1">
      <c r="A17" s="85">
        <f t="shared" si="13"/>
        <v>3</v>
      </c>
      <c r="B17" s="104">
        <f>'114+840'!B18</f>
        <v>45274</v>
      </c>
      <c r="C17" s="75">
        <f t="shared" si="4"/>
        <v>1</v>
      </c>
      <c r="D17" s="74">
        <f t="shared" si="5"/>
        <v>842</v>
      </c>
      <c r="E17" s="73">
        <f>VLOOKUP(B17,'114+840'!B18:AB119,3,FALSE)</f>
        <v>1615</v>
      </c>
      <c r="F17" s="70">
        <f t="shared" si="0"/>
        <v>2457</v>
      </c>
      <c r="G17" s="72">
        <f>VLOOKUP(B17,'114+840'!$B$15:$AB$115,20,FALSE)</f>
        <v>-80</v>
      </c>
      <c r="H17" s="72">
        <f>VLOOKUP(B17,'114+840'!$B$15:$AB$115,4,FALSE)</f>
        <v>537</v>
      </c>
      <c r="I17" s="69">
        <f t="shared" si="1"/>
        <v>1920</v>
      </c>
      <c r="J17" s="69">
        <f>VLOOKUP(B17,'114+840'!$B$15:$AB$115,13,FALSE)</f>
        <v>-80</v>
      </c>
      <c r="K17" s="67">
        <f>'114+840'!Q18</f>
        <v>0</v>
      </c>
      <c r="L17" s="66">
        <f t="shared" si="6"/>
        <v>0</v>
      </c>
      <c r="M17" s="71">
        <f>VLOOKUP(B17,'114+840'!$B$14:$AB$115,21,FALSE)</f>
        <v>100</v>
      </c>
      <c r="N17" s="70">
        <f>VLOOKUP(B17,'114+840'!$B$15:$AB$115,5,FALSE)</f>
        <v>357</v>
      </c>
      <c r="O17" s="69">
        <f t="shared" si="2"/>
        <v>2100</v>
      </c>
      <c r="P17" s="69">
        <f>VLOOKUP(B17,'114+840'!$B$15:$AB$115,14,FALSE)</f>
        <v>100</v>
      </c>
      <c r="Q17" s="67">
        <f>'114+840'!R18</f>
        <v>0</v>
      </c>
      <c r="R17" s="66">
        <f t="shared" si="7"/>
        <v>0</v>
      </c>
      <c r="S17" s="71">
        <f>VLOOKUP(B17,'114+840'!$B$14:$AB$115,22,FALSE)</f>
        <v>-390</v>
      </c>
      <c r="T17" s="70">
        <f>VLOOKUP(B17,'114+840'!$B$15:$AB$115,6,FALSE)</f>
        <v>847</v>
      </c>
      <c r="U17" s="69">
        <f t="shared" si="3"/>
        <v>1610</v>
      </c>
      <c r="V17" s="68">
        <f>VLOOKUP(B17,'114+840'!$B$15:$AB$115,15,FALSE)</f>
        <v>-390</v>
      </c>
      <c r="W17" s="67">
        <f>'114+840'!S18</f>
        <v>0</v>
      </c>
      <c r="X17" s="66">
        <f t="shared" si="8"/>
        <v>0</v>
      </c>
      <c r="Y17" s="65">
        <f t="shared" si="9"/>
        <v>0</v>
      </c>
      <c r="Z17" s="64">
        <f t="shared" si="10"/>
        <v>0</v>
      </c>
      <c r="AA17" s="63">
        <f t="shared" si="11"/>
        <v>0</v>
      </c>
      <c r="AB17" s="63">
        <f t="shared" si="12"/>
        <v>0</v>
      </c>
      <c r="AC17" s="52"/>
      <c r="AD17" s="52"/>
      <c r="AE17" s="84"/>
    </row>
    <row r="18" spans="1:31" s="83" customFormat="1" ht="15" customHeight="1">
      <c r="A18" s="85">
        <f t="shared" si="13"/>
        <v>4</v>
      </c>
      <c r="B18" s="104">
        <f>'114+840'!B19</f>
        <v>45275</v>
      </c>
      <c r="C18" s="75">
        <f t="shared" si="4"/>
        <v>1</v>
      </c>
      <c r="D18" s="74">
        <f t="shared" si="5"/>
        <v>842</v>
      </c>
      <c r="E18" s="73">
        <f>VLOOKUP(B18,'114+840'!B19:AB120,3,FALSE)</f>
        <v>1613</v>
      </c>
      <c r="F18" s="70">
        <f t="shared" si="0"/>
        <v>2455</v>
      </c>
      <c r="G18" s="72">
        <f>VLOOKUP(B18,'114+840'!$B$15:$AB$115,20,FALSE)</f>
        <v>-80</v>
      </c>
      <c r="H18" s="72">
        <f>VLOOKUP(B18,'114+840'!$B$15:$AB$115,4,FALSE)</f>
        <v>535</v>
      </c>
      <c r="I18" s="69">
        <f t="shared" si="1"/>
        <v>1920</v>
      </c>
      <c r="J18" s="69">
        <f>VLOOKUP(B18,'114+840'!$B$15:$AB$115,13,FALSE)</f>
        <v>-80</v>
      </c>
      <c r="K18" s="67">
        <f>'114+840'!Q19</f>
        <v>0</v>
      </c>
      <c r="L18" s="66">
        <f t="shared" si="6"/>
        <v>0</v>
      </c>
      <c r="M18" s="71">
        <f>VLOOKUP(B18,'114+840'!$B$14:$AB$115,21,FALSE)</f>
        <v>100</v>
      </c>
      <c r="N18" s="70">
        <f>VLOOKUP(B18,'114+840'!$B$15:$AB$115,5,FALSE)</f>
        <v>355</v>
      </c>
      <c r="O18" s="69">
        <f t="shared" si="2"/>
        <v>2100</v>
      </c>
      <c r="P18" s="69">
        <f>VLOOKUP(B18,'114+840'!$B$15:$AB$115,14,FALSE)</f>
        <v>100</v>
      </c>
      <c r="Q18" s="67">
        <f>'114+840'!R19</f>
        <v>0</v>
      </c>
      <c r="R18" s="66">
        <f t="shared" si="7"/>
        <v>0</v>
      </c>
      <c r="S18" s="71">
        <f>VLOOKUP(B18,'114+840'!$B$14:$AB$115,22,FALSE)</f>
        <v>-390</v>
      </c>
      <c r="T18" s="70">
        <f>VLOOKUP(B18,'114+840'!$B$15:$AB$115,6,FALSE)</f>
        <v>845</v>
      </c>
      <c r="U18" s="69">
        <f t="shared" si="3"/>
        <v>1610</v>
      </c>
      <c r="V18" s="68">
        <f>VLOOKUP(B18,'114+840'!$B$15:$AB$115,15,FALSE)</f>
        <v>-390</v>
      </c>
      <c r="W18" s="67">
        <f>'114+840'!S19</f>
        <v>0</v>
      </c>
      <c r="X18" s="66">
        <f t="shared" si="8"/>
        <v>0</v>
      </c>
      <c r="Y18" s="65">
        <f t="shared" si="9"/>
        <v>0</v>
      </c>
      <c r="Z18" s="64">
        <f t="shared" si="10"/>
        <v>0</v>
      </c>
      <c r="AA18" s="63">
        <f t="shared" si="11"/>
        <v>0</v>
      </c>
      <c r="AB18" s="63">
        <f t="shared" si="12"/>
        <v>0</v>
      </c>
      <c r="AC18" s="52"/>
      <c r="AD18" s="52"/>
      <c r="AE18" s="84"/>
    </row>
    <row r="19" spans="1:31" s="83" customFormat="1" ht="15" customHeight="1">
      <c r="A19" s="85">
        <f t="shared" si="13"/>
        <v>5</v>
      </c>
      <c r="B19" s="104">
        <f>'114+840'!B20</f>
        <v>45276</v>
      </c>
      <c r="C19" s="75">
        <f t="shared" si="4"/>
        <v>1</v>
      </c>
      <c r="D19" s="74">
        <f t="shared" si="5"/>
        <v>842</v>
      </c>
      <c r="E19" s="73">
        <f>VLOOKUP(B19,'114+840'!B20:AB121,3,FALSE)</f>
        <v>1611</v>
      </c>
      <c r="F19" s="70">
        <f t="shared" si="0"/>
        <v>2453</v>
      </c>
      <c r="G19" s="72">
        <f>VLOOKUP(B19,'114+840'!$B$15:$AB$115,20,FALSE)</f>
        <v>-80</v>
      </c>
      <c r="H19" s="72">
        <f>VLOOKUP(B19,'114+840'!$B$15:$AB$115,4,FALSE)</f>
        <v>533</v>
      </c>
      <c r="I19" s="69">
        <f t="shared" si="1"/>
        <v>1920</v>
      </c>
      <c r="J19" s="69">
        <f>VLOOKUP(B19,'114+840'!$B$15:$AB$115,13,FALSE)</f>
        <v>-80</v>
      </c>
      <c r="K19" s="67">
        <f>'114+840'!Q20</f>
        <v>0</v>
      </c>
      <c r="L19" s="66">
        <f t="shared" si="6"/>
        <v>0</v>
      </c>
      <c r="M19" s="71">
        <f>VLOOKUP(B19,'114+840'!$B$14:$AB$115,21,FALSE)</f>
        <v>100</v>
      </c>
      <c r="N19" s="70">
        <f>VLOOKUP(B19,'114+840'!$B$15:$AB$115,5,FALSE)</f>
        <v>353</v>
      </c>
      <c r="O19" s="69">
        <f t="shared" si="2"/>
        <v>2100</v>
      </c>
      <c r="P19" s="69">
        <f>VLOOKUP(B19,'114+840'!$B$15:$AB$115,14,FALSE)</f>
        <v>100</v>
      </c>
      <c r="Q19" s="67">
        <f>'114+840'!R20</f>
        <v>0</v>
      </c>
      <c r="R19" s="66">
        <f t="shared" si="7"/>
        <v>0</v>
      </c>
      <c r="S19" s="71">
        <f>VLOOKUP(B19,'114+840'!$B$14:$AB$115,22,FALSE)</f>
        <v>-390</v>
      </c>
      <c r="T19" s="70">
        <f>VLOOKUP(B19,'114+840'!$B$15:$AB$115,6,FALSE)</f>
        <v>843</v>
      </c>
      <c r="U19" s="69">
        <f t="shared" si="3"/>
        <v>1610</v>
      </c>
      <c r="V19" s="68">
        <f>VLOOKUP(B19,'114+840'!$B$15:$AB$115,15,FALSE)</f>
        <v>-390</v>
      </c>
      <c r="W19" s="67">
        <f>'114+840'!S20</f>
        <v>0</v>
      </c>
      <c r="X19" s="66">
        <f t="shared" si="8"/>
        <v>0</v>
      </c>
      <c r="Y19" s="65">
        <f t="shared" si="9"/>
        <v>0</v>
      </c>
      <c r="Z19" s="64">
        <f t="shared" si="10"/>
        <v>0</v>
      </c>
      <c r="AA19" s="63">
        <f t="shared" si="11"/>
        <v>0</v>
      </c>
      <c r="AB19" s="63">
        <f t="shared" si="12"/>
        <v>0</v>
      </c>
      <c r="AC19" s="52"/>
      <c r="AD19" s="52"/>
      <c r="AE19" s="84"/>
    </row>
    <row r="20" spans="1:31" s="83" customFormat="1" ht="15" customHeight="1">
      <c r="A20" s="85">
        <f t="shared" si="13"/>
        <v>6</v>
      </c>
      <c r="B20" s="104">
        <f>'114+840'!B21</f>
        <v>45277</v>
      </c>
      <c r="C20" s="75">
        <f t="shared" si="4"/>
        <v>1</v>
      </c>
      <c r="D20" s="74">
        <f t="shared" si="5"/>
        <v>842</v>
      </c>
      <c r="E20" s="73">
        <f>VLOOKUP(B20,'114+840'!B21:AB122,3,FALSE)</f>
        <v>1609</v>
      </c>
      <c r="F20" s="70">
        <f t="shared" si="0"/>
        <v>2451</v>
      </c>
      <c r="G20" s="72">
        <f>VLOOKUP(B20,'114+840'!$B$15:$AB$115,20,FALSE)</f>
        <v>-80</v>
      </c>
      <c r="H20" s="72">
        <f>VLOOKUP(B20,'114+840'!$B$15:$AB$115,4,FALSE)</f>
        <v>531</v>
      </c>
      <c r="I20" s="69">
        <f t="shared" si="1"/>
        <v>1920</v>
      </c>
      <c r="J20" s="69">
        <f>VLOOKUP(B20,'114+840'!$B$15:$AB$115,13,FALSE)</f>
        <v>-80</v>
      </c>
      <c r="K20" s="67">
        <f>'114+840'!Q21</f>
        <v>0</v>
      </c>
      <c r="L20" s="66">
        <f t="shared" si="6"/>
        <v>0</v>
      </c>
      <c r="M20" s="71">
        <f>VLOOKUP(B20,'114+840'!$B$14:$AB$115,21,FALSE)</f>
        <v>100</v>
      </c>
      <c r="N20" s="70">
        <f>VLOOKUP(B20,'114+840'!$B$15:$AB$115,5,FALSE)</f>
        <v>351</v>
      </c>
      <c r="O20" s="69">
        <f t="shared" si="2"/>
        <v>2100</v>
      </c>
      <c r="P20" s="69">
        <f>VLOOKUP(B20,'114+840'!$B$15:$AB$115,14,FALSE)</f>
        <v>100</v>
      </c>
      <c r="Q20" s="67">
        <f>'114+840'!R21</f>
        <v>0</v>
      </c>
      <c r="R20" s="66">
        <f t="shared" si="7"/>
        <v>0</v>
      </c>
      <c r="S20" s="71">
        <f>VLOOKUP(B20,'114+840'!$B$14:$AB$115,22,FALSE)</f>
        <v>-390</v>
      </c>
      <c r="T20" s="70">
        <f>VLOOKUP(B20,'114+840'!$B$15:$AB$115,6,FALSE)</f>
        <v>841</v>
      </c>
      <c r="U20" s="69">
        <f t="shared" si="3"/>
        <v>1610</v>
      </c>
      <c r="V20" s="68">
        <f>VLOOKUP(B20,'114+840'!$B$15:$AB$115,15,FALSE)</f>
        <v>-390</v>
      </c>
      <c r="W20" s="67">
        <f>'114+840'!S21</f>
        <v>0</v>
      </c>
      <c r="X20" s="66">
        <f t="shared" si="8"/>
        <v>0</v>
      </c>
      <c r="Y20" s="65">
        <f t="shared" si="9"/>
        <v>0</v>
      </c>
      <c r="Z20" s="64">
        <f t="shared" si="10"/>
        <v>0</v>
      </c>
      <c r="AA20" s="63">
        <f t="shared" si="11"/>
        <v>0</v>
      </c>
      <c r="AB20" s="63">
        <f t="shared" si="12"/>
        <v>0</v>
      </c>
      <c r="AC20" s="52"/>
      <c r="AD20" s="52"/>
      <c r="AE20" s="84"/>
    </row>
    <row r="21" spans="1:31" s="92" customFormat="1" ht="15" customHeight="1">
      <c r="A21" s="85">
        <f t="shared" si="13"/>
        <v>7</v>
      </c>
      <c r="B21" s="104">
        <f>'114+840'!B22</f>
        <v>45278</v>
      </c>
      <c r="C21" s="75">
        <f t="shared" si="4"/>
        <v>1</v>
      </c>
      <c r="D21" s="74">
        <f t="shared" si="5"/>
        <v>842</v>
      </c>
      <c r="E21" s="73">
        <f>VLOOKUP(B21,'114+840'!B22:AB123,3,FALSE)</f>
        <v>1607</v>
      </c>
      <c r="F21" s="70">
        <f t="shared" si="0"/>
        <v>2449</v>
      </c>
      <c r="G21" s="72">
        <f>VLOOKUP(B21,'114+840'!$B$15:$AB$115,20,FALSE)</f>
        <v>-80</v>
      </c>
      <c r="H21" s="72">
        <f>VLOOKUP(B21,'114+840'!$B$15:$AB$115,4,FALSE)</f>
        <v>529</v>
      </c>
      <c r="I21" s="69">
        <f t="shared" si="1"/>
        <v>1920</v>
      </c>
      <c r="J21" s="69">
        <f>VLOOKUP(B21,'114+840'!$B$15:$AB$115,13,FALSE)</f>
        <v>-80</v>
      </c>
      <c r="K21" s="67">
        <f>'114+840'!Q22</f>
        <v>0</v>
      </c>
      <c r="L21" s="66">
        <f t="shared" si="6"/>
        <v>0</v>
      </c>
      <c r="M21" s="71">
        <f>VLOOKUP(B21,'114+840'!$B$14:$AB$115,21,FALSE)</f>
        <v>100</v>
      </c>
      <c r="N21" s="70">
        <f>VLOOKUP(B21,'114+840'!$B$15:$AB$115,5,FALSE)</f>
        <v>349</v>
      </c>
      <c r="O21" s="69">
        <f t="shared" si="2"/>
        <v>2100</v>
      </c>
      <c r="P21" s="69">
        <f>VLOOKUP(B21,'114+840'!$B$15:$AB$115,14,FALSE)</f>
        <v>100</v>
      </c>
      <c r="Q21" s="67">
        <f>'114+840'!R22</f>
        <v>0</v>
      </c>
      <c r="R21" s="66">
        <f t="shared" si="7"/>
        <v>0</v>
      </c>
      <c r="S21" s="71">
        <f>VLOOKUP(B21,'114+840'!$B$14:$AB$115,22,FALSE)</f>
        <v>-390</v>
      </c>
      <c r="T21" s="70">
        <f>VLOOKUP(B21,'114+840'!$B$15:$AB$115,6,FALSE)</f>
        <v>839</v>
      </c>
      <c r="U21" s="69">
        <f t="shared" si="3"/>
        <v>1610</v>
      </c>
      <c r="V21" s="68">
        <f>VLOOKUP(B21,'114+840'!$B$15:$AB$115,15,FALSE)</f>
        <v>-390</v>
      </c>
      <c r="W21" s="67">
        <f>'114+840'!S22</f>
        <v>0</v>
      </c>
      <c r="X21" s="66">
        <f t="shared" si="8"/>
        <v>0</v>
      </c>
      <c r="Y21" s="65">
        <f t="shared" si="9"/>
        <v>0</v>
      </c>
      <c r="Z21" s="64">
        <f t="shared" si="10"/>
        <v>0</v>
      </c>
      <c r="AA21" s="63">
        <f t="shared" si="11"/>
        <v>0</v>
      </c>
      <c r="AB21" s="63">
        <f t="shared" si="12"/>
        <v>0</v>
      </c>
      <c r="AC21" s="94"/>
      <c r="AD21" s="94"/>
      <c r="AE21" s="93"/>
    </row>
    <row r="22" spans="1:31" s="92" customFormat="1" ht="15" customHeight="1">
      <c r="A22" s="85"/>
      <c r="B22" s="104">
        <f>'114+840'!B23</f>
        <v>45279</v>
      </c>
      <c r="C22" s="75">
        <f t="shared" si="4"/>
        <v>1</v>
      </c>
      <c r="D22" s="74">
        <f t="shared" si="5"/>
        <v>842</v>
      </c>
      <c r="E22" s="73">
        <f>VLOOKUP(B22,'114+840'!B23:AB124,3,FALSE)</f>
        <v>1605</v>
      </c>
      <c r="F22" s="70">
        <f t="shared" si="0"/>
        <v>2447</v>
      </c>
      <c r="G22" s="72">
        <f>VLOOKUP(B22,'114+840'!$B$15:$AB$115,20,FALSE)</f>
        <v>-80</v>
      </c>
      <c r="H22" s="72">
        <f>VLOOKUP(B22,'114+840'!$B$15:$AB$115,4,FALSE)</f>
        <v>527</v>
      </c>
      <c r="I22" s="69">
        <f t="shared" si="1"/>
        <v>1920</v>
      </c>
      <c r="J22" s="69">
        <f>VLOOKUP(B22,'114+840'!$B$15:$AB$115,13,FALSE)</f>
        <v>-80</v>
      </c>
      <c r="K22" s="67">
        <f>'114+840'!Q23</f>
        <v>0</v>
      </c>
      <c r="L22" s="66">
        <f t="shared" si="6"/>
        <v>0</v>
      </c>
      <c r="M22" s="71">
        <f>VLOOKUP(B22,'114+840'!$B$14:$AB$115,21,FALSE)</f>
        <v>100</v>
      </c>
      <c r="N22" s="70">
        <f>VLOOKUP(B22,'114+840'!$B$15:$AB$115,5,FALSE)</f>
        <v>347</v>
      </c>
      <c r="O22" s="69">
        <f t="shared" si="2"/>
        <v>2100</v>
      </c>
      <c r="P22" s="69">
        <f>VLOOKUP(B22,'114+840'!$B$15:$AB$115,14,FALSE)</f>
        <v>100</v>
      </c>
      <c r="Q22" s="67">
        <f>'114+840'!R23</f>
        <v>0</v>
      </c>
      <c r="R22" s="66">
        <f t="shared" si="7"/>
        <v>0</v>
      </c>
      <c r="S22" s="71">
        <f>VLOOKUP(B22,'114+840'!$B$14:$AB$115,22,FALSE)</f>
        <v>-390</v>
      </c>
      <c r="T22" s="70">
        <f>VLOOKUP(B22,'114+840'!$B$15:$AB$115,6,FALSE)</f>
        <v>837</v>
      </c>
      <c r="U22" s="69">
        <f t="shared" si="3"/>
        <v>1610</v>
      </c>
      <c r="V22" s="68">
        <f>VLOOKUP(B22,'114+840'!$B$15:$AB$115,15,FALSE)</f>
        <v>-390</v>
      </c>
      <c r="W22" s="67">
        <f>'114+840'!S23</f>
        <v>0</v>
      </c>
      <c r="X22" s="66">
        <f t="shared" si="8"/>
        <v>0</v>
      </c>
      <c r="Y22" s="65">
        <f t="shared" si="9"/>
        <v>0</v>
      </c>
      <c r="Z22" s="64">
        <f t="shared" si="10"/>
        <v>0</v>
      </c>
      <c r="AA22" s="63">
        <f t="shared" si="11"/>
        <v>0</v>
      </c>
      <c r="AB22" s="63">
        <f t="shared" si="12"/>
        <v>0</v>
      </c>
      <c r="AC22" s="94"/>
      <c r="AD22" s="94"/>
      <c r="AE22" s="93"/>
    </row>
    <row r="23" spans="1:31" s="92" customFormat="1" ht="15" customHeight="1">
      <c r="A23" s="85"/>
      <c r="B23" s="104">
        <f>'114+840'!B24</f>
        <v>45280</v>
      </c>
      <c r="C23" s="75">
        <f t="shared" si="4"/>
        <v>1</v>
      </c>
      <c r="D23" s="74">
        <f t="shared" si="5"/>
        <v>842</v>
      </c>
      <c r="E23" s="73">
        <f>VLOOKUP(B23,'114+840'!B24:AB125,3,FALSE)</f>
        <v>1603</v>
      </c>
      <c r="F23" s="70">
        <f t="shared" si="0"/>
        <v>2445</v>
      </c>
      <c r="G23" s="72">
        <f>VLOOKUP(B23,'114+840'!$B$15:$AB$115,20,FALSE)</f>
        <v>-80</v>
      </c>
      <c r="H23" s="72">
        <f>VLOOKUP(B23,'114+840'!$B$15:$AB$115,4,FALSE)</f>
        <v>525</v>
      </c>
      <c r="I23" s="69">
        <f t="shared" si="1"/>
        <v>1920</v>
      </c>
      <c r="J23" s="69">
        <f>VLOOKUP(B23,'114+840'!$B$15:$AB$115,13,FALSE)</f>
        <v>-80</v>
      </c>
      <c r="K23" s="67">
        <f>'114+840'!Q24</f>
        <v>0</v>
      </c>
      <c r="L23" s="66">
        <f t="shared" si="6"/>
        <v>0</v>
      </c>
      <c r="M23" s="71">
        <f>VLOOKUP(B23,'114+840'!$B$14:$AB$115,21,FALSE)</f>
        <v>100</v>
      </c>
      <c r="N23" s="70">
        <f>VLOOKUP(B23,'114+840'!$B$15:$AB$115,5,FALSE)</f>
        <v>345</v>
      </c>
      <c r="O23" s="69">
        <f t="shared" si="2"/>
        <v>2100</v>
      </c>
      <c r="P23" s="69">
        <f>VLOOKUP(B23,'114+840'!$B$15:$AB$115,14,FALSE)</f>
        <v>100</v>
      </c>
      <c r="Q23" s="67">
        <f>'114+840'!R24</f>
        <v>0</v>
      </c>
      <c r="R23" s="66">
        <f t="shared" si="7"/>
        <v>0</v>
      </c>
      <c r="S23" s="71">
        <f>VLOOKUP(B23,'114+840'!$B$14:$AB$115,22,FALSE)</f>
        <v>-390</v>
      </c>
      <c r="T23" s="70">
        <f>VLOOKUP(B23,'114+840'!$B$15:$AB$115,6,FALSE)</f>
        <v>835</v>
      </c>
      <c r="U23" s="69">
        <f t="shared" si="3"/>
        <v>1610</v>
      </c>
      <c r="V23" s="68">
        <f>VLOOKUP(B23,'114+840'!$B$15:$AB$115,15,FALSE)</f>
        <v>-390</v>
      </c>
      <c r="W23" s="67">
        <f>'114+840'!S24</f>
        <v>0</v>
      </c>
      <c r="X23" s="66">
        <f t="shared" si="8"/>
        <v>0</v>
      </c>
      <c r="Y23" s="65">
        <f t="shared" si="9"/>
        <v>0</v>
      </c>
      <c r="Z23" s="64">
        <f t="shared" si="10"/>
        <v>0</v>
      </c>
      <c r="AA23" s="63">
        <f t="shared" si="11"/>
        <v>0</v>
      </c>
      <c r="AB23" s="63">
        <f t="shared" si="12"/>
        <v>0</v>
      </c>
      <c r="AC23" s="94"/>
      <c r="AD23" s="94"/>
      <c r="AE23" s="93"/>
    </row>
    <row r="24" spans="1:31" s="92" customFormat="1" ht="15" customHeight="1">
      <c r="A24" s="85"/>
      <c r="B24" s="104">
        <f>'114+840'!B25</f>
        <v>45281</v>
      </c>
      <c r="C24" s="75">
        <f t="shared" si="4"/>
        <v>1</v>
      </c>
      <c r="D24" s="74">
        <f t="shared" si="5"/>
        <v>842</v>
      </c>
      <c r="E24" s="73">
        <f>VLOOKUP(B24,'114+840'!B25:AB126,3,FALSE)</f>
        <v>1601</v>
      </c>
      <c r="F24" s="70">
        <f t="shared" si="0"/>
        <v>2443</v>
      </c>
      <c r="G24" s="72">
        <f>VLOOKUP(B24,'114+840'!$B$15:$AB$115,20,FALSE)</f>
        <v>-80</v>
      </c>
      <c r="H24" s="72">
        <f>VLOOKUP(B24,'114+840'!$B$15:$AB$115,4,FALSE)</f>
        <v>523</v>
      </c>
      <c r="I24" s="69">
        <f t="shared" si="1"/>
        <v>1920</v>
      </c>
      <c r="J24" s="69">
        <f>VLOOKUP(B24,'114+840'!$B$15:$AB$115,13,FALSE)</f>
        <v>-80</v>
      </c>
      <c r="K24" s="67">
        <f>'114+840'!Q25</f>
        <v>0</v>
      </c>
      <c r="L24" s="66">
        <f t="shared" si="6"/>
        <v>0</v>
      </c>
      <c r="M24" s="71">
        <f>VLOOKUP(B24,'114+840'!$B$14:$AB$115,21,FALSE)</f>
        <v>100</v>
      </c>
      <c r="N24" s="70">
        <f>VLOOKUP(B24,'114+840'!$B$15:$AB$115,5,FALSE)</f>
        <v>343</v>
      </c>
      <c r="O24" s="69">
        <f t="shared" si="2"/>
        <v>2100</v>
      </c>
      <c r="P24" s="69">
        <f>VLOOKUP(B24,'114+840'!$B$15:$AB$115,14,FALSE)</f>
        <v>100</v>
      </c>
      <c r="Q24" s="67">
        <f>'114+840'!R25</f>
        <v>0</v>
      </c>
      <c r="R24" s="66">
        <f t="shared" si="7"/>
        <v>0</v>
      </c>
      <c r="S24" s="71">
        <f>VLOOKUP(B24,'114+840'!$B$14:$AB$115,22,FALSE)</f>
        <v>-390</v>
      </c>
      <c r="T24" s="70">
        <f>VLOOKUP(B24,'114+840'!$B$15:$AB$115,6,FALSE)</f>
        <v>833</v>
      </c>
      <c r="U24" s="69">
        <f t="shared" si="3"/>
        <v>1610</v>
      </c>
      <c r="V24" s="68">
        <f>VLOOKUP(B24,'114+840'!$B$15:$AB$115,15,FALSE)</f>
        <v>-390</v>
      </c>
      <c r="W24" s="67">
        <f>'114+840'!S25</f>
        <v>0</v>
      </c>
      <c r="X24" s="66">
        <f t="shared" si="8"/>
        <v>0</v>
      </c>
      <c r="Y24" s="65">
        <f t="shared" si="9"/>
        <v>0</v>
      </c>
      <c r="Z24" s="64">
        <f t="shared" si="10"/>
        <v>0</v>
      </c>
      <c r="AA24" s="63">
        <f t="shared" si="11"/>
        <v>0</v>
      </c>
      <c r="AB24" s="63">
        <f t="shared" si="12"/>
        <v>0</v>
      </c>
      <c r="AC24" s="94"/>
      <c r="AD24" s="94"/>
      <c r="AE24" s="93"/>
    </row>
    <row r="25" spans="1:31" s="92" customFormat="1" ht="15" customHeight="1">
      <c r="A25" s="85"/>
      <c r="B25" s="104">
        <f>'114+840'!B26</f>
        <v>45282</v>
      </c>
      <c r="C25" s="75">
        <f t="shared" si="4"/>
        <v>1</v>
      </c>
      <c r="D25" s="74">
        <f t="shared" si="5"/>
        <v>842</v>
      </c>
      <c r="E25" s="73">
        <f>VLOOKUP(B25,'114+840'!B26:AB127,3,FALSE)</f>
        <v>1599</v>
      </c>
      <c r="F25" s="70">
        <f t="shared" si="0"/>
        <v>2441</v>
      </c>
      <c r="G25" s="72">
        <f>VLOOKUP(B25,'114+840'!$B$15:$AB$115,20,FALSE)</f>
        <v>-80</v>
      </c>
      <c r="H25" s="72">
        <f>VLOOKUP(B25,'114+840'!$B$15:$AB$115,4,FALSE)</f>
        <v>521</v>
      </c>
      <c r="I25" s="69">
        <f t="shared" si="1"/>
        <v>1920</v>
      </c>
      <c r="J25" s="69">
        <f>VLOOKUP(B25,'114+840'!$B$15:$AB$115,13,FALSE)</f>
        <v>-80</v>
      </c>
      <c r="K25" s="67">
        <f>'114+840'!Q26</f>
        <v>0</v>
      </c>
      <c r="L25" s="66">
        <f t="shared" si="6"/>
        <v>0</v>
      </c>
      <c r="M25" s="71">
        <f>VLOOKUP(B25,'114+840'!$B$14:$AB$115,21,FALSE)</f>
        <v>100</v>
      </c>
      <c r="N25" s="70">
        <f>VLOOKUP(B25,'114+840'!$B$15:$AB$115,5,FALSE)</f>
        <v>341</v>
      </c>
      <c r="O25" s="69">
        <f t="shared" si="2"/>
        <v>2100</v>
      </c>
      <c r="P25" s="69">
        <f>VLOOKUP(B25,'114+840'!$B$15:$AB$115,14,FALSE)</f>
        <v>100</v>
      </c>
      <c r="Q25" s="67">
        <f>'114+840'!R26</f>
        <v>0</v>
      </c>
      <c r="R25" s="66">
        <f t="shared" si="7"/>
        <v>0</v>
      </c>
      <c r="S25" s="71">
        <f>VLOOKUP(B25,'114+840'!$B$14:$AB$115,22,FALSE)</f>
        <v>-390</v>
      </c>
      <c r="T25" s="70">
        <f>VLOOKUP(B25,'114+840'!$B$15:$AB$115,6,FALSE)</f>
        <v>831</v>
      </c>
      <c r="U25" s="69">
        <f t="shared" si="3"/>
        <v>1610</v>
      </c>
      <c r="V25" s="68">
        <f>VLOOKUP(B25,'114+840'!$B$15:$AB$115,15,FALSE)</f>
        <v>-390</v>
      </c>
      <c r="W25" s="67">
        <f>'114+840'!S26</f>
        <v>0</v>
      </c>
      <c r="X25" s="66">
        <f t="shared" si="8"/>
        <v>0</v>
      </c>
      <c r="Y25" s="65">
        <f t="shared" si="9"/>
        <v>0</v>
      </c>
      <c r="Z25" s="64">
        <f t="shared" si="10"/>
        <v>0</v>
      </c>
      <c r="AA25" s="63">
        <f t="shared" si="11"/>
        <v>0</v>
      </c>
      <c r="AB25" s="63">
        <f t="shared" si="12"/>
        <v>0</v>
      </c>
      <c r="AC25" s="94"/>
      <c r="AD25" s="94"/>
      <c r="AE25" s="93"/>
    </row>
    <row r="26" spans="1:31" s="92" customFormat="1" ht="15" customHeight="1">
      <c r="A26" s="85"/>
      <c r="B26" s="104">
        <f>'114+840'!B27</f>
        <v>45283</v>
      </c>
      <c r="C26" s="75">
        <f t="shared" si="4"/>
        <v>1</v>
      </c>
      <c r="D26" s="74">
        <f t="shared" si="5"/>
        <v>842</v>
      </c>
      <c r="E26" s="73">
        <f>VLOOKUP(B26,'114+840'!B27:AB128,3,FALSE)</f>
        <v>1597</v>
      </c>
      <c r="F26" s="70">
        <f t="shared" si="0"/>
        <v>2439</v>
      </c>
      <c r="G26" s="72">
        <f>VLOOKUP(B26,'114+840'!$B$15:$AB$115,20,FALSE)</f>
        <v>-80</v>
      </c>
      <c r="H26" s="72">
        <f>VLOOKUP(B26,'114+840'!$B$15:$AB$115,4,FALSE)</f>
        <v>519</v>
      </c>
      <c r="I26" s="69">
        <f t="shared" si="1"/>
        <v>1920</v>
      </c>
      <c r="J26" s="69">
        <f>VLOOKUP(B26,'114+840'!$B$15:$AB$115,13,FALSE)</f>
        <v>-80</v>
      </c>
      <c r="K26" s="67">
        <f>'114+840'!Q27</f>
        <v>0</v>
      </c>
      <c r="L26" s="66">
        <f t="shared" si="6"/>
        <v>0</v>
      </c>
      <c r="M26" s="71">
        <f>VLOOKUP(B26,'114+840'!$B$14:$AB$115,21,FALSE)</f>
        <v>100</v>
      </c>
      <c r="N26" s="70">
        <f>VLOOKUP(B26,'114+840'!$B$15:$AB$115,5,FALSE)</f>
        <v>339</v>
      </c>
      <c r="O26" s="69">
        <f t="shared" si="2"/>
        <v>2100</v>
      </c>
      <c r="P26" s="69">
        <f>VLOOKUP(B26,'114+840'!$B$15:$AB$115,14,FALSE)</f>
        <v>100</v>
      </c>
      <c r="Q26" s="67">
        <f>'114+840'!R27</f>
        <v>0</v>
      </c>
      <c r="R26" s="66">
        <f t="shared" si="7"/>
        <v>0</v>
      </c>
      <c r="S26" s="71">
        <f>VLOOKUP(B26,'114+840'!$B$14:$AB$115,22,FALSE)</f>
        <v>-390</v>
      </c>
      <c r="T26" s="70">
        <f>VLOOKUP(B26,'114+840'!$B$15:$AB$115,6,FALSE)</f>
        <v>829</v>
      </c>
      <c r="U26" s="69">
        <f t="shared" si="3"/>
        <v>1610</v>
      </c>
      <c r="V26" s="68">
        <f>VLOOKUP(B26,'114+840'!$B$15:$AB$115,15,FALSE)</f>
        <v>-390</v>
      </c>
      <c r="W26" s="67">
        <f>'114+840'!S27</f>
        <v>0</v>
      </c>
      <c r="X26" s="66">
        <f t="shared" si="8"/>
        <v>0</v>
      </c>
      <c r="Y26" s="65">
        <f t="shared" si="9"/>
        <v>0</v>
      </c>
      <c r="Z26" s="64">
        <f t="shared" si="10"/>
        <v>0</v>
      </c>
      <c r="AA26" s="63">
        <f t="shared" si="11"/>
        <v>0</v>
      </c>
      <c r="AB26" s="63">
        <f t="shared" si="12"/>
        <v>0</v>
      </c>
      <c r="AC26" s="94"/>
      <c r="AD26" s="94"/>
      <c r="AE26" s="93"/>
    </row>
    <row r="27" spans="1:31" s="92" customFormat="1" ht="15" customHeight="1">
      <c r="A27" s="85"/>
      <c r="B27" s="104">
        <f>'114+840'!B28</f>
        <v>45284</v>
      </c>
      <c r="C27" s="75">
        <f t="shared" si="4"/>
        <v>1</v>
      </c>
      <c r="D27" s="74">
        <f t="shared" si="5"/>
        <v>842</v>
      </c>
      <c r="E27" s="73">
        <f>VLOOKUP(B27,'114+840'!B28:AB129,3,FALSE)</f>
        <v>1595</v>
      </c>
      <c r="F27" s="70">
        <f t="shared" si="0"/>
        <v>2437</v>
      </c>
      <c r="G27" s="72">
        <f>VLOOKUP(B27,'114+840'!$B$15:$AB$115,20,FALSE)</f>
        <v>-80</v>
      </c>
      <c r="H27" s="72">
        <f>VLOOKUP(B27,'114+840'!$B$15:$AB$115,4,FALSE)</f>
        <v>517</v>
      </c>
      <c r="I27" s="69">
        <f t="shared" si="1"/>
        <v>1920</v>
      </c>
      <c r="J27" s="69">
        <f>VLOOKUP(B27,'114+840'!$B$15:$AB$115,13,FALSE)</f>
        <v>-80</v>
      </c>
      <c r="K27" s="67">
        <f>'114+840'!Q28</f>
        <v>0</v>
      </c>
      <c r="L27" s="66">
        <f t="shared" si="6"/>
        <v>0</v>
      </c>
      <c r="M27" s="71">
        <f>VLOOKUP(B27,'114+840'!$B$14:$AB$115,21,FALSE)</f>
        <v>100</v>
      </c>
      <c r="N27" s="70">
        <f>VLOOKUP(B27,'114+840'!$B$15:$AB$115,5,FALSE)</f>
        <v>337</v>
      </c>
      <c r="O27" s="69">
        <f t="shared" si="2"/>
        <v>2100</v>
      </c>
      <c r="P27" s="69">
        <f>VLOOKUP(B27,'114+840'!$B$15:$AB$115,14,FALSE)</f>
        <v>100</v>
      </c>
      <c r="Q27" s="67">
        <f>'114+840'!R28</f>
        <v>0</v>
      </c>
      <c r="R27" s="66">
        <f t="shared" si="7"/>
        <v>0</v>
      </c>
      <c r="S27" s="71">
        <f>VLOOKUP(B27,'114+840'!$B$14:$AB$115,22,FALSE)</f>
        <v>-390</v>
      </c>
      <c r="T27" s="70">
        <f>VLOOKUP(B27,'114+840'!$B$15:$AB$115,6,FALSE)</f>
        <v>827</v>
      </c>
      <c r="U27" s="69">
        <f t="shared" si="3"/>
        <v>1610</v>
      </c>
      <c r="V27" s="68">
        <f>VLOOKUP(B27,'114+840'!$B$15:$AB$115,15,FALSE)</f>
        <v>-390</v>
      </c>
      <c r="W27" s="67">
        <f>'114+840'!S28</f>
        <v>0</v>
      </c>
      <c r="X27" s="66">
        <f t="shared" si="8"/>
        <v>0</v>
      </c>
      <c r="Y27" s="65">
        <f t="shared" si="9"/>
        <v>0</v>
      </c>
      <c r="Z27" s="64">
        <f t="shared" si="10"/>
        <v>0</v>
      </c>
      <c r="AA27" s="63">
        <f t="shared" si="11"/>
        <v>0</v>
      </c>
      <c r="AB27" s="63">
        <f t="shared" si="12"/>
        <v>0</v>
      </c>
      <c r="AC27" s="94"/>
      <c r="AD27" s="94"/>
      <c r="AE27" s="93"/>
    </row>
    <row r="28" spans="1:31" s="92" customFormat="1" ht="15" customHeight="1">
      <c r="A28" s="85"/>
      <c r="B28" s="104">
        <f>'114+840'!B29</f>
        <v>45285</v>
      </c>
      <c r="C28" s="75">
        <f t="shared" si="4"/>
        <v>1</v>
      </c>
      <c r="D28" s="74">
        <f t="shared" si="5"/>
        <v>842</v>
      </c>
      <c r="E28" s="73">
        <f>VLOOKUP(B28,'114+840'!B29:AB130,3,FALSE)</f>
        <v>1593</v>
      </c>
      <c r="F28" s="70">
        <f t="shared" si="0"/>
        <v>2435</v>
      </c>
      <c r="G28" s="72">
        <f>VLOOKUP(B28,'114+840'!$B$15:$AB$115,20,FALSE)</f>
        <v>-80</v>
      </c>
      <c r="H28" s="72">
        <f>VLOOKUP(B28,'114+840'!$B$15:$AB$115,4,FALSE)</f>
        <v>515</v>
      </c>
      <c r="I28" s="69">
        <f t="shared" si="1"/>
        <v>1920</v>
      </c>
      <c r="J28" s="69">
        <f>VLOOKUP(B28,'114+840'!$B$15:$AB$115,13,FALSE)</f>
        <v>-80</v>
      </c>
      <c r="K28" s="67">
        <f>'114+840'!Q29</f>
        <v>0</v>
      </c>
      <c r="L28" s="66">
        <f t="shared" si="6"/>
        <v>0</v>
      </c>
      <c r="M28" s="71">
        <f>VLOOKUP(B28,'114+840'!$B$14:$AB$115,21,FALSE)</f>
        <v>100</v>
      </c>
      <c r="N28" s="70">
        <f>VLOOKUP(B28,'114+840'!$B$15:$AB$115,5,FALSE)</f>
        <v>335</v>
      </c>
      <c r="O28" s="69">
        <f t="shared" si="2"/>
        <v>2100</v>
      </c>
      <c r="P28" s="69">
        <f>VLOOKUP(B28,'114+840'!$B$15:$AB$115,14,FALSE)</f>
        <v>100</v>
      </c>
      <c r="Q28" s="67">
        <f>'114+840'!R29</f>
        <v>0</v>
      </c>
      <c r="R28" s="66">
        <f t="shared" si="7"/>
        <v>0</v>
      </c>
      <c r="S28" s="71">
        <f>VLOOKUP(B28,'114+840'!$B$14:$AB$115,22,FALSE)</f>
        <v>-390</v>
      </c>
      <c r="T28" s="70">
        <f>VLOOKUP(B28,'114+840'!$B$15:$AB$115,6,FALSE)</f>
        <v>825</v>
      </c>
      <c r="U28" s="69">
        <f t="shared" si="3"/>
        <v>1610</v>
      </c>
      <c r="V28" s="68">
        <f>VLOOKUP(B28,'114+840'!$B$15:$AB$115,15,FALSE)</f>
        <v>-390</v>
      </c>
      <c r="W28" s="67">
        <f>'114+840'!S29</f>
        <v>0</v>
      </c>
      <c r="X28" s="66">
        <f t="shared" si="8"/>
        <v>0</v>
      </c>
      <c r="Y28" s="65">
        <f t="shared" si="9"/>
        <v>0</v>
      </c>
      <c r="Z28" s="64">
        <f t="shared" si="10"/>
        <v>0</v>
      </c>
      <c r="AA28" s="63">
        <f t="shared" si="11"/>
        <v>0</v>
      </c>
      <c r="AB28" s="63">
        <f t="shared" si="12"/>
        <v>0</v>
      </c>
      <c r="AC28" s="94"/>
      <c r="AD28" s="94"/>
      <c r="AE28" s="93"/>
    </row>
    <row r="29" spans="1:31" s="92" customFormat="1" ht="15" customHeight="1">
      <c r="A29" s="85"/>
      <c r="B29" s="104">
        <f>'114+840'!B30</f>
        <v>45286</v>
      </c>
      <c r="C29" s="75">
        <f t="shared" si="4"/>
        <v>1</v>
      </c>
      <c r="D29" s="74">
        <f t="shared" si="5"/>
        <v>842</v>
      </c>
      <c r="E29" s="73">
        <f>VLOOKUP(B29,'114+840'!B30:AB131,3,FALSE)</f>
        <v>1591</v>
      </c>
      <c r="F29" s="70">
        <f t="shared" si="0"/>
        <v>2433</v>
      </c>
      <c r="G29" s="72">
        <f>VLOOKUP(B29,'114+840'!$B$15:$AB$115,20,FALSE)</f>
        <v>-80</v>
      </c>
      <c r="H29" s="72">
        <f>VLOOKUP(B29,'114+840'!$B$15:$AB$115,4,FALSE)</f>
        <v>513</v>
      </c>
      <c r="I29" s="69">
        <f t="shared" si="1"/>
        <v>1920</v>
      </c>
      <c r="J29" s="69">
        <f>VLOOKUP(B29,'114+840'!$B$15:$AB$115,13,FALSE)</f>
        <v>-80</v>
      </c>
      <c r="K29" s="67">
        <f>'114+840'!Q30</f>
        <v>0</v>
      </c>
      <c r="L29" s="66">
        <f t="shared" si="6"/>
        <v>0</v>
      </c>
      <c r="M29" s="71">
        <f>VLOOKUP(B29,'114+840'!$B$14:$AB$115,21,FALSE)</f>
        <v>100</v>
      </c>
      <c r="N29" s="70">
        <f>VLOOKUP(B29,'114+840'!$B$15:$AB$115,5,FALSE)</f>
        <v>333</v>
      </c>
      <c r="O29" s="69">
        <f t="shared" si="2"/>
        <v>2100</v>
      </c>
      <c r="P29" s="69">
        <f>VLOOKUP(B29,'114+840'!$B$15:$AB$115,14,FALSE)</f>
        <v>100</v>
      </c>
      <c r="Q29" s="67">
        <f>'114+840'!R30</f>
        <v>0</v>
      </c>
      <c r="R29" s="66">
        <f t="shared" si="7"/>
        <v>0</v>
      </c>
      <c r="S29" s="71">
        <f>VLOOKUP(B29,'114+840'!$B$14:$AB$115,22,FALSE)</f>
        <v>-390</v>
      </c>
      <c r="T29" s="70">
        <f>VLOOKUP(B29,'114+840'!$B$15:$AB$115,6,FALSE)</f>
        <v>823</v>
      </c>
      <c r="U29" s="69">
        <f t="shared" si="3"/>
        <v>1610</v>
      </c>
      <c r="V29" s="68">
        <f>VLOOKUP(B29,'114+840'!$B$15:$AB$115,15,FALSE)</f>
        <v>-390</v>
      </c>
      <c r="W29" s="67">
        <f>'114+840'!S30</f>
        <v>0</v>
      </c>
      <c r="X29" s="66">
        <f t="shared" si="8"/>
        <v>0</v>
      </c>
      <c r="Y29" s="65">
        <f t="shared" si="9"/>
        <v>0</v>
      </c>
      <c r="Z29" s="64">
        <f t="shared" si="10"/>
        <v>0</v>
      </c>
      <c r="AA29" s="63">
        <f t="shared" si="11"/>
        <v>0</v>
      </c>
      <c r="AB29" s="63">
        <f t="shared" si="12"/>
        <v>0</v>
      </c>
      <c r="AC29" s="94"/>
      <c r="AD29" s="94"/>
      <c r="AE29" s="93"/>
    </row>
    <row r="30" spans="1:31" s="92" customFormat="1" ht="15" customHeight="1">
      <c r="A30" s="85"/>
      <c r="B30" s="104">
        <f>'114+840'!B31</f>
        <v>45287</v>
      </c>
      <c r="C30" s="75">
        <f t="shared" si="4"/>
        <v>1</v>
      </c>
      <c r="D30" s="74">
        <f t="shared" si="5"/>
        <v>842</v>
      </c>
      <c r="E30" s="73">
        <f>VLOOKUP(B30,'114+840'!B31:AB132,3,FALSE)</f>
        <v>1589</v>
      </c>
      <c r="F30" s="70">
        <f t="shared" si="0"/>
        <v>2431</v>
      </c>
      <c r="G30" s="72">
        <f>VLOOKUP(B30,'114+840'!$B$15:$AB$115,20,FALSE)</f>
        <v>-80</v>
      </c>
      <c r="H30" s="72">
        <f>VLOOKUP(B30,'114+840'!$B$15:$AB$115,4,FALSE)</f>
        <v>511</v>
      </c>
      <c r="I30" s="69">
        <f t="shared" si="1"/>
        <v>1920</v>
      </c>
      <c r="J30" s="69">
        <f>VLOOKUP(B30,'114+840'!$B$15:$AB$115,13,FALSE)</f>
        <v>-80</v>
      </c>
      <c r="K30" s="67">
        <f>'114+840'!Q31</f>
        <v>0</v>
      </c>
      <c r="L30" s="66">
        <f t="shared" si="6"/>
        <v>0</v>
      </c>
      <c r="M30" s="71">
        <f>VLOOKUP(B30,'114+840'!$B$14:$AB$115,21,FALSE)</f>
        <v>100</v>
      </c>
      <c r="N30" s="70">
        <f>VLOOKUP(B30,'114+840'!$B$15:$AB$115,5,FALSE)</f>
        <v>331</v>
      </c>
      <c r="O30" s="69">
        <f t="shared" si="2"/>
        <v>2100</v>
      </c>
      <c r="P30" s="69">
        <f>VLOOKUP(B30,'114+840'!$B$15:$AB$115,14,FALSE)</f>
        <v>100</v>
      </c>
      <c r="Q30" s="67">
        <f>'114+840'!R31</f>
        <v>0</v>
      </c>
      <c r="R30" s="66">
        <f t="shared" si="7"/>
        <v>0</v>
      </c>
      <c r="S30" s="71">
        <f>VLOOKUP(B30,'114+840'!$B$14:$AB$115,22,FALSE)</f>
        <v>-108</v>
      </c>
      <c r="T30" s="70">
        <f>VLOOKUP(B30,'114+840'!$B$15:$AB$115,6,FALSE)</f>
        <v>829</v>
      </c>
      <c r="U30" s="69">
        <f t="shared" si="3"/>
        <v>1602</v>
      </c>
      <c r="V30" s="68">
        <f>VLOOKUP(B30,'114+840'!$B$15:$AB$115,15,FALSE)</f>
        <v>-398</v>
      </c>
      <c r="W30" s="67">
        <f>'114+840'!S31</f>
        <v>8</v>
      </c>
      <c r="X30" s="66">
        <f t="shared" si="8"/>
        <v>8</v>
      </c>
      <c r="Y30" s="65">
        <f t="shared" si="9"/>
        <v>282</v>
      </c>
      <c r="Z30" s="64">
        <f t="shared" si="10"/>
        <v>0.28199999999999997</v>
      </c>
      <c r="AA30" s="63">
        <f t="shared" si="11"/>
        <v>0.28199999999999997</v>
      </c>
      <c r="AB30" s="63">
        <f t="shared" si="12"/>
        <v>0</v>
      </c>
      <c r="AC30" s="94"/>
      <c r="AD30" s="94"/>
      <c r="AE30" s="93"/>
    </row>
    <row r="31" spans="1:31" s="86" customFormat="1" ht="15" customHeight="1">
      <c r="A31" s="85"/>
      <c r="B31" s="104">
        <f>'114+840'!B32</f>
        <v>45288</v>
      </c>
      <c r="C31" s="75">
        <f t="shared" si="4"/>
        <v>1</v>
      </c>
      <c r="D31" s="74">
        <f t="shared" si="5"/>
        <v>842</v>
      </c>
      <c r="E31" s="73">
        <f>VLOOKUP(B31,'114+840'!B32:AB133,3,FALSE)</f>
        <v>1587</v>
      </c>
      <c r="F31" s="70">
        <f t="shared" si="0"/>
        <v>2429</v>
      </c>
      <c r="G31" s="72">
        <f>VLOOKUP(B31,'114+840'!$B$15:$AB$115,20,FALSE)</f>
        <v>-80</v>
      </c>
      <c r="H31" s="72">
        <f>VLOOKUP(B31,'114+840'!$B$15:$AB$115,4,FALSE)</f>
        <v>509</v>
      </c>
      <c r="I31" s="69">
        <f t="shared" si="1"/>
        <v>1920</v>
      </c>
      <c r="J31" s="69">
        <f>VLOOKUP(B31,'114+840'!$B$15:$AB$115,13,FALSE)</f>
        <v>-80</v>
      </c>
      <c r="K31" s="67">
        <f>'114+840'!Q32</f>
        <v>0</v>
      </c>
      <c r="L31" s="66">
        <f t="shared" si="6"/>
        <v>0</v>
      </c>
      <c r="M31" s="71">
        <f>VLOOKUP(B31,'114+840'!$B$14:$AB$115,21,FALSE)</f>
        <v>100</v>
      </c>
      <c r="N31" s="70">
        <f>VLOOKUP(B31,'114+840'!$B$15:$AB$115,5,FALSE)</f>
        <v>329</v>
      </c>
      <c r="O31" s="69">
        <f t="shared" si="2"/>
        <v>2100</v>
      </c>
      <c r="P31" s="69">
        <f>VLOOKUP(B31,'114+840'!$B$15:$AB$115,14,FALSE)</f>
        <v>100</v>
      </c>
      <c r="Q31" s="67">
        <f>'114+840'!R32</f>
        <v>0</v>
      </c>
      <c r="R31" s="66">
        <f t="shared" si="7"/>
        <v>0</v>
      </c>
      <c r="S31" s="71">
        <f>VLOOKUP(B31,'114+840'!$B$14:$AB$115,22,FALSE)</f>
        <v>-114</v>
      </c>
      <c r="T31" s="70">
        <f>VLOOKUP(B31,'114+840'!$B$15:$AB$115,6,FALSE)</f>
        <v>833</v>
      </c>
      <c r="U31" s="69">
        <f t="shared" si="3"/>
        <v>1596</v>
      </c>
      <c r="V31" s="68">
        <f>VLOOKUP(B31,'114+840'!$B$15:$AB$115,15,FALSE)</f>
        <v>-404</v>
      </c>
      <c r="W31" s="67">
        <f>'114+840'!S32</f>
        <v>6</v>
      </c>
      <c r="X31" s="66">
        <f t="shared" si="8"/>
        <v>14</v>
      </c>
      <c r="Y31" s="65">
        <f t="shared" si="9"/>
        <v>-6</v>
      </c>
      <c r="Z31" s="64">
        <f t="shared" si="10"/>
        <v>0</v>
      </c>
      <c r="AA31" s="63">
        <f t="shared" si="11"/>
        <v>0.28199999999999997</v>
      </c>
      <c r="AB31" s="63">
        <f t="shared" si="12"/>
        <v>0</v>
      </c>
      <c r="AC31" s="88"/>
      <c r="AD31" s="88"/>
      <c r="AE31" s="87"/>
    </row>
    <row r="32" spans="1:31" s="92" customFormat="1" ht="15" customHeight="1">
      <c r="A32" s="85"/>
      <c r="B32" s="104">
        <f>'114+840'!B33</f>
        <v>45289</v>
      </c>
      <c r="C32" s="75">
        <f t="shared" si="4"/>
        <v>1</v>
      </c>
      <c r="D32" s="74">
        <f t="shared" si="5"/>
        <v>842</v>
      </c>
      <c r="E32" s="73">
        <f>VLOOKUP(B32,'114+840'!B33:AB134,3,FALSE)</f>
        <v>1585</v>
      </c>
      <c r="F32" s="70">
        <f t="shared" si="0"/>
        <v>2427</v>
      </c>
      <c r="G32" s="72">
        <f>VLOOKUP(B32,'114+840'!$B$15:$AB$115,20,FALSE)</f>
        <v>-80</v>
      </c>
      <c r="H32" s="72">
        <f>VLOOKUP(B32,'114+840'!$B$15:$AB$115,4,FALSE)</f>
        <v>507</v>
      </c>
      <c r="I32" s="69">
        <f t="shared" si="1"/>
        <v>1920</v>
      </c>
      <c r="J32" s="69">
        <f>VLOOKUP(B32,'114+840'!$B$15:$AB$115,13,FALSE)</f>
        <v>-80</v>
      </c>
      <c r="K32" s="67">
        <f>'114+840'!Q33</f>
        <v>0</v>
      </c>
      <c r="L32" s="66">
        <f t="shared" si="6"/>
        <v>0</v>
      </c>
      <c r="M32" s="71">
        <f>VLOOKUP(B32,'114+840'!$B$14:$AB$115,21,FALSE)</f>
        <v>100</v>
      </c>
      <c r="N32" s="70">
        <f>VLOOKUP(B32,'114+840'!$B$15:$AB$115,5,FALSE)</f>
        <v>327</v>
      </c>
      <c r="O32" s="69">
        <f t="shared" si="2"/>
        <v>2100</v>
      </c>
      <c r="P32" s="69">
        <f>VLOOKUP(B32,'114+840'!$B$15:$AB$115,14,FALSE)</f>
        <v>100</v>
      </c>
      <c r="Q32" s="67">
        <f>'114+840'!R33</f>
        <v>0</v>
      </c>
      <c r="R32" s="66">
        <f t="shared" si="7"/>
        <v>0</v>
      </c>
      <c r="S32" s="71">
        <f>VLOOKUP(B32,'114+840'!$B$14:$AB$115,22,FALSE)</f>
        <v>-120</v>
      </c>
      <c r="T32" s="70">
        <f>VLOOKUP(B32,'114+840'!$B$15:$AB$115,6,FALSE)</f>
        <v>837</v>
      </c>
      <c r="U32" s="69">
        <f t="shared" si="3"/>
        <v>1590</v>
      </c>
      <c r="V32" s="68">
        <f>VLOOKUP(B32,'114+840'!$B$15:$AB$115,15,FALSE)</f>
        <v>-410</v>
      </c>
      <c r="W32" s="67">
        <f>'114+840'!S33</f>
        <v>6</v>
      </c>
      <c r="X32" s="66">
        <f t="shared" si="8"/>
        <v>20</v>
      </c>
      <c r="Y32" s="65">
        <f t="shared" si="9"/>
        <v>-6</v>
      </c>
      <c r="Z32" s="64">
        <f t="shared" si="10"/>
        <v>0</v>
      </c>
      <c r="AA32" s="63">
        <f t="shared" si="11"/>
        <v>0.28199999999999997</v>
      </c>
      <c r="AB32" s="63">
        <f t="shared" si="12"/>
        <v>0</v>
      </c>
      <c r="AC32" s="94"/>
      <c r="AD32" s="94"/>
      <c r="AE32" s="93"/>
    </row>
    <row r="33" spans="1:31" s="92" customFormat="1" ht="15" customHeight="1">
      <c r="A33" s="85"/>
      <c r="B33" s="104">
        <f>'114+840'!B34</f>
        <v>45290</v>
      </c>
      <c r="C33" s="75">
        <f t="shared" si="4"/>
        <v>1</v>
      </c>
      <c r="D33" s="74">
        <f t="shared" si="5"/>
        <v>842</v>
      </c>
      <c r="E33" s="73">
        <f>VLOOKUP(B33,'114+840'!B34:AB135,3,FALSE)</f>
        <v>1583</v>
      </c>
      <c r="F33" s="70">
        <f t="shared" si="0"/>
        <v>2425</v>
      </c>
      <c r="G33" s="72">
        <f>VLOOKUP(B33,'114+840'!$B$15:$AB$115,20,FALSE)</f>
        <v>-80</v>
      </c>
      <c r="H33" s="72">
        <f>VLOOKUP(B33,'114+840'!$B$15:$AB$115,4,FALSE)</f>
        <v>505</v>
      </c>
      <c r="I33" s="69">
        <f t="shared" si="1"/>
        <v>1920</v>
      </c>
      <c r="J33" s="69">
        <f>VLOOKUP(B33,'114+840'!$B$15:$AB$115,13,FALSE)</f>
        <v>-80</v>
      </c>
      <c r="K33" s="67">
        <f>'114+840'!Q34</f>
        <v>0</v>
      </c>
      <c r="L33" s="66">
        <f t="shared" si="6"/>
        <v>0</v>
      </c>
      <c r="M33" s="71">
        <f>VLOOKUP(B33,'114+840'!$B$14:$AB$115,21,FALSE)</f>
        <v>100</v>
      </c>
      <c r="N33" s="70">
        <f>VLOOKUP(B33,'114+840'!$B$15:$AB$115,5,FALSE)</f>
        <v>325</v>
      </c>
      <c r="O33" s="69">
        <f t="shared" si="2"/>
        <v>2100</v>
      </c>
      <c r="P33" s="69">
        <f>VLOOKUP(B33,'114+840'!$B$15:$AB$115,14,FALSE)</f>
        <v>100</v>
      </c>
      <c r="Q33" s="67">
        <f>'114+840'!R34</f>
        <v>0</v>
      </c>
      <c r="R33" s="66">
        <f t="shared" si="7"/>
        <v>0</v>
      </c>
      <c r="S33" s="71">
        <f>VLOOKUP(B33,'114+840'!$B$14:$AB$115,22,FALSE)</f>
        <v>-126</v>
      </c>
      <c r="T33" s="70">
        <f>VLOOKUP(B33,'114+840'!$B$15:$AB$115,6,FALSE)</f>
        <v>841</v>
      </c>
      <c r="U33" s="69">
        <f t="shared" si="3"/>
        <v>1584</v>
      </c>
      <c r="V33" s="68">
        <f>VLOOKUP(B33,'114+840'!$B$15:$AB$115,15,FALSE)</f>
        <v>-416</v>
      </c>
      <c r="W33" s="67">
        <f>'114+840'!S34</f>
        <v>6</v>
      </c>
      <c r="X33" s="66">
        <f t="shared" si="8"/>
        <v>26</v>
      </c>
      <c r="Y33" s="65">
        <f t="shared" si="9"/>
        <v>-6</v>
      </c>
      <c r="Z33" s="64">
        <f t="shared" si="10"/>
        <v>0</v>
      </c>
      <c r="AA33" s="63">
        <f t="shared" si="11"/>
        <v>0.28199999999999997</v>
      </c>
      <c r="AB33" s="63">
        <f t="shared" si="12"/>
        <v>0</v>
      </c>
      <c r="AC33" s="94"/>
      <c r="AD33" s="94"/>
      <c r="AE33" s="93"/>
    </row>
    <row r="34" spans="1:31" s="92" customFormat="1" ht="15" customHeight="1">
      <c r="A34" s="85"/>
      <c r="B34" s="104">
        <f>'114+840'!B35</f>
        <v>45291</v>
      </c>
      <c r="C34" s="75">
        <f t="shared" si="4"/>
        <v>1</v>
      </c>
      <c r="D34" s="74">
        <f t="shared" si="5"/>
        <v>842</v>
      </c>
      <c r="E34" s="73">
        <f>VLOOKUP(B34,'114+840'!B35:AB136,3,FALSE)</f>
        <v>1581</v>
      </c>
      <c r="F34" s="70">
        <f t="shared" si="0"/>
        <v>2423</v>
      </c>
      <c r="G34" s="72">
        <f>VLOOKUP(B34,'114+840'!$B$15:$AB$115,20,FALSE)</f>
        <v>-80</v>
      </c>
      <c r="H34" s="72">
        <f>VLOOKUP(B34,'114+840'!$B$15:$AB$115,4,FALSE)</f>
        <v>503</v>
      </c>
      <c r="I34" s="69">
        <f t="shared" si="1"/>
        <v>1920</v>
      </c>
      <c r="J34" s="69">
        <f>VLOOKUP(B34,'114+840'!$B$15:$AB$115,13,FALSE)</f>
        <v>-80</v>
      </c>
      <c r="K34" s="67">
        <f>'114+840'!Q35</f>
        <v>0</v>
      </c>
      <c r="L34" s="66">
        <f t="shared" si="6"/>
        <v>0</v>
      </c>
      <c r="M34" s="71">
        <f>VLOOKUP(B34,'114+840'!$B$14:$AB$115,21,FALSE)</f>
        <v>100</v>
      </c>
      <c r="N34" s="70">
        <f>VLOOKUP(B34,'114+840'!$B$15:$AB$115,5,FALSE)</f>
        <v>323</v>
      </c>
      <c r="O34" s="69">
        <f t="shared" si="2"/>
        <v>2100</v>
      </c>
      <c r="P34" s="69">
        <f>VLOOKUP(B34,'114+840'!$B$15:$AB$115,14,FALSE)</f>
        <v>100</v>
      </c>
      <c r="Q34" s="67">
        <f>'114+840'!R35</f>
        <v>0</v>
      </c>
      <c r="R34" s="66">
        <f t="shared" si="7"/>
        <v>0</v>
      </c>
      <c r="S34" s="71">
        <f>VLOOKUP(B34,'114+840'!$B$14:$AB$115,22,FALSE)</f>
        <v>-135</v>
      </c>
      <c r="T34" s="70">
        <f>VLOOKUP(B34,'114+840'!$B$15:$AB$115,6,FALSE)</f>
        <v>848</v>
      </c>
      <c r="U34" s="69">
        <f t="shared" si="3"/>
        <v>1575</v>
      </c>
      <c r="V34" s="68">
        <f>VLOOKUP(B34,'114+840'!$B$15:$AB$115,15,FALSE)</f>
        <v>-425</v>
      </c>
      <c r="W34" s="67">
        <f>'114+840'!S35</f>
        <v>9</v>
      </c>
      <c r="X34" s="66">
        <f t="shared" si="8"/>
        <v>35</v>
      </c>
      <c r="Y34" s="65">
        <f t="shared" si="9"/>
        <v>-9</v>
      </c>
      <c r="Z34" s="64">
        <f t="shared" si="10"/>
        <v>0</v>
      </c>
      <c r="AA34" s="63">
        <f t="shared" si="11"/>
        <v>0.28199999999999997</v>
      </c>
      <c r="AB34" s="63">
        <f t="shared" si="12"/>
        <v>0</v>
      </c>
      <c r="AC34" s="94"/>
      <c r="AD34" s="94"/>
      <c r="AE34" s="93"/>
    </row>
    <row r="35" spans="1:31" s="92" customFormat="1" ht="15" customHeight="1">
      <c r="A35" s="85"/>
      <c r="B35" s="104">
        <f>'114+840'!B36</f>
        <v>45292</v>
      </c>
      <c r="C35" s="75">
        <f t="shared" si="4"/>
        <v>1</v>
      </c>
      <c r="D35" s="74">
        <f t="shared" si="5"/>
        <v>842</v>
      </c>
      <c r="E35" s="73">
        <f>VLOOKUP(B35,'114+840'!B36:AB137,3,FALSE)</f>
        <v>1579</v>
      </c>
      <c r="F35" s="70">
        <f t="shared" si="0"/>
        <v>2421</v>
      </c>
      <c r="G35" s="72">
        <f>VLOOKUP(B35,'114+840'!$B$15:$AB$115,20,FALSE)</f>
        <v>-80</v>
      </c>
      <c r="H35" s="72">
        <f>VLOOKUP(B35,'114+840'!$B$15:$AB$115,4,FALSE)</f>
        <v>501</v>
      </c>
      <c r="I35" s="69">
        <f t="shared" si="1"/>
        <v>1920</v>
      </c>
      <c r="J35" s="69">
        <f>VLOOKUP(B35,'114+840'!$B$15:$AB$115,13,FALSE)</f>
        <v>-80</v>
      </c>
      <c r="K35" s="67">
        <f>'114+840'!Q36</f>
        <v>0</v>
      </c>
      <c r="L35" s="66">
        <f t="shared" si="6"/>
        <v>0</v>
      </c>
      <c r="M35" s="71">
        <f>VLOOKUP(B35,'114+840'!$B$14:$AB$115,21,FALSE)</f>
        <v>100</v>
      </c>
      <c r="N35" s="70">
        <f>VLOOKUP(B35,'114+840'!$B$15:$AB$115,5,FALSE)</f>
        <v>321</v>
      </c>
      <c r="O35" s="69">
        <f t="shared" si="2"/>
        <v>2100</v>
      </c>
      <c r="P35" s="69">
        <f>VLOOKUP(B35,'114+840'!$B$15:$AB$115,14,FALSE)</f>
        <v>100</v>
      </c>
      <c r="Q35" s="67">
        <f>'114+840'!R36</f>
        <v>0</v>
      </c>
      <c r="R35" s="66">
        <f t="shared" si="7"/>
        <v>0</v>
      </c>
      <c r="S35" s="71">
        <f>VLOOKUP(B35,'114+840'!$B$14:$AB$115,22,FALSE)</f>
        <v>-138</v>
      </c>
      <c r="T35" s="70">
        <f>VLOOKUP(B35,'114+840'!$B$15:$AB$115,6,FALSE)</f>
        <v>849</v>
      </c>
      <c r="U35" s="69">
        <f t="shared" si="3"/>
        <v>1572</v>
      </c>
      <c r="V35" s="68">
        <f>VLOOKUP(B35,'114+840'!$B$15:$AB$115,15,FALSE)</f>
        <v>-428</v>
      </c>
      <c r="W35" s="67">
        <f>'114+840'!S36</f>
        <v>3</v>
      </c>
      <c r="X35" s="66">
        <f t="shared" si="8"/>
        <v>38</v>
      </c>
      <c r="Y35" s="65">
        <f t="shared" si="9"/>
        <v>-3</v>
      </c>
      <c r="Z35" s="64">
        <f t="shared" si="10"/>
        <v>0</v>
      </c>
      <c r="AA35" s="63">
        <f t="shared" si="11"/>
        <v>0.28199999999999997</v>
      </c>
      <c r="AB35" s="63">
        <f t="shared" si="12"/>
        <v>0</v>
      </c>
      <c r="AC35" s="94"/>
      <c r="AD35" s="94"/>
      <c r="AE35" s="93"/>
    </row>
    <row r="36" spans="1:31" s="92" customFormat="1" ht="15" customHeight="1">
      <c r="A36" s="85"/>
      <c r="B36" s="104">
        <f>'114+840'!B37</f>
        <v>45293</v>
      </c>
      <c r="C36" s="75">
        <f t="shared" si="4"/>
        <v>1</v>
      </c>
      <c r="D36" s="74">
        <f t="shared" si="5"/>
        <v>842</v>
      </c>
      <c r="E36" s="73">
        <f>VLOOKUP(B36,'114+840'!B37:AB138,3,FALSE)</f>
        <v>1577</v>
      </c>
      <c r="F36" s="70">
        <f t="shared" si="0"/>
        <v>2419</v>
      </c>
      <c r="G36" s="72">
        <f>VLOOKUP(B36,'114+840'!$B$15:$AB$115,20,FALSE)</f>
        <v>192</v>
      </c>
      <c r="H36" s="72">
        <f>VLOOKUP(B36,'114+840'!$B$15:$AB$115,4,FALSE)</f>
        <v>507</v>
      </c>
      <c r="I36" s="69">
        <f t="shared" si="1"/>
        <v>1912</v>
      </c>
      <c r="J36" s="69">
        <f>VLOOKUP(B36,'114+840'!$B$15:$AB$115,13,FALSE)</f>
        <v>-88</v>
      </c>
      <c r="K36" s="67">
        <f>'114+840'!Q37</f>
        <v>8</v>
      </c>
      <c r="L36" s="66">
        <f t="shared" si="6"/>
        <v>8</v>
      </c>
      <c r="M36" s="71">
        <f>VLOOKUP(B36,'114+840'!$B$14:$AB$115,21,FALSE)</f>
        <v>192</v>
      </c>
      <c r="N36" s="70">
        <f>VLOOKUP(B36,'114+840'!$B$15:$AB$115,5,FALSE)</f>
        <v>327</v>
      </c>
      <c r="O36" s="69">
        <f t="shared" si="2"/>
        <v>2092</v>
      </c>
      <c r="P36" s="69">
        <f>VLOOKUP(B36,'114+840'!$B$15:$AB$115,14,FALSE)</f>
        <v>92</v>
      </c>
      <c r="Q36" s="67">
        <f>'114+840'!R37</f>
        <v>8</v>
      </c>
      <c r="R36" s="66">
        <f t="shared" si="7"/>
        <v>8</v>
      </c>
      <c r="S36" s="71">
        <f>VLOOKUP(B36,'114+840'!$B$14:$AB$115,22,FALSE)</f>
        <v>155</v>
      </c>
      <c r="T36" s="70">
        <f>VLOOKUP(B36,'114+840'!$B$15:$AB$115,6,FALSE)</f>
        <v>854</v>
      </c>
      <c r="U36" s="69">
        <f t="shared" si="3"/>
        <v>1565</v>
      </c>
      <c r="V36" s="68">
        <f>VLOOKUP(B36,'114+840'!$B$15:$AB$115,15,FALSE)</f>
        <v>-435</v>
      </c>
      <c r="W36" s="67">
        <f>'114+840'!S37</f>
        <v>7</v>
      </c>
      <c r="X36" s="66">
        <f t="shared" si="8"/>
        <v>45</v>
      </c>
      <c r="Y36" s="65">
        <f t="shared" si="9"/>
        <v>293</v>
      </c>
      <c r="Z36" s="64">
        <f t="shared" si="10"/>
        <v>0.29299999999999998</v>
      </c>
      <c r="AA36" s="63">
        <f t="shared" si="11"/>
        <v>0.57499999999999996</v>
      </c>
      <c r="AB36" s="63">
        <f t="shared" si="12"/>
        <v>8.4000000000000005E-2</v>
      </c>
      <c r="AC36" s="94"/>
      <c r="AD36" s="94"/>
      <c r="AE36" s="93"/>
    </row>
    <row r="37" spans="1:31" s="92" customFormat="1" ht="15" customHeight="1">
      <c r="A37" s="85"/>
      <c r="B37" s="104">
        <f>'114+840'!B38</f>
        <v>45294</v>
      </c>
      <c r="C37" s="75">
        <f t="shared" si="4"/>
        <v>1</v>
      </c>
      <c r="D37" s="74">
        <f t="shared" si="5"/>
        <v>842</v>
      </c>
      <c r="E37" s="73">
        <f>VLOOKUP(B37,'114+840'!B38:AB139,3,FALSE)</f>
        <v>1575</v>
      </c>
      <c r="F37" s="70">
        <f t="shared" si="0"/>
        <v>2417</v>
      </c>
      <c r="G37" s="72">
        <f>VLOOKUP(B37,'114+840'!$B$15:$AB$115,20,FALSE)</f>
        <v>189</v>
      </c>
      <c r="H37" s="72">
        <f>VLOOKUP(B37,'114+840'!$B$15:$AB$115,4,FALSE)</f>
        <v>508</v>
      </c>
      <c r="I37" s="69">
        <f t="shared" si="1"/>
        <v>1909</v>
      </c>
      <c r="J37" s="69">
        <f>VLOOKUP(B37,'114+840'!$B$15:$AB$115,13,FALSE)</f>
        <v>-91</v>
      </c>
      <c r="K37" s="67">
        <f>'114+840'!Q38</f>
        <v>3</v>
      </c>
      <c r="L37" s="66">
        <f t="shared" si="6"/>
        <v>11</v>
      </c>
      <c r="M37" s="71">
        <f>VLOOKUP(B37,'114+840'!$B$14:$AB$115,21,FALSE)</f>
        <v>186</v>
      </c>
      <c r="N37" s="70">
        <f>VLOOKUP(B37,'114+840'!$B$15:$AB$115,5,FALSE)</f>
        <v>331</v>
      </c>
      <c r="O37" s="69">
        <f t="shared" si="2"/>
        <v>2086</v>
      </c>
      <c r="P37" s="69">
        <f>VLOOKUP(B37,'114+840'!$B$15:$AB$115,14,FALSE)</f>
        <v>86</v>
      </c>
      <c r="Q37" s="67">
        <f>'114+840'!R38</f>
        <v>6</v>
      </c>
      <c r="R37" s="66">
        <f t="shared" si="7"/>
        <v>14</v>
      </c>
      <c r="S37" s="71">
        <f>VLOOKUP(B37,'114+840'!$B$14:$AB$115,22,FALSE)</f>
        <v>152</v>
      </c>
      <c r="T37" s="70">
        <f>VLOOKUP(B37,'114+840'!$B$15:$AB$115,6,FALSE)</f>
        <v>855</v>
      </c>
      <c r="U37" s="69">
        <f t="shared" si="3"/>
        <v>1562</v>
      </c>
      <c r="V37" s="68">
        <f>VLOOKUP(B37,'114+840'!$B$15:$AB$115,15,FALSE)</f>
        <v>-438</v>
      </c>
      <c r="W37" s="67">
        <f>'114+840'!S38</f>
        <v>3</v>
      </c>
      <c r="X37" s="66">
        <f t="shared" si="8"/>
        <v>48</v>
      </c>
      <c r="Y37" s="65">
        <f t="shared" si="9"/>
        <v>-3</v>
      </c>
      <c r="Z37" s="64">
        <f t="shared" si="10"/>
        <v>0</v>
      </c>
      <c r="AA37" s="63">
        <f t="shared" si="11"/>
        <v>0.57499999999999996</v>
      </c>
      <c r="AB37" s="63">
        <f t="shared" si="12"/>
        <v>7.1999999999999995E-2</v>
      </c>
      <c r="AC37" s="94"/>
      <c r="AD37" s="94"/>
      <c r="AE37" s="93"/>
    </row>
    <row r="38" spans="1:31" s="83" customFormat="1" ht="15" customHeight="1">
      <c r="A38" s="85"/>
      <c r="B38" s="104">
        <f>'114+840'!B39</f>
        <v>45295</v>
      </c>
      <c r="C38" s="75">
        <f t="shared" si="4"/>
        <v>1</v>
      </c>
      <c r="D38" s="74">
        <f t="shared" si="5"/>
        <v>842</v>
      </c>
      <c r="E38" s="73">
        <f>VLOOKUP(B38,'114+840'!B39:AB140,3,FALSE)</f>
        <v>1573</v>
      </c>
      <c r="F38" s="70">
        <f t="shared" si="0"/>
        <v>2415</v>
      </c>
      <c r="G38" s="72">
        <f>VLOOKUP(B38,'114+840'!$B$15:$AB$115,20,FALSE)</f>
        <v>185</v>
      </c>
      <c r="H38" s="72">
        <f>VLOOKUP(B38,'114+840'!$B$15:$AB$115,4,FALSE)</f>
        <v>510</v>
      </c>
      <c r="I38" s="69">
        <f t="shared" si="1"/>
        <v>1905</v>
      </c>
      <c r="J38" s="69">
        <f>VLOOKUP(B38,'114+840'!$B$15:$AB$115,13,FALSE)</f>
        <v>-95</v>
      </c>
      <c r="K38" s="67">
        <f>'114+840'!Q39</f>
        <v>4</v>
      </c>
      <c r="L38" s="66">
        <f t="shared" si="6"/>
        <v>15</v>
      </c>
      <c r="M38" s="71">
        <f>VLOOKUP(B38,'114+840'!$B$14:$AB$115,21,FALSE)</f>
        <v>180</v>
      </c>
      <c r="N38" s="70">
        <f>VLOOKUP(B38,'114+840'!$B$15:$AB$115,5,FALSE)</f>
        <v>335</v>
      </c>
      <c r="O38" s="69">
        <f t="shared" si="2"/>
        <v>2080</v>
      </c>
      <c r="P38" s="69">
        <f>VLOOKUP(B38,'114+840'!$B$15:$AB$115,14,FALSE)</f>
        <v>80</v>
      </c>
      <c r="Q38" s="67">
        <f>'114+840'!R39</f>
        <v>6</v>
      </c>
      <c r="R38" s="66">
        <f t="shared" si="7"/>
        <v>20</v>
      </c>
      <c r="S38" s="71">
        <f>VLOOKUP(B38,'114+840'!$B$14:$AB$115,22,FALSE)</f>
        <v>148</v>
      </c>
      <c r="T38" s="70">
        <f>VLOOKUP(B38,'114+840'!$B$15:$AB$115,6,FALSE)</f>
        <v>857</v>
      </c>
      <c r="U38" s="69">
        <f t="shared" si="3"/>
        <v>1558</v>
      </c>
      <c r="V38" s="68">
        <f>VLOOKUP(B38,'114+840'!$B$15:$AB$115,15,FALSE)</f>
        <v>-442</v>
      </c>
      <c r="W38" s="67">
        <f>'114+840'!S39</f>
        <v>4</v>
      </c>
      <c r="X38" s="66">
        <f t="shared" si="8"/>
        <v>52</v>
      </c>
      <c r="Y38" s="65">
        <f t="shared" si="9"/>
        <v>-4</v>
      </c>
      <c r="Z38" s="64">
        <f t="shared" si="10"/>
        <v>0</v>
      </c>
      <c r="AA38" s="63">
        <f t="shared" si="11"/>
        <v>0.57499999999999996</v>
      </c>
      <c r="AB38" s="63">
        <f t="shared" si="12"/>
        <v>0.06</v>
      </c>
      <c r="AC38" s="52"/>
      <c r="AD38" s="52"/>
      <c r="AE38" s="84"/>
    </row>
    <row r="39" spans="1:31" s="83" customFormat="1" ht="15" customHeight="1">
      <c r="A39" s="85"/>
      <c r="B39" s="104">
        <f>'114+840'!B40</f>
        <v>45296</v>
      </c>
      <c r="C39" s="75">
        <f t="shared" si="4"/>
        <v>1</v>
      </c>
      <c r="D39" s="74">
        <f t="shared" si="5"/>
        <v>842</v>
      </c>
      <c r="E39" s="73">
        <f>VLOOKUP(B39,'114+840'!B40:AB141,3,FALSE)</f>
        <v>1571</v>
      </c>
      <c r="F39" s="70">
        <f t="shared" si="0"/>
        <v>2413</v>
      </c>
      <c r="G39" s="72">
        <f>VLOOKUP(B39,'114+840'!$B$15:$AB$115,20,FALSE)</f>
        <v>183</v>
      </c>
      <c r="H39" s="72">
        <f>VLOOKUP(B39,'114+840'!$B$15:$AB$115,4,FALSE)</f>
        <v>510</v>
      </c>
      <c r="I39" s="69">
        <f t="shared" si="1"/>
        <v>1903</v>
      </c>
      <c r="J39" s="69">
        <f>VLOOKUP(B39,'114+840'!$B$15:$AB$115,13,FALSE)</f>
        <v>-97</v>
      </c>
      <c r="K39" s="67">
        <f>'114+840'!Q40</f>
        <v>2</v>
      </c>
      <c r="L39" s="66">
        <f t="shared" si="6"/>
        <v>17</v>
      </c>
      <c r="M39" s="71">
        <f>VLOOKUP(B39,'114+840'!$B$14:$AB$115,21,FALSE)</f>
        <v>174</v>
      </c>
      <c r="N39" s="70">
        <f>VLOOKUP(B39,'114+840'!$B$15:$AB$115,5,FALSE)</f>
        <v>339</v>
      </c>
      <c r="O39" s="69">
        <f t="shared" si="2"/>
        <v>2074</v>
      </c>
      <c r="P39" s="69">
        <f>VLOOKUP(B39,'114+840'!$B$15:$AB$115,14,FALSE)</f>
        <v>74</v>
      </c>
      <c r="Q39" s="67">
        <f>'114+840'!R40</f>
        <v>6</v>
      </c>
      <c r="R39" s="66">
        <f t="shared" si="7"/>
        <v>26</v>
      </c>
      <c r="S39" s="71">
        <f>VLOOKUP(B39,'114+840'!$B$14:$AB$115,22,FALSE)</f>
        <v>143</v>
      </c>
      <c r="T39" s="70">
        <f>VLOOKUP(B39,'114+840'!$B$15:$AB$115,6,FALSE)</f>
        <v>860</v>
      </c>
      <c r="U39" s="69">
        <f t="shared" si="3"/>
        <v>1553</v>
      </c>
      <c r="V39" s="68">
        <f>VLOOKUP(B39,'114+840'!$B$15:$AB$115,15,FALSE)</f>
        <v>-447</v>
      </c>
      <c r="W39" s="67">
        <f>'114+840'!S40</f>
        <v>5</v>
      </c>
      <c r="X39" s="66">
        <f t="shared" si="8"/>
        <v>57</v>
      </c>
      <c r="Y39" s="65">
        <f t="shared" si="9"/>
        <v>-5</v>
      </c>
      <c r="Z39" s="64">
        <f t="shared" si="10"/>
        <v>0</v>
      </c>
      <c r="AA39" s="63">
        <f t="shared" si="11"/>
        <v>0.57499999999999996</v>
      </c>
      <c r="AB39" s="63">
        <f t="shared" si="12"/>
        <v>4.8000000000000001E-2</v>
      </c>
      <c r="AC39" s="52"/>
      <c r="AD39" s="52"/>
      <c r="AE39" s="84"/>
    </row>
    <row r="40" spans="1:31" s="83" customFormat="1" ht="15" customHeight="1">
      <c r="A40" s="85"/>
      <c r="B40" s="104">
        <f>'114+840'!B41</f>
        <v>45297</v>
      </c>
      <c r="C40" s="75">
        <f t="shared" si="4"/>
        <v>1</v>
      </c>
      <c r="D40" s="74">
        <f t="shared" si="5"/>
        <v>842</v>
      </c>
      <c r="E40" s="73">
        <f>VLOOKUP(B40,'114+840'!B41:AB142,3,FALSE)</f>
        <v>1569</v>
      </c>
      <c r="F40" s="70">
        <f t="shared" si="0"/>
        <v>2411</v>
      </c>
      <c r="G40" s="72">
        <f>VLOOKUP(B40,'114+840'!$B$15:$AB$115,20,FALSE)</f>
        <v>175</v>
      </c>
      <c r="H40" s="72">
        <f>VLOOKUP(B40,'114+840'!$B$15:$AB$115,4,FALSE)</f>
        <v>516</v>
      </c>
      <c r="I40" s="69">
        <f t="shared" si="1"/>
        <v>1895</v>
      </c>
      <c r="J40" s="69">
        <f>VLOOKUP(B40,'114+840'!$B$15:$AB$115,13,FALSE)</f>
        <v>-105</v>
      </c>
      <c r="K40" s="67">
        <f>'114+840'!Q41</f>
        <v>8</v>
      </c>
      <c r="L40" s="66">
        <f t="shared" si="6"/>
        <v>25</v>
      </c>
      <c r="M40" s="71">
        <f>VLOOKUP(B40,'114+840'!$B$14:$AB$115,21,FALSE)</f>
        <v>165</v>
      </c>
      <c r="N40" s="70">
        <f>VLOOKUP(B40,'114+840'!$B$15:$AB$115,5,FALSE)</f>
        <v>346</v>
      </c>
      <c r="O40" s="69">
        <f t="shared" si="2"/>
        <v>2065</v>
      </c>
      <c r="P40" s="69">
        <f>VLOOKUP(B40,'114+840'!$B$15:$AB$115,14,FALSE)</f>
        <v>65</v>
      </c>
      <c r="Q40" s="67">
        <f>'114+840'!R41</f>
        <v>9</v>
      </c>
      <c r="R40" s="66">
        <f t="shared" si="7"/>
        <v>35</v>
      </c>
      <c r="S40" s="71">
        <f>VLOOKUP(B40,'114+840'!$B$14:$AB$115,22,FALSE)</f>
        <v>134</v>
      </c>
      <c r="T40" s="70">
        <f>VLOOKUP(B40,'114+840'!$B$15:$AB$115,6,FALSE)</f>
        <v>867</v>
      </c>
      <c r="U40" s="69">
        <f t="shared" si="3"/>
        <v>1544</v>
      </c>
      <c r="V40" s="68">
        <f>VLOOKUP(B40,'114+840'!$B$15:$AB$115,15,FALSE)</f>
        <v>-456</v>
      </c>
      <c r="W40" s="67">
        <f>'114+840'!S41</f>
        <v>9</v>
      </c>
      <c r="X40" s="66">
        <f t="shared" si="8"/>
        <v>66</v>
      </c>
      <c r="Y40" s="65">
        <f t="shared" si="9"/>
        <v>-9</v>
      </c>
      <c r="Z40" s="64">
        <f t="shared" si="10"/>
        <v>0</v>
      </c>
      <c r="AA40" s="63">
        <f t="shared" si="11"/>
        <v>0.57499999999999996</v>
      </c>
      <c r="AB40" s="63">
        <f t="shared" si="12"/>
        <v>0.03</v>
      </c>
      <c r="AC40" s="52"/>
      <c r="AD40" s="52"/>
      <c r="AE40" s="84"/>
    </row>
    <row r="41" spans="1:31" s="83" customFormat="1" ht="15" customHeight="1">
      <c r="A41" s="85"/>
      <c r="B41" s="104">
        <f>'114+840'!B42</f>
        <v>45298</v>
      </c>
      <c r="C41" s="75">
        <f t="shared" si="4"/>
        <v>1</v>
      </c>
      <c r="D41" s="74">
        <f t="shared" si="5"/>
        <v>842</v>
      </c>
      <c r="E41" s="73">
        <f>VLOOKUP(B41,'114+840'!B42:AB143,3,FALSE)</f>
        <v>1567</v>
      </c>
      <c r="F41" s="70">
        <f t="shared" si="0"/>
        <v>2409</v>
      </c>
      <c r="G41" s="72">
        <f>VLOOKUP(B41,'114+840'!$B$15:$AB$115,20,FALSE)</f>
        <v>172</v>
      </c>
      <c r="H41" s="72">
        <f>VLOOKUP(B41,'114+840'!$B$15:$AB$115,4,FALSE)</f>
        <v>517</v>
      </c>
      <c r="I41" s="69">
        <f t="shared" si="1"/>
        <v>1892</v>
      </c>
      <c r="J41" s="69">
        <f>VLOOKUP(B41,'114+840'!$B$15:$AB$115,13,FALSE)</f>
        <v>-108</v>
      </c>
      <c r="K41" s="67">
        <f>'114+840'!Q42</f>
        <v>3</v>
      </c>
      <c r="L41" s="66">
        <f t="shared" si="6"/>
        <v>28</v>
      </c>
      <c r="M41" s="71">
        <f>VLOOKUP(B41,'114+840'!$B$14:$AB$115,21,FALSE)</f>
        <v>162</v>
      </c>
      <c r="N41" s="70">
        <f>VLOOKUP(B41,'114+840'!$B$15:$AB$115,5,FALSE)</f>
        <v>347</v>
      </c>
      <c r="O41" s="69">
        <f t="shared" si="2"/>
        <v>2062</v>
      </c>
      <c r="P41" s="69">
        <f>VLOOKUP(B41,'114+840'!$B$15:$AB$115,14,FALSE)</f>
        <v>62</v>
      </c>
      <c r="Q41" s="67">
        <f>'114+840'!R42</f>
        <v>3</v>
      </c>
      <c r="R41" s="66">
        <f t="shared" si="7"/>
        <v>38</v>
      </c>
      <c r="S41" s="71">
        <f>VLOOKUP(B41,'114+840'!$B$14:$AB$115,22,FALSE)</f>
        <v>130</v>
      </c>
      <c r="T41" s="70">
        <f>VLOOKUP(B41,'114+840'!$B$15:$AB$115,6,FALSE)</f>
        <v>869</v>
      </c>
      <c r="U41" s="69">
        <f t="shared" si="3"/>
        <v>1540</v>
      </c>
      <c r="V41" s="68">
        <f>VLOOKUP(B41,'114+840'!$B$15:$AB$115,15,FALSE)</f>
        <v>-460</v>
      </c>
      <c r="W41" s="67">
        <f>'114+840'!S42</f>
        <v>4</v>
      </c>
      <c r="X41" s="66">
        <f t="shared" si="8"/>
        <v>70</v>
      </c>
      <c r="Y41" s="65">
        <f t="shared" si="9"/>
        <v>-4</v>
      </c>
      <c r="Z41" s="64">
        <f t="shared" si="10"/>
        <v>0</v>
      </c>
      <c r="AA41" s="63">
        <f t="shared" si="11"/>
        <v>0.57499999999999996</v>
      </c>
      <c r="AB41" s="63">
        <f t="shared" si="12"/>
        <v>2.4E-2</v>
      </c>
      <c r="AC41" s="52"/>
      <c r="AD41" s="52"/>
      <c r="AE41" s="84"/>
    </row>
    <row r="42" spans="1:31" s="83" customFormat="1" ht="15" customHeight="1">
      <c r="A42" s="85"/>
      <c r="B42" s="104">
        <f>'114+840'!B43</f>
        <v>45299</v>
      </c>
      <c r="C42" s="75">
        <f t="shared" si="4"/>
        <v>1</v>
      </c>
      <c r="D42" s="74">
        <f t="shared" si="5"/>
        <v>842</v>
      </c>
      <c r="E42" s="73">
        <f>VLOOKUP(B42,'114+840'!B43:AB144,3,FALSE)</f>
        <v>1565</v>
      </c>
      <c r="F42" s="70">
        <f t="shared" si="0"/>
        <v>2407</v>
      </c>
      <c r="G42" s="72">
        <f>VLOOKUP(B42,'114+840'!$B$15:$AB$115,20,FALSE)</f>
        <v>464</v>
      </c>
      <c r="H42" s="72">
        <f>VLOOKUP(B42,'114+840'!$B$15:$AB$115,4,FALSE)</f>
        <v>523</v>
      </c>
      <c r="I42" s="69">
        <f t="shared" si="1"/>
        <v>1884</v>
      </c>
      <c r="J42" s="69">
        <f>VLOOKUP(B42,'114+840'!$B$15:$AB$115,13,FALSE)</f>
        <v>-116</v>
      </c>
      <c r="K42" s="67">
        <f>'114+840'!Q43</f>
        <v>8</v>
      </c>
      <c r="L42" s="66">
        <f t="shared" si="6"/>
        <v>36</v>
      </c>
      <c r="M42" s="71">
        <f>VLOOKUP(B42,'114+840'!$B$14:$AB$115,21,FALSE)</f>
        <v>453</v>
      </c>
      <c r="N42" s="70">
        <f>VLOOKUP(B42,'114+840'!$B$15:$AB$115,5,FALSE)</f>
        <v>354</v>
      </c>
      <c r="O42" s="69">
        <f t="shared" si="2"/>
        <v>2053</v>
      </c>
      <c r="P42" s="69">
        <f>VLOOKUP(B42,'114+840'!$B$15:$AB$115,14,FALSE)</f>
        <v>53</v>
      </c>
      <c r="Q42" s="67">
        <f>'114+840'!R43</f>
        <v>9</v>
      </c>
      <c r="R42" s="66">
        <f t="shared" si="7"/>
        <v>47</v>
      </c>
      <c r="S42" s="71">
        <f>VLOOKUP(B42,'114+840'!$B$14:$AB$115,22,FALSE)</f>
        <v>421</v>
      </c>
      <c r="T42" s="70">
        <f>VLOOKUP(B42,'114+840'!$B$15:$AB$115,6,FALSE)</f>
        <v>876</v>
      </c>
      <c r="U42" s="69">
        <f t="shared" si="3"/>
        <v>1531</v>
      </c>
      <c r="V42" s="68">
        <f>VLOOKUP(B42,'114+840'!$B$15:$AB$115,15,FALSE)</f>
        <v>-469</v>
      </c>
      <c r="W42" s="67">
        <f>'114+840'!S43</f>
        <v>9</v>
      </c>
      <c r="X42" s="66">
        <f t="shared" si="8"/>
        <v>79</v>
      </c>
      <c r="Y42" s="65">
        <f t="shared" si="9"/>
        <v>291</v>
      </c>
      <c r="Z42" s="64">
        <f t="shared" si="10"/>
        <v>0.29099999999999998</v>
      </c>
      <c r="AA42" s="63">
        <f t="shared" si="11"/>
        <v>0.86599999999999988</v>
      </c>
      <c r="AB42" s="63">
        <f t="shared" si="12"/>
        <v>0.30599999999999999</v>
      </c>
      <c r="AC42" s="52"/>
      <c r="AD42" s="52"/>
      <c r="AE42" s="84"/>
    </row>
    <row r="43" spans="1:31" s="83" customFormat="1" ht="15" customHeight="1">
      <c r="A43" s="85"/>
      <c r="B43" s="104">
        <f>'114+840'!B44</f>
        <v>45300</v>
      </c>
      <c r="C43" s="75">
        <f t="shared" si="4"/>
        <v>1</v>
      </c>
      <c r="D43" s="74">
        <f t="shared" si="5"/>
        <v>842</v>
      </c>
      <c r="E43" s="73">
        <f>VLOOKUP(B43,'114+840'!B44:AB145,3,FALSE)</f>
        <v>1563</v>
      </c>
      <c r="F43" s="70">
        <f t="shared" si="0"/>
        <v>2405</v>
      </c>
      <c r="G43" s="72">
        <f>VLOOKUP(B43,'114+840'!$B$15:$AB$115,20,FALSE)</f>
        <v>461</v>
      </c>
      <c r="H43" s="72">
        <f>VLOOKUP(B43,'114+840'!$B$15:$AB$115,4,FALSE)</f>
        <v>524</v>
      </c>
      <c r="I43" s="69">
        <f t="shared" si="1"/>
        <v>1881</v>
      </c>
      <c r="J43" s="69">
        <f>VLOOKUP(B43,'114+840'!$B$15:$AB$115,13,FALSE)</f>
        <v>-119</v>
      </c>
      <c r="K43" s="67">
        <f>'114+840'!Q44</f>
        <v>3</v>
      </c>
      <c r="L43" s="66">
        <f t="shared" si="6"/>
        <v>39</v>
      </c>
      <c r="M43" s="71">
        <f>VLOOKUP(B43,'114+840'!$B$14:$AB$115,21,FALSE)</f>
        <v>450</v>
      </c>
      <c r="N43" s="70">
        <f>VLOOKUP(B43,'114+840'!$B$15:$AB$115,5,FALSE)</f>
        <v>355</v>
      </c>
      <c r="O43" s="69">
        <f t="shared" si="2"/>
        <v>2050</v>
      </c>
      <c r="P43" s="69">
        <f>VLOOKUP(B43,'114+840'!$B$15:$AB$115,14,FALSE)</f>
        <v>50</v>
      </c>
      <c r="Q43" s="67">
        <f>'114+840'!R44</f>
        <v>3</v>
      </c>
      <c r="R43" s="66">
        <f t="shared" si="7"/>
        <v>50</v>
      </c>
      <c r="S43" s="71">
        <f>VLOOKUP(B43,'114+840'!$B$14:$AB$115,22,FALSE)</f>
        <v>417</v>
      </c>
      <c r="T43" s="70">
        <f>VLOOKUP(B43,'114+840'!$B$15:$AB$115,6,FALSE)</f>
        <v>878</v>
      </c>
      <c r="U43" s="69">
        <f t="shared" si="3"/>
        <v>1527</v>
      </c>
      <c r="V43" s="68">
        <f>VLOOKUP(B43,'114+840'!$B$15:$AB$115,15,FALSE)</f>
        <v>-473</v>
      </c>
      <c r="W43" s="67">
        <f>'114+840'!S44</f>
        <v>4</v>
      </c>
      <c r="X43" s="66">
        <f t="shared" si="8"/>
        <v>83</v>
      </c>
      <c r="Y43" s="65">
        <f t="shared" si="9"/>
        <v>-4</v>
      </c>
      <c r="Z43" s="64">
        <f t="shared" si="10"/>
        <v>0</v>
      </c>
      <c r="AA43" s="63">
        <f t="shared" si="11"/>
        <v>0.86599999999999988</v>
      </c>
      <c r="AB43" s="63">
        <f t="shared" si="12"/>
        <v>0.3</v>
      </c>
      <c r="AC43" s="52"/>
      <c r="AD43" s="52"/>
      <c r="AE43" s="84"/>
    </row>
    <row r="44" spans="1:31" s="83" customFormat="1" ht="15" customHeight="1">
      <c r="A44" s="85"/>
      <c r="B44" s="104">
        <f>'114+840'!B45</f>
        <v>45301</v>
      </c>
      <c r="C44" s="75">
        <f t="shared" si="4"/>
        <v>1</v>
      </c>
      <c r="D44" s="74">
        <f t="shared" si="5"/>
        <v>842</v>
      </c>
      <c r="E44" s="73">
        <f>VLOOKUP(B44,'114+840'!B45:AB146,3,FALSE)</f>
        <v>1561</v>
      </c>
      <c r="F44" s="70">
        <f t="shared" si="0"/>
        <v>2403</v>
      </c>
      <c r="G44" s="72">
        <f>VLOOKUP(B44,'114+840'!$B$15:$AB$115,20,FALSE)</f>
        <v>453</v>
      </c>
      <c r="H44" s="72">
        <f>VLOOKUP(B44,'114+840'!$B$15:$AB$115,4,FALSE)</f>
        <v>530</v>
      </c>
      <c r="I44" s="69">
        <f t="shared" si="1"/>
        <v>1873</v>
      </c>
      <c r="J44" s="69">
        <f>VLOOKUP(B44,'114+840'!$B$15:$AB$115,13,FALSE)</f>
        <v>-127</v>
      </c>
      <c r="K44" s="67">
        <f>'114+840'!Q45</f>
        <v>8</v>
      </c>
      <c r="L44" s="66">
        <f t="shared" si="6"/>
        <v>47</v>
      </c>
      <c r="M44" s="71">
        <f>VLOOKUP(B44,'114+840'!$B$14:$AB$115,21,FALSE)</f>
        <v>442</v>
      </c>
      <c r="N44" s="70">
        <f>VLOOKUP(B44,'114+840'!$B$15:$AB$115,5,FALSE)</f>
        <v>361</v>
      </c>
      <c r="O44" s="69">
        <f t="shared" si="2"/>
        <v>2042</v>
      </c>
      <c r="P44" s="69">
        <f>VLOOKUP(B44,'114+840'!$B$15:$AB$115,14,FALSE)</f>
        <v>42</v>
      </c>
      <c r="Q44" s="67">
        <f>'114+840'!R45</f>
        <v>8</v>
      </c>
      <c r="R44" s="66">
        <f t="shared" si="7"/>
        <v>58</v>
      </c>
      <c r="S44" s="71">
        <f>VLOOKUP(B44,'114+840'!$B$14:$AB$115,22,FALSE)</f>
        <v>410</v>
      </c>
      <c r="T44" s="70">
        <f>VLOOKUP(B44,'114+840'!$B$15:$AB$115,6,FALSE)</f>
        <v>883</v>
      </c>
      <c r="U44" s="69">
        <f t="shared" si="3"/>
        <v>1520</v>
      </c>
      <c r="V44" s="68">
        <f>VLOOKUP(B44,'114+840'!$B$15:$AB$115,15,FALSE)</f>
        <v>-480</v>
      </c>
      <c r="W44" s="67">
        <f>'114+840'!S45</f>
        <v>7</v>
      </c>
      <c r="X44" s="66">
        <f t="shared" si="8"/>
        <v>90</v>
      </c>
      <c r="Y44" s="65">
        <f t="shared" si="9"/>
        <v>-7</v>
      </c>
      <c r="Z44" s="64">
        <f t="shared" si="10"/>
        <v>0</v>
      </c>
      <c r="AA44" s="63">
        <f t="shared" si="11"/>
        <v>0.86599999999999988</v>
      </c>
      <c r="AB44" s="63">
        <f t="shared" si="12"/>
        <v>0.28399999999999997</v>
      </c>
      <c r="AC44" s="52"/>
      <c r="AD44" s="52"/>
      <c r="AE44" s="84"/>
    </row>
    <row r="45" spans="1:31" s="86" customFormat="1" ht="15" customHeight="1">
      <c r="A45" s="85"/>
      <c r="B45" s="104">
        <f>'114+840'!B46</f>
        <v>45302</v>
      </c>
      <c r="C45" s="75">
        <f t="shared" si="4"/>
        <v>1</v>
      </c>
      <c r="D45" s="74">
        <f t="shared" si="5"/>
        <v>842</v>
      </c>
      <c r="E45" s="73">
        <f>VLOOKUP(B45,'114+840'!B46:AB147,3,FALSE)</f>
        <v>1559</v>
      </c>
      <c r="F45" s="70">
        <f t="shared" si="0"/>
        <v>2401</v>
      </c>
      <c r="G45" s="72">
        <f>VLOOKUP(B45,'114+840'!$B$15:$AB$115,20,FALSE)</f>
        <v>450</v>
      </c>
      <c r="H45" s="72">
        <f>VLOOKUP(B45,'114+840'!$B$15:$AB$115,4,FALSE)</f>
        <v>531</v>
      </c>
      <c r="I45" s="69">
        <f t="shared" si="1"/>
        <v>1870</v>
      </c>
      <c r="J45" s="69">
        <f>VLOOKUP(B45,'114+840'!$B$15:$AB$115,13,FALSE)</f>
        <v>-130</v>
      </c>
      <c r="K45" s="67">
        <f>'114+840'!Q46</f>
        <v>3</v>
      </c>
      <c r="L45" s="66">
        <f t="shared" si="6"/>
        <v>50</v>
      </c>
      <c r="M45" s="71">
        <f>VLOOKUP(B45,'114+840'!$B$14:$AB$115,21,FALSE)</f>
        <v>436</v>
      </c>
      <c r="N45" s="70">
        <f>VLOOKUP(B45,'114+840'!$B$15:$AB$115,5,FALSE)</f>
        <v>365</v>
      </c>
      <c r="O45" s="69">
        <f t="shared" si="2"/>
        <v>2036</v>
      </c>
      <c r="P45" s="69">
        <f>VLOOKUP(B45,'114+840'!$B$15:$AB$115,14,FALSE)</f>
        <v>36</v>
      </c>
      <c r="Q45" s="67">
        <f>'114+840'!R46</f>
        <v>6</v>
      </c>
      <c r="R45" s="66">
        <f t="shared" si="7"/>
        <v>64</v>
      </c>
      <c r="S45" s="71">
        <f>VLOOKUP(B45,'114+840'!$B$14:$AB$115,22,FALSE)</f>
        <v>407</v>
      </c>
      <c r="T45" s="70">
        <f>VLOOKUP(B45,'114+840'!$B$15:$AB$115,6,FALSE)</f>
        <v>884</v>
      </c>
      <c r="U45" s="69">
        <f t="shared" si="3"/>
        <v>1517</v>
      </c>
      <c r="V45" s="68">
        <f>VLOOKUP(B45,'114+840'!$B$15:$AB$115,15,FALSE)</f>
        <v>-483</v>
      </c>
      <c r="W45" s="67">
        <f>'114+840'!S46</f>
        <v>3</v>
      </c>
      <c r="X45" s="66">
        <f t="shared" si="8"/>
        <v>93</v>
      </c>
      <c r="Y45" s="65">
        <f t="shared" si="9"/>
        <v>-3</v>
      </c>
      <c r="Z45" s="64">
        <f t="shared" si="10"/>
        <v>0</v>
      </c>
      <c r="AA45" s="63">
        <f t="shared" si="11"/>
        <v>0.86599999999999988</v>
      </c>
      <c r="AB45" s="63">
        <f t="shared" si="12"/>
        <v>0.27200000000000002</v>
      </c>
      <c r="AC45" s="88"/>
      <c r="AD45" s="88"/>
      <c r="AE45" s="87"/>
    </row>
    <row r="46" spans="1:31" s="86" customFormat="1" ht="15" customHeight="1">
      <c r="A46" s="85"/>
      <c r="B46" s="104">
        <f>'114+840'!B47</f>
        <v>45303</v>
      </c>
      <c r="C46" s="75">
        <f t="shared" si="4"/>
        <v>1</v>
      </c>
      <c r="D46" s="74">
        <f t="shared" si="5"/>
        <v>842</v>
      </c>
      <c r="E46" s="73">
        <f>VLOOKUP(B46,'114+840'!B47:AB148,3,FALSE)</f>
        <v>1557</v>
      </c>
      <c r="F46" s="70">
        <f t="shared" si="0"/>
        <v>2399</v>
      </c>
      <c r="G46" s="72">
        <f>VLOOKUP(B46,'114+840'!$B$15:$AB$115,20,FALSE)</f>
        <v>446</v>
      </c>
      <c r="H46" s="72">
        <f>VLOOKUP(B46,'114+840'!$B$15:$AB$115,4,FALSE)</f>
        <v>533</v>
      </c>
      <c r="I46" s="69">
        <f t="shared" si="1"/>
        <v>1866</v>
      </c>
      <c r="J46" s="69">
        <f>VLOOKUP(B46,'114+840'!$B$15:$AB$115,13,FALSE)</f>
        <v>-134</v>
      </c>
      <c r="K46" s="67">
        <f>'114+840'!Q47</f>
        <v>4</v>
      </c>
      <c r="L46" s="66">
        <f t="shared" si="6"/>
        <v>54</v>
      </c>
      <c r="M46" s="71">
        <f>VLOOKUP(B46,'114+840'!$B$14:$AB$115,21,FALSE)</f>
        <v>429</v>
      </c>
      <c r="N46" s="70">
        <f>VLOOKUP(B46,'114+840'!$B$15:$AB$115,5,FALSE)</f>
        <v>370</v>
      </c>
      <c r="O46" s="69">
        <f t="shared" si="2"/>
        <v>2029</v>
      </c>
      <c r="P46" s="69">
        <f>VLOOKUP(B46,'114+840'!$B$15:$AB$115,14,FALSE)</f>
        <v>29</v>
      </c>
      <c r="Q46" s="67">
        <f>'114+840'!R47</f>
        <v>7</v>
      </c>
      <c r="R46" s="66">
        <f t="shared" si="7"/>
        <v>71</v>
      </c>
      <c r="S46" s="71">
        <f>VLOOKUP(B46,'114+840'!$B$14:$AB$115,22,FALSE)</f>
        <v>403</v>
      </c>
      <c r="T46" s="70">
        <f>VLOOKUP(B46,'114+840'!$B$15:$AB$115,6,FALSE)</f>
        <v>886</v>
      </c>
      <c r="U46" s="69">
        <f t="shared" si="3"/>
        <v>1513</v>
      </c>
      <c r="V46" s="68">
        <f>VLOOKUP(B46,'114+840'!$B$15:$AB$115,15,FALSE)</f>
        <v>-487</v>
      </c>
      <c r="W46" s="67">
        <f>'114+840'!S47</f>
        <v>4</v>
      </c>
      <c r="X46" s="66">
        <f t="shared" si="8"/>
        <v>97</v>
      </c>
      <c r="Y46" s="65">
        <f t="shared" si="9"/>
        <v>-4</v>
      </c>
      <c r="Z46" s="64">
        <f t="shared" si="10"/>
        <v>0</v>
      </c>
      <c r="AA46" s="63">
        <f t="shared" si="11"/>
        <v>0.86599999999999988</v>
      </c>
      <c r="AB46" s="63">
        <f t="shared" si="12"/>
        <v>0.25800000000000001</v>
      </c>
      <c r="AC46" s="88"/>
      <c r="AD46" s="88"/>
      <c r="AE46" s="87"/>
    </row>
    <row r="47" spans="1:31" s="83" customFormat="1" ht="15" customHeight="1">
      <c r="A47" s="85"/>
      <c r="B47" s="104">
        <f>'114+840'!B48</f>
        <v>45304</v>
      </c>
      <c r="C47" s="75">
        <f t="shared" si="4"/>
        <v>1</v>
      </c>
      <c r="D47" s="74">
        <f t="shared" si="5"/>
        <v>842</v>
      </c>
      <c r="E47" s="73">
        <f>VLOOKUP(B47,'114+840'!B48:AB149,3,FALSE)</f>
        <v>1555</v>
      </c>
      <c r="F47" s="70">
        <f t="shared" si="0"/>
        <v>2397</v>
      </c>
      <c r="G47" s="72">
        <f>VLOOKUP(B47,'114+840'!$B$15:$AB$115,20,FALSE)</f>
        <v>444</v>
      </c>
      <c r="H47" s="72">
        <f>VLOOKUP(B47,'114+840'!$B$15:$AB$115,4,FALSE)</f>
        <v>533</v>
      </c>
      <c r="I47" s="69">
        <f t="shared" si="1"/>
        <v>1864</v>
      </c>
      <c r="J47" s="69">
        <f>VLOOKUP(B47,'114+840'!$B$15:$AB$115,13,FALSE)</f>
        <v>-136</v>
      </c>
      <c r="K47" s="67">
        <f>'114+840'!Q48</f>
        <v>2</v>
      </c>
      <c r="L47" s="66">
        <f t="shared" si="6"/>
        <v>56</v>
      </c>
      <c r="M47" s="71">
        <f>VLOOKUP(B47,'114+840'!$B$14:$AB$115,21,FALSE)</f>
        <v>423</v>
      </c>
      <c r="N47" s="70">
        <f>VLOOKUP(B47,'114+840'!$B$15:$AB$115,5,FALSE)</f>
        <v>374</v>
      </c>
      <c r="O47" s="69">
        <f t="shared" si="2"/>
        <v>2023</v>
      </c>
      <c r="P47" s="69">
        <f>VLOOKUP(B47,'114+840'!$B$15:$AB$115,14,FALSE)</f>
        <v>23</v>
      </c>
      <c r="Q47" s="67">
        <f>'114+840'!R48</f>
        <v>6</v>
      </c>
      <c r="R47" s="66">
        <f t="shared" si="7"/>
        <v>77</v>
      </c>
      <c r="S47" s="71">
        <f>VLOOKUP(B47,'114+840'!$B$14:$AB$115,22,FALSE)</f>
        <v>398</v>
      </c>
      <c r="T47" s="70">
        <f>VLOOKUP(B47,'114+840'!$B$15:$AB$115,6,FALSE)</f>
        <v>889</v>
      </c>
      <c r="U47" s="69">
        <f t="shared" si="3"/>
        <v>1508</v>
      </c>
      <c r="V47" s="68">
        <f>VLOOKUP(B47,'114+840'!$B$15:$AB$115,15,FALSE)</f>
        <v>-492</v>
      </c>
      <c r="W47" s="67">
        <f>'114+840'!S48</f>
        <v>5</v>
      </c>
      <c r="X47" s="66">
        <f t="shared" si="8"/>
        <v>102</v>
      </c>
      <c r="Y47" s="65">
        <f t="shared" si="9"/>
        <v>-5</v>
      </c>
      <c r="Z47" s="64">
        <f t="shared" si="10"/>
        <v>0</v>
      </c>
      <c r="AA47" s="63">
        <f t="shared" si="11"/>
        <v>0.86599999999999988</v>
      </c>
      <c r="AB47" s="63">
        <f t="shared" si="12"/>
        <v>0.246</v>
      </c>
      <c r="AC47" s="52"/>
      <c r="AD47" s="52"/>
      <c r="AE47" s="84"/>
    </row>
    <row r="48" spans="1:31" s="83" customFormat="1" ht="15" customHeight="1">
      <c r="A48" s="85"/>
      <c r="B48" s="104">
        <f>'114+840'!B49</f>
        <v>45305</v>
      </c>
      <c r="C48" s="75">
        <f t="shared" si="4"/>
        <v>1</v>
      </c>
      <c r="D48" s="74">
        <f t="shared" si="5"/>
        <v>842</v>
      </c>
      <c r="E48" s="73">
        <f>VLOOKUP(B48,'114+840'!B49:AB150,3,FALSE)</f>
        <v>1553</v>
      </c>
      <c r="F48" s="70">
        <f t="shared" si="0"/>
        <v>2395</v>
      </c>
      <c r="G48" s="72">
        <f>VLOOKUP(B48,'114+840'!$B$15:$AB$115,20,FALSE)</f>
        <v>736</v>
      </c>
      <c r="H48" s="72">
        <f>VLOOKUP(B48,'114+840'!$B$15:$AB$115,4,FALSE)</f>
        <v>539</v>
      </c>
      <c r="I48" s="69">
        <f t="shared" si="1"/>
        <v>1856</v>
      </c>
      <c r="J48" s="69">
        <f>VLOOKUP(B48,'114+840'!$B$15:$AB$115,13,FALSE)</f>
        <v>-144</v>
      </c>
      <c r="K48" s="67">
        <f>'114+840'!Q49</f>
        <v>8</v>
      </c>
      <c r="L48" s="66">
        <f t="shared" si="6"/>
        <v>64</v>
      </c>
      <c r="M48" s="71">
        <f>VLOOKUP(B48,'114+840'!$B$14:$AB$115,21,FALSE)</f>
        <v>714</v>
      </c>
      <c r="N48" s="70">
        <f>VLOOKUP(B48,'114+840'!$B$15:$AB$115,5,FALSE)</f>
        <v>381</v>
      </c>
      <c r="O48" s="69">
        <f t="shared" si="2"/>
        <v>2014</v>
      </c>
      <c r="P48" s="69">
        <f>VLOOKUP(B48,'114+840'!$B$15:$AB$115,14,FALSE)</f>
        <v>14</v>
      </c>
      <c r="Q48" s="67">
        <f>'114+840'!R49</f>
        <v>9</v>
      </c>
      <c r="R48" s="66">
        <f t="shared" si="7"/>
        <v>86</v>
      </c>
      <c r="S48" s="71">
        <f>VLOOKUP(B48,'114+840'!$B$14:$AB$115,22,FALSE)</f>
        <v>689</v>
      </c>
      <c r="T48" s="70">
        <f>VLOOKUP(B48,'114+840'!$B$15:$AB$115,6,FALSE)</f>
        <v>896</v>
      </c>
      <c r="U48" s="69">
        <f t="shared" si="3"/>
        <v>1499</v>
      </c>
      <c r="V48" s="68">
        <f>VLOOKUP(B48,'114+840'!$B$15:$AB$115,15,FALSE)</f>
        <v>-501</v>
      </c>
      <c r="W48" s="67">
        <f>'114+840'!S49</f>
        <v>9</v>
      </c>
      <c r="X48" s="66">
        <f t="shared" si="8"/>
        <v>111</v>
      </c>
      <c r="Y48" s="65">
        <f t="shared" si="9"/>
        <v>291</v>
      </c>
      <c r="Z48" s="64">
        <f t="shared" si="10"/>
        <v>0.29099999999999998</v>
      </c>
      <c r="AA48" s="63">
        <f t="shared" si="11"/>
        <v>1.1569999999999998</v>
      </c>
      <c r="AB48" s="63">
        <f t="shared" si="12"/>
        <v>0.52800000000000002</v>
      </c>
      <c r="AC48" s="52"/>
      <c r="AD48" s="52"/>
      <c r="AE48" s="84"/>
    </row>
    <row r="49" spans="1:31" s="83" customFormat="1" ht="15" customHeight="1">
      <c r="A49" s="85"/>
      <c r="B49" s="104">
        <f>'114+840'!B50</f>
        <v>45306</v>
      </c>
      <c r="C49" s="75">
        <f t="shared" si="4"/>
        <v>1</v>
      </c>
      <c r="D49" s="74">
        <f t="shared" si="5"/>
        <v>842</v>
      </c>
      <c r="E49" s="73">
        <f>VLOOKUP(B49,'114+840'!B50:AB151,3,FALSE)</f>
        <v>1551</v>
      </c>
      <c r="F49" s="70">
        <f t="shared" si="0"/>
        <v>2393</v>
      </c>
      <c r="G49" s="72">
        <f>VLOOKUP(B49,'114+840'!$B$15:$AB$115,20,FALSE)</f>
        <v>733</v>
      </c>
      <c r="H49" s="72">
        <f>VLOOKUP(B49,'114+840'!$B$15:$AB$115,4,FALSE)</f>
        <v>540</v>
      </c>
      <c r="I49" s="69">
        <f t="shared" si="1"/>
        <v>1853</v>
      </c>
      <c r="J49" s="69">
        <f>VLOOKUP(B49,'114+840'!$B$15:$AB$115,13,FALSE)</f>
        <v>-147</v>
      </c>
      <c r="K49" s="67">
        <f>'114+840'!Q50</f>
        <v>3</v>
      </c>
      <c r="L49" s="66">
        <f t="shared" si="6"/>
        <v>67</v>
      </c>
      <c r="M49" s="71">
        <f>VLOOKUP(B49,'114+840'!$B$14:$AB$115,21,FALSE)</f>
        <v>711</v>
      </c>
      <c r="N49" s="70">
        <f>VLOOKUP(B49,'114+840'!$B$15:$AB$115,5,FALSE)</f>
        <v>382</v>
      </c>
      <c r="O49" s="69">
        <f t="shared" si="2"/>
        <v>2011</v>
      </c>
      <c r="P49" s="69">
        <f>VLOOKUP(B49,'114+840'!$B$15:$AB$115,14,FALSE)</f>
        <v>11</v>
      </c>
      <c r="Q49" s="67">
        <f>'114+840'!R50</f>
        <v>3</v>
      </c>
      <c r="R49" s="66">
        <f t="shared" si="7"/>
        <v>89</v>
      </c>
      <c r="S49" s="71">
        <f>VLOOKUP(B49,'114+840'!$B$14:$AB$115,22,FALSE)</f>
        <v>685</v>
      </c>
      <c r="T49" s="70">
        <f>VLOOKUP(B49,'114+840'!$B$15:$AB$115,6,FALSE)</f>
        <v>898</v>
      </c>
      <c r="U49" s="69">
        <f t="shared" si="3"/>
        <v>1495</v>
      </c>
      <c r="V49" s="68">
        <f>VLOOKUP(B49,'114+840'!$B$15:$AB$115,15,FALSE)</f>
        <v>-505</v>
      </c>
      <c r="W49" s="67">
        <f>'114+840'!S50</f>
        <v>4</v>
      </c>
      <c r="X49" s="66">
        <f t="shared" si="8"/>
        <v>115</v>
      </c>
      <c r="Y49" s="65">
        <f t="shared" si="9"/>
        <v>-4</v>
      </c>
      <c r="Z49" s="64">
        <f t="shared" si="10"/>
        <v>0</v>
      </c>
      <c r="AA49" s="63">
        <f t="shared" si="11"/>
        <v>1.1569999999999998</v>
      </c>
      <c r="AB49" s="63">
        <f t="shared" si="12"/>
        <v>0.52200000000000002</v>
      </c>
      <c r="AC49" s="52"/>
      <c r="AD49" s="52"/>
      <c r="AE49" s="84"/>
    </row>
    <row r="50" spans="1:31" s="83" customFormat="1" ht="15" customHeight="1">
      <c r="A50" s="85"/>
      <c r="B50" s="104">
        <f>'114+840'!B51</f>
        <v>45307</v>
      </c>
      <c r="C50" s="75">
        <f t="shared" si="4"/>
        <v>1</v>
      </c>
      <c r="D50" s="74">
        <f t="shared" si="5"/>
        <v>842</v>
      </c>
      <c r="E50" s="73">
        <f>VLOOKUP(B50,'114+840'!B51:AB152,3,FALSE)</f>
        <v>1549</v>
      </c>
      <c r="F50" s="70">
        <f t="shared" si="0"/>
        <v>2391</v>
      </c>
      <c r="G50" s="72">
        <f>VLOOKUP(B50,'114+840'!$B$15:$AB$115,20,FALSE)</f>
        <v>729</v>
      </c>
      <c r="H50" s="72">
        <f>VLOOKUP(B50,'114+840'!$B$15:$AB$115,4,FALSE)</f>
        <v>542</v>
      </c>
      <c r="I50" s="69">
        <f t="shared" si="1"/>
        <v>1849</v>
      </c>
      <c r="J50" s="69">
        <f>VLOOKUP(B50,'114+840'!$B$15:$AB$115,13,FALSE)</f>
        <v>-151</v>
      </c>
      <c r="K50" s="67">
        <f>'114+840'!Q51</f>
        <v>4</v>
      </c>
      <c r="L50" s="66">
        <f t="shared" si="6"/>
        <v>71</v>
      </c>
      <c r="M50" s="71">
        <f>VLOOKUP(B50,'114+840'!$B$14:$AB$115,21,FALSE)</f>
        <v>707</v>
      </c>
      <c r="N50" s="70">
        <f>VLOOKUP(B50,'114+840'!$B$15:$AB$115,5,FALSE)</f>
        <v>384</v>
      </c>
      <c r="O50" s="69">
        <f t="shared" si="2"/>
        <v>2007</v>
      </c>
      <c r="P50" s="69">
        <f>VLOOKUP(B50,'114+840'!$B$15:$AB$115,14,FALSE)</f>
        <v>7</v>
      </c>
      <c r="Q50" s="67">
        <f>'114+840'!R51</f>
        <v>4</v>
      </c>
      <c r="R50" s="66">
        <f t="shared" si="7"/>
        <v>93</v>
      </c>
      <c r="S50" s="71">
        <f>VLOOKUP(B50,'114+840'!$B$14:$AB$115,22,FALSE)</f>
        <v>682</v>
      </c>
      <c r="T50" s="70">
        <f>VLOOKUP(B50,'114+840'!$B$15:$AB$115,6,FALSE)</f>
        <v>899</v>
      </c>
      <c r="U50" s="69">
        <f t="shared" si="3"/>
        <v>1492</v>
      </c>
      <c r="V50" s="68">
        <f>VLOOKUP(B50,'114+840'!$B$15:$AB$115,15,FALSE)</f>
        <v>-508</v>
      </c>
      <c r="W50" s="67">
        <f>'114+840'!S51</f>
        <v>3</v>
      </c>
      <c r="X50" s="66">
        <f t="shared" si="8"/>
        <v>118</v>
      </c>
      <c r="Y50" s="65">
        <f t="shared" si="9"/>
        <v>-3</v>
      </c>
      <c r="Z50" s="64">
        <f t="shared" si="10"/>
        <v>0</v>
      </c>
      <c r="AA50" s="63">
        <f t="shared" si="11"/>
        <v>1.1569999999999998</v>
      </c>
      <c r="AB50" s="63">
        <f t="shared" si="12"/>
        <v>0.51400000000000001</v>
      </c>
      <c r="AC50" s="52"/>
      <c r="AD50" s="52"/>
      <c r="AE50" s="84"/>
    </row>
    <row r="51" spans="1:31" s="83" customFormat="1" ht="15" customHeight="1">
      <c r="A51" s="85"/>
      <c r="B51" s="104">
        <f>'114+840'!B52</f>
        <v>45308</v>
      </c>
      <c r="C51" s="75">
        <f t="shared" si="4"/>
        <v>1</v>
      </c>
      <c r="D51" s="74">
        <f t="shared" si="5"/>
        <v>842</v>
      </c>
      <c r="E51" s="73">
        <f>VLOOKUP(B51,'114+840'!B52:AB153,3,FALSE)</f>
        <v>1547</v>
      </c>
      <c r="F51" s="70">
        <f t="shared" si="0"/>
        <v>2389</v>
      </c>
      <c r="G51" s="72">
        <f>VLOOKUP(B51,'114+840'!$B$15:$AB$115,20,FALSE)</f>
        <v>724</v>
      </c>
      <c r="H51" s="72">
        <f>VLOOKUP(B51,'114+840'!$B$15:$AB$115,4,FALSE)</f>
        <v>545</v>
      </c>
      <c r="I51" s="69">
        <f t="shared" si="1"/>
        <v>1844</v>
      </c>
      <c r="J51" s="69">
        <f>VLOOKUP(B51,'114+840'!$B$15:$AB$115,13,FALSE)</f>
        <v>-156</v>
      </c>
      <c r="K51" s="67">
        <f>'114+840'!Q52</f>
        <v>5</v>
      </c>
      <c r="L51" s="66">
        <f t="shared" si="6"/>
        <v>76</v>
      </c>
      <c r="M51" s="71">
        <f>VLOOKUP(B51,'114+840'!$B$14:$AB$115,21,FALSE)</f>
        <v>705</v>
      </c>
      <c r="N51" s="70">
        <f>VLOOKUP(B51,'114+840'!$B$15:$AB$115,5,FALSE)</f>
        <v>384</v>
      </c>
      <c r="O51" s="69">
        <f t="shared" si="2"/>
        <v>2005</v>
      </c>
      <c r="P51" s="69">
        <f>VLOOKUP(B51,'114+840'!$B$15:$AB$115,14,FALSE)</f>
        <v>5</v>
      </c>
      <c r="Q51" s="67">
        <f>'114+840'!R52</f>
        <v>2</v>
      </c>
      <c r="R51" s="66">
        <f t="shared" si="7"/>
        <v>95</v>
      </c>
      <c r="S51" s="71">
        <f>VLOOKUP(B51,'114+840'!$B$14:$AB$115,22,FALSE)</f>
        <v>680</v>
      </c>
      <c r="T51" s="70">
        <f>VLOOKUP(B51,'114+840'!$B$15:$AB$115,6,FALSE)</f>
        <v>899</v>
      </c>
      <c r="U51" s="69">
        <f t="shared" si="3"/>
        <v>1490</v>
      </c>
      <c r="V51" s="68">
        <f>VLOOKUP(B51,'114+840'!$B$15:$AB$115,15,FALSE)</f>
        <v>-510</v>
      </c>
      <c r="W51" s="67">
        <f>'114+840'!S52</f>
        <v>2</v>
      </c>
      <c r="X51" s="66">
        <f t="shared" si="8"/>
        <v>120</v>
      </c>
      <c r="Y51" s="65">
        <f t="shared" si="9"/>
        <v>-2</v>
      </c>
      <c r="Z51" s="64">
        <f t="shared" si="10"/>
        <v>0</v>
      </c>
      <c r="AA51" s="63">
        <f t="shared" si="11"/>
        <v>1.1569999999999998</v>
      </c>
      <c r="AB51" s="63">
        <f t="shared" si="12"/>
        <v>0.51</v>
      </c>
      <c r="AC51" s="52"/>
      <c r="AD51" s="52"/>
      <c r="AE51" s="84"/>
    </row>
    <row r="52" spans="1:31" s="83" customFormat="1" ht="15" customHeight="1">
      <c r="A52" s="85"/>
      <c r="B52" s="104">
        <f>'114+840'!B53</f>
        <v>45309</v>
      </c>
      <c r="C52" s="75">
        <f t="shared" si="4"/>
        <v>1</v>
      </c>
      <c r="D52" s="74">
        <f t="shared" si="5"/>
        <v>842</v>
      </c>
      <c r="E52" s="73">
        <f>VLOOKUP(B52,'114+840'!B53:AB154,3,FALSE)</f>
        <v>1545</v>
      </c>
      <c r="F52" s="70">
        <f t="shared" si="0"/>
        <v>2387</v>
      </c>
      <c r="G52" s="72">
        <f>VLOOKUP(B52,'114+840'!$B$15:$AB$115,20,FALSE)</f>
        <v>719</v>
      </c>
      <c r="H52" s="72">
        <f>VLOOKUP(B52,'114+840'!$B$15:$AB$115,4,FALSE)</f>
        <v>548</v>
      </c>
      <c r="I52" s="69">
        <f t="shared" si="1"/>
        <v>1839</v>
      </c>
      <c r="J52" s="69">
        <f>VLOOKUP(B52,'114+840'!$B$15:$AB$115,13,FALSE)</f>
        <v>-161</v>
      </c>
      <c r="K52" s="67">
        <f>'114+840'!Q53</f>
        <v>5</v>
      </c>
      <c r="L52" s="66">
        <f t="shared" si="6"/>
        <v>81</v>
      </c>
      <c r="M52" s="71">
        <f>VLOOKUP(B52,'114+840'!$B$14:$AB$115,21,FALSE)</f>
        <v>700</v>
      </c>
      <c r="N52" s="70">
        <f>VLOOKUP(B52,'114+840'!$B$15:$AB$115,5,FALSE)</f>
        <v>387</v>
      </c>
      <c r="O52" s="69">
        <f t="shared" si="2"/>
        <v>2000</v>
      </c>
      <c r="P52" s="69">
        <f>VLOOKUP(B52,'114+840'!$B$15:$AB$115,14,FALSE)</f>
        <v>0</v>
      </c>
      <c r="Q52" s="67">
        <f>'114+840'!R53</f>
        <v>5</v>
      </c>
      <c r="R52" s="66">
        <f t="shared" si="7"/>
        <v>100</v>
      </c>
      <c r="S52" s="71">
        <f>VLOOKUP(B52,'114+840'!$B$14:$AB$115,22,FALSE)</f>
        <v>676</v>
      </c>
      <c r="T52" s="70">
        <f>VLOOKUP(B52,'114+840'!$B$15:$AB$115,6,FALSE)</f>
        <v>901</v>
      </c>
      <c r="U52" s="69">
        <f t="shared" si="3"/>
        <v>1486</v>
      </c>
      <c r="V52" s="68">
        <f>VLOOKUP(B52,'114+840'!$B$15:$AB$115,15,FALSE)</f>
        <v>-514</v>
      </c>
      <c r="W52" s="67">
        <f>'114+840'!S53</f>
        <v>4</v>
      </c>
      <c r="X52" s="66">
        <f t="shared" si="8"/>
        <v>124</v>
      </c>
      <c r="Y52" s="65">
        <f t="shared" si="9"/>
        <v>-4</v>
      </c>
      <c r="Z52" s="64">
        <f t="shared" si="10"/>
        <v>0</v>
      </c>
      <c r="AA52" s="63">
        <f t="shared" si="11"/>
        <v>1.1569999999999998</v>
      </c>
      <c r="AB52" s="63">
        <f t="shared" si="12"/>
        <v>0.5</v>
      </c>
      <c r="AC52" s="52"/>
      <c r="AD52" s="52"/>
      <c r="AE52" s="84"/>
    </row>
    <row r="53" spans="1:31" s="83" customFormat="1" ht="15" customHeight="1">
      <c r="A53" s="85"/>
      <c r="B53" s="104">
        <f>'114+840'!B54</f>
        <v>45310</v>
      </c>
      <c r="C53" s="75">
        <f t="shared" si="4"/>
        <v>1</v>
      </c>
      <c r="D53" s="74">
        <f t="shared" si="5"/>
        <v>842</v>
      </c>
      <c r="E53" s="73">
        <f>VLOOKUP(B53,'114+840'!B54:AB155,3,FALSE)</f>
        <v>1543</v>
      </c>
      <c r="F53" s="70">
        <f t="shared" si="0"/>
        <v>2385</v>
      </c>
      <c r="G53" s="72">
        <f>VLOOKUP(B53,'114+840'!$B$15:$AB$115,20,FALSE)</f>
        <v>714</v>
      </c>
      <c r="H53" s="72">
        <f>VLOOKUP(B53,'114+840'!$B$15:$AB$115,4,FALSE)</f>
        <v>551</v>
      </c>
      <c r="I53" s="69">
        <f t="shared" si="1"/>
        <v>1834</v>
      </c>
      <c r="J53" s="69">
        <f>VLOOKUP(B53,'114+840'!$B$15:$AB$115,13,FALSE)</f>
        <v>-166</v>
      </c>
      <c r="K53" s="67">
        <f>'114+840'!Q54</f>
        <v>5</v>
      </c>
      <c r="L53" s="66">
        <f t="shared" si="6"/>
        <v>86</v>
      </c>
      <c r="M53" s="71">
        <f>VLOOKUP(B53,'114+840'!$B$14:$AB$115,21,FALSE)</f>
        <v>695</v>
      </c>
      <c r="N53" s="70">
        <f>VLOOKUP(B53,'114+840'!$B$15:$AB$115,5,FALSE)</f>
        <v>390</v>
      </c>
      <c r="O53" s="69">
        <f t="shared" si="2"/>
        <v>1995</v>
      </c>
      <c r="P53" s="69">
        <f>VLOOKUP(B53,'114+840'!$B$15:$AB$115,14,FALSE)</f>
        <v>-5</v>
      </c>
      <c r="Q53" s="67">
        <f>'114+840'!R54</f>
        <v>5</v>
      </c>
      <c r="R53" s="66">
        <f t="shared" si="7"/>
        <v>105</v>
      </c>
      <c r="S53" s="71">
        <f>VLOOKUP(B53,'114+840'!$B$14:$AB$115,22,FALSE)</f>
        <v>672</v>
      </c>
      <c r="T53" s="70">
        <f>VLOOKUP(B53,'114+840'!$B$15:$AB$115,6,FALSE)</f>
        <v>903</v>
      </c>
      <c r="U53" s="69">
        <f t="shared" si="3"/>
        <v>1482</v>
      </c>
      <c r="V53" s="68">
        <f>VLOOKUP(B53,'114+840'!$B$15:$AB$115,15,FALSE)</f>
        <v>-518</v>
      </c>
      <c r="W53" s="67">
        <f>'114+840'!S54</f>
        <v>4</v>
      </c>
      <c r="X53" s="66">
        <f t="shared" si="8"/>
        <v>128</v>
      </c>
      <c r="Y53" s="65">
        <f t="shared" si="9"/>
        <v>-4</v>
      </c>
      <c r="Z53" s="64">
        <f t="shared" si="10"/>
        <v>0</v>
      </c>
      <c r="AA53" s="63">
        <f t="shared" si="11"/>
        <v>1.1569999999999998</v>
      </c>
      <c r="AB53" s="63">
        <f t="shared" si="12"/>
        <v>0.49</v>
      </c>
      <c r="AC53" s="52"/>
      <c r="AD53" s="52"/>
      <c r="AE53" s="84"/>
    </row>
    <row r="54" spans="1:31" s="95" customFormat="1" ht="15" customHeight="1">
      <c r="A54" s="85"/>
      <c r="B54" s="104">
        <f>'114+840'!B55</f>
        <v>45311</v>
      </c>
      <c r="C54" s="75">
        <f t="shared" si="4"/>
        <v>1</v>
      </c>
      <c r="D54" s="74">
        <f t="shared" si="5"/>
        <v>842</v>
      </c>
      <c r="E54" s="73">
        <f>VLOOKUP(B54,'114+840'!B55:AB156,3,FALSE)</f>
        <v>1541</v>
      </c>
      <c r="F54" s="70">
        <f t="shared" si="0"/>
        <v>2383</v>
      </c>
      <c r="G54" s="72">
        <f>VLOOKUP(B54,'114+840'!$B$15:$AB$115,20,FALSE)</f>
        <v>1006</v>
      </c>
      <c r="H54" s="72">
        <f>VLOOKUP(B54,'114+840'!$B$15:$AB$115,4,FALSE)</f>
        <v>557</v>
      </c>
      <c r="I54" s="69">
        <f t="shared" si="1"/>
        <v>1826</v>
      </c>
      <c r="J54" s="69">
        <f>VLOOKUP(B54,'114+840'!$B$15:$AB$115,13,FALSE)</f>
        <v>-174</v>
      </c>
      <c r="K54" s="67">
        <f>'114+840'!Q55</f>
        <v>8</v>
      </c>
      <c r="L54" s="66">
        <f t="shared" si="6"/>
        <v>94</v>
      </c>
      <c r="M54" s="71">
        <f>VLOOKUP(B54,'114+840'!$B$14:$AB$115,21,FALSE)</f>
        <v>987</v>
      </c>
      <c r="N54" s="70">
        <f>VLOOKUP(B54,'114+840'!$B$15:$AB$115,5,FALSE)</f>
        <v>396</v>
      </c>
      <c r="O54" s="69">
        <f t="shared" si="2"/>
        <v>1987</v>
      </c>
      <c r="P54" s="69">
        <f>VLOOKUP(B54,'114+840'!$B$15:$AB$115,14,FALSE)</f>
        <v>-13</v>
      </c>
      <c r="Q54" s="67">
        <f>'114+840'!R55</f>
        <v>8</v>
      </c>
      <c r="R54" s="66">
        <f t="shared" si="7"/>
        <v>113</v>
      </c>
      <c r="S54" s="71">
        <f>VLOOKUP(B54,'114+840'!$B$14:$AB$115,22,FALSE)</f>
        <v>964</v>
      </c>
      <c r="T54" s="70">
        <f>VLOOKUP(B54,'114+840'!$B$15:$AB$115,6,FALSE)</f>
        <v>909</v>
      </c>
      <c r="U54" s="69">
        <f t="shared" si="3"/>
        <v>1474</v>
      </c>
      <c r="V54" s="68">
        <f>VLOOKUP(B54,'114+840'!$B$15:$AB$115,15,FALSE)</f>
        <v>-526</v>
      </c>
      <c r="W54" s="67">
        <f>'114+840'!S55</f>
        <v>8</v>
      </c>
      <c r="X54" s="66">
        <f t="shared" si="8"/>
        <v>136</v>
      </c>
      <c r="Y54" s="65">
        <f t="shared" si="9"/>
        <v>292</v>
      </c>
      <c r="Z54" s="64">
        <f t="shared" si="10"/>
        <v>0.29199999999999998</v>
      </c>
      <c r="AA54" s="63">
        <f t="shared" si="11"/>
        <v>1.4489999999999998</v>
      </c>
      <c r="AB54" s="63">
        <f t="shared" si="12"/>
        <v>0.77400000000000002</v>
      </c>
      <c r="AC54" s="80"/>
      <c r="AD54" s="80"/>
      <c r="AE54" s="96"/>
    </row>
    <row r="55" spans="1:31" s="83" customFormat="1" ht="15" customHeight="1">
      <c r="A55" s="85"/>
      <c r="B55" s="104">
        <f>'114+840'!B56</f>
        <v>45312</v>
      </c>
      <c r="C55" s="75">
        <f t="shared" si="4"/>
        <v>1</v>
      </c>
      <c r="D55" s="74">
        <f t="shared" si="5"/>
        <v>842</v>
      </c>
      <c r="E55" s="73">
        <f>VLOOKUP(B55,'114+840'!B56:AB157,3,FALSE)</f>
        <v>1539</v>
      </c>
      <c r="F55" s="70">
        <f t="shared" si="0"/>
        <v>2381</v>
      </c>
      <c r="G55" s="72">
        <f>VLOOKUP(B55,'114+840'!$B$15:$AB$115,20,FALSE)</f>
        <v>1004</v>
      </c>
      <c r="H55" s="72">
        <f>VLOOKUP(B55,'114+840'!$B$15:$AB$115,4,FALSE)</f>
        <v>557</v>
      </c>
      <c r="I55" s="69">
        <f t="shared" si="1"/>
        <v>1824</v>
      </c>
      <c r="J55" s="69">
        <f>VLOOKUP(B55,'114+840'!$B$15:$AB$115,13,FALSE)</f>
        <v>-176</v>
      </c>
      <c r="K55" s="67">
        <f>'114+840'!Q56</f>
        <v>2</v>
      </c>
      <c r="L55" s="66">
        <f t="shared" si="6"/>
        <v>96</v>
      </c>
      <c r="M55" s="71">
        <f>VLOOKUP(B55,'114+840'!$B$14:$AB$115,21,FALSE)</f>
        <v>983</v>
      </c>
      <c r="N55" s="70">
        <f>VLOOKUP(B55,'114+840'!$B$15:$AB$115,5,FALSE)</f>
        <v>398</v>
      </c>
      <c r="O55" s="69">
        <f t="shared" si="2"/>
        <v>1983</v>
      </c>
      <c r="P55" s="69">
        <f>VLOOKUP(B55,'114+840'!$B$15:$AB$115,14,FALSE)</f>
        <v>-17</v>
      </c>
      <c r="Q55" s="67">
        <f>'114+840'!R56</f>
        <v>4</v>
      </c>
      <c r="R55" s="66">
        <f t="shared" si="7"/>
        <v>117</v>
      </c>
      <c r="S55" s="71">
        <f>VLOOKUP(B55,'114+840'!$B$14:$AB$115,22,FALSE)</f>
        <v>959</v>
      </c>
      <c r="T55" s="70">
        <f>VLOOKUP(B55,'114+840'!$B$15:$AB$115,6,FALSE)</f>
        <v>912</v>
      </c>
      <c r="U55" s="69">
        <f t="shared" si="3"/>
        <v>1469</v>
      </c>
      <c r="V55" s="68">
        <f>VLOOKUP(B55,'114+840'!$B$15:$AB$115,15,FALSE)</f>
        <v>-531</v>
      </c>
      <c r="W55" s="67">
        <f>'114+840'!S56</f>
        <v>5</v>
      </c>
      <c r="X55" s="66">
        <f t="shared" si="8"/>
        <v>141</v>
      </c>
      <c r="Y55" s="65">
        <f t="shared" si="9"/>
        <v>-5</v>
      </c>
      <c r="Z55" s="64">
        <f t="shared" si="10"/>
        <v>0</v>
      </c>
      <c r="AA55" s="63">
        <f t="shared" si="11"/>
        <v>1.4489999999999998</v>
      </c>
      <c r="AB55" s="63">
        <f t="shared" si="12"/>
        <v>0.76600000000000001</v>
      </c>
      <c r="AC55" s="52"/>
      <c r="AD55" s="52"/>
      <c r="AE55" s="84"/>
    </row>
    <row r="56" spans="1:31" s="83" customFormat="1" ht="15" customHeight="1">
      <c r="A56" s="85"/>
      <c r="B56" s="104">
        <f>'114+840'!B57</f>
        <v>45313</v>
      </c>
      <c r="C56" s="75">
        <f t="shared" si="4"/>
        <v>1</v>
      </c>
      <c r="D56" s="74">
        <f t="shared" si="5"/>
        <v>842</v>
      </c>
      <c r="E56" s="73">
        <f>VLOOKUP(B56,'114+840'!B57:AB158,3,FALSE)</f>
        <v>1537</v>
      </c>
      <c r="F56" s="70">
        <f t="shared" si="0"/>
        <v>2379</v>
      </c>
      <c r="G56" s="72">
        <f>VLOOKUP(B56,'114+840'!$B$15:$AB$115,20,FALSE)</f>
        <v>1000</v>
      </c>
      <c r="H56" s="72">
        <f>VLOOKUP(B56,'114+840'!$B$15:$AB$115,4,FALSE)</f>
        <v>559</v>
      </c>
      <c r="I56" s="69">
        <f t="shared" si="1"/>
        <v>1820</v>
      </c>
      <c r="J56" s="69">
        <f>VLOOKUP(B56,'114+840'!$B$15:$AB$115,13,FALSE)</f>
        <v>-180</v>
      </c>
      <c r="K56" s="67">
        <f>'114+840'!Q57</f>
        <v>4</v>
      </c>
      <c r="L56" s="66">
        <f t="shared" si="6"/>
        <v>100</v>
      </c>
      <c r="M56" s="71">
        <f>VLOOKUP(B56,'114+840'!$B$14:$AB$115,21,FALSE)</f>
        <v>976</v>
      </c>
      <c r="N56" s="70">
        <f>VLOOKUP(B56,'114+840'!$B$15:$AB$115,5,FALSE)</f>
        <v>403</v>
      </c>
      <c r="O56" s="69">
        <f t="shared" si="2"/>
        <v>1976</v>
      </c>
      <c r="P56" s="69">
        <f>VLOOKUP(B56,'114+840'!$B$15:$AB$115,14,FALSE)</f>
        <v>-24</v>
      </c>
      <c r="Q56" s="67">
        <f>'114+840'!R57</f>
        <v>7</v>
      </c>
      <c r="R56" s="66">
        <f t="shared" si="7"/>
        <v>124</v>
      </c>
      <c r="S56" s="71">
        <f>VLOOKUP(B56,'114+840'!$B$14:$AB$115,22,FALSE)</f>
        <v>955</v>
      </c>
      <c r="T56" s="70">
        <f>VLOOKUP(B56,'114+840'!$B$15:$AB$115,6,FALSE)</f>
        <v>914</v>
      </c>
      <c r="U56" s="69">
        <f t="shared" si="3"/>
        <v>1465</v>
      </c>
      <c r="V56" s="68">
        <f>VLOOKUP(B56,'114+840'!$B$15:$AB$115,15,FALSE)</f>
        <v>-535</v>
      </c>
      <c r="W56" s="67">
        <f>'114+840'!S57</f>
        <v>4</v>
      </c>
      <c r="X56" s="66">
        <f t="shared" si="8"/>
        <v>145</v>
      </c>
      <c r="Y56" s="65">
        <f t="shared" si="9"/>
        <v>-4</v>
      </c>
      <c r="Z56" s="64">
        <f t="shared" si="10"/>
        <v>0</v>
      </c>
      <c r="AA56" s="63">
        <f t="shared" si="11"/>
        <v>1.4489999999999998</v>
      </c>
      <c r="AB56" s="63">
        <f t="shared" si="12"/>
        <v>0.752</v>
      </c>
      <c r="AC56" s="52"/>
      <c r="AD56" s="52"/>
      <c r="AE56" s="84"/>
    </row>
    <row r="57" spans="1:31" s="83" customFormat="1" ht="15" customHeight="1">
      <c r="A57" s="85"/>
      <c r="B57" s="104">
        <f>'114+840'!B58</f>
        <v>45314</v>
      </c>
      <c r="C57" s="75">
        <f t="shared" si="4"/>
        <v>1</v>
      </c>
      <c r="D57" s="74">
        <f t="shared" si="5"/>
        <v>842</v>
      </c>
      <c r="E57" s="73">
        <f>VLOOKUP(B57,'114+840'!B58:AB159,3,FALSE)</f>
        <v>1535</v>
      </c>
      <c r="F57" s="70">
        <f t="shared" si="0"/>
        <v>2377</v>
      </c>
      <c r="G57" s="72">
        <f>VLOOKUP(B57,'114+840'!$B$15:$AB$115,20,FALSE)</f>
        <v>993</v>
      </c>
      <c r="H57" s="72">
        <f>VLOOKUP(B57,'114+840'!$B$15:$AB$115,4,FALSE)</f>
        <v>564</v>
      </c>
      <c r="I57" s="69">
        <f t="shared" si="1"/>
        <v>1813</v>
      </c>
      <c r="J57" s="69">
        <f>VLOOKUP(B57,'114+840'!$B$15:$AB$115,13,FALSE)</f>
        <v>-187</v>
      </c>
      <c r="K57" s="67">
        <f>'114+840'!Q58</f>
        <v>7</v>
      </c>
      <c r="L57" s="66">
        <f t="shared" si="6"/>
        <v>107</v>
      </c>
      <c r="M57" s="71">
        <f>VLOOKUP(B57,'114+840'!$B$14:$AB$115,21,FALSE)</f>
        <v>971</v>
      </c>
      <c r="N57" s="70">
        <f>VLOOKUP(B57,'114+840'!$B$15:$AB$115,5,FALSE)</f>
        <v>406</v>
      </c>
      <c r="O57" s="69">
        <f t="shared" si="2"/>
        <v>1971</v>
      </c>
      <c r="P57" s="69">
        <f>VLOOKUP(B57,'114+840'!$B$15:$AB$115,14,FALSE)</f>
        <v>-29</v>
      </c>
      <c r="Q57" s="67">
        <f>'114+840'!R58</f>
        <v>5</v>
      </c>
      <c r="R57" s="66">
        <f t="shared" si="7"/>
        <v>129</v>
      </c>
      <c r="S57" s="71">
        <f>VLOOKUP(B57,'114+840'!$B$14:$AB$115,22,FALSE)</f>
        <v>952</v>
      </c>
      <c r="T57" s="70">
        <f>VLOOKUP(B57,'114+840'!$B$15:$AB$115,6,FALSE)</f>
        <v>915</v>
      </c>
      <c r="U57" s="69">
        <f t="shared" si="3"/>
        <v>1462</v>
      </c>
      <c r="V57" s="68">
        <f>VLOOKUP(B57,'114+840'!$B$15:$AB$115,15,FALSE)</f>
        <v>-538</v>
      </c>
      <c r="W57" s="67">
        <f>'114+840'!S58</f>
        <v>3</v>
      </c>
      <c r="X57" s="66">
        <f t="shared" si="8"/>
        <v>148</v>
      </c>
      <c r="Y57" s="65">
        <f t="shared" si="9"/>
        <v>-3</v>
      </c>
      <c r="Z57" s="64">
        <f t="shared" si="10"/>
        <v>0</v>
      </c>
      <c r="AA57" s="63">
        <f t="shared" si="11"/>
        <v>1.4489999999999998</v>
      </c>
      <c r="AB57" s="63">
        <f t="shared" si="12"/>
        <v>0.74199999999999999</v>
      </c>
      <c r="AC57" s="52"/>
      <c r="AD57" s="52"/>
      <c r="AE57" s="84"/>
    </row>
    <row r="58" spans="1:31" s="83" customFormat="1" ht="15" customHeight="1">
      <c r="A58" s="85"/>
      <c r="B58" s="104">
        <f>'114+840'!B59</f>
        <v>45315</v>
      </c>
      <c r="C58" s="75">
        <f t="shared" si="4"/>
        <v>1</v>
      </c>
      <c r="D58" s="74">
        <f t="shared" si="5"/>
        <v>842</v>
      </c>
      <c r="E58" s="73">
        <f>VLOOKUP(B58,'114+840'!B59:AB160,3,FALSE)</f>
        <v>1533</v>
      </c>
      <c r="F58" s="70">
        <f t="shared" si="0"/>
        <v>2375</v>
      </c>
      <c r="G58" s="72">
        <f>VLOOKUP(B58,'114+840'!$B$15:$AB$115,20,FALSE)</f>
        <v>988</v>
      </c>
      <c r="H58" s="72">
        <f>VLOOKUP(B58,'114+840'!$B$15:$AB$115,4,FALSE)</f>
        <v>567</v>
      </c>
      <c r="I58" s="69">
        <f t="shared" si="1"/>
        <v>1808</v>
      </c>
      <c r="J58" s="69">
        <f>VLOOKUP(B58,'114+840'!$B$15:$AB$115,13,FALSE)</f>
        <v>-192</v>
      </c>
      <c r="K58" s="67">
        <f>'114+840'!Q59</f>
        <v>5</v>
      </c>
      <c r="L58" s="66">
        <f t="shared" si="6"/>
        <v>112</v>
      </c>
      <c r="M58" s="71">
        <f>VLOOKUP(B58,'114+840'!$B$14:$AB$115,21,FALSE)</f>
        <v>967</v>
      </c>
      <c r="N58" s="70">
        <f>VLOOKUP(B58,'114+840'!$B$15:$AB$115,5,FALSE)</f>
        <v>408</v>
      </c>
      <c r="O58" s="69">
        <f t="shared" si="2"/>
        <v>1967</v>
      </c>
      <c r="P58" s="69">
        <f>VLOOKUP(B58,'114+840'!$B$15:$AB$115,14,FALSE)</f>
        <v>-33</v>
      </c>
      <c r="Q58" s="67">
        <f>'114+840'!R59</f>
        <v>4</v>
      </c>
      <c r="R58" s="66">
        <f t="shared" si="7"/>
        <v>133</v>
      </c>
      <c r="S58" s="71">
        <f>VLOOKUP(B58,'114+840'!$B$14:$AB$115,22,FALSE)</f>
        <v>950</v>
      </c>
      <c r="T58" s="70">
        <f>VLOOKUP(B58,'114+840'!$B$15:$AB$115,6,FALSE)</f>
        <v>915</v>
      </c>
      <c r="U58" s="69">
        <f t="shared" si="3"/>
        <v>1460</v>
      </c>
      <c r="V58" s="68">
        <f>VLOOKUP(B58,'114+840'!$B$15:$AB$115,15,FALSE)</f>
        <v>-540</v>
      </c>
      <c r="W58" s="67">
        <f>'114+840'!S59</f>
        <v>2</v>
      </c>
      <c r="X58" s="66">
        <f t="shared" si="8"/>
        <v>150</v>
      </c>
      <c r="Y58" s="65">
        <f t="shared" si="9"/>
        <v>-2</v>
      </c>
      <c r="Z58" s="64">
        <f t="shared" si="10"/>
        <v>0</v>
      </c>
      <c r="AA58" s="63">
        <f t="shared" si="11"/>
        <v>1.4489999999999998</v>
      </c>
      <c r="AB58" s="63">
        <f t="shared" si="12"/>
        <v>0.73399999999999999</v>
      </c>
      <c r="AC58" s="52"/>
      <c r="AD58" s="52"/>
      <c r="AE58" s="84"/>
    </row>
    <row r="59" spans="1:31" s="83" customFormat="1" ht="15" customHeight="1">
      <c r="A59" s="85"/>
      <c r="B59" s="104">
        <f>'114+840'!B60</f>
        <v>45316</v>
      </c>
      <c r="C59" s="75">
        <f t="shared" si="4"/>
        <v>1</v>
      </c>
      <c r="D59" s="74">
        <f t="shared" si="5"/>
        <v>842</v>
      </c>
      <c r="E59" s="73">
        <f>VLOOKUP(B59,'114+840'!B60:AB161,3,FALSE)</f>
        <v>1531</v>
      </c>
      <c r="F59" s="70">
        <f t="shared" si="0"/>
        <v>2373</v>
      </c>
      <c r="G59" s="72">
        <f>VLOOKUP(B59,'114+840'!$B$15:$AB$115,20,FALSE)</f>
        <v>984</v>
      </c>
      <c r="H59" s="72">
        <f>VLOOKUP(B59,'114+840'!$B$15:$AB$115,4,FALSE)</f>
        <v>569</v>
      </c>
      <c r="I59" s="69">
        <f t="shared" si="1"/>
        <v>1804</v>
      </c>
      <c r="J59" s="69">
        <f>VLOOKUP(B59,'114+840'!$B$15:$AB$115,13,FALSE)</f>
        <v>-196</v>
      </c>
      <c r="K59" s="67">
        <f>'114+840'!Q60</f>
        <v>4</v>
      </c>
      <c r="L59" s="66">
        <f t="shared" si="6"/>
        <v>116</v>
      </c>
      <c r="M59" s="71">
        <f>VLOOKUP(B59,'114+840'!$B$14:$AB$115,21,FALSE)</f>
        <v>963</v>
      </c>
      <c r="N59" s="70">
        <f>VLOOKUP(B59,'114+840'!$B$15:$AB$115,5,FALSE)</f>
        <v>410</v>
      </c>
      <c r="O59" s="69">
        <f t="shared" si="2"/>
        <v>1963</v>
      </c>
      <c r="P59" s="69">
        <f>VLOOKUP(B59,'114+840'!$B$15:$AB$115,14,FALSE)</f>
        <v>-37</v>
      </c>
      <c r="Q59" s="67">
        <f>'114+840'!R60</f>
        <v>4</v>
      </c>
      <c r="R59" s="66">
        <f t="shared" si="7"/>
        <v>137</v>
      </c>
      <c r="S59" s="71">
        <f>VLOOKUP(B59,'114+840'!$B$14:$AB$115,22,FALSE)</f>
        <v>947</v>
      </c>
      <c r="T59" s="70">
        <f>VLOOKUP(B59,'114+840'!$B$15:$AB$115,6,FALSE)</f>
        <v>916</v>
      </c>
      <c r="U59" s="69">
        <f t="shared" si="3"/>
        <v>1457</v>
      </c>
      <c r="V59" s="68">
        <f>VLOOKUP(B59,'114+840'!$B$15:$AB$115,15,FALSE)</f>
        <v>-543</v>
      </c>
      <c r="W59" s="67">
        <f>'114+840'!S60</f>
        <v>3</v>
      </c>
      <c r="X59" s="66">
        <f t="shared" si="8"/>
        <v>153</v>
      </c>
      <c r="Y59" s="65">
        <f t="shared" si="9"/>
        <v>-3</v>
      </c>
      <c r="Z59" s="64">
        <f t="shared" si="10"/>
        <v>0</v>
      </c>
      <c r="AA59" s="63">
        <f t="shared" si="11"/>
        <v>1.4489999999999998</v>
      </c>
      <c r="AB59" s="63">
        <f t="shared" si="12"/>
        <v>0.72599999999999998</v>
      </c>
      <c r="AC59" s="52"/>
      <c r="AD59" s="52"/>
      <c r="AE59" s="84"/>
    </row>
    <row r="60" spans="1:31" s="83" customFormat="1" ht="15" customHeight="1">
      <c r="A60" s="85"/>
      <c r="B60" s="104">
        <f>'114+840'!B61</f>
        <v>45317</v>
      </c>
      <c r="C60" s="75">
        <f t="shared" si="4"/>
        <v>1</v>
      </c>
      <c r="D60" s="74">
        <f t="shared" si="5"/>
        <v>842</v>
      </c>
      <c r="E60" s="73">
        <f>VLOOKUP(B60,'114+840'!B61:AB162,3,FALSE)</f>
        <v>1529</v>
      </c>
      <c r="F60" s="70">
        <f t="shared" si="0"/>
        <v>2371</v>
      </c>
      <c r="G60" s="72">
        <f>VLOOKUP(B60,'114+840'!$B$15:$AB$115,20,FALSE)</f>
        <v>976</v>
      </c>
      <c r="H60" s="72">
        <f>VLOOKUP(B60,'114+840'!$B$15:$AB$115,4,FALSE)</f>
        <v>575</v>
      </c>
      <c r="I60" s="69">
        <f t="shared" si="1"/>
        <v>1796</v>
      </c>
      <c r="J60" s="69">
        <f>VLOOKUP(B60,'114+840'!$B$15:$AB$115,13,FALSE)</f>
        <v>-204</v>
      </c>
      <c r="K60" s="67">
        <f>'114+840'!Q61</f>
        <v>8</v>
      </c>
      <c r="L60" s="66">
        <f t="shared" si="6"/>
        <v>124</v>
      </c>
      <c r="M60" s="71">
        <f>VLOOKUP(B60,'114+840'!$B$14:$AB$115,21,FALSE)</f>
        <v>955</v>
      </c>
      <c r="N60" s="70">
        <f>VLOOKUP(B60,'114+840'!$B$15:$AB$115,5,FALSE)</f>
        <v>416</v>
      </c>
      <c r="O60" s="69">
        <f t="shared" si="2"/>
        <v>1955</v>
      </c>
      <c r="P60" s="69">
        <f>VLOOKUP(B60,'114+840'!$B$15:$AB$115,14,FALSE)</f>
        <v>-45</v>
      </c>
      <c r="Q60" s="67">
        <f>'114+840'!R61</f>
        <v>8</v>
      </c>
      <c r="R60" s="66">
        <f t="shared" si="7"/>
        <v>145</v>
      </c>
      <c r="S60" s="71">
        <f>VLOOKUP(B60,'114+840'!$B$14:$AB$115,22,FALSE)</f>
        <v>939</v>
      </c>
      <c r="T60" s="70">
        <f>VLOOKUP(B60,'114+840'!$B$15:$AB$115,6,FALSE)</f>
        <v>922</v>
      </c>
      <c r="U60" s="69">
        <f t="shared" si="3"/>
        <v>1449</v>
      </c>
      <c r="V60" s="68">
        <f>VLOOKUP(B60,'114+840'!$B$15:$AB$115,15,FALSE)</f>
        <v>-551</v>
      </c>
      <c r="W60" s="67">
        <f>'114+840'!S61</f>
        <v>8</v>
      </c>
      <c r="X60" s="66">
        <f t="shared" si="8"/>
        <v>161</v>
      </c>
      <c r="Y60" s="65">
        <f t="shared" si="9"/>
        <v>-8</v>
      </c>
      <c r="Z60" s="64">
        <f t="shared" si="10"/>
        <v>0</v>
      </c>
      <c r="AA60" s="63">
        <f t="shared" si="11"/>
        <v>1.4489999999999998</v>
      </c>
      <c r="AB60" s="63">
        <f t="shared" si="12"/>
        <v>0.71</v>
      </c>
      <c r="AC60" s="52"/>
      <c r="AD60" s="52"/>
      <c r="AE60" s="84"/>
    </row>
    <row r="61" spans="1:31" s="83" customFormat="1" ht="15" customHeight="1">
      <c r="A61" s="85"/>
      <c r="B61" s="104">
        <f>'114+840'!B62</f>
        <v>45318</v>
      </c>
      <c r="C61" s="75">
        <f t="shared" si="4"/>
        <v>1</v>
      </c>
      <c r="D61" s="74">
        <f t="shared" si="5"/>
        <v>842</v>
      </c>
      <c r="E61" s="73">
        <f>VLOOKUP(B61,'114+840'!B62:AB163,3,FALSE)</f>
        <v>1527</v>
      </c>
      <c r="F61" s="70">
        <f t="shared" si="0"/>
        <v>2369</v>
      </c>
      <c r="G61" s="72">
        <f>VLOOKUP(B61,'114+840'!$B$15:$AB$115,20,FALSE)</f>
        <v>974</v>
      </c>
      <c r="H61" s="72">
        <f>VLOOKUP(B61,'114+840'!$B$15:$AB$115,4,FALSE)</f>
        <v>575</v>
      </c>
      <c r="I61" s="69">
        <f t="shared" si="1"/>
        <v>1794</v>
      </c>
      <c r="J61" s="69">
        <f>VLOOKUP(B61,'114+840'!$B$15:$AB$115,13,FALSE)</f>
        <v>-206</v>
      </c>
      <c r="K61" s="67">
        <f>'114+840'!Q62</f>
        <v>2</v>
      </c>
      <c r="L61" s="66">
        <f t="shared" si="6"/>
        <v>126</v>
      </c>
      <c r="M61" s="71">
        <f>VLOOKUP(B61,'114+840'!$B$14:$AB$115,21,FALSE)</f>
        <v>951</v>
      </c>
      <c r="N61" s="70">
        <f>VLOOKUP(B61,'114+840'!$B$15:$AB$115,5,FALSE)</f>
        <v>418</v>
      </c>
      <c r="O61" s="69">
        <f t="shared" si="2"/>
        <v>1951</v>
      </c>
      <c r="P61" s="69">
        <f>VLOOKUP(B61,'114+840'!$B$15:$AB$115,14,FALSE)</f>
        <v>-49</v>
      </c>
      <c r="Q61" s="67">
        <f>'114+840'!R62</f>
        <v>4</v>
      </c>
      <c r="R61" s="66">
        <f t="shared" si="7"/>
        <v>149</v>
      </c>
      <c r="S61" s="71">
        <f>VLOOKUP(B61,'114+840'!$B$14:$AB$115,22,FALSE)</f>
        <v>934</v>
      </c>
      <c r="T61" s="70">
        <f>VLOOKUP(B61,'114+840'!$B$15:$AB$115,6,FALSE)</f>
        <v>925</v>
      </c>
      <c r="U61" s="69">
        <f t="shared" si="3"/>
        <v>1444</v>
      </c>
      <c r="V61" s="68">
        <f>VLOOKUP(B61,'114+840'!$B$15:$AB$115,15,FALSE)</f>
        <v>-556</v>
      </c>
      <c r="W61" s="67">
        <f>'114+840'!S62</f>
        <v>5</v>
      </c>
      <c r="X61" s="66">
        <f t="shared" si="8"/>
        <v>166</v>
      </c>
      <c r="Y61" s="65">
        <f t="shared" si="9"/>
        <v>-5</v>
      </c>
      <c r="Z61" s="64">
        <f t="shared" si="10"/>
        <v>0</v>
      </c>
      <c r="AA61" s="63">
        <f t="shared" si="11"/>
        <v>1.4489999999999998</v>
      </c>
      <c r="AB61" s="63">
        <f t="shared" si="12"/>
        <v>0.70199999999999996</v>
      </c>
      <c r="AC61" s="52"/>
      <c r="AD61" s="52"/>
      <c r="AE61" s="84"/>
    </row>
    <row r="62" spans="1:31" s="83" customFormat="1" ht="15" customHeight="1">
      <c r="A62" s="85"/>
      <c r="B62" s="104">
        <f>'114+840'!B63</f>
        <v>45319</v>
      </c>
      <c r="C62" s="75">
        <f t="shared" si="4"/>
        <v>1</v>
      </c>
      <c r="D62" s="74">
        <f t="shared" si="5"/>
        <v>842</v>
      </c>
      <c r="E62" s="73">
        <f>VLOOKUP(B62,'114+840'!B63:AB164,3,FALSE)</f>
        <v>1525</v>
      </c>
      <c r="F62" s="70">
        <f t="shared" si="0"/>
        <v>2367</v>
      </c>
      <c r="G62" s="72">
        <f>VLOOKUP(B62,'114+840'!$B$15:$AB$115,20,FALSE)</f>
        <v>970</v>
      </c>
      <c r="H62" s="72">
        <f>VLOOKUP(B62,'114+840'!$B$15:$AB$115,4,FALSE)</f>
        <v>577</v>
      </c>
      <c r="I62" s="69">
        <f t="shared" si="1"/>
        <v>1790</v>
      </c>
      <c r="J62" s="69">
        <f>VLOOKUP(B62,'114+840'!$B$15:$AB$115,13,FALSE)</f>
        <v>-210</v>
      </c>
      <c r="K62" s="67">
        <f>'114+840'!Q63</f>
        <v>4</v>
      </c>
      <c r="L62" s="66">
        <f t="shared" si="6"/>
        <v>130</v>
      </c>
      <c r="M62" s="71">
        <f>VLOOKUP(B62,'114+840'!$B$14:$AB$115,21,FALSE)</f>
        <v>944</v>
      </c>
      <c r="N62" s="70">
        <f>VLOOKUP(B62,'114+840'!$B$15:$AB$115,5,FALSE)</f>
        <v>423</v>
      </c>
      <c r="O62" s="69">
        <f t="shared" si="2"/>
        <v>1944</v>
      </c>
      <c r="P62" s="69">
        <f>VLOOKUP(B62,'114+840'!$B$15:$AB$115,14,FALSE)</f>
        <v>-56</v>
      </c>
      <c r="Q62" s="67">
        <f>'114+840'!R63</f>
        <v>7</v>
      </c>
      <c r="R62" s="66">
        <f t="shared" si="7"/>
        <v>156</v>
      </c>
      <c r="S62" s="71">
        <f>VLOOKUP(B62,'114+840'!$B$14:$AB$115,22,FALSE)</f>
        <v>930</v>
      </c>
      <c r="T62" s="70">
        <f>VLOOKUP(B62,'114+840'!$B$15:$AB$115,6,FALSE)</f>
        <v>927</v>
      </c>
      <c r="U62" s="69">
        <f t="shared" si="3"/>
        <v>1440</v>
      </c>
      <c r="V62" s="68">
        <f>VLOOKUP(B62,'114+840'!$B$15:$AB$115,15,FALSE)</f>
        <v>-560</v>
      </c>
      <c r="W62" s="67">
        <f>'114+840'!S63</f>
        <v>4</v>
      </c>
      <c r="X62" s="66">
        <f t="shared" si="8"/>
        <v>170</v>
      </c>
      <c r="Y62" s="65">
        <f t="shared" si="9"/>
        <v>-4</v>
      </c>
      <c r="Z62" s="64">
        <f t="shared" si="10"/>
        <v>0</v>
      </c>
      <c r="AA62" s="63">
        <f t="shared" si="11"/>
        <v>1.4489999999999998</v>
      </c>
      <c r="AB62" s="63">
        <f t="shared" si="12"/>
        <v>0.68799999999999994</v>
      </c>
      <c r="AC62" s="52"/>
      <c r="AD62" s="52"/>
      <c r="AE62" s="84"/>
    </row>
    <row r="63" spans="1:31" s="83" customFormat="1" ht="15" customHeight="1">
      <c r="A63" s="85"/>
      <c r="B63" s="104">
        <f>'114+840'!B64</f>
        <v>45320</v>
      </c>
      <c r="C63" s="75">
        <f t="shared" si="4"/>
        <v>1</v>
      </c>
      <c r="D63" s="74">
        <f t="shared" si="5"/>
        <v>842</v>
      </c>
      <c r="E63" s="73">
        <f>VLOOKUP(B63,'114+840'!B64:AB165,3,FALSE)</f>
        <v>1523</v>
      </c>
      <c r="F63" s="70">
        <f t="shared" si="0"/>
        <v>2365</v>
      </c>
      <c r="G63" s="72">
        <f>VLOOKUP(B63,'114+840'!$B$15:$AB$115,20,FALSE)</f>
        <v>963</v>
      </c>
      <c r="H63" s="72">
        <f>VLOOKUP(B63,'114+840'!$B$15:$AB$115,4,FALSE)</f>
        <v>582</v>
      </c>
      <c r="I63" s="69">
        <f t="shared" si="1"/>
        <v>1783</v>
      </c>
      <c r="J63" s="69">
        <f>VLOOKUP(B63,'114+840'!$B$15:$AB$115,13,FALSE)</f>
        <v>-217</v>
      </c>
      <c r="K63" s="67">
        <f>'114+840'!Q64</f>
        <v>7</v>
      </c>
      <c r="L63" s="66">
        <f t="shared" si="6"/>
        <v>137</v>
      </c>
      <c r="M63" s="71">
        <f>VLOOKUP(B63,'114+840'!$B$14:$AB$115,21,FALSE)</f>
        <v>939</v>
      </c>
      <c r="N63" s="70">
        <f>VLOOKUP(B63,'114+840'!$B$15:$AB$115,5,FALSE)</f>
        <v>426</v>
      </c>
      <c r="O63" s="69">
        <f t="shared" si="2"/>
        <v>1939</v>
      </c>
      <c r="P63" s="69">
        <f>VLOOKUP(B63,'114+840'!$B$15:$AB$115,14,FALSE)</f>
        <v>-61</v>
      </c>
      <c r="Q63" s="67">
        <f>'114+840'!R64</f>
        <v>5</v>
      </c>
      <c r="R63" s="66">
        <f t="shared" si="7"/>
        <v>161</v>
      </c>
      <c r="S63" s="71">
        <f>VLOOKUP(B63,'114+840'!$B$14:$AB$115,22,FALSE)</f>
        <v>927</v>
      </c>
      <c r="T63" s="70">
        <f>VLOOKUP(B63,'114+840'!$B$15:$AB$115,6,FALSE)</f>
        <v>928</v>
      </c>
      <c r="U63" s="69">
        <f t="shared" si="3"/>
        <v>1437</v>
      </c>
      <c r="V63" s="68">
        <f>VLOOKUP(B63,'114+840'!$B$15:$AB$115,15,FALSE)</f>
        <v>-563</v>
      </c>
      <c r="W63" s="67">
        <f>'114+840'!S64</f>
        <v>3</v>
      </c>
      <c r="X63" s="66">
        <f t="shared" si="8"/>
        <v>173</v>
      </c>
      <c r="Y63" s="65">
        <f t="shared" si="9"/>
        <v>-3</v>
      </c>
      <c r="Z63" s="64">
        <f t="shared" si="10"/>
        <v>0</v>
      </c>
      <c r="AA63" s="63">
        <f t="shared" si="11"/>
        <v>1.4489999999999998</v>
      </c>
      <c r="AB63" s="63">
        <f t="shared" si="12"/>
        <v>0.67800000000000005</v>
      </c>
      <c r="AC63" s="52"/>
      <c r="AD63" s="52"/>
      <c r="AE63" s="84"/>
    </row>
    <row r="64" spans="1:31" s="83" customFormat="1" ht="15" customHeight="1">
      <c r="A64" s="85"/>
      <c r="B64" s="104">
        <f>'114+840'!B65</f>
        <v>45321</v>
      </c>
      <c r="C64" s="75">
        <f t="shared" si="4"/>
        <v>1</v>
      </c>
      <c r="D64" s="74">
        <f t="shared" si="5"/>
        <v>842</v>
      </c>
      <c r="E64" s="73">
        <f>VLOOKUP(B64,'114+840'!B65:AB166,3,FALSE)</f>
        <v>1521</v>
      </c>
      <c r="F64" s="70">
        <f t="shared" si="0"/>
        <v>2363</v>
      </c>
      <c r="G64" s="72">
        <f>VLOOKUP(B64,'114+840'!$B$15:$AB$115,20,FALSE)</f>
        <v>958</v>
      </c>
      <c r="H64" s="72">
        <f>VLOOKUP(B64,'114+840'!$B$15:$AB$115,4,FALSE)</f>
        <v>585</v>
      </c>
      <c r="I64" s="69">
        <f t="shared" si="1"/>
        <v>1778</v>
      </c>
      <c r="J64" s="69">
        <f>VLOOKUP(B64,'114+840'!$B$15:$AB$115,13,FALSE)</f>
        <v>-222</v>
      </c>
      <c r="K64" s="67">
        <f>'114+840'!Q65</f>
        <v>5</v>
      </c>
      <c r="L64" s="66">
        <f t="shared" si="6"/>
        <v>142</v>
      </c>
      <c r="M64" s="71">
        <f>VLOOKUP(B64,'114+840'!$B$14:$AB$115,21,FALSE)</f>
        <v>937</v>
      </c>
      <c r="N64" s="70">
        <f>VLOOKUP(B64,'114+840'!$B$15:$AB$115,5,FALSE)</f>
        <v>426</v>
      </c>
      <c r="O64" s="69">
        <f t="shared" si="2"/>
        <v>1937</v>
      </c>
      <c r="P64" s="69">
        <f>VLOOKUP(B64,'114+840'!$B$15:$AB$115,14,FALSE)</f>
        <v>-63</v>
      </c>
      <c r="Q64" s="67">
        <f>'114+840'!R65</f>
        <v>2</v>
      </c>
      <c r="R64" s="66">
        <f t="shared" si="7"/>
        <v>163</v>
      </c>
      <c r="S64" s="71">
        <f>VLOOKUP(B64,'114+840'!$B$14:$AB$115,22,FALSE)</f>
        <v>925</v>
      </c>
      <c r="T64" s="70">
        <f>VLOOKUP(B64,'114+840'!$B$15:$AB$115,6,FALSE)</f>
        <v>928</v>
      </c>
      <c r="U64" s="69">
        <f t="shared" si="3"/>
        <v>1435</v>
      </c>
      <c r="V64" s="68">
        <f>VLOOKUP(B64,'114+840'!$B$15:$AB$115,15,FALSE)</f>
        <v>-565</v>
      </c>
      <c r="W64" s="67">
        <f>'114+840'!S65</f>
        <v>2</v>
      </c>
      <c r="X64" s="66">
        <f t="shared" si="8"/>
        <v>175</v>
      </c>
      <c r="Y64" s="65">
        <f t="shared" si="9"/>
        <v>-2</v>
      </c>
      <c r="Z64" s="64">
        <f t="shared" si="10"/>
        <v>0</v>
      </c>
      <c r="AA64" s="63">
        <f t="shared" si="11"/>
        <v>1.4489999999999998</v>
      </c>
      <c r="AB64" s="63">
        <f t="shared" si="12"/>
        <v>0.67400000000000004</v>
      </c>
      <c r="AC64" s="52"/>
      <c r="AD64" s="52"/>
      <c r="AE64" s="84"/>
    </row>
    <row r="65" spans="1:32" s="83" customFormat="1" ht="15" customHeight="1">
      <c r="A65" s="85"/>
      <c r="B65" s="104">
        <f>'114+840'!B66</f>
        <v>45322</v>
      </c>
      <c r="C65" s="75">
        <f t="shared" si="4"/>
        <v>1</v>
      </c>
      <c r="D65" s="74">
        <f t="shared" si="5"/>
        <v>842</v>
      </c>
      <c r="E65" s="73">
        <f>VLOOKUP(B65,'114+840'!B66:AB167,3,FALSE)</f>
        <v>1519</v>
      </c>
      <c r="F65" s="70">
        <f t="shared" si="0"/>
        <v>2361</v>
      </c>
      <c r="G65" s="72">
        <f>VLOOKUP(B65,'114+840'!$B$15:$AB$115,20,FALSE)</f>
        <v>956</v>
      </c>
      <c r="H65" s="72">
        <f>VLOOKUP(B65,'114+840'!$B$15:$AB$115,4,FALSE)</f>
        <v>585</v>
      </c>
      <c r="I65" s="69">
        <f t="shared" si="1"/>
        <v>1776</v>
      </c>
      <c r="J65" s="69">
        <f>VLOOKUP(B65,'114+840'!$B$15:$AB$115,13,FALSE)</f>
        <v>-224</v>
      </c>
      <c r="K65" s="67">
        <f>'114+840'!Q66</f>
        <v>2</v>
      </c>
      <c r="L65" s="66">
        <f t="shared" si="6"/>
        <v>144</v>
      </c>
      <c r="M65" s="71">
        <f>VLOOKUP(B65,'114+840'!$B$14:$AB$115,21,FALSE)</f>
        <v>933</v>
      </c>
      <c r="N65" s="70">
        <f>VLOOKUP(B65,'114+840'!$B$15:$AB$115,5,FALSE)</f>
        <v>428</v>
      </c>
      <c r="O65" s="69">
        <f t="shared" si="2"/>
        <v>1933</v>
      </c>
      <c r="P65" s="69">
        <f>VLOOKUP(B65,'114+840'!$B$15:$AB$115,14,FALSE)</f>
        <v>-67</v>
      </c>
      <c r="Q65" s="67">
        <f>'114+840'!R66</f>
        <v>4</v>
      </c>
      <c r="R65" s="66">
        <f t="shared" si="7"/>
        <v>167</v>
      </c>
      <c r="S65" s="71">
        <f>VLOOKUP(B65,'114+840'!$B$14:$AB$115,22,FALSE)</f>
        <v>924</v>
      </c>
      <c r="T65" s="70">
        <f>VLOOKUP(B65,'114+840'!$B$15:$AB$115,6,FALSE)</f>
        <v>927</v>
      </c>
      <c r="U65" s="69">
        <f t="shared" si="3"/>
        <v>1434</v>
      </c>
      <c r="V65" s="68">
        <f>VLOOKUP(B65,'114+840'!$B$15:$AB$115,15,FALSE)</f>
        <v>-566</v>
      </c>
      <c r="W65" s="67">
        <f>'114+840'!S66</f>
        <v>1</v>
      </c>
      <c r="X65" s="66">
        <f t="shared" si="8"/>
        <v>176</v>
      </c>
      <c r="Y65" s="65">
        <f t="shared" si="9"/>
        <v>-1</v>
      </c>
      <c r="Z65" s="64">
        <f t="shared" si="10"/>
        <v>0</v>
      </c>
      <c r="AA65" s="63">
        <f t="shared" si="11"/>
        <v>1.4489999999999998</v>
      </c>
      <c r="AB65" s="63">
        <f t="shared" si="12"/>
        <v>0.66600000000000004</v>
      </c>
      <c r="AC65" s="52"/>
      <c r="AD65" s="52"/>
      <c r="AE65" s="84"/>
    </row>
    <row r="66" spans="1:32" s="92" customFormat="1" ht="15" customHeight="1">
      <c r="A66" s="85"/>
      <c r="B66" s="104">
        <f>'114+840'!B67</f>
        <v>45323</v>
      </c>
      <c r="C66" s="75">
        <f t="shared" si="4"/>
        <v>1</v>
      </c>
      <c r="D66" s="74">
        <f t="shared" si="5"/>
        <v>842</v>
      </c>
      <c r="E66" s="73">
        <f>VLOOKUP(B66,'114+840'!B67:AB168,3,FALSE)</f>
        <v>1517</v>
      </c>
      <c r="F66" s="70">
        <f t="shared" si="0"/>
        <v>2359</v>
      </c>
      <c r="G66" s="72">
        <f>VLOOKUP(B66,'114+840'!$B$15:$AB$115,20,FALSE)</f>
        <v>952</v>
      </c>
      <c r="H66" s="72">
        <f>VLOOKUP(B66,'114+840'!$B$15:$AB$115,4,FALSE)</f>
        <v>587</v>
      </c>
      <c r="I66" s="69">
        <f t="shared" si="1"/>
        <v>1772</v>
      </c>
      <c r="J66" s="69">
        <f>VLOOKUP(B66,'114+840'!$B$15:$AB$115,13,FALSE)</f>
        <v>-228</v>
      </c>
      <c r="K66" s="67">
        <f>'114+840'!Q67</f>
        <v>4</v>
      </c>
      <c r="L66" s="66">
        <f t="shared" si="6"/>
        <v>148</v>
      </c>
      <c r="M66" s="71">
        <f>VLOOKUP(B66,'114+840'!$B$14:$AB$115,21,FALSE)</f>
        <v>926</v>
      </c>
      <c r="N66" s="70">
        <f>VLOOKUP(B66,'114+840'!$B$15:$AB$115,5,FALSE)</f>
        <v>433</v>
      </c>
      <c r="O66" s="69">
        <f t="shared" si="2"/>
        <v>1926</v>
      </c>
      <c r="P66" s="69">
        <f>VLOOKUP(B66,'114+840'!$B$15:$AB$115,14,FALSE)</f>
        <v>-74</v>
      </c>
      <c r="Q66" s="67">
        <f>'114+840'!R67</f>
        <v>7</v>
      </c>
      <c r="R66" s="66">
        <f t="shared" si="7"/>
        <v>174</v>
      </c>
      <c r="S66" s="71">
        <f>VLOOKUP(B66,'114+840'!$B$14:$AB$115,22,FALSE)</f>
        <v>924</v>
      </c>
      <c r="T66" s="70">
        <f>VLOOKUP(B66,'114+840'!$B$15:$AB$115,6,FALSE)</f>
        <v>925</v>
      </c>
      <c r="U66" s="69">
        <f t="shared" si="3"/>
        <v>1434</v>
      </c>
      <c r="V66" s="68">
        <f>VLOOKUP(B66,'114+840'!$B$15:$AB$115,15,FALSE)</f>
        <v>-566</v>
      </c>
      <c r="W66" s="67">
        <f>'114+840'!S67</f>
        <v>0</v>
      </c>
      <c r="X66" s="66">
        <f t="shared" si="8"/>
        <v>176</v>
      </c>
      <c r="Y66" s="65">
        <f t="shared" si="9"/>
        <v>0</v>
      </c>
      <c r="Z66" s="64">
        <f t="shared" si="10"/>
        <v>0</v>
      </c>
      <c r="AA66" s="63">
        <f t="shared" si="11"/>
        <v>1.4489999999999998</v>
      </c>
      <c r="AB66" s="63">
        <f t="shared" si="12"/>
        <v>0.65200000000000002</v>
      </c>
      <c r="AC66" s="94"/>
      <c r="AD66" s="94"/>
      <c r="AE66" s="93"/>
    </row>
    <row r="67" spans="1:32" s="86" customFormat="1" ht="15" customHeight="1">
      <c r="A67" s="85"/>
      <c r="B67" s="104">
        <f>'114+840'!B68</f>
        <v>45324</v>
      </c>
      <c r="C67" s="75">
        <f t="shared" si="4"/>
        <v>1</v>
      </c>
      <c r="D67" s="74">
        <f t="shared" si="5"/>
        <v>842</v>
      </c>
      <c r="E67" s="73">
        <f>VLOOKUP(B67,'114+840'!B68:AB169,3,FALSE)</f>
        <v>1515</v>
      </c>
      <c r="F67" s="70">
        <f t="shared" si="0"/>
        <v>2357</v>
      </c>
      <c r="G67" s="72">
        <f>VLOOKUP(B67,'114+840'!$B$15:$AB$115,20,FALSE)</f>
        <v>950</v>
      </c>
      <c r="H67" s="72">
        <f>VLOOKUP(B67,'114+840'!$B$15:$AB$115,4,FALSE)</f>
        <v>587</v>
      </c>
      <c r="I67" s="69">
        <f t="shared" si="1"/>
        <v>1770</v>
      </c>
      <c r="J67" s="69">
        <f>VLOOKUP(B67,'114+840'!$B$15:$AB$115,13,FALSE)</f>
        <v>-230</v>
      </c>
      <c r="K67" s="67">
        <f>'114+840'!Q68</f>
        <v>2</v>
      </c>
      <c r="L67" s="66">
        <f t="shared" si="6"/>
        <v>150</v>
      </c>
      <c r="M67" s="71">
        <f>VLOOKUP(B67,'114+840'!$B$14:$AB$115,21,FALSE)</f>
        <v>921</v>
      </c>
      <c r="N67" s="70">
        <f>VLOOKUP(B67,'114+840'!$B$15:$AB$115,5,FALSE)</f>
        <v>436</v>
      </c>
      <c r="O67" s="69">
        <f t="shared" si="2"/>
        <v>1921</v>
      </c>
      <c r="P67" s="69">
        <f>VLOOKUP(B67,'114+840'!$B$15:$AB$115,14,FALSE)</f>
        <v>-79</v>
      </c>
      <c r="Q67" s="67">
        <f>'114+840'!R68</f>
        <v>5</v>
      </c>
      <c r="R67" s="66">
        <f t="shared" si="7"/>
        <v>179</v>
      </c>
      <c r="S67" s="71">
        <f>VLOOKUP(B67,'114+840'!$B$14:$AB$115,22,FALSE)</f>
        <v>923</v>
      </c>
      <c r="T67" s="70">
        <f>VLOOKUP(B67,'114+840'!$B$15:$AB$115,6,FALSE)</f>
        <v>924</v>
      </c>
      <c r="U67" s="69">
        <f t="shared" si="3"/>
        <v>1433</v>
      </c>
      <c r="V67" s="68">
        <f>VLOOKUP(B67,'114+840'!$B$15:$AB$115,15,FALSE)</f>
        <v>-567</v>
      </c>
      <c r="W67" s="67">
        <f>'114+840'!S68</f>
        <v>1</v>
      </c>
      <c r="X67" s="66">
        <f t="shared" si="8"/>
        <v>177</v>
      </c>
      <c r="Y67" s="65">
        <f t="shared" si="9"/>
        <v>-1</v>
      </c>
      <c r="Z67" s="64">
        <f t="shared" si="10"/>
        <v>0</v>
      </c>
      <c r="AA67" s="63">
        <f t="shared" si="11"/>
        <v>1.4489999999999998</v>
      </c>
      <c r="AB67" s="63">
        <f t="shared" si="12"/>
        <v>0.64200000000000002</v>
      </c>
      <c r="AC67" s="88"/>
      <c r="AD67" s="88"/>
      <c r="AE67" s="87"/>
    </row>
    <row r="68" spans="1:32" s="89" customFormat="1" ht="15" customHeight="1">
      <c r="A68" s="85"/>
      <c r="B68" s="104">
        <f>'114+840'!B69</f>
        <v>45325</v>
      </c>
      <c r="C68" s="75">
        <f t="shared" si="4"/>
        <v>1</v>
      </c>
      <c r="D68" s="74">
        <f t="shared" si="5"/>
        <v>842</v>
      </c>
      <c r="E68" s="73">
        <f>VLOOKUP(B68,'114+840'!B69:AB170,3,FALSE)</f>
        <v>1513</v>
      </c>
      <c r="F68" s="70">
        <f t="shared" si="0"/>
        <v>2355</v>
      </c>
      <c r="G68" s="72">
        <f>VLOOKUP(B68,'114+840'!$B$15:$AB$115,20,FALSE)</f>
        <v>946</v>
      </c>
      <c r="H68" s="72">
        <f>VLOOKUP(B68,'114+840'!$B$15:$AB$115,4,FALSE)</f>
        <v>589</v>
      </c>
      <c r="I68" s="69">
        <f t="shared" si="1"/>
        <v>1766</v>
      </c>
      <c r="J68" s="69">
        <f>VLOOKUP(B68,'114+840'!$B$15:$AB$115,13,FALSE)</f>
        <v>-234</v>
      </c>
      <c r="K68" s="67">
        <f>'114+840'!Q69</f>
        <v>4</v>
      </c>
      <c r="L68" s="66">
        <f t="shared" si="6"/>
        <v>154</v>
      </c>
      <c r="M68" s="71">
        <f>VLOOKUP(B68,'114+840'!$B$14:$AB$115,21,FALSE)</f>
        <v>917</v>
      </c>
      <c r="N68" s="70">
        <f>VLOOKUP(B68,'114+840'!$B$15:$AB$115,5,FALSE)</f>
        <v>438</v>
      </c>
      <c r="O68" s="69">
        <f t="shared" si="2"/>
        <v>1917</v>
      </c>
      <c r="P68" s="69">
        <f>VLOOKUP(B68,'114+840'!$B$15:$AB$115,14,FALSE)</f>
        <v>-83</v>
      </c>
      <c r="Q68" s="67">
        <f>'114+840'!R69</f>
        <v>4</v>
      </c>
      <c r="R68" s="66">
        <f t="shared" si="7"/>
        <v>183</v>
      </c>
      <c r="S68" s="71">
        <f>VLOOKUP(B68,'114+840'!$B$14:$AB$115,22,FALSE)</f>
        <v>923</v>
      </c>
      <c r="T68" s="70">
        <f>VLOOKUP(B68,'114+840'!$B$15:$AB$115,6,FALSE)</f>
        <v>922</v>
      </c>
      <c r="U68" s="69">
        <f t="shared" si="3"/>
        <v>1433</v>
      </c>
      <c r="V68" s="68">
        <f>VLOOKUP(B68,'114+840'!$B$15:$AB$115,15,FALSE)</f>
        <v>-567</v>
      </c>
      <c r="W68" s="67">
        <f>'114+840'!S69</f>
        <v>0</v>
      </c>
      <c r="X68" s="66">
        <f t="shared" si="8"/>
        <v>177</v>
      </c>
      <c r="Y68" s="65">
        <f t="shared" si="9"/>
        <v>0</v>
      </c>
      <c r="Z68" s="64">
        <f t="shared" si="10"/>
        <v>0</v>
      </c>
      <c r="AA68" s="63">
        <f t="shared" si="11"/>
        <v>1.4489999999999998</v>
      </c>
      <c r="AB68" s="63">
        <f t="shared" si="12"/>
        <v>0.63400000000000001</v>
      </c>
      <c r="AC68" s="91"/>
      <c r="AD68" s="91"/>
      <c r="AE68" s="90"/>
    </row>
    <row r="69" spans="1:32" s="83" customFormat="1" ht="15" customHeight="1">
      <c r="A69" s="85"/>
      <c r="B69" s="104">
        <f>'114+840'!B70</f>
        <v>45326</v>
      </c>
      <c r="C69" s="75">
        <f t="shared" si="4"/>
        <v>1</v>
      </c>
      <c r="D69" s="74">
        <f t="shared" si="5"/>
        <v>842</v>
      </c>
      <c r="E69" s="73">
        <f>VLOOKUP(B69,'114+840'!B70:AB171,3,FALSE)</f>
        <v>1511</v>
      </c>
      <c r="F69" s="70">
        <f t="shared" si="0"/>
        <v>2353</v>
      </c>
      <c r="G69" s="72">
        <f>VLOOKUP(B69,'114+840'!$B$15:$AB$115,20,FALSE)</f>
        <v>944</v>
      </c>
      <c r="H69" s="72">
        <f>VLOOKUP(B69,'114+840'!$B$15:$AB$115,4,FALSE)</f>
        <v>589</v>
      </c>
      <c r="I69" s="69">
        <f t="shared" si="1"/>
        <v>1764</v>
      </c>
      <c r="J69" s="69">
        <f>VLOOKUP(B69,'114+840'!$B$15:$AB$115,13,FALSE)</f>
        <v>-236</v>
      </c>
      <c r="K69" s="67">
        <f>'114+840'!Q70</f>
        <v>2</v>
      </c>
      <c r="L69" s="66">
        <f t="shared" si="6"/>
        <v>156</v>
      </c>
      <c r="M69" s="71">
        <f>VLOOKUP(B69,'114+840'!$B$14:$AB$115,21,FALSE)</f>
        <v>909</v>
      </c>
      <c r="N69" s="70">
        <f>VLOOKUP(B69,'114+840'!$B$15:$AB$115,5,FALSE)</f>
        <v>444</v>
      </c>
      <c r="O69" s="69">
        <f t="shared" si="2"/>
        <v>1909</v>
      </c>
      <c r="P69" s="69">
        <f>VLOOKUP(B69,'114+840'!$B$15:$AB$115,14,FALSE)</f>
        <v>-91</v>
      </c>
      <c r="Q69" s="67">
        <f>'114+840'!R70</f>
        <v>8</v>
      </c>
      <c r="R69" s="66">
        <f t="shared" si="7"/>
        <v>191</v>
      </c>
      <c r="S69" s="71">
        <f>VLOOKUP(B69,'114+840'!$B$14:$AB$115,22,FALSE)</f>
        <v>922</v>
      </c>
      <c r="T69" s="70">
        <f>VLOOKUP(B69,'114+840'!$B$15:$AB$115,6,FALSE)</f>
        <v>921</v>
      </c>
      <c r="U69" s="69">
        <f t="shared" si="3"/>
        <v>1432</v>
      </c>
      <c r="V69" s="68">
        <f>VLOOKUP(B69,'114+840'!$B$15:$AB$115,15,FALSE)</f>
        <v>-568</v>
      </c>
      <c r="W69" s="67">
        <f>'114+840'!S70</f>
        <v>1</v>
      </c>
      <c r="X69" s="66">
        <f t="shared" si="8"/>
        <v>178</v>
      </c>
      <c r="Y69" s="65">
        <f t="shared" si="9"/>
        <v>-1</v>
      </c>
      <c r="Z69" s="64">
        <f t="shared" si="10"/>
        <v>0</v>
      </c>
      <c r="AA69" s="63">
        <f t="shared" si="11"/>
        <v>1.4489999999999998</v>
      </c>
      <c r="AB69" s="63">
        <f t="shared" si="12"/>
        <v>0.61799999999999999</v>
      </c>
      <c r="AC69" s="52"/>
      <c r="AD69" s="52"/>
      <c r="AE69" s="84"/>
    </row>
    <row r="70" spans="1:32" s="83" customFormat="1" ht="15" customHeight="1">
      <c r="A70" s="85"/>
      <c r="B70" s="104">
        <f>'114+840'!B71</f>
        <v>45327</v>
      </c>
      <c r="C70" s="75">
        <f t="shared" si="4"/>
        <v>1</v>
      </c>
      <c r="D70" s="74">
        <f t="shared" si="5"/>
        <v>842</v>
      </c>
      <c r="E70" s="73">
        <f>VLOOKUP(B70,'114+840'!B71:AB172,3,FALSE)</f>
        <v>1509</v>
      </c>
      <c r="F70" s="70">
        <f t="shared" si="0"/>
        <v>2351</v>
      </c>
      <c r="G70" s="72">
        <f>VLOOKUP(B70,'114+840'!$B$15:$AB$115,20,FALSE)</f>
        <v>940</v>
      </c>
      <c r="H70" s="72">
        <f>VLOOKUP(B70,'114+840'!$B$15:$AB$115,4,FALSE)</f>
        <v>591</v>
      </c>
      <c r="I70" s="69">
        <f t="shared" si="1"/>
        <v>1760</v>
      </c>
      <c r="J70" s="69">
        <f>VLOOKUP(B70,'114+840'!$B$15:$AB$115,13,FALSE)</f>
        <v>-240</v>
      </c>
      <c r="K70" s="67">
        <f>'114+840'!Q71</f>
        <v>4</v>
      </c>
      <c r="L70" s="66">
        <f t="shared" si="6"/>
        <v>160</v>
      </c>
      <c r="M70" s="71">
        <f>VLOOKUP(B70,'114+840'!$B$14:$AB$115,21,FALSE)</f>
        <v>907</v>
      </c>
      <c r="N70" s="70">
        <f>VLOOKUP(B70,'114+840'!$B$15:$AB$115,5,FALSE)</f>
        <v>444</v>
      </c>
      <c r="O70" s="69">
        <f t="shared" si="2"/>
        <v>1907</v>
      </c>
      <c r="P70" s="69">
        <f>VLOOKUP(B70,'114+840'!$B$15:$AB$115,14,FALSE)</f>
        <v>-93</v>
      </c>
      <c r="Q70" s="67">
        <f>'114+840'!R71</f>
        <v>2</v>
      </c>
      <c r="R70" s="66">
        <f t="shared" si="7"/>
        <v>193</v>
      </c>
      <c r="S70" s="71">
        <f>VLOOKUP(B70,'114+840'!$B$14:$AB$115,22,FALSE)</f>
        <v>922</v>
      </c>
      <c r="T70" s="70">
        <f>VLOOKUP(B70,'114+840'!$B$15:$AB$115,6,FALSE)</f>
        <v>919</v>
      </c>
      <c r="U70" s="69">
        <f t="shared" si="3"/>
        <v>1432</v>
      </c>
      <c r="V70" s="68">
        <f>VLOOKUP(B70,'114+840'!$B$15:$AB$115,15,FALSE)</f>
        <v>-568</v>
      </c>
      <c r="W70" s="67">
        <f>'114+840'!S71</f>
        <v>0</v>
      </c>
      <c r="X70" s="66">
        <f t="shared" si="8"/>
        <v>178</v>
      </c>
      <c r="Y70" s="65">
        <f t="shared" si="9"/>
        <v>0</v>
      </c>
      <c r="Z70" s="64">
        <f t="shared" si="10"/>
        <v>0</v>
      </c>
      <c r="AA70" s="63">
        <f t="shared" si="11"/>
        <v>1.4489999999999998</v>
      </c>
      <c r="AB70" s="63">
        <f t="shared" si="12"/>
        <v>0.61399999999999999</v>
      </c>
      <c r="AC70" s="52"/>
      <c r="AD70" s="52"/>
      <c r="AE70" s="84"/>
    </row>
    <row r="71" spans="1:32" s="83" customFormat="1" ht="15" customHeight="1">
      <c r="A71" s="85"/>
      <c r="B71" s="104">
        <f>'114+840'!B72</f>
        <v>45328</v>
      </c>
      <c r="C71" s="75">
        <f t="shared" si="4"/>
        <v>1</v>
      </c>
      <c r="D71" s="74">
        <f t="shared" si="5"/>
        <v>842</v>
      </c>
      <c r="E71" s="73">
        <f>VLOOKUP(B71,'114+840'!B72:AB173,3,FALSE)</f>
        <v>1507</v>
      </c>
      <c r="F71" s="70">
        <f t="shared" si="0"/>
        <v>2349</v>
      </c>
      <c r="G71" s="72">
        <f>VLOOKUP(B71,'114+840'!$B$15:$AB$115,20,FALSE)</f>
        <v>938</v>
      </c>
      <c r="H71" s="72">
        <f>VLOOKUP(B71,'114+840'!$B$15:$AB$115,4,FALSE)</f>
        <v>591</v>
      </c>
      <c r="I71" s="69">
        <f t="shared" si="1"/>
        <v>1758</v>
      </c>
      <c r="J71" s="69">
        <f>VLOOKUP(B71,'114+840'!$B$15:$AB$115,13,FALSE)</f>
        <v>-242</v>
      </c>
      <c r="K71" s="67">
        <f>'114+840'!Q72</f>
        <v>2</v>
      </c>
      <c r="L71" s="66">
        <f t="shared" si="6"/>
        <v>162</v>
      </c>
      <c r="M71" s="71">
        <f>VLOOKUP(B71,'114+840'!$B$14:$AB$115,21,FALSE)</f>
        <v>903</v>
      </c>
      <c r="N71" s="70">
        <f>VLOOKUP(B71,'114+840'!$B$15:$AB$115,5,FALSE)</f>
        <v>446</v>
      </c>
      <c r="O71" s="69">
        <f t="shared" si="2"/>
        <v>1903</v>
      </c>
      <c r="P71" s="69">
        <f>VLOOKUP(B71,'114+840'!$B$15:$AB$115,14,FALSE)</f>
        <v>-97</v>
      </c>
      <c r="Q71" s="67">
        <f>'114+840'!R72</f>
        <v>4</v>
      </c>
      <c r="R71" s="66">
        <f t="shared" si="7"/>
        <v>197</v>
      </c>
      <c r="S71" s="71">
        <f>VLOOKUP(B71,'114+840'!$B$14:$AB$115,22,FALSE)</f>
        <v>921</v>
      </c>
      <c r="T71" s="70">
        <f>VLOOKUP(B71,'114+840'!$B$15:$AB$115,6,FALSE)</f>
        <v>918</v>
      </c>
      <c r="U71" s="69">
        <f t="shared" si="3"/>
        <v>1431</v>
      </c>
      <c r="V71" s="68">
        <f>VLOOKUP(B71,'114+840'!$B$15:$AB$115,15,FALSE)</f>
        <v>-569</v>
      </c>
      <c r="W71" s="67">
        <f>'114+840'!S72</f>
        <v>1</v>
      </c>
      <c r="X71" s="66">
        <f t="shared" si="8"/>
        <v>179</v>
      </c>
      <c r="Y71" s="65">
        <f t="shared" si="9"/>
        <v>-1</v>
      </c>
      <c r="Z71" s="64">
        <f t="shared" si="10"/>
        <v>0</v>
      </c>
      <c r="AA71" s="63">
        <f t="shared" si="11"/>
        <v>1.4489999999999998</v>
      </c>
      <c r="AB71" s="63">
        <f t="shared" si="12"/>
        <v>0.60599999999999998</v>
      </c>
      <c r="AC71" s="52"/>
      <c r="AD71" s="52"/>
      <c r="AE71" s="84"/>
    </row>
    <row r="72" spans="1:32" s="83" customFormat="1" ht="15" customHeight="1">
      <c r="A72" s="85"/>
      <c r="B72" s="104">
        <f>'114+840'!B73</f>
        <v>45329</v>
      </c>
      <c r="C72" s="75">
        <f t="shared" si="4"/>
        <v>1</v>
      </c>
      <c r="D72" s="74">
        <f t="shared" si="5"/>
        <v>842</v>
      </c>
      <c r="E72" s="73">
        <f>VLOOKUP(B72,'114+840'!B73:AB174,3,FALSE)</f>
        <v>1505</v>
      </c>
      <c r="F72" s="70">
        <f t="shared" si="0"/>
        <v>2347</v>
      </c>
      <c r="G72" s="72">
        <f>VLOOKUP(B72,'114+840'!$B$15:$AB$115,20,FALSE)</f>
        <v>934</v>
      </c>
      <c r="H72" s="72">
        <f>VLOOKUP(B72,'114+840'!$B$15:$AB$115,4,FALSE)</f>
        <v>593</v>
      </c>
      <c r="I72" s="69">
        <f t="shared" si="1"/>
        <v>1754</v>
      </c>
      <c r="J72" s="69">
        <f>VLOOKUP(B72,'114+840'!$B$15:$AB$115,13,FALSE)</f>
        <v>-246</v>
      </c>
      <c r="K72" s="67">
        <f>'114+840'!Q73</f>
        <v>4</v>
      </c>
      <c r="L72" s="66">
        <f t="shared" si="6"/>
        <v>166</v>
      </c>
      <c r="M72" s="71">
        <f>VLOOKUP(B72,'114+840'!$B$14:$AB$115,21,FALSE)</f>
        <v>896</v>
      </c>
      <c r="N72" s="70">
        <f>VLOOKUP(B72,'114+840'!$B$15:$AB$115,5,FALSE)</f>
        <v>451</v>
      </c>
      <c r="O72" s="69">
        <f t="shared" si="2"/>
        <v>1896</v>
      </c>
      <c r="P72" s="69">
        <f>VLOOKUP(B72,'114+840'!$B$15:$AB$115,14,FALSE)</f>
        <v>-104</v>
      </c>
      <c r="Q72" s="67">
        <f>'114+840'!R73</f>
        <v>7</v>
      </c>
      <c r="R72" s="66">
        <f t="shared" si="7"/>
        <v>204</v>
      </c>
      <c r="S72" s="71">
        <f>VLOOKUP(B72,'114+840'!$B$14:$AB$115,22,FALSE)</f>
        <v>920</v>
      </c>
      <c r="T72" s="70">
        <f>VLOOKUP(B72,'114+840'!$B$15:$AB$115,6,FALSE)</f>
        <v>917</v>
      </c>
      <c r="U72" s="69">
        <f t="shared" si="3"/>
        <v>1430</v>
      </c>
      <c r="V72" s="68">
        <f>VLOOKUP(B72,'114+840'!$B$15:$AB$115,15,FALSE)</f>
        <v>-570</v>
      </c>
      <c r="W72" s="67">
        <f>'114+840'!S73</f>
        <v>1</v>
      </c>
      <c r="X72" s="66">
        <f t="shared" si="8"/>
        <v>180</v>
      </c>
      <c r="Y72" s="65">
        <f t="shared" si="9"/>
        <v>-1</v>
      </c>
      <c r="Z72" s="64">
        <f t="shared" si="10"/>
        <v>0</v>
      </c>
      <c r="AA72" s="63">
        <f t="shared" si="11"/>
        <v>1.4489999999999998</v>
      </c>
      <c r="AB72" s="63">
        <f t="shared" si="12"/>
        <v>0.59199999999999997</v>
      </c>
      <c r="AC72" s="52"/>
      <c r="AD72" s="52"/>
      <c r="AE72" s="84"/>
    </row>
    <row r="73" spans="1:32" s="83" customFormat="1" ht="15" customHeight="1">
      <c r="A73" s="85"/>
      <c r="B73" s="104">
        <f>'114+840'!B74</f>
        <v>45330</v>
      </c>
      <c r="C73" s="75">
        <f t="shared" si="4"/>
        <v>1</v>
      </c>
      <c r="D73" s="74">
        <f t="shared" si="5"/>
        <v>842</v>
      </c>
      <c r="E73" s="73">
        <f>VLOOKUP(B73,'114+840'!B74:AB175,3,FALSE)</f>
        <v>1503</v>
      </c>
      <c r="F73" s="70">
        <f t="shared" si="0"/>
        <v>2345</v>
      </c>
      <c r="G73" s="72">
        <f>VLOOKUP(B73,'114+840'!$B$15:$AB$115,20,FALSE)</f>
        <v>927</v>
      </c>
      <c r="H73" s="72">
        <f>VLOOKUP(B73,'114+840'!$B$15:$AB$115,4,FALSE)</f>
        <v>598</v>
      </c>
      <c r="I73" s="69">
        <f t="shared" si="1"/>
        <v>1747</v>
      </c>
      <c r="J73" s="69">
        <f>VLOOKUP(B73,'114+840'!$B$15:$AB$115,13,FALSE)</f>
        <v>-253</v>
      </c>
      <c r="K73" s="67">
        <f>'114+840'!Q74</f>
        <v>7</v>
      </c>
      <c r="L73" s="66">
        <f t="shared" si="6"/>
        <v>173</v>
      </c>
      <c r="M73" s="71">
        <f>VLOOKUP(B73,'114+840'!$B$14:$AB$115,21,FALSE)</f>
        <v>891</v>
      </c>
      <c r="N73" s="70">
        <f>VLOOKUP(B73,'114+840'!$B$15:$AB$115,5,FALSE)</f>
        <v>454</v>
      </c>
      <c r="O73" s="69">
        <f t="shared" si="2"/>
        <v>1891</v>
      </c>
      <c r="P73" s="69">
        <f>VLOOKUP(B73,'114+840'!$B$15:$AB$115,14,FALSE)</f>
        <v>-109</v>
      </c>
      <c r="Q73" s="67">
        <f>'114+840'!R74</f>
        <v>5</v>
      </c>
      <c r="R73" s="66">
        <f t="shared" si="7"/>
        <v>209</v>
      </c>
      <c r="S73" s="71">
        <f>VLOOKUP(B73,'114+840'!$B$14:$AB$115,22,FALSE)</f>
        <v>920</v>
      </c>
      <c r="T73" s="70">
        <f>VLOOKUP(B73,'114+840'!$B$15:$AB$115,6,FALSE)</f>
        <v>915</v>
      </c>
      <c r="U73" s="69">
        <f t="shared" si="3"/>
        <v>1430</v>
      </c>
      <c r="V73" s="68">
        <f>VLOOKUP(B73,'114+840'!$B$15:$AB$115,15,FALSE)</f>
        <v>-570</v>
      </c>
      <c r="W73" s="67">
        <f>'114+840'!S74</f>
        <v>0</v>
      </c>
      <c r="X73" s="66">
        <f t="shared" si="8"/>
        <v>180</v>
      </c>
      <c r="Y73" s="65">
        <f t="shared" si="9"/>
        <v>0</v>
      </c>
      <c r="Z73" s="64">
        <f t="shared" si="10"/>
        <v>0</v>
      </c>
      <c r="AA73" s="63">
        <f t="shared" si="11"/>
        <v>1.4489999999999998</v>
      </c>
      <c r="AB73" s="63">
        <f t="shared" si="12"/>
        <v>0.58199999999999996</v>
      </c>
      <c r="AC73" s="52"/>
      <c r="AD73" s="52"/>
      <c r="AE73" s="84"/>
    </row>
    <row r="74" spans="1:32" s="86" customFormat="1" ht="15" customHeight="1">
      <c r="A74" s="85"/>
      <c r="B74" s="104">
        <f>'114+840'!B75</f>
        <v>45331</v>
      </c>
      <c r="C74" s="75">
        <f t="shared" si="4"/>
        <v>1</v>
      </c>
      <c r="D74" s="74">
        <f t="shared" si="5"/>
        <v>842</v>
      </c>
      <c r="E74" s="73">
        <f>VLOOKUP(B74,'114+840'!B75:AB176,3,FALSE)</f>
        <v>1501</v>
      </c>
      <c r="F74" s="70">
        <f t="shared" si="0"/>
        <v>2343</v>
      </c>
      <c r="G74" s="72">
        <f>VLOOKUP(B74,'114+840'!$B$15:$AB$115,20,FALSE)</f>
        <v>922</v>
      </c>
      <c r="H74" s="72">
        <f>VLOOKUP(B74,'114+840'!$B$15:$AB$115,4,FALSE)</f>
        <v>601</v>
      </c>
      <c r="I74" s="69">
        <f t="shared" si="1"/>
        <v>1742</v>
      </c>
      <c r="J74" s="69">
        <f>VLOOKUP(B74,'114+840'!$B$15:$AB$115,13,FALSE)</f>
        <v>-258</v>
      </c>
      <c r="K74" s="67">
        <f>'114+840'!Q75</f>
        <v>5</v>
      </c>
      <c r="L74" s="66">
        <f t="shared" si="6"/>
        <v>178</v>
      </c>
      <c r="M74" s="71">
        <f>VLOOKUP(B74,'114+840'!$B$14:$AB$115,21,FALSE)</f>
        <v>889</v>
      </c>
      <c r="N74" s="70">
        <f>VLOOKUP(B74,'114+840'!$B$15:$AB$115,5,FALSE)</f>
        <v>454</v>
      </c>
      <c r="O74" s="69">
        <f t="shared" si="2"/>
        <v>1889</v>
      </c>
      <c r="P74" s="69">
        <f>VLOOKUP(B74,'114+840'!$B$15:$AB$115,14,FALSE)</f>
        <v>-111</v>
      </c>
      <c r="Q74" s="67">
        <f>'114+840'!R75</f>
        <v>2</v>
      </c>
      <c r="R74" s="66">
        <f t="shared" si="7"/>
        <v>211</v>
      </c>
      <c r="S74" s="71">
        <f>VLOOKUP(B74,'114+840'!$B$14:$AB$115,22,FALSE)</f>
        <v>919</v>
      </c>
      <c r="T74" s="70">
        <f>VLOOKUP(B74,'114+840'!$B$15:$AB$115,6,FALSE)</f>
        <v>914</v>
      </c>
      <c r="U74" s="69">
        <f t="shared" si="3"/>
        <v>1429</v>
      </c>
      <c r="V74" s="68">
        <f>VLOOKUP(B74,'114+840'!$B$15:$AB$115,15,FALSE)</f>
        <v>-571</v>
      </c>
      <c r="W74" s="67">
        <f>'114+840'!S75</f>
        <v>1</v>
      </c>
      <c r="X74" s="66">
        <f t="shared" si="8"/>
        <v>181</v>
      </c>
      <c r="Y74" s="65">
        <f t="shared" si="9"/>
        <v>-1</v>
      </c>
      <c r="Z74" s="64">
        <f t="shared" si="10"/>
        <v>0</v>
      </c>
      <c r="AA74" s="63">
        <f t="shared" si="11"/>
        <v>1.4489999999999998</v>
      </c>
      <c r="AB74" s="63">
        <f t="shared" si="12"/>
        <v>0.57799999999999996</v>
      </c>
      <c r="AC74" s="88"/>
      <c r="AD74" s="88"/>
      <c r="AE74" s="87"/>
    </row>
    <row r="75" spans="1:32" s="83" customFormat="1" ht="15" customHeight="1">
      <c r="A75" s="85"/>
      <c r="B75" s="104">
        <f>'114+840'!B76</f>
        <v>45332</v>
      </c>
      <c r="C75" s="75">
        <f t="shared" si="4"/>
        <v>1</v>
      </c>
      <c r="D75" s="74">
        <f t="shared" si="5"/>
        <v>842</v>
      </c>
      <c r="E75" s="73">
        <f>VLOOKUP(B75,'114+840'!B76:AB177,3,FALSE)</f>
        <v>1499</v>
      </c>
      <c r="F75" s="70">
        <f t="shared" si="0"/>
        <v>2341</v>
      </c>
      <c r="G75" s="72">
        <f>VLOOKUP(B75,'114+840'!$B$15:$AB$115,20,FALSE)</f>
        <v>920</v>
      </c>
      <c r="H75" s="72">
        <f>VLOOKUP(B75,'114+840'!$B$15:$AB$115,4,FALSE)</f>
        <v>601</v>
      </c>
      <c r="I75" s="69">
        <f t="shared" si="1"/>
        <v>1740</v>
      </c>
      <c r="J75" s="69">
        <f>VLOOKUP(B75,'114+840'!$B$15:$AB$115,13,FALSE)</f>
        <v>-260</v>
      </c>
      <c r="K75" s="67">
        <f>'114+840'!Q76</f>
        <v>2</v>
      </c>
      <c r="L75" s="66">
        <f t="shared" si="6"/>
        <v>180</v>
      </c>
      <c r="M75" s="71">
        <f>VLOOKUP(B75,'114+840'!$B$14:$AB$115,21,FALSE)</f>
        <v>887</v>
      </c>
      <c r="N75" s="70">
        <f>VLOOKUP(B75,'114+840'!$B$15:$AB$115,5,FALSE)</f>
        <v>454</v>
      </c>
      <c r="O75" s="69">
        <f t="shared" si="2"/>
        <v>1887</v>
      </c>
      <c r="P75" s="69">
        <f>VLOOKUP(B75,'114+840'!$B$15:$AB$115,14,FALSE)</f>
        <v>-113</v>
      </c>
      <c r="Q75" s="67">
        <f>'114+840'!R76</f>
        <v>2</v>
      </c>
      <c r="R75" s="66">
        <f t="shared" si="7"/>
        <v>213</v>
      </c>
      <c r="S75" s="71">
        <f>VLOOKUP(B75,'114+840'!$B$14:$AB$115,22,FALSE)</f>
        <v>918</v>
      </c>
      <c r="T75" s="70">
        <f>VLOOKUP(B75,'114+840'!$B$15:$AB$115,6,FALSE)</f>
        <v>913</v>
      </c>
      <c r="U75" s="69">
        <f t="shared" si="3"/>
        <v>1428</v>
      </c>
      <c r="V75" s="68">
        <f>VLOOKUP(B75,'114+840'!$B$15:$AB$115,15,FALSE)</f>
        <v>-572</v>
      </c>
      <c r="W75" s="67">
        <f>'114+840'!S76</f>
        <v>1</v>
      </c>
      <c r="X75" s="66">
        <f t="shared" si="8"/>
        <v>182</v>
      </c>
      <c r="Y75" s="65">
        <f t="shared" si="9"/>
        <v>-1</v>
      </c>
      <c r="Z75" s="64">
        <f t="shared" si="10"/>
        <v>0</v>
      </c>
      <c r="AA75" s="63">
        <f t="shared" si="11"/>
        <v>1.4489999999999998</v>
      </c>
      <c r="AB75" s="63">
        <f t="shared" si="12"/>
        <v>0.57399999999999995</v>
      </c>
      <c r="AC75" s="52"/>
      <c r="AD75" s="52"/>
      <c r="AE75" s="84"/>
    </row>
    <row r="76" spans="1:32" s="77" customFormat="1" ht="15" customHeight="1">
      <c r="A76" s="82"/>
      <c r="B76" s="104">
        <f>'114+840'!B77</f>
        <v>45333</v>
      </c>
      <c r="C76" s="75">
        <f t="shared" si="4"/>
        <v>1</v>
      </c>
      <c r="D76" s="74">
        <f t="shared" si="5"/>
        <v>842</v>
      </c>
      <c r="E76" s="73">
        <f>VLOOKUP(B76,'114+840'!B77:AB178,3,FALSE)</f>
        <v>1497</v>
      </c>
      <c r="F76" s="70">
        <f t="shared" si="0"/>
        <v>2339</v>
      </c>
      <c r="G76" s="72">
        <f>VLOOKUP(B76,'114+840'!$B$15:$AB$115,20,FALSE)</f>
        <v>916</v>
      </c>
      <c r="H76" s="72">
        <f>VLOOKUP(B76,'114+840'!$B$15:$AB$115,4,FALSE)</f>
        <v>603</v>
      </c>
      <c r="I76" s="69">
        <f t="shared" si="1"/>
        <v>1736</v>
      </c>
      <c r="J76" s="69">
        <f>VLOOKUP(B76,'114+840'!$B$15:$AB$115,13,FALSE)</f>
        <v>-264</v>
      </c>
      <c r="K76" s="67">
        <f>'114+840'!Q77</f>
        <v>4</v>
      </c>
      <c r="L76" s="66">
        <f t="shared" si="6"/>
        <v>184</v>
      </c>
      <c r="M76" s="71">
        <f>VLOOKUP(B76,'114+840'!$B$14:$AB$115,21,FALSE)</f>
        <v>883</v>
      </c>
      <c r="N76" s="70">
        <f>VLOOKUP(B76,'114+840'!$B$15:$AB$115,5,FALSE)</f>
        <v>456</v>
      </c>
      <c r="O76" s="69">
        <f t="shared" si="2"/>
        <v>1883</v>
      </c>
      <c r="P76" s="69">
        <f>VLOOKUP(B76,'114+840'!$B$15:$AB$115,14,FALSE)</f>
        <v>-117</v>
      </c>
      <c r="Q76" s="67">
        <f>'114+840'!R77</f>
        <v>4</v>
      </c>
      <c r="R76" s="66">
        <f t="shared" si="7"/>
        <v>217</v>
      </c>
      <c r="S76" s="71">
        <f>VLOOKUP(B76,'114+840'!$B$14:$AB$115,22,FALSE)</f>
        <v>918</v>
      </c>
      <c r="T76" s="70">
        <f>VLOOKUP(B76,'114+840'!$B$15:$AB$115,6,FALSE)</f>
        <v>911</v>
      </c>
      <c r="U76" s="69">
        <f t="shared" si="3"/>
        <v>1428</v>
      </c>
      <c r="V76" s="68">
        <f>VLOOKUP(B76,'114+840'!$B$15:$AB$115,15,FALSE)</f>
        <v>-572</v>
      </c>
      <c r="W76" s="67">
        <f>'114+840'!S77</f>
        <v>0</v>
      </c>
      <c r="X76" s="66">
        <f t="shared" si="8"/>
        <v>182</v>
      </c>
      <c r="Y76" s="65">
        <f t="shared" si="9"/>
        <v>0</v>
      </c>
      <c r="Z76" s="64">
        <f t="shared" si="10"/>
        <v>0</v>
      </c>
      <c r="AA76" s="63">
        <f t="shared" si="11"/>
        <v>1.4489999999999998</v>
      </c>
      <c r="AB76" s="63">
        <f t="shared" si="12"/>
        <v>0.56599999999999995</v>
      </c>
      <c r="AC76" s="52"/>
      <c r="AD76" s="52"/>
      <c r="AE76" s="52"/>
      <c r="AF76" s="52"/>
    </row>
    <row r="77" spans="1:32" s="77" customFormat="1" ht="15" customHeight="1">
      <c r="A77" s="82">
        <v>42307</v>
      </c>
      <c r="B77" s="104">
        <f>'114+840'!B78</f>
        <v>45334</v>
      </c>
      <c r="C77" s="75">
        <f t="shared" si="4"/>
        <v>1</v>
      </c>
      <c r="D77" s="74">
        <f t="shared" si="5"/>
        <v>842</v>
      </c>
      <c r="E77" s="73">
        <f>VLOOKUP(B77,'114+840'!B78:AB179,3,FALSE)</f>
        <v>1495</v>
      </c>
      <c r="F77" s="70">
        <f t="shared" ref="F77:F140" si="14">D77+E77</f>
        <v>2337</v>
      </c>
      <c r="G77" s="72">
        <f>VLOOKUP(B77,'114+840'!$B$15:$AB$115,20,FALSE)</f>
        <v>914</v>
      </c>
      <c r="H77" s="72">
        <f>VLOOKUP(B77,'114+840'!$B$15:$AB$115,4,FALSE)</f>
        <v>603</v>
      </c>
      <c r="I77" s="69">
        <f t="shared" ref="I77:I140" si="15">F77-H77</f>
        <v>1734</v>
      </c>
      <c r="J77" s="69">
        <f>VLOOKUP(B77,'114+840'!$B$15:$AB$115,13,FALSE)</f>
        <v>-266</v>
      </c>
      <c r="K77" s="67">
        <f>'114+840'!Q78</f>
        <v>2</v>
      </c>
      <c r="L77" s="66">
        <f t="shared" si="6"/>
        <v>186</v>
      </c>
      <c r="M77" s="71">
        <f>VLOOKUP(B77,'114+840'!$B$14:$AB$115,21,FALSE)</f>
        <v>876</v>
      </c>
      <c r="N77" s="70">
        <f>VLOOKUP(B77,'114+840'!$B$15:$AB$115,5,FALSE)</f>
        <v>461</v>
      </c>
      <c r="O77" s="69">
        <f t="shared" ref="O77:O140" si="16">F77-N77</f>
        <v>1876</v>
      </c>
      <c r="P77" s="69">
        <f>VLOOKUP(B77,'114+840'!$B$15:$AB$115,14,FALSE)</f>
        <v>-124</v>
      </c>
      <c r="Q77" s="67">
        <f>'114+840'!R78</f>
        <v>7</v>
      </c>
      <c r="R77" s="66">
        <f t="shared" si="7"/>
        <v>224</v>
      </c>
      <c r="S77" s="71">
        <f>VLOOKUP(B77,'114+840'!$B$14:$AB$115,22,FALSE)</f>
        <v>918</v>
      </c>
      <c r="T77" s="70">
        <f>VLOOKUP(B77,'114+840'!$B$15:$AB$115,6,FALSE)</f>
        <v>909</v>
      </c>
      <c r="U77" s="69">
        <f t="shared" ref="U77:U140" si="17">F77-T77</f>
        <v>1428</v>
      </c>
      <c r="V77" s="68">
        <f>VLOOKUP(B77,'114+840'!$B$15:$AB$115,15,FALSE)</f>
        <v>-572</v>
      </c>
      <c r="W77" s="67">
        <f>'114+840'!S78</f>
        <v>0</v>
      </c>
      <c r="X77" s="66">
        <f t="shared" si="8"/>
        <v>182</v>
      </c>
      <c r="Y77" s="65">
        <f t="shared" si="9"/>
        <v>0</v>
      </c>
      <c r="Z77" s="64">
        <f t="shared" si="10"/>
        <v>0</v>
      </c>
      <c r="AA77" s="63">
        <f t="shared" si="11"/>
        <v>1.4489999999999998</v>
      </c>
      <c r="AB77" s="63">
        <f t="shared" si="12"/>
        <v>0.55200000000000005</v>
      </c>
      <c r="AC77" s="52"/>
      <c r="AD77" s="52"/>
      <c r="AE77" s="52"/>
      <c r="AF77" s="52"/>
    </row>
    <row r="78" spans="1:32" s="77" customFormat="1" ht="15" customHeight="1">
      <c r="A78" s="82" t="s">
        <v>45</v>
      </c>
      <c r="B78" s="104">
        <f>'114+840'!B79</f>
        <v>45335</v>
      </c>
      <c r="C78" s="75">
        <f t="shared" ref="C78:C141" si="18">B78-B77</f>
        <v>1</v>
      </c>
      <c r="D78" s="74">
        <f t="shared" ref="D78:D141" si="19">D77</f>
        <v>842</v>
      </c>
      <c r="E78" s="73">
        <f>VLOOKUP(B78,'114+840'!B79:AB180,3,FALSE)</f>
        <v>1493</v>
      </c>
      <c r="F78" s="70">
        <f t="shared" si="14"/>
        <v>2335</v>
      </c>
      <c r="G78" s="72">
        <f>VLOOKUP(B78,'114+840'!$B$15:$AB$115,20,FALSE)</f>
        <v>910</v>
      </c>
      <c r="H78" s="72">
        <f>VLOOKUP(B78,'114+840'!$B$15:$AB$115,4,FALSE)</f>
        <v>605</v>
      </c>
      <c r="I78" s="69">
        <f t="shared" si="15"/>
        <v>1730</v>
      </c>
      <c r="J78" s="69">
        <f>VLOOKUP(B78,'114+840'!$B$15:$AB$115,13,FALSE)</f>
        <v>-270</v>
      </c>
      <c r="K78" s="67">
        <f>'114+840'!Q79</f>
        <v>4</v>
      </c>
      <c r="L78" s="66">
        <f t="shared" ref="L78:L141" si="20">+K78+L77</f>
        <v>190</v>
      </c>
      <c r="M78" s="71">
        <f>VLOOKUP(B78,'114+840'!$B$14:$AB$115,21,FALSE)</f>
        <v>871</v>
      </c>
      <c r="N78" s="70">
        <f>VLOOKUP(B78,'114+840'!$B$15:$AB$115,5,FALSE)</f>
        <v>464</v>
      </c>
      <c r="O78" s="69">
        <f t="shared" si="16"/>
        <v>1871</v>
      </c>
      <c r="P78" s="69">
        <f>VLOOKUP(B78,'114+840'!$B$15:$AB$115,14,FALSE)</f>
        <v>-129</v>
      </c>
      <c r="Q78" s="67">
        <f>'114+840'!R79</f>
        <v>5</v>
      </c>
      <c r="R78" s="66">
        <f t="shared" ref="R78:R141" si="21">+Q78+R77</f>
        <v>229</v>
      </c>
      <c r="S78" s="71">
        <f>VLOOKUP(B78,'114+840'!$B$14:$AB$115,22,FALSE)</f>
        <v>917</v>
      </c>
      <c r="T78" s="70">
        <f>VLOOKUP(B78,'114+840'!$B$15:$AB$115,6,FALSE)</f>
        <v>908</v>
      </c>
      <c r="U78" s="69">
        <f t="shared" si="17"/>
        <v>1427</v>
      </c>
      <c r="V78" s="68">
        <f>VLOOKUP(B78,'114+840'!$B$15:$AB$115,15,FALSE)</f>
        <v>-573</v>
      </c>
      <c r="W78" s="67">
        <f>'114+840'!S79</f>
        <v>1</v>
      </c>
      <c r="X78" s="66">
        <f t="shared" ref="X78:X141" si="22">+W78+X77</f>
        <v>183</v>
      </c>
      <c r="Y78" s="65">
        <f t="shared" ref="Y78:Y141" si="23">S78-S77</f>
        <v>-1</v>
      </c>
      <c r="Z78" s="64">
        <f t="shared" ref="Z78:Z141" si="24">IF(Y78&gt;0,Y78,0)/1000</f>
        <v>0</v>
      </c>
      <c r="AA78" s="63">
        <f t="shared" ref="AA78:AA141" si="25">AA77+Z78</f>
        <v>1.4489999999999998</v>
      </c>
      <c r="AB78" s="63">
        <f t="shared" ref="AB78:AB141" si="26">(M78-$M$13-R78)/1000</f>
        <v>0.54200000000000004</v>
      </c>
      <c r="AC78" s="52"/>
      <c r="AD78" s="52"/>
      <c r="AE78" s="52"/>
      <c r="AF78" s="52"/>
    </row>
    <row r="79" spans="1:32" s="77" customFormat="1" ht="15" customHeight="1">
      <c r="A79" s="82">
        <v>42313</v>
      </c>
      <c r="B79" s="104">
        <f>'114+840'!B80</f>
        <v>45336</v>
      </c>
      <c r="C79" s="75">
        <f t="shared" si="18"/>
        <v>1</v>
      </c>
      <c r="D79" s="74">
        <f t="shared" si="19"/>
        <v>842</v>
      </c>
      <c r="E79" s="73">
        <f>VLOOKUP(B79,'114+840'!B80:AB181,3,FALSE)</f>
        <v>1491</v>
      </c>
      <c r="F79" s="70">
        <f t="shared" si="14"/>
        <v>2333</v>
      </c>
      <c r="G79" s="72">
        <f>VLOOKUP(B79,'114+840'!$B$15:$AB$115,20,FALSE)</f>
        <v>908</v>
      </c>
      <c r="H79" s="72">
        <f>VLOOKUP(B79,'114+840'!$B$15:$AB$115,4,FALSE)</f>
        <v>605</v>
      </c>
      <c r="I79" s="69">
        <f t="shared" si="15"/>
        <v>1728</v>
      </c>
      <c r="J79" s="69">
        <f>VLOOKUP(B79,'114+840'!$B$15:$AB$115,13,FALSE)</f>
        <v>-272</v>
      </c>
      <c r="K79" s="67">
        <f>'114+840'!Q80</f>
        <v>2</v>
      </c>
      <c r="L79" s="66">
        <f t="shared" si="20"/>
        <v>192</v>
      </c>
      <c r="M79" s="71">
        <f>VLOOKUP(B79,'114+840'!$B$14:$AB$115,21,FALSE)</f>
        <v>867</v>
      </c>
      <c r="N79" s="70">
        <f>VLOOKUP(B79,'114+840'!$B$15:$AB$115,5,FALSE)</f>
        <v>466</v>
      </c>
      <c r="O79" s="69">
        <f t="shared" si="16"/>
        <v>1867</v>
      </c>
      <c r="P79" s="69">
        <f>VLOOKUP(B79,'114+840'!$B$15:$AB$115,14,FALSE)</f>
        <v>-133</v>
      </c>
      <c r="Q79" s="67">
        <f>'114+840'!R80</f>
        <v>4</v>
      </c>
      <c r="R79" s="66">
        <f t="shared" si="21"/>
        <v>233</v>
      </c>
      <c r="S79" s="71">
        <f>VLOOKUP(B79,'114+840'!$B$14:$AB$115,22,FALSE)</f>
        <v>917</v>
      </c>
      <c r="T79" s="70">
        <f>VLOOKUP(B79,'114+840'!$B$15:$AB$115,6,FALSE)</f>
        <v>906</v>
      </c>
      <c r="U79" s="69">
        <f t="shared" si="17"/>
        <v>1427</v>
      </c>
      <c r="V79" s="68">
        <f>VLOOKUP(B79,'114+840'!$B$15:$AB$115,15,FALSE)</f>
        <v>-573</v>
      </c>
      <c r="W79" s="67">
        <f>'114+840'!S80</f>
        <v>0</v>
      </c>
      <c r="X79" s="66">
        <f t="shared" si="22"/>
        <v>183</v>
      </c>
      <c r="Y79" s="65">
        <f t="shared" si="23"/>
        <v>0</v>
      </c>
      <c r="Z79" s="64">
        <f t="shared" si="24"/>
        <v>0</v>
      </c>
      <c r="AA79" s="63">
        <f t="shared" si="25"/>
        <v>1.4489999999999998</v>
      </c>
      <c r="AB79" s="63">
        <f t="shared" si="26"/>
        <v>0.53400000000000003</v>
      </c>
      <c r="AC79" s="52"/>
      <c r="AD79" s="52"/>
      <c r="AE79" s="52"/>
      <c r="AF79" s="52"/>
    </row>
    <row r="80" spans="1:32" s="77" customFormat="1" ht="15" customHeight="1">
      <c r="A80" s="82">
        <v>42319</v>
      </c>
      <c r="B80" s="104">
        <f>'114+840'!B81</f>
        <v>45337</v>
      </c>
      <c r="C80" s="75">
        <f t="shared" si="18"/>
        <v>1</v>
      </c>
      <c r="D80" s="74">
        <f t="shared" si="19"/>
        <v>842</v>
      </c>
      <c r="E80" s="73">
        <f>VLOOKUP(B80,'114+840'!B81:AB182,3,FALSE)</f>
        <v>1489</v>
      </c>
      <c r="F80" s="70">
        <f t="shared" si="14"/>
        <v>2331</v>
      </c>
      <c r="G80" s="72">
        <f>VLOOKUP(B80,'114+840'!$B$15:$AB$115,20,FALSE)</f>
        <v>904</v>
      </c>
      <c r="H80" s="72">
        <f>VLOOKUP(B80,'114+840'!$B$15:$AB$115,4,FALSE)</f>
        <v>607</v>
      </c>
      <c r="I80" s="69">
        <f t="shared" si="15"/>
        <v>1724</v>
      </c>
      <c r="J80" s="69">
        <f>VLOOKUP(B80,'114+840'!$B$15:$AB$115,13,FALSE)</f>
        <v>-276</v>
      </c>
      <c r="K80" s="67">
        <f>'114+840'!Q81</f>
        <v>4</v>
      </c>
      <c r="L80" s="66">
        <f t="shared" si="20"/>
        <v>196</v>
      </c>
      <c r="M80" s="71">
        <f>VLOOKUP(B80,'114+840'!$B$14:$AB$115,21,FALSE)</f>
        <v>859</v>
      </c>
      <c r="N80" s="70">
        <f>VLOOKUP(B80,'114+840'!$B$15:$AB$115,5,FALSE)</f>
        <v>472</v>
      </c>
      <c r="O80" s="69">
        <f t="shared" si="16"/>
        <v>1859</v>
      </c>
      <c r="P80" s="69">
        <f>VLOOKUP(B80,'114+840'!$B$15:$AB$115,14,FALSE)</f>
        <v>-141</v>
      </c>
      <c r="Q80" s="67">
        <f>'114+840'!R81</f>
        <v>8</v>
      </c>
      <c r="R80" s="66">
        <f t="shared" si="21"/>
        <v>241</v>
      </c>
      <c r="S80" s="71">
        <f>VLOOKUP(B80,'114+840'!$B$14:$AB$115,22,FALSE)</f>
        <v>917</v>
      </c>
      <c r="T80" s="70">
        <f>VLOOKUP(B80,'114+840'!$B$15:$AB$115,6,FALSE)</f>
        <v>904</v>
      </c>
      <c r="U80" s="69">
        <f t="shared" si="17"/>
        <v>1427</v>
      </c>
      <c r="V80" s="68">
        <f>VLOOKUP(B80,'114+840'!$B$15:$AB$115,15,FALSE)</f>
        <v>-573</v>
      </c>
      <c r="W80" s="67">
        <f>'114+840'!S81</f>
        <v>0</v>
      </c>
      <c r="X80" s="66">
        <f t="shared" si="22"/>
        <v>183</v>
      </c>
      <c r="Y80" s="65">
        <f t="shared" si="23"/>
        <v>0</v>
      </c>
      <c r="Z80" s="64">
        <f t="shared" si="24"/>
        <v>0</v>
      </c>
      <c r="AA80" s="63">
        <f t="shared" si="25"/>
        <v>1.4489999999999998</v>
      </c>
      <c r="AB80" s="63">
        <f t="shared" si="26"/>
        <v>0.51800000000000002</v>
      </c>
      <c r="AC80" s="52"/>
      <c r="AD80" s="52"/>
      <c r="AE80" s="52"/>
      <c r="AF80" s="52"/>
    </row>
    <row r="81" spans="1:32" s="77" customFormat="1" ht="15" customHeight="1">
      <c r="A81" s="82">
        <v>42322</v>
      </c>
      <c r="B81" s="104">
        <f>'114+840'!B82</f>
        <v>45338</v>
      </c>
      <c r="C81" s="75">
        <f t="shared" si="18"/>
        <v>1</v>
      </c>
      <c r="D81" s="74">
        <f t="shared" si="19"/>
        <v>842</v>
      </c>
      <c r="E81" s="73">
        <f>VLOOKUP(B81,'114+840'!B82:AB183,3,FALSE)</f>
        <v>1487</v>
      </c>
      <c r="F81" s="70">
        <f t="shared" si="14"/>
        <v>2329</v>
      </c>
      <c r="G81" s="72">
        <f>VLOOKUP(B81,'114+840'!$B$15:$AB$115,20,FALSE)</f>
        <v>904</v>
      </c>
      <c r="H81" s="72">
        <f>VLOOKUP(B81,'114+840'!$B$15:$AB$115,4,FALSE)</f>
        <v>605</v>
      </c>
      <c r="I81" s="69">
        <f t="shared" si="15"/>
        <v>1724</v>
      </c>
      <c r="J81" s="69">
        <f>VLOOKUP(B81,'114+840'!$B$15:$AB$115,13,FALSE)</f>
        <v>-276</v>
      </c>
      <c r="K81" s="67">
        <f>'114+840'!Q82</f>
        <v>0</v>
      </c>
      <c r="L81" s="66">
        <f t="shared" si="20"/>
        <v>196</v>
      </c>
      <c r="M81" s="71">
        <f>VLOOKUP(B81,'114+840'!$B$14:$AB$115,21,FALSE)</f>
        <v>857</v>
      </c>
      <c r="N81" s="70">
        <f>VLOOKUP(B81,'114+840'!$B$15:$AB$115,5,FALSE)</f>
        <v>472</v>
      </c>
      <c r="O81" s="69">
        <f t="shared" si="16"/>
        <v>1857</v>
      </c>
      <c r="P81" s="69">
        <f>VLOOKUP(B81,'114+840'!$B$15:$AB$115,14,FALSE)</f>
        <v>-143</v>
      </c>
      <c r="Q81" s="67">
        <f>'114+840'!R82</f>
        <v>2</v>
      </c>
      <c r="R81" s="66">
        <f t="shared" si="21"/>
        <v>243</v>
      </c>
      <c r="S81" s="71">
        <f>VLOOKUP(B81,'114+840'!$B$14:$AB$115,22,FALSE)</f>
        <v>917</v>
      </c>
      <c r="T81" s="70">
        <f>VLOOKUP(B81,'114+840'!$B$15:$AB$115,6,FALSE)</f>
        <v>902</v>
      </c>
      <c r="U81" s="69">
        <f t="shared" si="17"/>
        <v>1427</v>
      </c>
      <c r="V81" s="68">
        <f>VLOOKUP(B81,'114+840'!$B$15:$AB$115,15,FALSE)</f>
        <v>-573</v>
      </c>
      <c r="W81" s="67">
        <f>'114+840'!S82</f>
        <v>0</v>
      </c>
      <c r="X81" s="66">
        <f t="shared" si="22"/>
        <v>183</v>
      </c>
      <c r="Y81" s="65">
        <f t="shared" si="23"/>
        <v>0</v>
      </c>
      <c r="Z81" s="64">
        <f t="shared" si="24"/>
        <v>0</v>
      </c>
      <c r="AA81" s="63">
        <f t="shared" si="25"/>
        <v>1.4489999999999998</v>
      </c>
      <c r="AB81" s="63">
        <f t="shared" si="26"/>
        <v>0.51400000000000001</v>
      </c>
      <c r="AC81" s="52"/>
      <c r="AD81" s="52"/>
      <c r="AE81" s="52"/>
      <c r="AF81" s="52"/>
    </row>
    <row r="82" spans="1:32" s="77" customFormat="1" ht="15" customHeight="1">
      <c r="A82" s="82" t="s">
        <v>44</v>
      </c>
      <c r="B82" s="104">
        <f>'114+840'!B83</f>
        <v>45339</v>
      </c>
      <c r="C82" s="75">
        <f t="shared" si="18"/>
        <v>1</v>
      </c>
      <c r="D82" s="74">
        <f t="shared" si="19"/>
        <v>842</v>
      </c>
      <c r="E82" s="73">
        <f>VLOOKUP(B82,'114+840'!B83:AB184,3,FALSE)</f>
        <v>1485</v>
      </c>
      <c r="F82" s="70">
        <f t="shared" si="14"/>
        <v>2327</v>
      </c>
      <c r="G82" s="72">
        <f>VLOOKUP(B82,'114+840'!$B$15:$AB$115,20,FALSE)</f>
        <v>904</v>
      </c>
      <c r="H82" s="72">
        <f>VLOOKUP(B82,'114+840'!$B$15:$AB$115,4,FALSE)</f>
        <v>603</v>
      </c>
      <c r="I82" s="69">
        <f t="shared" si="15"/>
        <v>1724</v>
      </c>
      <c r="J82" s="69">
        <f>VLOOKUP(B82,'114+840'!$B$15:$AB$115,13,FALSE)</f>
        <v>-276</v>
      </c>
      <c r="K82" s="67">
        <f>'114+840'!Q83</f>
        <v>0</v>
      </c>
      <c r="L82" s="66">
        <f t="shared" si="20"/>
        <v>196</v>
      </c>
      <c r="M82" s="71">
        <f>VLOOKUP(B82,'114+840'!$B$14:$AB$115,21,FALSE)</f>
        <v>853</v>
      </c>
      <c r="N82" s="70">
        <f>VLOOKUP(B82,'114+840'!$B$15:$AB$115,5,FALSE)</f>
        <v>474</v>
      </c>
      <c r="O82" s="69">
        <f t="shared" si="16"/>
        <v>1853</v>
      </c>
      <c r="P82" s="69">
        <f>VLOOKUP(B82,'114+840'!$B$15:$AB$115,14,FALSE)</f>
        <v>-147</v>
      </c>
      <c r="Q82" s="67">
        <f>'114+840'!R83</f>
        <v>4</v>
      </c>
      <c r="R82" s="66">
        <f t="shared" si="21"/>
        <v>247</v>
      </c>
      <c r="S82" s="71">
        <f>VLOOKUP(B82,'114+840'!$B$14:$AB$115,22,FALSE)</f>
        <v>917</v>
      </c>
      <c r="T82" s="70">
        <f>VLOOKUP(B82,'114+840'!$B$15:$AB$115,6,FALSE)</f>
        <v>900</v>
      </c>
      <c r="U82" s="69">
        <f t="shared" si="17"/>
        <v>1427</v>
      </c>
      <c r="V82" s="68">
        <f>VLOOKUP(B82,'114+840'!$B$15:$AB$115,15,FALSE)</f>
        <v>-573</v>
      </c>
      <c r="W82" s="67">
        <f>'114+840'!S83</f>
        <v>0</v>
      </c>
      <c r="X82" s="66">
        <f t="shared" si="22"/>
        <v>183</v>
      </c>
      <c r="Y82" s="65">
        <f t="shared" si="23"/>
        <v>0</v>
      </c>
      <c r="Z82" s="64">
        <f t="shared" si="24"/>
        <v>0</v>
      </c>
      <c r="AA82" s="63">
        <f t="shared" si="25"/>
        <v>1.4489999999999998</v>
      </c>
      <c r="AB82" s="63">
        <f t="shared" si="26"/>
        <v>0.50600000000000001</v>
      </c>
      <c r="AC82" s="52"/>
      <c r="AD82" s="52"/>
      <c r="AE82" s="52"/>
      <c r="AF82" s="52"/>
    </row>
    <row r="83" spans="1:32" s="77" customFormat="1" ht="15" customHeight="1">
      <c r="A83" s="82">
        <v>42328</v>
      </c>
      <c r="B83" s="104">
        <f>'114+840'!B84</f>
        <v>45340</v>
      </c>
      <c r="C83" s="75">
        <f t="shared" si="18"/>
        <v>1</v>
      </c>
      <c r="D83" s="74">
        <f t="shared" si="19"/>
        <v>842</v>
      </c>
      <c r="E83" s="73">
        <f>VLOOKUP(B83,'114+840'!B84:AB185,3,FALSE)</f>
        <v>1483</v>
      </c>
      <c r="F83" s="70">
        <f t="shared" si="14"/>
        <v>2325</v>
      </c>
      <c r="G83" s="72">
        <f>VLOOKUP(B83,'114+840'!$B$15:$AB$115,20,FALSE)</f>
        <v>904</v>
      </c>
      <c r="H83" s="72">
        <f>VLOOKUP(B83,'114+840'!$B$15:$AB$115,4,FALSE)</f>
        <v>601</v>
      </c>
      <c r="I83" s="69">
        <f t="shared" si="15"/>
        <v>1724</v>
      </c>
      <c r="J83" s="69">
        <f>VLOOKUP(B83,'114+840'!$B$15:$AB$115,13,FALSE)</f>
        <v>-276</v>
      </c>
      <c r="K83" s="67">
        <f>'114+840'!Q84</f>
        <v>0</v>
      </c>
      <c r="L83" s="66">
        <f t="shared" si="20"/>
        <v>196</v>
      </c>
      <c r="M83" s="71">
        <f>VLOOKUP(B83,'114+840'!$B$14:$AB$115,21,FALSE)</f>
        <v>846</v>
      </c>
      <c r="N83" s="70">
        <f>VLOOKUP(B83,'114+840'!$B$15:$AB$115,5,FALSE)</f>
        <v>479</v>
      </c>
      <c r="O83" s="69">
        <f t="shared" si="16"/>
        <v>1846</v>
      </c>
      <c r="P83" s="69">
        <f>VLOOKUP(B83,'114+840'!$B$15:$AB$115,14,FALSE)</f>
        <v>-154</v>
      </c>
      <c r="Q83" s="67">
        <f>'114+840'!R84</f>
        <v>7</v>
      </c>
      <c r="R83" s="66">
        <f t="shared" si="21"/>
        <v>254</v>
      </c>
      <c r="S83" s="71">
        <f>VLOOKUP(B83,'114+840'!$B$14:$AB$115,22,FALSE)</f>
        <v>917</v>
      </c>
      <c r="T83" s="70">
        <f>VLOOKUP(B83,'114+840'!$B$15:$AB$115,6,FALSE)</f>
        <v>898</v>
      </c>
      <c r="U83" s="69">
        <f t="shared" si="17"/>
        <v>1427</v>
      </c>
      <c r="V83" s="68">
        <f>VLOOKUP(B83,'114+840'!$B$15:$AB$115,15,FALSE)</f>
        <v>-573</v>
      </c>
      <c r="W83" s="67">
        <f>'114+840'!S84</f>
        <v>0</v>
      </c>
      <c r="X83" s="66">
        <f t="shared" si="22"/>
        <v>183</v>
      </c>
      <c r="Y83" s="65">
        <f t="shared" si="23"/>
        <v>0</v>
      </c>
      <c r="Z83" s="64">
        <f t="shared" si="24"/>
        <v>0</v>
      </c>
      <c r="AA83" s="63">
        <f t="shared" si="25"/>
        <v>1.4489999999999998</v>
      </c>
      <c r="AB83" s="63">
        <f t="shared" si="26"/>
        <v>0.49199999999999999</v>
      </c>
      <c r="AC83" s="52"/>
      <c r="AD83" s="52"/>
      <c r="AE83" s="52"/>
      <c r="AF83" s="52"/>
    </row>
    <row r="84" spans="1:32" s="77" customFormat="1" ht="15" customHeight="1">
      <c r="A84" s="82">
        <v>42331</v>
      </c>
      <c r="B84" s="104">
        <f>'114+840'!B85</f>
        <v>45341</v>
      </c>
      <c r="C84" s="75">
        <f t="shared" si="18"/>
        <v>1</v>
      </c>
      <c r="D84" s="74">
        <f t="shared" si="19"/>
        <v>842</v>
      </c>
      <c r="E84" s="73">
        <f>VLOOKUP(B84,'114+840'!B85:AB186,3,FALSE)</f>
        <v>1481</v>
      </c>
      <c r="F84" s="70">
        <f t="shared" si="14"/>
        <v>2323</v>
      </c>
      <c r="G84" s="72">
        <f>VLOOKUP(B84,'114+840'!$B$15:$AB$115,20,FALSE)</f>
        <v>904</v>
      </c>
      <c r="H84" s="72">
        <f>VLOOKUP(B84,'114+840'!$B$15:$AB$115,4,FALSE)</f>
        <v>599</v>
      </c>
      <c r="I84" s="69">
        <f t="shared" si="15"/>
        <v>1724</v>
      </c>
      <c r="J84" s="69">
        <f>VLOOKUP(B84,'114+840'!$B$15:$AB$115,13,FALSE)</f>
        <v>-276</v>
      </c>
      <c r="K84" s="67">
        <f>'114+840'!Q85</f>
        <v>0</v>
      </c>
      <c r="L84" s="66">
        <f t="shared" si="20"/>
        <v>196</v>
      </c>
      <c r="M84" s="71">
        <f>VLOOKUP(B84,'114+840'!$B$14:$AB$115,21,FALSE)</f>
        <v>841</v>
      </c>
      <c r="N84" s="70">
        <f>VLOOKUP(B84,'114+840'!$B$15:$AB$115,5,FALSE)</f>
        <v>482</v>
      </c>
      <c r="O84" s="69">
        <f t="shared" si="16"/>
        <v>1841</v>
      </c>
      <c r="P84" s="69">
        <f>VLOOKUP(B84,'114+840'!$B$15:$AB$115,14,FALSE)</f>
        <v>-159</v>
      </c>
      <c r="Q84" s="67">
        <f>'114+840'!R85</f>
        <v>5</v>
      </c>
      <c r="R84" s="66">
        <f t="shared" si="21"/>
        <v>259</v>
      </c>
      <c r="S84" s="71">
        <f>VLOOKUP(B84,'114+840'!$B$14:$AB$115,22,FALSE)</f>
        <v>917</v>
      </c>
      <c r="T84" s="70">
        <f>VLOOKUP(B84,'114+840'!$B$15:$AB$115,6,FALSE)</f>
        <v>896</v>
      </c>
      <c r="U84" s="69">
        <f t="shared" si="17"/>
        <v>1427</v>
      </c>
      <c r="V84" s="68">
        <f>VLOOKUP(B84,'114+840'!$B$15:$AB$115,15,FALSE)</f>
        <v>-573</v>
      </c>
      <c r="W84" s="67">
        <f>'114+840'!S85</f>
        <v>0</v>
      </c>
      <c r="X84" s="66">
        <f t="shared" si="22"/>
        <v>183</v>
      </c>
      <c r="Y84" s="65">
        <f t="shared" si="23"/>
        <v>0</v>
      </c>
      <c r="Z84" s="64">
        <f t="shared" si="24"/>
        <v>0</v>
      </c>
      <c r="AA84" s="63">
        <f t="shared" si="25"/>
        <v>1.4489999999999998</v>
      </c>
      <c r="AB84" s="63">
        <f t="shared" si="26"/>
        <v>0.48199999999999998</v>
      </c>
      <c r="AC84" s="52"/>
      <c r="AD84" s="52"/>
      <c r="AE84" s="52"/>
      <c r="AF84" s="52"/>
    </row>
    <row r="85" spans="1:32" s="77" customFormat="1" ht="15" customHeight="1">
      <c r="A85" s="82" t="s">
        <v>43</v>
      </c>
      <c r="B85" s="104">
        <f>'114+840'!B86</f>
        <v>45342</v>
      </c>
      <c r="C85" s="75">
        <f t="shared" si="18"/>
        <v>1</v>
      </c>
      <c r="D85" s="74">
        <f t="shared" si="19"/>
        <v>842</v>
      </c>
      <c r="E85" s="73">
        <f>VLOOKUP(B85,'114+840'!B86:AB187,3,FALSE)</f>
        <v>1479</v>
      </c>
      <c r="F85" s="70">
        <f t="shared" si="14"/>
        <v>2321</v>
      </c>
      <c r="G85" s="72">
        <f>VLOOKUP(B85,'114+840'!$B$15:$AB$115,20,FALSE)</f>
        <v>904</v>
      </c>
      <c r="H85" s="72">
        <f>VLOOKUP(B85,'114+840'!$B$15:$AB$115,4,FALSE)</f>
        <v>597</v>
      </c>
      <c r="I85" s="69">
        <f t="shared" si="15"/>
        <v>1724</v>
      </c>
      <c r="J85" s="69">
        <f>VLOOKUP(B85,'114+840'!$B$15:$AB$115,13,FALSE)</f>
        <v>-276</v>
      </c>
      <c r="K85" s="67">
        <f>'114+840'!Q86</f>
        <v>0</v>
      </c>
      <c r="L85" s="66">
        <f t="shared" si="20"/>
        <v>196</v>
      </c>
      <c r="M85" s="71">
        <f>VLOOKUP(B85,'114+840'!$B$14:$AB$115,21,FALSE)</f>
        <v>837</v>
      </c>
      <c r="N85" s="70">
        <f>VLOOKUP(B85,'114+840'!$B$15:$AB$115,5,FALSE)</f>
        <v>484</v>
      </c>
      <c r="O85" s="69">
        <f t="shared" si="16"/>
        <v>1837</v>
      </c>
      <c r="P85" s="69">
        <f>VLOOKUP(B85,'114+840'!$B$15:$AB$115,14,FALSE)</f>
        <v>-163</v>
      </c>
      <c r="Q85" s="67">
        <f>'114+840'!R86</f>
        <v>4</v>
      </c>
      <c r="R85" s="66">
        <f t="shared" si="21"/>
        <v>263</v>
      </c>
      <c r="S85" s="71">
        <f>VLOOKUP(B85,'114+840'!$B$14:$AB$115,22,FALSE)</f>
        <v>917</v>
      </c>
      <c r="T85" s="70">
        <f>VLOOKUP(B85,'114+840'!$B$15:$AB$115,6,FALSE)</f>
        <v>894</v>
      </c>
      <c r="U85" s="69">
        <f t="shared" si="17"/>
        <v>1427</v>
      </c>
      <c r="V85" s="68">
        <f>VLOOKUP(B85,'114+840'!$B$15:$AB$115,15,FALSE)</f>
        <v>-573</v>
      </c>
      <c r="W85" s="67">
        <f>'114+840'!S86</f>
        <v>0</v>
      </c>
      <c r="X85" s="66">
        <f t="shared" si="22"/>
        <v>183</v>
      </c>
      <c r="Y85" s="65">
        <f t="shared" si="23"/>
        <v>0</v>
      </c>
      <c r="Z85" s="64">
        <f t="shared" si="24"/>
        <v>0</v>
      </c>
      <c r="AA85" s="63">
        <f t="shared" si="25"/>
        <v>1.4489999999999998</v>
      </c>
      <c r="AB85" s="63">
        <f t="shared" si="26"/>
        <v>0.47399999999999998</v>
      </c>
      <c r="AC85" s="52"/>
      <c r="AD85" s="52"/>
      <c r="AE85" s="52"/>
      <c r="AF85" s="52"/>
    </row>
    <row r="86" spans="1:32" s="77" customFormat="1" ht="15" customHeight="1">
      <c r="A86" s="82">
        <v>42337</v>
      </c>
      <c r="B86" s="104">
        <f>'114+840'!B87</f>
        <v>45343</v>
      </c>
      <c r="C86" s="75">
        <f t="shared" si="18"/>
        <v>1</v>
      </c>
      <c r="D86" s="74">
        <f t="shared" si="19"/>
        <v>842</v>
      </c>
      <c r="E86" s="73">
        <f>VLOOKUP(B86,'114+840'!B87:AB188,3,FALSE)</f>
        <v>1477</v>
      </c>
      <c r="F86" s="70">
        <f t="shared" si="14"/>
        <v>2319</v>
      </c>
      <c r="G86" s="72">
        <f>VLOOKUP(B86,'114+840'!$B$15:$AB$115,20,FALSE)</f>
        <v>904</v>
      </c>
      <c r="H86" s="72">
        <f>VLOOKUP(B86,'114+840'!$B$15:$AB$115,4,FALSE)</f>
        <v>595</v>
      </c>
      <c r="I86" s="69">
        <f t="shared" si="15"/>
        <v>1724</v>
      </c>
      <c r="J86" s="69">
        <f>VLOOKUP(B86,'114+840'!$B$15:$AB$115,13,FALSE)</f>
        <v>-276</v>
      </c>
      <c r="K86" s="67">
        <f>'114+840'!Q87</f>
        <v>0</v>
      </c>
      <c r="L86" s="66">
        <f t="shared" si="20"/>
        <v>196</v>
      </c>
      <c r="M86" s="71">
        <f>VLOOKUP(B86,'114+840'!$B$14:$AB$115,21,FALSE)</f>
        <v>829</v>
      </c>
      <c r="N86" s="70">
        <f>VLOOKUP(B86,'114+840'!$B$15:$AB$115,5,FALSE)</f>
        <v>490</v>
      </c>
      <c r="O86" s="69">
        <f t="shared" si="16"/>
        <v>1829</v>
      </c>
      <c r="P86" s="69">
        <f>VLOOKUP(B86,'114+840'!$B$15:$AB$115,14,FALSE)</f>
        <v>-171</v>
      </c>
      <c r="Q86" s="67">
        <f>'114+840'!R87</f>
        <v>8</v>
      </c>
      <c r="R86" s="66">
        <f t="shared" si="21"/>
        <v>271</v>
      </c>
      <c r="S86" s="71">
        <f>VLOOKUP(B86,'114+840'!$B$14:$AB$115,22,FALSE)</f>
        <v>917</v>
      </c>
      <c r="T86" s="70">
        <f>VLOOKUP(B86,'114+840'!$B$15:$AB$115,6,FALSE)</f>
        <v>892</v>
      </c>
      <c r="U86" s="69">
        <f t="shared" si="17"/>
        <v>1427</v>
      </c>
      <c r="V86" s="68">
        <f>VLOOKUP(B86,'114+840'!$B$15:$AB$115,15,FALSE)</f>
        <v>-573</v>
      </c>
      <c r="W86" s="67">
        <f>'114+840'!S87</f>
        <v>0</v>
      </c>
      <c r="X86" s="66">
        <f t="shared" si="22"/>
        <v>183</v>
      </c>
      <c r="Y86" s="65">
        <f t="shared" si="23"/>
        <v>0</v>
      </c>
      <c r="Z86" s="64">
        <f t="shared" si="24"/>
        <v>0</v>
      </c>
      <c r="AA86" s="63">
        <f t="shared" si="25"/>
        <v>1.4489999999999998</v>
      </c>
      <c r="AB86" s="63">
        <f t="shared" si="26"/>
        <v>0.45800000000000002</v>
      </c>
      <c r="AC86" s="52"/>
      <c r="AD86" s="52"/>
      <c r="AE86" s="52"/>
      <c r="AF86" s="52"/>
    </row>
    <row r="87" spans="1:32" s="77" customFormat="1" ht="15" customHeight="1">
      <c r="A87" s="82">
        <v>42340</v>
      </c>
      <c r="B87" s="104">
        <f>'114+840'!B88</f>
        <v>45344</v>
      </c>
      <c r="C87" s="75">
        <f t="shared" si="18"/>
        <v>1</v>
      </c>
      <c r="D87" s="74">
        <f t="shared" si="19"/>
        <v>842</v>
      </c>
      <c r="E87" s="73">
        <f>VLOOKUP(B87,'114+840'!B88:AB189,3,FALSE)</f>
        <v>1475</v>
      </c>
      <c r="F87" s="70">
        <f t="shared" si="14"/>
        <v>2317</v>
      </c>
      <c r="G87" s="72">
        <f>VLOOKUP(B87,'114+840'!$B$15:$AB$115,20,FALSE)</f>
        <v>904</v>
      </c>
      <c r="H87" s="72">
        <f>VLOOKUP(B87,'114+840'!$B$15:$AB$115,4,FALSE)</f>
        <v>593</v>
      </c>
      <c r="I87" s="69">
        <f t="shared" si="15"/>
        <v>1724</v>
      </c>
      <c r="J87" s="69">
        <f>VLOOKUP(B87,'114+840'!$B$15:$AB$115,13,FALSE)</f>
        <v>-276</v>
      </c>
      <c r="K87" s="67">
        <f>'114+840'!Q88</f>
        <v>0</v>
      </c>
      <c r="L87" s="66">
        <f t="shared" si="20"/>
        <v>196</v>
      </c>
      <c r="M87" s="71">
        <f>VLOOKUP(B87,'114+840'!$B$14:$AB$115,21,FALSE)</f>
        <v>827</v>
      </c>
      <c r="N87" s="70">
        <f>VLOOKUP(B87,'114+840'!$B$15:$AB$115,5,FALSE)</f>
        <v>490</v>
      </c>
      <c r="O87" s="69">
        <f t="shared" si="16"/>
        <v>1827</v>
      </c>
      <c r="P87" s="69">
        <f>VLOOKUP(B87,'114+840'!$B$15:$AB$115,14,FALSE)</f>
        <v>-173</v>
      </c>
      <c r="Q87" s="67">
        <f>'114+840'!R88</f>
        <v>2</v>
      </c>
      <c r="R87" s="66">
        <f t="shared" si="21"/>
        <v>273</v>
      </c>
      <c r="S87" s="71">
        <f>VLOOKUP(B87,'114+840'!$B$14:$AB$115,22,FALSE)</f>
        <v>917</v>
      </c>
      <c r="T87" s="70">
        <f>VLOOKUP(B87,'114+840'!$B$15:$AB$115,6,FALSE)</f>
        <v>890</v>
      </c>
      <c r="U87" s="69">
        <f t="shared" si="17"/>
        <v>1427</v>
      </c>
      <c r="V87" s="68">
        <f>VLOOKUP(B87,'114+840'!$B$15:$AB$115,15,FALSE)</f>
        <v>-573</v>
      </c>
      <c r="W87" s="67">
        <f>'114+840'!S88</f>
        <v>0</v>
      </c>
      <c r="X87" s="66">
        <f t="shared" si="22"/>
        <v>183</v>
      </c>
      <c r="Y87" s="65">
        <f t="shared" si="23"/>
        <v>0</v>
      </c>
      <c r="Z87" s="64">
        <f t="shared" si="24"/>
        <v>0</v>
      </c>
      <c r="AA87" s="63">
        <f t="shared" si="25"/>
        <v>1.4489999999999998</v>
      </c>
      <c r="AB87" s="63">
        <f t="shared" si="26"/>
        <v>0.45400000000000001</v>
      </c>
      <c r="AC87" s="52"/>
      <c r="AD87" s="52"/>
      <c r="AE87" s="52"/>
      <c r="AF87" s="52"/>
    </row>
    <row r="88" spans="1:32" s="77" customFormat="1" ht="15" customHeight="1">
      <c r="A88" s="82">
        <v>42343</v>
      </c>
      <c r="B88" s="104">
        <f>'114+840'!B89</f>
        <v>45345</v>
      </c>
      <c r="C88" s="75">
        <f t="shared" si="18"/>
        <v>1</v>
      </c>
      <c r="D88" s="74">
        <f t="shared" si="19"/>
        <v>842</v>
      </c>
      <c r="E88" s="73">
        <f>VLOOKUP(B88,'114+840'!B89:AB190,3,FALSE)</f>
        <v>1473</v>
      </c>
      <c r="F88" s="70">
        <f t="shared" si="14"/>
        <v>2315</v>
      </c>
      <c r="G88" s="72">
        <f>VLOOKUP(B88,'114+840'!$B$15:$AB$115,20,FALSE)</f>
        <v>904</v>
      </c>
      <c r="H88" s="72">
        <f>VLOOKUP(B88,'114+840'!$B$15:$AB$115,4,FALSE)</f>
        <v>591</v>
      </c>
      <c r="I88" s="69">
        <f t="shared" si="15"/>
        <v>1724</v>
      </c>
      <c r="J88" s="69">
        <f>VLOOKUP(B88,'114+840'!$B$15:$AB$115,13,FALSE)</f>
        <v>-276</v>
      </c>
      <c r="K88" s="67">
        <f>'114+840'!Q89</f>
        <v>0</v>
      </c>
      <c r="L88" s="66">
        <f t="shared" si="20"/>
        <v>196</v>
      </c>
      <c r="M88" s="71">
        <f>VLOOKUP(B88,'114+840'!$B$14:$AB$115,21,FALSE)</f>
        <v>823</v>
      </c>
      <c r="N88" s="70">
        <f>VLOOKUP(B88,'114+840'!$B$15:$AB$115,5,FALSE)</f>
        <v>492</v>
      </c>
      <c r="O88" s="69">
        <f t="shared" si="16"/>
        <v>1823</v>
      </c>
      <c r="P88" s="69">
        <f>VLOOKUP(B88,'114+840'!$B$15:$AB$115,14,FALSE)</f>
        <v>-177</v>
      </c>
      <c r="Q88" s="67">
        <f>'114+840'!R89</f>
        <v>4</v>
      </c>
      <c r="R88" s="66">
        <f t="shared" si="21"/>
        <v>277</v>
      </c>
      <c r="S88" s="71">
        <f>VLOOKUP(B88,'114+840'!$B$14:$AB$115,22,FALSE)</f>
        <v>917</v>
      </c>
      <c r="T88" s="70">
        <f>VLOOKUP(B88,'114+840'!$B$15:$AB$115,6,FALSE)</f>
        <v>888</v>
      </c>
      <c r="U88" s="69">
        <f t="shared" si="17"/>
        <v>1427</v>
      </c>
      <c r="V88" s="68">
        <f>VLOOKUP(B88,'114+840'!$B$15:$AB$115,15,FALSE)</f>
        <v>-573</v>
      </c>
      <c r="W88" s="67">
        <f>'114+840'!S89</f>
        <v>0</v>
      </c>
      <c r="X88" s="66">
        <f t="shared" si="22"/>
        <v>183</v>
      </c>
      <c r="Y88" s="65">
        <f t="shared" si="23"/>
        <v>0</v>
      </c>
      <c r="Z88" s="64">
        <f t="shared" si="24"/>
        <v>0</v>
      </c>
      <c r="AA88" s="63">
        <f t="shared" si="25"/>
        <v>1.4489999999999998</v>
      </c>
      <c r="AB88" s="63">
        <f t="shared" si="26"/>
        <v>0.44600000000000001</v>
      </c>
      <c r="AC88" s="52"/>
      <c r="AD88" s="52"/>
      <c r="AE88" s="52"/>
      <c r="AF88" s="52"/>
    </row>
    <row r="89" spans="1:32" s="77" customFormat="1" ht="15" customHeight="1">
      <c r="A89" s="82" t="s">
        <v>42</v>
      </c>
      <c r="B89" s="104">
        <f>'114+840'!B90</f>
        <v>45346</v>
      </c>
      <c r="C89" s="75">
        <f t="shared" si="18"/>
        <v>1</v>
      </c>
      <c r="D89" s="74">
        <f t="shared" si="19"/>
        <v>842</v>
      </c>
      <c r="E89" s="73">
        <f>VLOOKUP(B89,'114+840'!B90:AB191,3,FALSE)</f>
        <v>1471</v>
      </c>
      <c r="F89" s="70">
        <f t="shared" si="14"/>
        <v>2313</v>
      </c>
      <c r="G89" s="72">
        <f>VLOOKUP(B89,'114+840'!$B$15:$AB$115,20,FALSE)</f>
        <v>904</v>
      </c>
      <c r="H89" s="72">
        <f>VLOOKUP(B89,'114+840'!$B$15:$AB$115,4,FALSE)</f>
        <v>589</v>
      </c>
      <c r="I89" s="69">
        <f t="shared" si="15"/>
        <v>1724</v>
      </c>
      <c r="J89" s="69">
        <f>VLOOKUP(B89,'114+840'!$B$15:$AB$115,13,FALSE)</f>
        <v>-276</v>
      </c>
      <c r="K89" s="67">
        <f>'114+840'!Q90</f>
        <v>0</v>
      </c>
      <c r="L89" s="66">
        <f t="shared" si="20"/>
        <v>196</v>
      </c>
      <c r="M89" s="71">
        <f>VLOOKUP(B89,'114+840'!$B$14:$AB$115,21,FALSE)</f>
        <v>816</v>
      </c>
      <c r="N89" s="70">
        <f>VLOOKUP(B89,'114+840'!$B$15:$AB$115,5,FALSE)</f>
        <v>497</v>
      </c>
      <c r="O89" s="69">
        <f t="shared" si="16"/>
        <v>1816</v>
      </c>
      <c r="P89" s="69">
        <f>VLOOKUP(B89,'114+840'!$B$15:$AB$115,14,FALSE)</f>
        <v>-184</v>
      </c>
      <c r="Q89" s="67">
        <f>'114+840'!R90</f>
        <v>7</v>
      </c>
      <c r="R89" s="66">
        <f t="shared" si="21"/>
        <v>284</v>
      </c>
      <c r="S89" s="71">
        <f>VLOOKUP(B89,'114+840'!$B$14:$AB$115,22,FALSE)</f>
        <v>917</v>
      </c>
      <c r="T89" s="70">
        <f>VLOOKUP(B89,'114+840'!$B$15:$AB$115,6,FALSE)</f>
        <v>886</v>
      </c>
      <c r="U89" s="69">
        <f t="shared" si="17"/>
        <v>1427</v>
      </c>
      <c r="V89" s="68">
        <f>VLOOKUP(B89,'114+840'!$B$15:$AB$115,15,FALSE)</f>
        <v>-573</v>
      </c>
      <c r="W89" s="67">
        <f>'114+840'!S90</f>
        <v>0</v>
      </c>
      <c r="X89" s="66">
        <f t="shared" si="22"/>
        <v>183</v>
      </c>
      <c r="Y89" s="65">
        <f t="shared" si="23"/>
        <v>0</v>
      </c>
      <c r="Z89" s="64">
        <f t="shared" si="24"/>
        <v>0</v>
      </c>
      <c r="AA89" s="63">
        <f t="shared" si="25"/>
        <v>1.4489999999999998</v>
      </c>
      <c r="AB89" s="63">
        <f t="shared" si="26"/>
        <v>0.432</v>
      </c>
      <c r="AC89" s="52"/>
      <c r="AD89" s="52"/>
      <c r="AE89" s="52"/>
      <c r="AF89" s="52"/>
    </row>
    <row r="90" spans="1:32" s="77" customFormat="1" ht="15" customHeight="1">
      <c r="A90" s="82">
        <v>42349</v>
      </c>
      <c r="B90" s="104">
        <f>'114+840'!B91</f>
        <v>45347</v>
      </c>
      <c r="C90" s="75">
        <f t="shared" si="18"/>
        <v>1</v>
      </c>
      <c r="D90" s="74">
        <f t="shared" si="19"/>
        <v>842</v>
      </c>
      <c r="E90" s="73">
        <f>VLOOKUP(B90,'114+840'!B91:AB192,3,FALSE)</f>
        <v>1469</v>
      </c>
      <c r="F90" s="70">
        <f t="shared" si="14"/>
        <v>2311</v>
      </c>
      <c r="G90" s="72">
        <f>VLOOKUP(B90,'114+840'!$B$15:$AB$115,20,FALSE)</f>
        <v>904</v>
      </c>
      <c r="H90" s="72">
        <f>VLOOKUP(B90,'114+840'!$B$15:$AB$115,4,FALSE)</f>
        <v>587</v>
      </c>
      <c r="I90" s="69">
        <f t="shared" si="15"/>
        <v>1724</v>
      </c>
      <c r="J90" s="69">
        <f>VLOOKUP(B90,'114+840'!$B$15:$AB$115,13,FALSE)</f>
        <v>-276</v>
      </c>
      <c r="K90" s="67">
        <f>'114+840'!Q91</f>
        <v>0</v>
      </c>
      <c r="L90" s="66">
        <f t="shared" si="20"/>
        <v>196</v>
      </c>
      <c r="M90" s="71">
        <f>VLOOKUP(B90,'114+840'!$B$14:$AB$115,21,FALSE)</f>
        <v>811</v>
      </c>
      <c r="N90" s="70">
        <f>VLOOKUP(B90,'114+840'!$B$15:$AB$115,5,FALSE)</f>
        <v>500</v>
      </c>
      <c r="O90" s="69">
        <f t="shared" si="16"/>
        <v>1811</v>
      </c>
      <c r="P90" s="69">
        <f>VLOOKUP(B90,'114+840'!$B$15:$AB$115,14,FALSE)</f>
        <v>-189</v>
      </c>
      <c r="Q90" s="67">
        <f>'114+840'!R91</f>
        <v>5</v>
      </c>
      <c r="R90" s="66">
        <f t="shared" si="21"/>
        <v>289</v>
      </c>
      <c r="S90" s="71">
        <f>VLOOKUP(B90,'114+840'!$B$14:$AB$115,22,FALSE)</f>
        <v>917</v>
      </c>
      <c r="T90" s="70">
        <f>VLOOKUP(B90,'114+840'!$B$15:$AB$115,6,FALSE)</f>
        <v>884</v>
      </c>
      <c r="U90" s="69">
        <f t="shared" si="17"/>
        <v>1427</v>
      </c>
      <c r="V90" s="68">
        <f>VLOOKUP(B90,'114+840'!$B$15:$AB$115,15,FALSE)</f>
        <v>-573</v>
      </c>
      <c r="W90" s="67">
        <f>'114+840'!S91</f>
        <v>0</v>
      </c>
      <c r="X90" s="66">
        <f t="shared" si="22"/>
        <v>183</v>
      </c>
      <c r="Y90" s="65">
        <f t="shared" si="23"/>
        <v>0</v>
      </c>
      <c r="Z90" s="64">
        <f t="shared" si="24"/>
        <v>0</v>
      </c>
      <c r="AA90" s="63">
        <f t="shared" si="25"/>
        <v>1.4489999999999998</v>
      </c>
      <c r="AB90" s="63">
        <f t="shared" si="26"/>
        <v>0.42199999999999999</v>
      </c>
      <c r="AC90" s="52"/>
      <c r="AD90" s="52"/>
      <c r="AE90" s="52"/>
      <c r="AF90" s="52"/>
    </row>
    <row r="91" spans="1:32" s="77" customFormat="1" ht="15" customHeight="1">
      <c r="A91" s="82">
        <v>42352</v>
      </c>
      <c r="B91" s="104">
        <f>'114+840'!B92</f>
        <v>45348</v>
      </c>
      <c r="C91" s="75">
        <f t="shared" si="18"/>
        <v>1</v>
      </c>
      <c r="D91" s="74">
        <f t="shared" si="19"/>
        <v>842</v>
      </c>
      <c r="E91" s="73">
        <f>VLOOKUP(B91,'114+840'!B92:AB193,3,FALSE)</f>
        <v>1467</v>
      </c>
      <c r="F91" s="70">
        <f t="shared" si="14"/>
        <v>2309</v>
      </c>
      <c r="G91" s="72">
        <f>VLOOKUP(B91,'114+840'!$B$15:$AB$115,20,FALSE)</f>
        <v>904</v>
      </c>
      <c r="H91" s="72">
        <f>VLOOKUP(B91,'114+840'!$B$15:$AB$115,4,FALSE)</f>
        <v>585</v>
      </c>
      <c r="I91" s="69">
        <f t="shared" si="15"/>
        <v>1724</v>
      </c>
      <c r="J91" s="69">
        <f>VLOOKUP(B91,'114+840'!$B$15:$AB$115,13,FALSE)</f>
        <v>-276</v>
      </c>
      <c r="K91" s="67">
        <f>'114+840'!Q92</f>
        <v>0</v>
      </c>
      <c r="L91" s="66">
        <f t="shared" si="20"/>
        <v>196</v>
      </c>
      <c r="M91" s="71">
        <f>VLOOKUP(B91,'114+840'!$B$14:$AB$115,21,FALSE)</f>
        <v>809</v>
      </c>
      <c r="N91" s="70">
        <f>VLOOKUP(B91,'114+840'!$B$15:$AB$115,5,FALSE)</f>
        <v>500</v>
      </c>
      <c r="O91" s="69">
        <f t="shared" si="16"/>
        <v>1809</v>
      </c>
      <c r="P91" s="69">
        <f>VLOOKUP(B91,'114+840'!$B$15:$AB$115,14,FALSE)</f>
        <v>-191</v>
      </c>
      <c r="Q91" s="67">
        <f>'114+840'!R92</f>
        <v>2</v>
      </c>
      <c r="R91" s="66">
        <f t="shared" si="21"/>
        <v>291</v>
      </c>
      <c r="S91" s="71">
        <f>VLOOKUP(B91,'114+840'!$B$14:$AB$115,22,FALSE)</f>
        <v>917</v>
      </c>
      <c r="T91" s="70">
        <f>VLOOKUP(B91,'114+840'!$B$15:$AB$115,6,FALSE)</f>
        <v>882</v>
      </c>
      <c r="U91" s="69">
        <f t="shared" si="17"/>
        <v>1427</v>
      </c>
      <c r="V91" s="68">
        <f>VLOOKUP(B91,'114+840'!$B$15:$AB$115,15,FALSE)</f>
        <v>-573</v>
      </c>
      <c r="W91" s="67">
        <f>'114+840'!S92</f>
        <v>0</v>
      </c>
      <c r="X91" s="66">
        <f t="shared" si="22"/>
        <v>183</v>
      </c>
      <c r="Y91" s="65">
        <f t="shared" si="23"/>
        <v>0</v>
      </c>
      <c r="Z91" s="64">
        <f t="shared" si="24"/>
        <v>0</v>
      </c>
      <c r="AA91" s="63">
        <f t="shared" si="25"/>
        <v>1.4489999999999998</v>
      </c>
      <c r="AB91" s="63">
        <f t="shared" si="26"/>
        <v>0.41799999999999998</v>
      </c>
      <c r="AC91" s="52"/>
      <c r="AD91" s="52"/>
      <c r="AE91" s="52"/>
      <c r="AF91" s="52"/>
    </row>
    <row r="92" spans="1:32" s="77" customFormat="1" ht="15" customHeight="1">
      <c r="A92" s="82">
        <v>42353</v>
      </c>
      <c r="B92" s="104">
        <f>'114+840'!B93</f>
        <v>45349</v>
      </c>
      <c r="C92" s="75">
        <f t="shared" si="18"/>
        <v>1</v>
      </c>
      <c r="D92" s="74">
        <f t="shared" si="19"/>
        <v>842</v>
      </c>
      <c r="E92" s="73">
        <f>VLOOKUP(B92,'114+840'!B93:AB194,3,FALSE)</f>
        <v>1465</v>
      </c>
      <c r="F92" s="70">
        <f t="shared" si="14"/>
        <v>2307</v>
      </c>
      <c r="G92" s="72">
        <f>VLOOKUP(B92,'114+840'!$B$15:$AB$115,20,FALSE)</f>
        <v>904</v>
      </c>
      <c r="H92" s="72">
        <f>VLOOKUP(B92,'114+840'!$B$15:$AB$115,4,FALSE)</f>
        <v>583</v>
      </c>
      <c r="I92" s="69">
        <f t="shared" si="15"/>
        <v>1724</v>
      </c>
      <c r="J92" s="69">
        <f>VLOOKUP(B92,'114+840'!$B$15:$AB$115,13,FALSE)</f>
        <v>-276</v>
      </c>
      <c r="K92" s="67">
        <f>'114+840'!Q93</f>
        <v>0</v>
      </c>
      <c r="L92" s="66">
        <f t="shared" si="20"/>
        <v>196</v>
      </c>
      <c r="M92" s="71">
        <f>VLOOKUP(B92,'114+840'!$B$14:$AB$115,21,FALSE)</f>
        <v>809</v>
      </c>
      <c r="N92" s="70">
        <f>VLOOKUP(B92,'114+840'!$B$15:$AB$115,5,FALSE)</f>
        <v>498</v>
      </c>
      <c r="O92" s="69">
        <f t="shared" si="16"/>
        <v>1809</v>
      </c>
      <c r="P92" s="69">
        <f>VLOOKUP(B92,'114+840'!$B$15:$AB$115,14,FALSE)</f>
        <v>-191</v>
      </c>
      <c r="Q92" s="67">
        <f>'114+840'!R93</f>
        <v>0</v>
      </c>
      <c r="R92" s="66">
        <f t="shared" si="21"/>
        <v>291</v>
      </c>
      <c r="S92" s="71">
        <f>VLOOKUP(B92,'114+840'!$B$14:$AB$115,22,FALSE)</f>
        <v>917</v>
      </c>
      <c r="T92" s="70">
        <f>VLOOKUP(B92,'114+840'!$B$15:$AB$115,6,FALSE)</f>
        <v>880</v>
      </c>
      <c r="U92" s="69">
        <f t="shared" si="17"/>
        <v>1427</v>
      </c>
      <c r="V92" s="68">
        <f>VLOOKUP(B92,'114+840'!$B$15:$AB$115,15,FALSE)</f>
        <v>-573</v>
      </c>
      <c r="W92" s="67">
        <f>'114+840'!S93</f>
        <v>0</v>
      </c>
      <c r="X92" s="66">
        <f t="shared" si="22"/>
        <v>183</v>
      </c>
      <c r="Y92" s="65">
        <f t="shared" si="23"/>
        <v>0</v>
      </c>
      <c r="Z92" s="64">
        <f t="shared" si="24"/>
        <v>0</v>
      </c>
      <c r="AA92" s="63">
        <f t="shared" si="25"/>
        <v>1.4489999999999998</v>
      </c>
      <c r="AB92" s="63">
        <f t="shared" si="26"/>
        <v>0.41799999999999998</v>
      </c>
      <c r="AC92" s="52"/>
      <c r="AD92" s="52"/>
      <c r="AE92" s="52"/>
      <c r="AF92" s="52"/>
    </row>
    <row r="93" spans="1:32" s="77" customFormat="1" ht="15" customHeight="1" thickBot="1">
      <c r="A93" s="81">
        <v>42353</v>
      </c>
      <c r="B93" s="104">
        <f>'114+840'!B94</f>
        <v>45350</v>
      </c>
      <c r="C93" s="75">
        <f t="shared" si="18"/>
        <v>1</v>
      </c>
      <c r="D93" s="74">
        <f t="shared" si="19"/>
        <v>842</v>
      </c>
      <c r="E93" s="73">
        <f>VLOOKUP(B93,'114+840'!B94:AB195,3,FALSE)</f>
        <v>1463</v>
      </c>
      <c r="F93" s="70">
        <f t="shared" si="14"/>
        <v>2305</v>
      </c>
      <c r="G93" s="72">
        <f>VLOOKUP(B93,'114+840'!$B$15:$AB$115,20,FALSE)</f>
        <v>904</v>
      </c>
      <c r="H93" s="72">
        <f>VLOOKUP(B93,'114+840'!$B$15:$AB$115,4,FALSE)</f>
        <v>581</v>
      </c>
      <c r="I93" s="69">
        <f t="shared" si="15"/>
        <v>1724</v>
      </c>
      <c r="J93" s="69">
        <f>VLOOKUP(B93,'114+840'!$B$15:$AB$115,13,FALSE)</f>
        <v>-276</v>
      </c>
      <c r="K93" s="67">
        <f>'114+840'!Q94</f>
        <v>0</v>
      </c>
      <c r="L93" s="66">
        <f t="shared" si="20"/>
        <v>196</v>
      </c>
      <c r="M93" s="71">
        <f>VLOOKUP(B93,'114+840'!$B$14:$AB$115,21,FALSE)</f>
        <v>809</v>
      </c>
      <c r="N93" s="70">
        <f>VLOOKUP(B93,'114+840'!$B$15:$AB$115,5,FALSE)</f>
        <v>496</v>
      </c>
      <c r="O93" s="69">
        <f t="shared" si="16"/>
        <v>1809</v>
      </c>
      <c r="P93" s="69">
        <f>VLOOKUP(B93,'114+840'!$B$15:$AB$115,14,FALSE)</f>
        <v>-191</v>
      </c>
      <c r="Q93" s="67">
        <f>'114+840'!R94</f>
        <v>0</v>
      </c>
      <c r="R93" s="66">
        <f t="shared" si="21"/>
        <v>291</v>
      </c>
      <c r="S93" s="71">
        <f>VLOOKUP(B93,'114+840'!$B$14:$AB$115,22,FALSE)</f>
        <v>917</v>
      </c>
      <c r="T93" s="70">
        <f>VLOOKUP(B93,'114+840'!$B$15:$AB$115,6,FALSE)</f>
        <v>878</v>
      </c>
      <c r="U93" s="69">
        <f t="shared" si="17"/>
        <v>1427</v>
      </c>
      <c r="V93" s="68">
        <f>VLOOKUP(B93,'114+840'!$B$15:$AB$115,15,FALSE)</f>
        <v>-573</v>
      </c>
      <c r="W93" s="67">
        <f>'114+840'!S94</f>
        <v>0</v>
      </c>
      <c r="X93" s="66">
        <f t="shared" si="22"/>
        <v>183</v>
      </c>
      <c r="Y93" s="65">
        <f t="shared" si="23"/>
        <v>0</v>
      </c>
      <c r="Z93" s="64">
        <f t="shared" si="24"/>
        <v>0</v>
      </c>
      <c r="AA93" s="63">
        <f t="shared" si="25"/>
        <v>1.4489999999999998</v>
      </c>
      <c r="AB93" s="63">
        <f t="shared" si="26"/>
        <v>0.41799999999999998</v>
      </c>
      <c r="AC93" s="52"/>
      <c r="AD93" s="52"/>
      <c r="AE93" s="52"/>
      <c r="AF93" s="52"/>
    </row>
    <row r="94" spans="1:32" s="77" customFormat="1" ht="15" customHeight="1" thickTop="1">
      <c r="A94" s="78"/>
      <c r="B94" s="104">
        <f>'114+840'!B95</f>
        <v>45351</v>
      </c>
      <c r="C94" s="75">
        <f t="shared" si="18"/>
        <v>1</v>
      </c>
      <c r="D94" s="74">
        <f t="shared" si="19"/>
        <v>842</v>
      </c>
      <c r="E94" s="73">
        <f>VLOOKUP(B94,'114+840'!B95:AB196,3,FALSE)</f>
        <v>1461</v>
      </c>
      <c r="F94" s="70">
        <f t="shared" si="14"/>
        <v>2303</v>
      </c>
      <c r="G94" s="72">
        <f>VLOOKUP(B94,'114+840'!$B$15:$AB$115,20,FALSE)</f>
        <v>904</v>
      </c>
      <c r="H94" s="72">
        <f>VLOOKUP(B94,'114+840'!$B$15:$AB$115,4,FALSE)</f>
        <v>579</v>
      </c>
      <c r="I94" s="69">
        <f t="shared" si="15"/>
        <v>1724</v>
      </c>
      <c r="J94" s="69">
        <f>VLOOKUP(B94,'114+840'!$B$15:$AB$115,13,FALSE)</f>
        <v>-276</v>
      </c>
      <c r="K94" s="67">
        <f>'114+840'!Q95</f>
        <v>0</v>
      </c>
      <c r="L94" s="66">
        <f t="shared" si="20"/>
        <v>196</v>
      </c>
      <c r="M94" s="71">
        <f>VLOOKUP(B94,'114+840'!$B$14:$AB$115,21,FALSE)</f>
        <v>809</v>
      </c>
      <c r="N94" s="70">
        <f>VLOOKUP(B94,'114+840'!$B$15:$AB$115,5,FALSE)</f>
        <v>494</v>
      </c>
      <c r="O94" s="69">
        <f t="shared" si="16"/>
        <v>1809</v>
      </c>
      <c r="P94" s="69">
        <f>VLOOKUP(B94,'114+840'!$B$15:$AB$115,14,FALSE)</f>
        <v>-191</v>
      </c>
      <c r="Q94" s="67">
        <f>'114+840'!R95</f>
        <v>0</v>
      </c>
      <c r="R94" s="66">
        <f t="shared" si="21"/>
        <v>291</v>
      </c>
      <c r="S94" s="71">
        <f>VLOOKUP(B94,'114+840'!$B$14:$AB$115,22,FALSE)</f>
        <v>917</v>
      </c>
      <c r="T94" s="70">
        <f>VLOOKUP(B94,'114+840'!$B$15:$AB$115,6,FALSE)</f>
        <v>876</v>
      </c>
      <c r="U94" s="69">
        <f t="shared" si="17"/>
        <v>1427</v>
      </c>
      <c r="V94" s="68">
        <f>VLOOKUP(B94,'114+840'!$B$15:$AB$115,15,FALSE)</f>
        <v>-573</v>
      </c>
      <c r="W94" s="67">
        <f>'114+840'!S95</f>
        <v>0</v>
      </c>
      <c r="X94" s="66">
        <f t="shared" si="22"/>
        <v>183</v>
      </c>
      <c r="Y94" s="65">
        <f t="shared" si="23"/>
        <v>0</v>
      </c>
      <c r="Z94" s="64">
        <f t="shared" si="24"/>
        <v>0</v>
      </c>
      <c r="AA94" s="63">
        <f t="shared" si="25"/>
        <v>1.4489999999999998</v>
      </c>
      <c r="AB94" s="63">
        <f t="shared" si="26"/>
        <v>0.41799999999999998</v>
      </c>
      <c r="AC94" s="52"/>
      <c r="AD94" s="52"/>
      <c r="AE94" s="52"/>
      <c r="AF94" s="52"/>
    </row>
    <row r="95" spans="1:32" s="77" customFormat="1" ht="15" customHeight="1">
      <c r="A95" s="78"/>
      <c r="B95" s="104">
        <f>'114+840'!B96</f>
        <v>45352</v>
      </c>
      <c r="C95" s="75">
        <f t="shared" si="18"/>
        <v>1</v>
      </c>
      <c r="D95" s="74">
        <f t="shared" si="19"/>
        <v>842</v>
      </c>
      <c r="E95" s="73">
        <f>VLOOKUP(B95,'114+840'!B96:AB197,3,FALSE)</f>
        <v>1459</v>
      </c>
      <c r="F95" s="70">
        <f t="shared" si="14"/>
        <v>2301</v>
      </c>
      <c r="G95" s="72">
        <f>VLOOKUP(B95,'114+840'!$B$15:$AB$115,20,FALSE)</f>
        <v>904</v>
      </c>
      <c r="H95" s="72">
        <f>VLOOKUP(B95,'114+840'!$B$15:$AB$115,4,FALSE)</f>
        <v>577</v>
      </c>
      <c r="I95" s="69">
        <f t="shared" si="15"/>
        <v>1724</v>
      </c>
      <c r="J95" s="69">
        <f>VLOOKUP(B95,'114+840'!$B$15:$AB$115,13,FALSE)</f>
        <v>-276</v>
      </c>
      <c r="K95" s="67">
        <f>'114+840'!Q96</f>
        <v>0</v>
      </c>
      <c r="L95" s="66">
        <f t="shared" si="20"/>
        <v>196</v>
      </c>
      <c r="M95" s="71">
        <f>VLOOKUP(B95,'114+840'!$B$14:$AB$115,21,FALSE)</f>
        <v>809</v>
      </c>
      <c r="N95" s="70">
        <f>VLOOKUP(B95,'114+840'!$B$15:$AB$115,5,FALSE)</f>
        <v>492</v>
      </c>
      <c r="O95" s="69">
        <f t="shared" si="16"/>
        <v>1809</v>
      </c>
      <c r="P95" s="69">
        <f>VLOOKUP(B95,'114+840'!$B$15:$AB$115,14,FALSE)</f>
        <v>-191</v>
      </c>
      <c r="Q95" s="67">
        <f>'114+840'!R96</f>
        <v>0</v>
      </c>
      <c r="R95" s="66">
        <f t="shared" si="21"/>
        <v>291</v>
      </c>
      <c r="S95" s="71">
        <f>VLOOKUP(B95,'114+840'!$B$14:$AB$115,22,FALSE)</f>
        <v>917</v>
      </c>
      <c r="T95" s="70">
        <f>VLOOKUP(B95,'114+840'!$B$15:$AB$115,6,FALSE)</f>
        <v>874</v>
      </c>
      <c r="U95" s="69">
        <f t="shared" si="17"/>
        <v>1427</v>
      </c>
      <c r="V95" s="68">
        <f>VLOOKUP(B95,'114+840'!$B$15:$AB$115,15,FALSE)</f>
        <v>-573</v>
      </c>
      <c r="W95" s="67">
        <f>'114+840'!S96</f>
        <v>0</v>
      </c>
      <c r="X95" s="66">
        <f t="shared" si="22"/>
        <v>183</v>
      </c>
      <c r="Y95" s="65">
        <f t="shared" si="23"/>
        <v>0</v>
      </c>
      <c r="Z95" s="64">
        <f t="shared" si="24"/>
        <v>0</v>
      </c>
      <c r="AA95" s="63">
        <f t="shared" si="25"/>
        <v>1.4489999999999998</v>
      </c>
      <c r="AB95" s="63">
        <f t="shared" si="26"/>
        <v>0.41799999999999998</v>
      </c>
      <c r="AC95" s="52"/>
      <c r="AD95" s="52"/>
      <c r="AE95" s="52"/>
      <c r="AF95" s="52"/>
    </row>
    <row r="96" spans="1:32" s="77" customFormat="1" ht="15" customHeight="1">
      <c r="A96" s="78"/>
      <c r="B96" s="104">
        <f>'114+840'!B97</f>
        <v>45353</v>
      </c>
      <c r="C96" s="75">
        <f t="shared" si="18"/>
        <v>1</v>
      </c>
      <c r="D96" s="74">
        <f t="shared" si="19"/>
        <v>842</v>
      </c>
      <c r="E96" s="73">
        <f>VLOOKUP(B96,'114+840'!B97:AB198,3,FALSE)</f>
        <v>1457</v>
      </c>
      <c r="F96" s="70">
        <f t="shared" si="14"/>
        <v>2299</v>
      </c>
      <c r="G96" s="72">
        <f>VLOOKUP(B96,'114+840'!$B$15:$AB$115,20,FALSE)</f>
        <v>904</v>
      </c>
      <c r="H96" s="72">
        <f>VLOOKUP(B96,'114+840'!$B$15:$AB$115,4,FALSE)</f>
        <v>575</v>
      </c>
      <c r="I96" s="69">
        <f t="shared" si="15"/>
        <v>1724</v>
      </c>
      <c r="J96" s="69">
        <f>VLOOKUP(B96,'114+840'!$B$15:$AB$115,13,FALSE)</f>
        <v>-276</v>
      </c>
      <c r="K96" s="67">
        <f>'114+840'!Q97</f>
        <v>0</v>
      </c>
      <c r="L96" s="66">
        <f t="shared" si="20"/>
        <v>196</v>
      </c>
      <c r="M96" s="71">
        <f>VLOOKUP(B96,'114+840'!$B$14:$AB$115,21,FALSE)</f>
        <v>809</v>
      </c>
      <c r="N96" s="70">
        <f>VLOOKUP(B96,'114+840'!$B$15:$AB$115,5,FALSE)</f>
        <v>490</v>
      </c>
      <c r="O96" s="69">
        <f t="shared" si="16"/>
        <v>1809</v>
      </c>
      <c r="P96" s="69">
        <f>VLOOKUP(B96,'114+840'!$B$15:$AB$115,14,FALSE)</f>
        <v>-191</v>
      </c>
      <c r="Q96" s="67">
        <f>'114+840'!R97</f>
        <v>0</v>
      </c>
      <c r="R96" s="66">
        <f t="shared" si="21"/>
        <v>291</v>
      </c>
      <c r="S96" s="71">
        <f>VLOOKUP(B96,'114+840'!$B$14:$AB$115,22,FALSE)</f>
        <v>917</v>
      </c>
      <c r="T96" s="70">
        <f>VLOOKUP(B96,'114+840'!$B$15:$AB$115,6,FALSE)</f>
        <v>872</v>
      </c>
      <c r="U96" s="69">
        <f t="shared" si="17"/>
        <v>1427</v>
      </c>
      <c r="V96" s="68">
        <f>VLOOKUP(B96,'114+840'!$B$15:$AB$115,15,FALSE)</f>
        <v>-573</v>
      </c>
      <c r="W96" s="67">
        <f>'114+840'!S97</f>
        <v>0</v>
      </c>
      <c r="X96" s="66">
        <f t="shared" si="22"/>
        <v>183</v>
      </c>
      <c r="Y96" s="65">
        <f t="shared" si="23"/>
        <v>0</v>
      </c>
      <c r="Z96" s="64">
        <f t="shared" si="24"/>
        <v>0</v>
      </c>
      <c r="AA96" s="63">
        <f t="shared" si="25"/>
        <v>1.4489999999999998</v>
      </c>
      <c r="AB96" s="63">
        <f t="shared" si="26"/>
        <v>0.41799999999999998</v>
      </c>
      <c r="AC96" s="52"/>
      <c r="AD96" s="52"/>
      <c r="AE96" s="52"/>
      <c r="AF96" s="52"/>
    </row>
    <row r="97" spans="1:32" s="79" customFormat="1" ht="15" customHeight="1">
      <c r="A97" s="78"/>
      <c r="B97" s="104">
        <f>'114+840'!B98</f>
        <v>45354</v>
      </c>
      <c r="C97" s="75">
        <f t="shared" si="18"/>
        <v>1</v>
      </c>
      <c r="D97" s="74">
        <f t="shared" si="19"/>
        <v>842</v>
      </c>
      <c r="E97" s="73">
        <f>VLOOKUP(B97,'114+840'!B98:AB199,3,FALSE)</f>
        <v>1455</v>
      </c>
      <c r="F97" s="70">
        <f t="shared" si="14"/>
        <v>2297</v>
      </c>
      <c r="G97" s="72">
        <f>VLOOKUP(B97,'114+840'!$B$15:$AB$115,20,FALSE)</f>
        <v>904</v>
      </c>
      <c r="H97" s="72">
        <f>VLOOKUP(B97,'114+840'!$B$15:$AB$115,4,FALSE)</f>
        <v>573</v>
      </c>
      <c r="I97" s="69">
        <f t="shared" si="15"/>
        <v>1724</v>
      </c>
      <c r="J97" s="69">
        <f>VLOOKUP(B97,'114+840'!$B$15:$AB$115,13,FALSE)</f>
        <v>-276</v>
      </c>
      <c r="K97" s="67">
        <f>'114+840'!Q98</f>
        <v>0</v>
      </c>
      <c r="L97" s="66">
        <f t="shared" si="20"/>
        <v>196</v>
      </c>
      <c r="M97" s="71">
        <f>VLOOKUP(B97,'114+840'!$B$14:$AB$115,21,FALSE)</f>
        <v>809</v>
      </c>
      <c r="N97" s="70">
        <f>VLOOKUP(B97,'114+840'!$B$15:$AB$115,5,FALSE)</f>
        <v>488</v>
      </c>
      <c r="O97" s="69">
        <f t="shared" si="16"/>
        <v>1809</v>
      </c>
      <c r="P97" s="69">
        <f>VLOOKUP(B97,'114+840'!$B$15:$AB$115,14,FALSE)</f>
        <v>-191</v>
      </c>
      <c r="Q97" s="67">
        <f>'114+840'!R98</f>
        <v>0</v>
      </c>
      <c r="R97" s="66">
        <f t="shared" si="21"/>
        <v>291</v>
      </c>
      <c r="S97" s="71">
        <f>VLOOKUP(B97,'114+840'!$B$14:$AB$115,22,FALSE)</f>
        <v>917</v>
      </c>
      <c r="T97" s="70">
        <f>VLOOKUP(B97,'114+840'!$B$15:$AB$115,6,FALSE)</f>
        <v>870</v>
      </c>
      <c r="U97" s="69">
        <f t="shared" si="17"/>
        <v>1427</v>
      </c>
      <c r="V97" s="68">
        <f>VLOOKUP(B97,'114+840'!$B$15:$AB$115,15,FALSE)</f>
        <v>-573</v>
      </c>
      <c r="W97" s="67">
        <f>'114+840'!S98</f>
        <v>0</v>
      </c>
      <c r="X97" s="66">
        <f t="shared" si="22"/>
        <v>183</v>
      </c>
      <c r="Y97" s="65">
        <f t="shared" si="23"/>
        <v>0</v>
      </c>
      <c r="Z97" s="64">
        <f t="shared" si="24"/>
        <v>0</v>
      </c>
      <c r="AA97" s="63">
        <f t="shared" si="25"/>
        <v>1.4489999999999998</v>
      </c>
      <c r="AB97" s="63">
        <f t="shared" si="26"/>
        <v>0.41799999999999998</v>
      </c>
      <c r="AC97" s="80"/>
      <c r="AD97" s="80"/>
      <c r="AE97" s="80"/>
      <c r="AF97" s="80"/>
    </row>
    <row r="98" spans="1:32" s="77" customFormat="1" ht="15" customHeight="1">
      <c r="A98" s="78"/>
      <c r="B98" s="104">
        <f>'114+840'!B99</f>
        <v>45355</v>
      </c>
      <c r="C98" s="75">
        <f t="shared" si="18"/>
        <v>1</v>
      </c>
      <c r="D98" s="74">
        <f t="shared" si="19"/>
        <v>842</v>
      </c>
      <c r="E98" s="73">
        <f>VLOOKUP(B98,'114+840'!B99:AB200,3,FALSE)</f>
        <v>1453</v>
      </c>
      <c r="F98" s="70">
        <f t="shared" si="14"/>
        <v>2295</v>
      </c>
      <c r="G98" s="72">
        <f>VLOOKUP(B98,'114+840'!$B$15:$AB$115,20,FALSE)</f>
        <v>904</v>
      </c>
      <c r="H98" s="72">
        <f>VLOOKUP(B98,'114+840'!$B$15:$AB$115,4,FALSE)</f>
        <v>571</v>
      </c>
      <c r="I98" s="69">
        <f t="shared" si="15"/>
        <v>1724</v>
      </c>
      <c r="J98" s="69">
        <f>VLOOKUP(B98,'114+840'!$B$15:$AB$115,13,FALSE)</f>
        <v>-276</v>
      </c>
      <c r="K98" s="67">
        <f>'114+840'!Q99</f>
        <v>0</v>
      </c>
      <c r="L98" s="66">
        <f t="shared" si="20"/>
        <v>196</v>
      </c>
      <c r="M98" s="71">
        <f>VLOOKUP(B98,'114+840'!$B$14:$AB$115,21,FALSE)</f>
        <v>809</v>
      </c>
      <c r="N98" s="70">
        <f>VLOOKUP(B98,'114+840'!$B$15:$AB$115,5,FALSE)</f>
        <v>486</v>
      </c>
      <c r="O98" s="69">
        <f t="shared" si="16"/>
        <v>1809</v>
      </c>
      <c r="P98" s="69">
        <f>VLOOKUP(B98,'114+840'!$B$15:$AB$115,14,FALSE)</f>
        <v>-191</v>
      </c>
      <c r="Q98" s="67">
        <f>'114+840'!R99</f>
        <v>0</v>
      </c>
      <c r="R98" s="66">
        <f t="shared" si="21"/>
        <v>291</v>
      </c>
      <c r="S98" s="71">
        <f>VLOOKUP(B98,'114+840'!$B$14:$AB$115,22,FALSE)</f>
        <v>917</v>
      </c>
      <c r="T98" s="70">
        <f>VLOOKUP(B98,'114+840'!$B$15:$AB$115,6,FALSE)</f>
        <v>868</v>
      </c>
      <c r="U98" s="69">
        <f t="shared" si="17"/>
        <v>1427</v>
      </c>
      <c r="V98" s="68">
        <f>VLOOKUP(B98,'114+840'!$B$15:$AB$115,15,FALSE)</f>
        <v>-573</v>
      </c>
      <c r="W98" s="67">
        <f>'114+840'!S99</f>
        <v>0</v>
      </c>
      <c r="X98" s="66">
        <f t="shared" si="22"/>
        <v>183</v>
      </c>
      <c r="Y98" s="65">
        <f t="shared" si="23"/>
        <v>0</v>
      </c>
      <c r="Z98" s="64">
        <f t="shared" si="24"/>
        <v>0</v>
      </c>
      <c r="AA98" s="63">
        <f t="shared" si="25"/>
        <v>1.4489999999999998</v>
      </c>
      <c r="AB98" s="63">
        <f t="shared" si="26"/>
        <v>0.41799999999999998</v>
      </c>
      <c r="AC98" s="52"/>
      <c r="AD98" s="52"/>
      <c r="AE98" s="52"/>
      <c r="AF98" s="52"/>
    </row>
    <row r="99" spans="1:32" s="77" customFormat="1" ht="15" customHeight="1">
      <c r="A99" s="78"/>
      <c r="B99" s="104">
        <f>'114+840'!B100</f>
        <v>45356</v>
      </c>
      <c r="C99" s="75">
        <f t="shared" si="18"/>
        <v>1</v>
      </c>
      <c r="D99" s="74">
        <f t="shared" si="19"/>
        <v>842</v>
      </c>
      <c r="E99" s="73">
        <f>VLOOKUP(B99,'114+840'!B100:AB201,3,FALSE)</f>
        <v>1451</v>
      </c>
      <c r="F99" s="70">
        <f t="shared" si="14"/>
        <v>2293</v>
      </c>
      <c r="G99" s="72">
        <f>VLOOKUP(B99,'114+840'!$B$15:$AB$115,20,FALSE)</f>
        <v>904</v>
      </c>
      <c r="H99" s="72">
        <f>VLOOKUP(B99,'114+840'!$B$15:$AB$115,4,FALSE)</f>
        <v>569</v>
      </c>
      <c r="I99" s="69">
        <f t="shared" si="15"/>
        <v>1724</v>
      </c>
      <c r="J99" s="69">
        <f>VLOOKUP(B99,'114+840'!$B$15:$AB$115,13,FALSE)</f>
        <v>-276</v>
      </c>
      <c r="K99" s="67">
        <f>'114+840'!Q100</f>
        <v>0</v>
      </c>
      <c r="L99" s="66">
        <f t="shared" si="20"/>
        <v>196</v>
      </c>
      <c r="M99" s="71">
        <f>VLOOKUP(B99,'114+840'!$B$14:$AB$115,21,FALSE)</f>
        <v>809</v>
      </c>
      <c r="N99" s="70">
        <f>VLOOKUP(B99,'114+840'!$B$15:$AB$115,5,FALSE)</f>
        <v>484</v>
      </c>
      <c r="O99" s="69">
        <f t="shared" si="16"/>
        <v>1809</v>
      </c>
      <c r="P99" s="69">
        <f>VLOOKUP(B99,'114+840'!$B$15:$AB$115,14,FALSE)</f>
        <v>-191</v>
      </c>
      <c r="Q99" s="67">
        <f>'114+840'!R100</f>
        <v>0</v>
      </c>
      <c r="R99" s="66">
        <f t="shared" si="21"/>
        <v>291</v>
      </c>
      <c r="S99" s="71">
        <f>VLOOKUP(B99,'114+840'!$B$14:$AB$115,22,FALSE)</f>
        <v>917</v>
      </c>
      <c r="T99" s="70">
        <f>VLOOKUP(B99,'114+840'!$B$15:$AB$115,6,FALSE)</f>
        <v>866</v>
      </c>
      <c r="U99" s="69">
        <f t="shared" si="17"/>
        <v>1427</v>
      </c>
      <c r="V99" s="68">
        <f>VLOOKUP(B99,'114+840'!$B$15:$AB$115,15,FALSE)</f>
        <v>-573</v>
      </c>
      <c r="W99" s="67">
        <f>'114+840'!S100</f>
        <v>0</v>
      </c>
      <c r="X99" s="66">
        <f t="shared" si="22"/>
        <v>183</v>
      </c>
      <c r="Y99" s="65">
        <f t="shared" si="23"/>
        <v>0</v>
      </c>
      <c r="Z99" s="64">
        <f t="shared" si="24"/>
        <v>0</v>
      </c>
      <c r="AA99" s="63">
        <f t="shared" si="25"/>
        <v>1.4489999999999998</v>
      </c>
      <c r="AB99" s="63">
        <f t="shared" si="26"/>
        <v>0.41799999999999998</v>
      </c>
      <c r="AC99" s="52"/>
      <c r="AD99" s="52"/>
      <c r="AE99" s="52"/>
      <c r="AF99" s="52"/>
    </row>
    <row r="100" spans="1:32" s="77" customFormat="1" ht="15" customHeight="1">
      <c r="A100" s="78"/>
      <c r="B100" s="104">
        <f>'114+840'!B101</f>
        <v>45357</v>
      </c>
      <c r="C100" s="75">
        <f t="shared" si="18"/>
        <v>1</v>
      </c>
      <c r="D100" s="74">
        <f t="shared" si="19"/>
        <v>842</v>
      </c>
      <c r="E100" s="73">
        <f>VLOOKUP(B100,'114+840'!B101:AB202,3,FALSE)</f>
        <v>1449</v>
      </c>
      <c r="F100" s="70">
        <f t="shared" si="14"/>
        <v>2291</v>
      </c>
      <c r="G100" s="72">
        <f>VLOOKUP(B100,'114+840'!$B$15:$AB$115,20,FALSE)</f>
        <v>904</v>
      </c>
      <c r="H100" s="72">
        <f>VLOOKUP(B100,'114+840'!$B$15:$AB$115,4,FALSE)</f>
        <v>567</v>
      </c>
      <c r="I100" s="69">
        <f t="shared" si="15"/>
        <v>1724</v>
      </c>
      <c r="J100" s="69">
        <f>VLOOKUP(B100,'114+840'!$B$15:$AB$115,13,FALSE)</f>
        <v>-276</v>
      </c>
      <c r="K100" s="67">
        <f>'114+840'!Q101</f>
        <v>0</v>
      </c>
      <c r="L100" s="66">
        <f t="shared" si="20"/>
        <v>196</v>
      </c>
      <c r="M100" s="71">
        <f>VLOOKUP(B100,'114+840'!$B$14:$AB$115,21,FALSE)</f>
        <v>809</v>
      </c>
      <c r="N100" s="70">
        <f>VLOOKUP(B100,'114+840'!$B$15:$AB$115,5,FALSE)</f>
        <v>482</v>
      </c>
      <c r="O100" s="69">
        <f t="shared" si="16"/>
        <v>1809</v>
      </c>
      <c r="P100" s="69">
        <f>VLOOKUP(B100,'114+840'!$B$15:$AB$115,14,FALSE)</f>
        <v>-191</v>
      </c>
      <c r="Q100" s="67">
        <f>'114+840'!R101</f>
        <v>0</v>
      </c>
      <c r="R100" s="66">
        <f t="shared" si="21"/>
        <v>291</v>
      </c>
      <c r="S100" s="71">
        <f>VLOOKUP(B100,'114+840'!$B$14:$AB$115,22,FALSE)</f>
        <v>917</v>
      </c>
      <c r="T100" s="70">
        <f>VLOOKUP(B100,'114+840'!$B$15:$AB$115,6,FALSE)</f>
        <v>864</v>
      </c>
      <c r="U100" s="69">
        <f t="shared" si="17"/>
        <v>1427</v>
      </c>
      <c r="V100" s="68">
        <f>VLOOKUP(B100,'114+840'!$B$15:$AB$115,15,FALSE)</f>
        <v>-573</v>
      </c>
      <c r="W100" s="67">
        <f>'114+840'!S101</f>
        <v>0</v>
      </c>
      <c r="X100" s="66">
        <f t="shared" si="22"/>
        <v>183</v>
      </c>
      <c r="Y100" s="65">
        <f t="shared" si="23"/>
        <v>0</v>
      </c>
      <c r="Z100" s="64">
        <f t="shared" si="24"/>
        <v>0</v>
      </c>
      <c r="AA100" s="63">
        <f t="shared" si="25"/>
        <v>1.4489999999999998</v>
      </c>
      <c r="AB100" s="63">
        <f t="shared" si="26"/>
        <v>0.41799999999999998</v>
      </c>
      <c r="AC100" s="52"/>
      <c r="AD100" s="52"/>
      <c r="AE100" s="52"/>
      <c r="AF100" s="52"/>
    </row>
    <row r="101" spans="1:32" s="77" customFormat="1" ht="15" customHeight="1">
      <c r="A101" s="78"/>
      <c r="B101" s="104">
        <f>'114+840'!B102</f>
        <v>45358</v>
      </c>
      <c r="C101" s="75">
        <f t="shared" si="18"/>
        <v>1</v>
      </c>
      <c r="D101" s="74">
        <f t="shared" si="19"/>
        <v>842</v>
      </c>
      <c r="E101" s="73">
        <f>VLOOKUP(B101,'114+840'!B102:AB203,3,FALSE)</f>
        <v>1447</v>
      </c>
      <c r="F101" s="70">
        <f t="shared" si="14"/>
        <v>2289</v>
      </c>
      <c r="G101" s="72">
        <f>VLOOKUP(B101,'114+840'!$B$15:$AB$115,20,FALSE)</f>
        <v>904</v>
      </c>
      <c r="H101" s="72">
        <f>VLOOKUP(B101,'114+840'!$B$15:$AB$115,4,FALSE)</f>
        <v>565</v>
      </c>
      <c r="I101" s="69">
        <f t="shared" si="15"/>
        <v>1724</v>
      </c>
      <c r="J101" s="69">
        <f>VLOOKUP(B101,'114+840'!$B$15:$AB$115,13,FALSE)</f>
        <v>-276</v>
      </c>
      <c r="K101" s="67">
        <f>'114+840'!Q102</f>
        <v>0</v>
      </c>
      <c r="L101" s="66">
        <f t="shared" si="20"/>
        <v>196</v>
      </c>
      <c r="M101" s="71">
        <f>VLOOKUP(B101,'114+840'!$B$14:$AB$115,21,FALSE)</f>
        <v>809</v>
      </c>
      <c r="N101" s="70">
        <f>VLOOKUP(B101,'114+840'!$B$15:$AB$115,5,FALSE)</f>
        <v>480</v>
      </c>
      <c r="O101" s="69">
        <f t="shared" si="16"/>
        <v>1809</v>
      </c>
      <c r="P101" s="69">
        <f>VLOOKUP(B101,'114+840'!$B$15:$AB$115,14,FALSE)</f>
        <v>-191</v>
      </c>
      <c r="Q101" s="67">
        <f>'114+840'!R102</f>
        <v>0</v>
      </c>
      <c r="R101" s="66">
        <f t="shared" si="21"/>
        <v>291</v>
      </c>
      <c r="S101" s="71">
        <f>VLOOKUP(B101,'114+840'!$B$14:$AB$115,22,FALSE)</f>
        <v>917</v>
      </c>
      <c r="T101" s="70">
        <f>VLOOKUP(B101,'114+840'!$B$15:$AB$115,6,FALSE)</f>
        <v>862</v>
      </c>
      <c r="U101" s="69">
        <f t="shared" si="17"/>
        <v>1427</v>
      </c>
      <c r="V101" s="68">
        <f>VLOOKUP(B101,'114+840'!$B$15:$AB$115,15,FALSE)</f>
        <v>-573</v>
      </c>
      <c r="W101" s="67">
        <f>'114+840'!S102</f>
        <v>0</v>
      </c>
      <c r="X101" s="66">
        <f t="shared" si="22"/>
        <v>183</v>
      </c>
      <c r="Y101" s="65">
        <f t="shared" si="23"/>
        <v>0</v>
      </c>
      <c r="Z101" s="64">
        <f t="shared" si="24"/>
        <v>0</v>
      </c>
      <c r="AA101" s="63">
        <f t="shared" si="25"/>
        <v>1.4489999999999998</v>
      </c>
      <c r="AB101" s="63">
        <f t="shared" si="26"/>
        <v>0.41799999999999998</v>
      </c>
      <c r="AC101" s="52"/>
      <c r="AD101" s="52"/>
      <c r="AE101" s="52"/>
      <c r="AF101" s="52"/>
    </row>
    <row r="102" spans="1:32" s="77" customFormat="1" ht="15" customHeight="1">
      <c r="A102" s="78"/>
      <c r="B102" s="104">
        <f>'114+840'!B103</f>
        <v>45359</v>
      </c>
      <c r="C102" s="75">
        <f t="shared" si="18"/>
        <v>1</v>
      </c>
      <c r="D102" s="74">
        <f t="shared" si="19"/>
        <v>842</v>
      </c>
      <c r="E102" s="73">
        <f>VLOOKUP(B102,'114+840'!B103:AB204,3,FALSE)</f>
        <v>1445</v>
      </c>
      <c r="F102" s="70">
        <f t="shared" si="14"/>
        <v>2287</v>
      </c>
      <c r="G102" s="72">
        <f>VLOOKUP(B102,'114+840'!$B$15:$AB$115,20,FALSE)</f>
        <v>904</v>
      </c>
      <c r="H102" s="72">
        <f>VLOOKUP(B102,'114+840'!$B$15:$AB$115,4,FALSE)</f>
        <v>563</v>
      </c>
      <c r="I102" s="69">
        <f t="shared" si="15"/>
        <v>1724</v>
      </c>
      <c r="J102" s="69">
        <f>VLOOKUP(B102,'114+840'!$B$15:$AB$115,13,FALSE)</f>
        <v>-276</v>
      </c>
      <c r="K102" s="67">
        <f>'114+840'!Q103</f>
        <v>0</v>
      </c>
      <c r="L102" s="66">
        <f t="shared" si="20"/>
        <v>196</v>
      </c>
      <c r="M102" s="71">
        <f>VLOOKUP(B102,'114+840'!$B$14:$AB$115,21,FALSE)</f>
        <v>809</v>
      </c>
      <c r="N102" s="70">
        <f>VLOOKUP(B102,'114+840'!$B$15:$AB$115,5,FALSE)</f>
        <v>478</v>
      </c>
      <c r="O102" s="69">
        <f t="shared" si="16"/>
        <v>1809</v>
      </c>
      <c r="P102" s="69">
        <f>VLOOKUP(B102,'114+840'!$B$15:$AB$115,14,FALSE)</f>
        <v>-191</v>
      </c>
      <c r="Q102" s="67">
        <f>'114+840'!R103</f>
        <v>0</v>
      </c>
      <c r="R102" s="66">
        <f t="shared" si="21"/>
        <v>291</v>
      </c>
      <c r="S102" s="71">
        <f>VLOOKUP(B102,'114+840'!$B$14:$AB$115,22,FALSE)</f>
        <v>917</v>
      </c>
      <c r="T102" s="70">
        <f>VLOOKUP(B102,'114+840'!$B$15:$AB$115,6,FALSE)</f>
        <v>860</v>
      </c>
      <c r="U102" s="69">
        <f t="shared" si="17"/>
        <v>1427</v>
      </c>
      <c r="V102" s="68">
        <f>VLOOKUP(B102,'114+840'!$B$15:$AB$115,15,FALSE)</f>
        <v>-573</v>
      </c>
      <c r="W102" s="67">
        <f>'114+840'!S103</f>
        <v>0</v>
      </c>
      <c r="X102" s="66">
        <f t="shared" si="22"/>
        <v>183</v>
      </c>
      <c r="Y102" s="65">
        <f t="shared" si="23"/>
        <v>0</v>
      </c>
      <c r="Z102" s="64">
        <f t="shared" si="24"/>
        <v>0</v>
      </c>
      <c r="AA102" s="63">
        <f t="shared" si="25"/>
        <v>1.4489999999999998</v>
      </c>
      <c r="AB102" s="63">
        <f t="shared" si="26"/>
        <v>0.41799999999999998</v>
      </c>
      <c r="AC102" s="52"/>
      <c r="AD102" s="52"/>
      <c r="AE102" s="52"/>
      <c r="AF102" s="52"/>
    </row>
    <row r="103" spans="1:32" s="77" customFormat="1" ht="15" customHeight="1">
      <c r="A103" s="78"/>
      <c r="B103" s="104">
        <f>'114+840'!B104</f>
        <v>45360</v>
      </c>
      <c r="C103" s="75">
        <f t="shared" si="18"/>
        <v>1</v>
      </c>
      <c r="D103" s="74">
        <f t="shared" si="19"/>
        <v>842</v>
      </c>
      <c r="E103" s="73">
        <f>VLOOKUP(B103,'114+840'!B104:AB205,3,FALSE)</f>
        <v>1443</v>
      </c>
      <c r="F103" s="70">
        <f t="shared" si="14"/>
        <v>2285</v>
      </c>
      <c r="G103" s="72">
        <f>VLOOKUP(B103,'114+840'!$B$15:$AB$115,20,FALSE)</f>
        <v>904</v>
      </c>
      <c r="H103" s="72">
        <f>VLOOKUP(B103,'114+840'!$B$15:$AB$115,4,FALSE)</f>
        <v>561</v>
      </c>
      <c r="I103" s="69">
        <f t="shared" si="15"/>
        <v>1724</v>
      </c>
      <c r="J103" s="69">
        <f>VLOOKUP(B103,'114+840'!$B$15:$AB$115,13,FALSE)</f>
        <v>-276</v>
      </c>
      <c r="K103" s="67">
        <f>'114+840'!Q104</f>
        <v>0</v>
      </c>
      <c r="L103" s="66">
        <f t="shared" si="20"/>
        <v>196</v>
      </c>
      <c r="M103" s="71">
        <f>VLOOKUP(B103,'114+840'!$B$14:$AB$115,21,FALSE)</f>
        <v>809</v>
      </c>
      <c r="N103" s="70">
        <f>VLOOKUP(B103,'114+840'!$B$15:$AB$115,5,FALSE)</f>
        <v>476</v>
      </c>
      <c r="O103" s="69">
        <f t="shared" si="16"/>
        <v>1809</v>
      </c>
      <c r="P103" s="69">
        <f>VLOOKUP(B103,'114+840'!$B$15:$AB$115,14,FALSE)</f>
        <v>-191</v>
      </c>
      <c r="Q103" s="67">
        <f>'114+840'!R104</f>
        <v>0</v>
      </c>
      <c r="R103" s="66">
        <f t="shared" si="21"/>
        <v>291</v>
      </c>
      <c r="S103" s="71">
        <f>VLOOKUP(B103,'114+840'!$B$14:$AB$115,22,FALSE)</f>
        <v>917</v>
      </c>
      <c r="T103" s="70">
        <f>VLOOKUP(B103,'114+840'!$B$15:$AB$115,6,FALSE)</f>
        <v>858</v>
      </c>
      <c r="U103" s="69">
        <f t="shared" si="17"/>
        <v>1427</v>
      </c>
      <c r="V103" s="68">
        <f>VLOOKUP(B103,'114+840'!$B$15:$AB$115,15,FALSE)</f>
        <v>-573</v>
      </c>
      <c r="W103" s="67">
        <f>'114+840'!S104</f>
        <v>0</v>
      </c>
      <c r="X103" s="66">
        <f t="shared" si="22"/>
        <v>183</v>
      </c>
      <c r="Y103" s="65">
        <f t="shared" si="23"/>
        <v>0</v>
      </c>
      <c r="Z103" s="64">
        <f t="shared" si="24"/>
        <v>0</v>
      </c>
      <c r="AA103" s="63">
        <f t="shared" si="25"/>
        <v>1.4489999999999998</v>
      </c>
      <c r="AB103" s="63">
        <f t="shared" si="26"/>
        <v>0.41799999999999998</v>
      </c>
      <c r="AC103" s="52"/>
      <c r="AD103" s="52"/>
      <c r="AE103" s="52"/>
      <c r="AF103" s="52"/>
    </row>
    <row r="104" spans="1:32" s="77" customFormat="1" ht="15" customHeight="1">
      <c r="A104" s="78"/>
      <c r="B104" s="104">
        <f>'114+840'!B105</f>
        <v>45361</v>
      </c>
      <c r="C104" s="75">
        <f t="shared" si="18"/>
        <v>1</v>
      </c>
      <c r="D104" s="74">
        <f t="shared" si="19"/>
        <v>842</v>
      </c>
      <c r="E104" s="73">
        <f>VLOOKUP(B104,'114+840'!B105:AB206,3,FALSE)</f>
        <v>1441</v>
      </c>
      <c r="F104" s="70">
        <f t="shared" si="14"/>
        <v>2283</v>
      </c>
      <c r="G104" s="72">
        <f>VLOOKUP(B104,'114+840'!$B$15:$AB$115,20,FALSE)</f>
        <v>904</v>
      </c>
      <c r="H104" s="72">
        <f>VLOOKUP(B104,'114+840'!$B$15:$AB$115,4,FALSE)</f>
        <v>559</v>
      </c>
      <c r="I104" s="69">
        <f t="shared" si="15"/>
        <v>1724</v>
      </c>
      <c r="J104" s="69">
        <f>VLOOKUP(B104,'114+840'!$B$15:$AB$115,13,FALSE)</f>
        <v>-276</v>
      </c>
      <c r="K104" s="67">
        <f>'114+840'!Q105</f>
        <v>0</v>
      </c>
      <c r="L104" s="66">
        <f t="shared" si="20"/>
        <v>196</v>
      </c>
      <c r="M104" s="71">
        <f>VLOOKUP(B104,'114+840'!$B$14:$AB$115,21,FALSE)</f>
        <v>809</v>
      </c>
      <c r="N104" s="70">
        <f>VLOOKUP(B104,'114+840'!$B$15:$AB$115,5,FALSE)</f>
        <v>474</v>
      </c>
      <c r="O104" s="69">
        <f t="shared" si="16"/>
        <v>1809</v>
      </c>
      <c r="P104" s="69">
        <f>VLOOKUP(B104,'114+840'!$B$15:$AB$115,14,FALSE)</f>
        <v>-191</v>
      </c>
      <c r="Q104" s="67">
        <f>'114+840'!R105</f>
        <v>0</v>
      </c>
      <c r="R104" s="66">
        <f t="shared" si="21"/>
        <v>291</v>
      </c>
      <c r="S104" s="71">
        <f>VLOOKUP(B104,'114+840'!$B$14:$AB$115,22,FALSE)</f>
        <v>917</v>
      </c>
      <c r="T104" s="70">
        <f>VLOOKUP(B104,'114+840'!$B$15:$AB$115,6,FALSE)</f>
        <v>856</v>
      </c>
      <c r="U104" s="69">
        <f t="shared" si="17"/>
        <v>1427</v>
      </c>
      <c r="V104" s="68">
        <f>VLOOKUP(B104,'114+840'!$B$15:$AB$115,15,FALSE)</f>
        <v>-573</v>
      </c>
      <c r="W104" s="67">
        <f>'114+840'!S105</f>
        <v>0</v>
      </c>
      <c r="X104" s="66">
        <f t="shared" si="22"/>
        <v>183</v>
      </c>
      <c r="Y104" s="65">
        <f t="shared" si="23"/>
        <v>0</v>
      </c>
      <c r="Z104" s="64">
        <f t="shared" si="24"/>
        <v>0</v>
      </c>
      <c r="AA104" s="63">
        <f t="shared" si="25"/>
        <v>1.4489999999999998</v>
      </c>
      <c r="AB104" s="63">
        <f t="shared" si="26"/>
        <v>0.41799999999999998</v>
      </c>
      <c r="AC104" s="52"/>
      <c r="AD104" s="52"/>
      <c r="AE104" s="52"/>
      <c r="AF104" s="52"/>
    </row>
    <row r="105" spans="1:32" s="77" customFormat="1" ht="15" customHeight="1">
      <c r="A105" s="78"/>
      <c r="B105" s="104">
        <f>'114+840'!B106</f>
        <v>45362</v>
      </c>
      <c r="C105" s="75">
        <f t="shared" si="18"/>
        <v>1</v>
      </c>
      <c r="D105" s="74">
        <f t="shared" si="19"/>
        <v>842</v>
      </c>
      <c r="E105" s="73">
        <f>VLOOKUP(B105,'114+840'!B106:AB207,3,FALSE)</f>
        <v>1439</v>
      </c>
      <c r="F105" s="70">
        <f t="shared" si="14"/>
        <v>2281</v>
      </c>
      <c r="G105" s="72">
        <f>VLOOKUP(B105,'114+840'!$B$15:$AB$115,20,FALSE)</f>
        <v>904</v>
      </c>
      <c r="H105" s="72">
        <f>VLOOKUP(B105,'114+840'!$B$15:$AB$115,4,FALSE)</f>
        <v>557</v>
      </c>
      <c r="I105" s="69">
        <f t="shared" si="15"/>
        <v>1724</v>
      </c>
      <c r="J105" s="69">
        <f>VLOOKUP(B105,'114+840'!$B$15:$AB$115,13,FALSE)</f>
        <v>-276</v>
      </c>
      <c r="K105" s="67">
        <f>'114+840'!Q106</f>
        <v>0</v>
      </c>
      <c r="L105" s="66">
        <f t="shared" si="20"/>
        <v>196</v>
      </c>
      <c r="M105" s="71">
        <f>VLOOKUP(B105,'114+840'!$B$14:$AB$115,21,FALSE)</f>
        <v>809</v>
      </c>
      <c r="N105" s="70">
        <f>VLOOKUP(B105,'114+840'!$B$15:$AB$115,5,FALSE)</f>
        <v>472</v>
      </c>
      <c r="O105" s="69">
        <f t="shared" si="16"/>
        <v>1809</v>
      </c>
      <c r="P105" s="69">
        <f>VLOOKUP(B105,'114+840'!$B$15:$AB$115,14,FALSE)</f>
        <v>-191</v>
      </c>
      <c r="Q105" s="67">
        <f>'114+840'!R106</f>
        <v>0</v>
      </c>
      <c r="R105" s="66">
        <f t="shared" si="21"/>
        <v>291</v>
      </c>
      <c r="S105" s="71">
        <f>VLOOKUP(B105,'114+840'!$B$14:$AB$115,22,FALSE)</f>
        <v>917</v>
      </c>
      <c r="T105" s="70">
        <f>VLOOKUP(B105,'114+840'!$B$15:$AB$115,6,FALSE)</f>
        <v>854</v>
      </c>
      <c r="U105" s="69">
        <f t="shared" si="17"/>
        <v>1427</v>
      </c>
      <c r="V105" s="68">
        <f>VLOOKUP(B105,'114+840'!$B$15:$AB$115,15,FALSE)</f>
        <v>-573</v>
      </c>
      <c r="W105" s="67">
        <f>'114+840'!S106</f>
        <v>0</v>
      </c>
      <c r="X105" s="66">
        <f t="shared" si="22"/>
        <v>183</v>
      </c>
      <c r="Y105" s="65">
        <f t="shared" si="23"/>
        <v>0</v>
      </c>
      <c r="Z105" s="64">
        <f t="shared" si="24"/>
        <v>0</v>
      </c>
      <c r="AA105" s="63">
        <f t="shared" si="25"/>
        <v>1.4489999999999998</v>
      </c>
      <c r="AB105" s="63">
        <f t="shared" si="26"/>
        <v>0.41799999999999998</v>
      </c>
      <c r="AC105" s="52"/>
      <c r="AD105" s="52"/>
      <c r="AE105" s="52"/>
      <c r="AF105" s="52"/>
    </row>
    <row r="106" spans="1:32" s="77" customFormat="1" ht="15" customHeight="1">
      <c r="A106" s="78"/>
      <c r="B106" s="104">
        <f>'114+840'!B107</f>
        <v>45363</v>
      </c>
      <c r="C106" s="75">
        <f t="shared" si="18"/>
        <v>1</v>
      </c>
      <c r="D106" s="74">
        <f t="shared" si="19"/>
        <v>842</v>
      </c>
      <c r="E106" s="73">
        <f>VLOOKUP(B106,'114+840'!B107:AB208,3,FALSE)</f>
        <v>1437</v>
      </c>
      <c r="F106" s="70">
        <f t="shared" si="14"/>
        <v>2279</v>
      </c>
      <c r="G106" s="72">
        <f>VLOOKUP(B106,'114+840'!$B$15:$AB$115,20,FALSE)</f>
        <v>904</v>
      </c>
      <c r="H106" s="72">
        <f>VLOOKUP(B106,'114+840'!$B$15:$AB$115,4,FALSE)</f>
        <v>555</v>
      </c>
      <c r="I106" s="69">
        <f t="shared" si="15"/>
        <v>1724</v>
      </c>
      <c r="J106" s="69">
        <f>VLOOKUP(B106,'114+840'!$B$15:$AB$115,13,FALSE)</f>
        <v>-276</v>
      </c>
      <c r="K106" s="67">
        <f>'114+840'!Q107</f>
        <v>0</v>
      </c>
      <c r="L106" s="66">
        <f t="shared" si="20"/>
        <v>196</v>
      </c>
      <c r="M106" s="71">
        <f>VLOOKUP(B106,'114+840'!$B$14:$AB$115,21,FALSE)</f>
        <v>809</v>
      </c>
      <c r="N106" s="70">
        <f>VLOOKUP(B106,'114+840'!$B$15:$AB$115,5,FALSE)</f>
        <v>470</v>
      </c>
      <c r="O106" s="69">
        <f t="shared" si="16"/>
        <v>1809</v>
      </c>
      <c r="P106" s="69">
        <f>VLOOKUP(B106,'114+840'!$B$15:$AB$115,14,FALSE)</f>
        <v>-191</v>
      </c>
      <c r="Q106" s="67">
        <f>'114+840'!R107</f>
        <v>0</v>
      </c>
      <c r="R106" s="66">
        <f t="shared" si="21"/>
        <v>291</v>
      </c>
      <c r="S106" s="71">
        <f>VLOOKUP(B106,'114+840'!$B$14:$AB$115,22,FALSE)</f>
        <v>917</v>
      </c>
      <c r="T106" s="70">
        <f>VLOOKUP(B106,'114+840'!$B$15:$AB$115,6,FALSE)</f>
        <v>852</v>
      </c>
      <c r="U106" s="69">
        <f t="shared" si="17"/>
        <v>1427</v>
      </c>
      <c r="V106" s="68">
        <f>VLOOKUP(B106,'114+840'!$B$15:$AB$115,15,FALSE)</f>
        <v>-573</v>
      </c>
      <c r="W106" s="67">
        <f>'114+840'!S107</f>
        <v>0</v>
      </c>
      <c r="X106" s="66">
        <f t="shared" si="22"/>
        <v>183</v>
      </c>
      <c r="Y106" s="65">
        <f t="shared" si="23"/>
        <v>0</v>
      </c>
      <c r="Z106" s="64">
        <f t="shared" si="24"/>
        <v>0</v>
      </c>
      <c r="AA106" s="63">
        <f t="shared" si="25"/>
        <v>1.4489999999999998</v>
      </c>
      <c r="AB106" s="63">
        <f t="shared" si="26"/>
        <v>0.41799999999999998</v>
      </c>
      <c r="AC106" s="52"/>
      <c r="AD106" s="52"/>
      <c r="AE106" s="52"/>
      <c r="AF106" s="52"/>
    </row>
    <row r="107" spans="1:32" s="77" customFormat="1" ht="15" customHeight="1">
      <c r="A107" s="78"/>
      <c r="B107" s="104">
        <f>'114+840'!B108</f>
        <v>45364</v>
      </c>
      <c r="C107" s="75">
        <f t="shared" si="18"/>
        <v>1</v>
      </c>
      <c r="D107" s="74">
        <f t="shared" si="19"/>
        <v>842</v>
      </c>
      <c r="E107" s="73">
        <f>VLOOKUP(B107,'114+840'!B108:AB209,3,FALSE)</f>
        <v>1435</v>
      </c>
      <c r="F107" s="70">
        <f t="shared" si="14"/>
        <v>2277</v>
      </c>
      <c r="G107" s="72">
        <f>VLOOKUP(B107,'114+840'!$B$15:$AB$115,20,FALSE)</f>
        <v>904</v>
      </c>
      <c r="H107" s="72">
        <f>VLOOKUP(B107,'114+840'!$B$15:$AB$115,4,FALSE)</f>
        <v>553</v>
      </c>
      <c r="I107" s="69">
        <f t="shared" si="15"/>
        <v>1724</v>
      </c>
      <c r="J107" s="69">
        <f>VLOOKUP(B107,'114+840'!$B$15:$AB$115,13,FALSE)</f>
        <v>-276</v>
      </c>
      <c r="K107" s="67">
        <f>'114+840'!Q108</f>
        <v>0</v>
      </c>
      <c r="L107" s="66">
        <f t="shared" si="20"/>
        <v>196</v>
      </c>
      <c r="M107" s="71">
        <f>VLOOKUP(B107,'114+840'!$B$14:$AB$115,21,FALSE)</f>
        <v>809</v>
      </c>
      <c r="N107" s="70">
        <f>VLOOKUP(B107,'114+840'!$B$15:$AB$115,5,FALSE)</f>
        <v>468</v>
      </c>
      <c r="O107" s="69">
        <f t="shared" si="16"/>
        <v>1809</v>
      </c>
      <c r="P107" s="69">
        <f>VLOOKUP(B107,'114+840'!$B$15:$AB$115,14,FALSE)</f>
        <v>-191</v>
      </c>
      <c r="Q107" s="67">
        <f>'114+840'!R108</f>
        <v>0</v>
      </c>
      <c r="R107" s="66">
        <f t="shared" si="21"/>
        <v>291</v>
      </c>
      <c r="S107" s="71">
        <f>VLOOKUP(B107,'114+840'!$B$14:$AB$115,22,FALSE)</f>
        <v>917</v>
      </c>
      <c r="T107" s="70">
        <f>VLOOKUP(B107,'114+840'!$B$15:$AB$115,6,FALSE)</f>
        <v>850</v>
      </c>
      <c r="U107" s="69">
        <f t="shared" si="17"/>
        <v>1427</v>
      </c>
      <c r="V107" s="68">
        <f>VLOOKUP(B107,'114+840'!$B$15:$AB$115,15,FALSE)</f>
        <v>-573</v>
      </c>
      <c r="W107" s="67">
        <f>'114+840'!S108</f>
        <v>0</v>
      </c>
      <c r="X107" s="66">
        <f t="shared" si="22"/>
        <v>183</v>
      </c>
      <c r="Y107" s="65">
        <f t="shared" si="23"/>
        <v>0</v>
      </c>
      <c r="Z107" s="64">
        <f t="shared" si="24"/>
        <v>0</v>
      </c>
      <c r="AA107" s="63">
        <f t="shared" si="25"/>
        <v>1.4489999999999998</v>
      </c>
      <c r="AB107" s="63">
        <f t="shared" si="26"/>
        <v>0.41799999999999998</v>
      </c>
      <c r="AC107" s="52"/>
      <c r="AD107" s="52"/>
      <c r="AE107" s="52"/>
      <c r="AF107" s="52"/>
    </row>
    <row r="108" spans="1:32" s="77" customFormat="1" ht="15" customHeight="1">
      <c r="A108" s="78"/>
      <c r="B108" s="104">
        <f>'114+840'!B109</f>
        <v>45365</v>
      </c>
      <c r="C108" s="75">
        <f t="shared" si="18"/>
        <v>1</v>
      </c>
      <c r="D108" s="74">
        <f t="shared" si="19"/>
        <v>842</v>
      </c>
      <c r="E108" s="73">
        <f>VLOOKUP(B108,'114+840'!B109:AB210,3,FALSE)</f>
        <v>1433</v>
      </c>
      <c r="F108" s="70">
        <f t="shared" si="14"/>
        <v>2275</v>
      </c>
      <c r="G108" s="72">
        <f>VLOOKUP(B108,'114+840'!$B$15:$AB$115,20,FALSE)</f>
        <v>904</v>
      </c>
      <c r="H108" s="72">
        <f>VLOOKUP(B108,'114+840'!$B$15:$AB$115,4,FALSE)</f>
        <v>551</v>
      </c>
      <c r="I108" s="69">
        <f t="shared" si="15"/>
        <v>1724</v>
      </c>
      <c r="J108" s="69">
        <f>VLOOKUP(B108,'114+840'!$B$15:$AB$115,13,FALSE)</f>
        <v>-276</v>
      </c>
      <c r="K108" s="67">
        <f>'114+840'!Q109</f>
        <v>0</v>
      </c>
      <c r="L108" s="66">
        <f t="shared" si="20"/>
        <v>196</v>
      </c>
      <c r="M108" s="71">
        <f>VLOOKUP(B108,'114+840'!$B$14:$AB$115,21,FALSE)</f>
        <v>809</v>
      </c>
      <c r="N108" s="70">
        <f>VLOOKUP(B108,'114+840'!$B$15:$AB$115,5,FALSE)</f>
        <v>466</v>
      </c>
      <c r="O108" s="69">
        <f t="shared" si="16"/>
        <v>1809</v>
      </c>
      <c r="P108" s="69">
        <f>VLOOKUP(B108,'114+840'!$B$15:$AB$115,14,FALSE)</f>
        <v>-191</v>
      </c>
      <c r="Q108" s="67">
        <f>'114+840'!R109</f>
        <v>0</v>
      </c>
      <c r="R108" s="66">
        <f t="shared" si="21"/>
        <v>291</v>
      </c>
      <c r="S108" s="71">
        <f>VLOOKUP(B108,'114+840'!$B$14:$AB$115,22,FALSE)</f>
        <v>917</v>
      </c>
      <c r="T108" s="70">
        <f>VLOOKUP(B108,'114+840'!$B$15:$AB$115,6,FALSE)</f>
        <v>848</v>
      </c>
      <c r="U108" s="69">
        <f t="shared" si="17"/>
        <v>1427</v>
      </c>
      <c r="V108" s="68">
        <f>VLOOKUP(B108,'114+840'!$B$15:$AB$115,15,FALSE)</f>
        <v>-573</v>
      </c>
      <c r="W108" s="67">
        <f>'114+840'!S109</f>
        <v>0</v>
      </c>
      <c r="X108" s="66">
        <f t="shared" si="22"/>
        <v>183</v>
      </c>
      <c r="Y108" s="65">
        <f t="shared" si="23"/>
        <v>0</v>
      </c>
      <c r="Z108" s="64">
        <f t="shared" si="24"/>
        <v>0</v>
      </c>
      <c r="AA108" s="63">
        <f t="shared" si="25"/>
        <v>1.4489999999999998</v>
      </c>
      <c r="AB108" s="63">
        <f t="shared" si="26"/>
        <v>0.41799999999999998</v>
      </c>
      <c r="AC108" s="52"/>
      <c r="AD108" s="52"/>
      <c r="AE108" s="52"/>
      <c r="AF108" s="52"/>
    </row>
    <row r="109" spans="1:32" s="77" customFormat="1" ht="15" customHeight="1">
      <c r="A109" s="78"/>
      <c r="B109" s="104">
        <f>'114+840'!B110</f>
        <v>45366</v>
      </c>
      <c r="C109" s="75">
        <f t="shared" si="18"/>
        <v>1</v>
      </c>
      <c r="D109" s="74">
        <f t="shared" si="19"/>
        <v>842</v>
      </c>
      <c r="E109" s="73">
        <f>VLOOKUP(B109,'114+840'!B110:AB211,3,FALSE)</f>
        <v>1431</v>
      </c>
      <c r="F109" s="70">
        <f t="shared" si="14"/>
        <v>2273</v>
      </c>
      <c r="G109" s="72">
        <f>VLOOKUP(B109,'114+840'!$B$15:$AB$115,20,FALSE)</f>
        <v>904</v>
      </c>
      <c r="H109" s="72">
        <f>VLOOKUP(B109,'114+840'!$B$15:$AB$115,4,FALSE)</f>
        <v>549</v>
      </c>
      <c r="I109" s="69">
        <f t="shared" si="15"/>
        <v>1724</v>
      </c>
      <c r="J109" s="69">
        <f>VLOOKUP(B109,'114+840'!$B$15:$AB$115,13,FALSE)</f>
        <v>-276</v>
      </c>
      <c r="K109" s="67">
        <f>'114+840'!Q110</f>
        <v>0</v>
      </c>
      <c r="L109" s="66">
        <f t="shared" si="20"/>
        <v>196</v>
      </c>
      <c r="M109" s="71">
        <f>VLOOKUP(B109,'114+840'!$B$14:$AB$115,21,FALSE)</f>
        <v>809</v>
      </c>
      <c r="N109" s="70">
        <f>VLOOKUP(B109,'114+840'!$B$15:$AB$115,5,FALSE)</f>
        <v>464</v>
      </c>
      <c r="O109" s="69">
        <f t="shared" si="16"/>
        <v>1809</v>
      </c>
      <c r="P109" s="69">
        <f>VLOOKUP(B109,'114+840'!$B$15:$AB$115,14,FALSE)</f>
        <v>-191</v>
      </c>
      <c r="Q109" s="67">
        <f>'114+840'!R110</f>
        <v>0</v>
      </c>
      <c r="R109" s="66">
        <f t="shared" si="21"/>
        <v>291</v>
      </c>
      <c r="S109" s="71">
        <f>VLOOKUP(B109,'114+840'!$B$14:$AB$115,22,FALSE)</f>
        <v>917</v>
      </c>
      <c r="T109" s="70">
        <f>VLOOKUP(B109,'114+840'!$B$15:$AB$115,6,FALSE)</f>
        <v>846</v>
      </c>
      <c r="U109" s="69">
        <f t="shared" si="17"/>
        <v>1427</v>
      </c>
      <c r="V109" s="68">
        <f>VLOOKUP(B109,'114+840'!$B$15:$AB$115,15,FALSE)</f>
        <v>-573</v>
      </c>
      <c r="W109" s="67">
        <f>'114+840'!S110</f>
        <v>0</v>
      </c>
      <c r="X109" s="66">
        <f t="shared" si="22"/>
        <v>183</v>
      </c>
      <c r="Y109" s="65">
        <f t="shared" si="23"/>
        <v>0</v>
      </c>
      <c r="Z109" s="64">
        <f t="shared" si="24"/>
        <v>0</v>
      </c>
      <c r="AA109" s="63">
        <f t="shared" si="25"/>
        <v>1.4489999999999998</v>
      </c>
      <c r="AB109" s="63">
        <f t="shared" si="26"/>
        <v>0.41799999999999998</v>
      </c>
      <c r="AC109" s="52"/>
      <c r="AD109" s="52"/>
      <c r="AE109" s="52"/>
      <c r="AF109" s="52"/>
    </row>
    <row r="110" spans="1:32" s="77" customFormat="1" ht="15" customHeight="1">
      <c r="A110" s="78"/>
      <c r="B110" s="104">
        <f>'114+840'!B111</f>
        <v>45367</v>
      </c>
      <c r="C110" s="75">
        <f t="shared" si="18"/>
        <v>1</v>
      </c>
      <c r="D110" s="74">
        <f t="shared" si="19"/>
        <v>842</v>
      </c>
      <c r="E110" s="73">
        <f>VLOOKUP(B110,'114+840'!B111:AB212,3,FALSE)</f>
        <v>1429</v>
      </c>
      <c r="F110" s="70">
        <f t="shared" si="14"/>
        <v>2271</v>
      </c>
      <c r="G110" s="72">
        <f>VLOOKUP(B110,'114+840'!$B$15:$AB$115,20,FALSE)</f>
        <v>904</v>
      </c>
      <c r="H110" s="72">
        <f>VLOOKUP(B110,'114+840'!$B$15:$AB$115,4,FALSE)</f>
        <v>547</v>
      </c>
      <c r="I110" s="69">
        <f t="shared" si="15"/>
        <v>1724</v>
      </c>
      <c r="J110" s="69">
        <f>VLOOKUP(B110,'114+840'!$B$15:$AB$115,13,FALSE)</f>
        <v>-276</v>
      </c>
      <c r="K110" s="67">
        <f>'114+840'!Q111</f>
        <v>0</v>
      </c>
      <c r="L110" s="66">
        <f t="shared" si="20"/>
        <v>196</v>
      </c>
      <c r="M110" s="71">
        <f>VLOOKUP(B110,'114+840'!$B$14:$AB$115,21,FALSE)</f>
        <v>809</v>
      </c>
      <c r="N110" s="70">
        <f>VLOOKUP(B110,'114+840'!$B$15:$AB$115,5,FALSE)</f>
        <v>462</v>
      </c>
      <c r="O110" s="69">
        <f t="shared" si="16"/>
        <v>1809</v>
      </c>
      <c r="P110" s="69">
        <f>VLOOKUP(B110,'114+840'!$B$15:$AB$115,14,FALSE)</f>
        <v>-191</v>
      </c>
      <c r="Q110" s="67">
        <f>'114+840'!R111</f>
        <v>0</v>
      </c>
      <c r="R110" s="66">
        <f t="shared" si="21"/>
        <v>291</v>
      </c>
      <c r="S110" s="71">
        <f>VLOOKUP(B110,'114+840'!$B$14:$AB$115,22,FALSE)</f>
        <v>917</v>
      </c>
      <c r="T110" s="70">
        <f>VLOOKUP(B110,'114+840'!$B$15:$AB$115,6,FALSE)</f>
        <v>844</v>
      </c>
      <c r="U110" s="69">
        <f t="shared" si="17"/>
        <v>1427</v>
      </c>
      <c r="V110" s="68">
        <f>VLOOKUP(B110,'114+840'!$B$15:$AB$115,15,FALSE)</f>
        <v>-573</v>
      </c>
      <c r="W110" s="67">
        <f>'114+840'!S111</f>
        <v>0</v>
      </c>
      <c r="X110" s="66">
        <f t="shared" si="22"/>
        <v>183</v>
      </c>
      <c r="Y110" s="65">
        <f t="shared" si="23"/>
        <v>0</v>
      </c>
      <c r="Z110" s="64">
        <f t="shared" si="24"/>
        <v>0</v>
      </c>
      <c r="AA110" s="63">
        <f t="shared" si="25"/>
        <v>1.4489999999999998</v>
      </c>
      <c r="AB110" s="63">
        <f t="shared" si="26"/>
        <v>0.41799999999999998</v>
      </c>
      <c r="AC110" s="52"/>
      <c r="AD110" s="52"/>
      <c r="AE110" s="52"/>
      <c r="AF110" s="52"/>
    </row>
    <row r="111" spans="1:32" s="77" customFormat="1" ht="15" customHeight="1">
      <c r="A111" s="78"/>
      <c r="B111" s="104">
        <f>'114+840'!B112</f>
        <v>45368</v>
      </c>
      <c r="C111" s="75">
        <f t="shared" si="18"/>
        <v>1</v>
      </c>
      <c r="D111" s="74">
        <f t="shared" si="19"/>
        <v>842</v>
      </c>
      <c r="E111" s="73">
        <f>VLOOKUP(B111,'114+840'!B112:AB213,3,FALSE)</f>
        <v>1427</v>
      </c>
      <c r="F111" s="70">
        <f t="shared" si="14"/>
        <v>2269</v>
      </c>
      <c r="G111" s="72">
        <f>VLOOKUP(B111,'114+840'!$B$15:$AB$115,20,FALSE)</f>
        <v>904</v>
      </c>
      <c r="H111" s="72">
        <f>VLOOKUP(B111,'114+840'!$B$15:$AB$115,4,FALSE)</f>
        <v>545</v>
      </c>
      <c r="I111" s="69">
        <f t="shared" si="15"/>
        <v>1724</v>
      </c>
      <c r="J111" s="69">
        <f>VLOOKUP(B111,'114+840'!$B$15:$AB$115,13,FALSE)</f>
        <v>-276</v>
      </c>
      <c r="K111" s="67">
        <f>'114+840'!Q112</f>
        <v>0</v>
      </c>
      <c r="L111" s="66">
        <f t="shared" si="20"/>
        <v>196</v>
      </c>
      <c r="M111" s="71">
        <f>VLOOKUP(B111,'114+840'!$B$14:$AB$115,21,FALSE)</f>
        <v>809</v>
      </c>
      <c r="N111" s="70">
        <f>VLOOKUP(B111,'114+840'!$B$15:$AB$115,5,FALSE)</f>
        <v>460</v>
      </c>
      <c r="O111" s="69">
        <f t="shared" si="16"/>
        <v>1809</v>
      </c>
      <c r="P111" s="69">
        <f>VLOOKUP(B111,'114+840'!$B$15:$AB$115,14,FALSE)</f>
        <v>-191</v>
      </c>
      <c r="Q111" s="67">
        <f>'114+840'!R112</f>
        <v>0</v>
      </c>
      <c r="R111" s="66">
        <f t="shared" si="21"/>
        <v>291</v>
      </c>
      <c r="S111" s="71">
        <f>VLOOKUP(B111,'114+840'!$B$14:$AB$115,22,FALSE)</f>
        <v>917</v>
      </c>
      <c r="T111" s="70">
        <f>VLOOKUP(B111,'114+840'!$B$15:$AB$115,6,FALSE)</f>
        <v>842</v>
      </c>
      <c r="U111" s="69">
        <f t="shared" si="17"/>
        <v>1427</v>
      </c>
      <c r="V111" s="68">
        <f>VLOOKUP(B111,'114+840'!$B$15:$AB$115,15,FALSE)</f>
        <v>-573</v>
      </c>
      <c r="W111" s="67">
        <f>'114+840'!S112</f>
        <v>0</v>
      </c>
      <c r="X111" s="66">
        <f t="shared" si="22"/>
        <v>183</v>
      </c>
      <c r="Y111" s="65">
        <f t="shared" si="23"/>
        <v>0</v>
      </c>
      <c r="Z111" s="64">
        <f t="shared" si="24"/>
        <v>0</v>
      </c>
      <c r="AA111" s="63">
        <f t="shared" si="25"/>
        <v>1.4489999999999998</v>
      </c>
      <c r="AB111" s="63">
        <f t="shared" si="26"/>
        <v>0.41799999999999998</v>
      </c>
      <c r="AC111" s="52"/>
      <c r="AD111" s="52"/>
      <c r="AE111" s="52"/>
      <c r="AF111" s="52"/>
    </row>
    <row r="112" spans="1:32" s="77" customFormat="1" ht="15" customHeight="1">
      <c r="A112" s="78"/>
      <c r="B112" s="104">
        <f>'114+840'!B113</f>
        <v>45369</v>
      </c>
      <c r="C112" s="75">
        <f t="shared" si="18"/>
        <v>1</v>
      </c>
      <c r="D112" s="74">
        <f t="shared" si="19"/>
        <v>842</v>
      </c>
      <c r="E112" s="73">
        <f>VLOOKUP(B112,'114+840'!B113:AB214,3,FALSE)</f>
        <v>1425</v>
      </c>
      <c r="F112" s="70">
        <f t="shared" si="14"/>
        <v>2267</v>
      </c>
      <c r="G112" s="72">
        <f>VLOOKUP(B112,'114+840'!$B$15:$AB$115,20,FALSE)</f>
        <v>904</v>
      </c>
      <c r="H112" s="72">
        <f>VLOOKUP(B112,'114+840'!$B$15:$AB$115,4,FALSE)</f>
        <v>543</v>
      </c>
      <c r="I112" s="69">
        <f t="shared" si="15"/>
        <v>1724</v>
      </c>
      <c r="J112" s="69">
        <f>VLOOKUP(B112,'114+840'!$B$15:$AB$115,13,FALSE)</f>
        <v>-276</v>
      </c>
      <c r="K112" s="67">
        <f>'114+840'!Q113</f>
        <v>0</v>
      </c>
      <c r="L112" s="66">
        <f t="shared" si="20"/>
        <v>196</v>
      </c>
      <c r="M112" s="71">
        <f>VLOOKUP(B112,'114+840'!$B$14:$AB$115,21,FALSE)</f>
        <v>809</v>
      </c>
      <c r="N112" s="70">
        <f>VLOOKUP(B112,'114+840'!$B$15:$AB$115,5,FALSE)</f>
        <v>458</v>
      </c>
      <c r="O112" s="69">
        <f t="shared" si="16"/>
        <v>1809</v>
      </c>
      <c r="P112" s="69">
        <f>VLOOKUP(B112,'114+840'!$B$15:$AB$115,14,FALSE)</f>
        <v>-191</v>
      </c>
      <c r="Q112" s="67">
        <f>'114+840'!R113</f>
        <v>0</v>
      </c>
      <c r="R112" s="66">
        <f t="shared" si="21"/>
        <v>291</v>
      </c>
      <c r="S112" s="71">
        <f>VLOOKUP(B112,'114+840'!$B$14:$AB$115,22,FALSE)</f>
        <v>917</v>
      </c>
      <c r="T112" s="70">
        <f>VLOOKUP(B112,'114+840'!$B$15:$AB$115,6,FALSE)</f>
        <v>840</v>
      </c>
      <c r="U112" s="69">
        <f t="shared" si="17"/>
        <v>1427</v>
      </c>
      <c r="V112" s="68">
        <f>VLOOKUP(B112,'114+840'!$B$15:$AB$115,15,FALSE)</f>
        <v>-573</v>
      </c>
      <c r="W112" s="67">
        <f>'114+840'!S113</f>
        <v>0</v>
      </c>
      <c r="X112" s="66">
        <f t="shared" si="22"/>
        <v>183</v>
      </c>
      <c r="Y112" s="65">
        <f t="shared" si="23"/>
        <v>0</v>
      </c>
      <c r="Z112" s="64">
        <f t="shared" si="24"/>
        <v>0</v>
      </c>
      <c r="AA112" s="63">
        <f t="shared" si="25"/>
        <v>1.4489999999999998</v>
      </c>
      <c r="AB112" s="63">
        <f t="shared" si="26"/>
        <v>0.41799999999999998</v>
      </c>
      <c r="AC112" s="52"/>
      <c r="AD112" s="52"/>
      <c r="AE112" s="52"/>
      <c r="AF112" s="52"/>
    </row>
    <row r="113" spans="1:32" s="77" customFormat="1" ht="15" customHeight="1">
      <c r="A113" s="78"/>
      <c r="B113" s="104">
        <f>'114+840'!B114</f>
        <v>45370</v>
      </c>
      <c r="C113" s="75">
        <f t="shared" si="18"/>
        <v>1</v>
      </c>
      <c r="D113" s="74">
        <f t="shared" si="19"/>
        <v>842</v>
      </c>
      <c r="E113" s="73">
        <f>VLOOKUP(B113,'114+840'!B114:AB215,3,FALSE)</f>
        <v>1423</v>
      </c>
      <c r="F113" s="70">
        <f t="shared" si="14"/>
        <v>2265</v>
      </c>
      <c r="G113" s="72">
        <f>VLOOKUP(B113,'114+840'!$B$15:$AB$115,20,FALSE)</f>
        <v>904</v>
      </c>
      <c r="H113" s="72">
        <f>VLOOKUP(B113,'114+840'!$B$15:$AB$115,4,FALSE)</f>
        <v>541</v>
      </c>
      <c r="I113" s="69">
        <f t="shared" si="15"/>
        <v>1724</v>
      </c>
      <c r="J113" s="69">
        <f>VLOOKUP(B113,'114+840'!$B$15:$AB$115,13,FALSE)</f>
        <v>-276</v>
      </c>
      <c r="K113" s="67">
        <f>'114+840'!Q114</f>
        <v>0</v>
      </c>
      <c r="L113" s="66">
        <f t="shared" si="20"/>
        <v>196</v>
      </c>
      <c r="M113" s="71">
        <f>VLOOKUP(B113,'114+840'!$B$14:$AB$115,21,FALSE)</f>
        <v>809</v>
      </c>
      <c r="N113" s="70">
        <f>VLOOKUP(B113,'114+840'!$B$15:$AB$115,5,FALSE)</f>
        <v>456</v>
      </c>
      <c r="O113" s="69">
        <f t="shared" si="16"/>
        <v>1809</v>
      </c>
      <c r="P113" s="69">
        <f>VLOOKUP(B113,'114+840'!$B$15:$AB$115,14,FALSE)</f>
        <v>-191</v>
      </c>
      <c r="Q113" s="67">
        <f>'114+840'!R114</f>
        <v>0</v>
      </c>
      <c r="R113" s="66">
        <f t="shared" si="21"/>
        <v>291</v>
      </c>
      <c r="S113" s="71">
        <f>VLOOKUP(B113,'114+840'!$B$14:$AB$115,22,FALSE)</f>
        <v>917</v>
      </c>
      <c r="T113" s="70">
        <f>VLOOKUP(B113,'114+840'!$B$15:$AB$115,6,FALSE)</f>
        <v>838</v>
      </c>
      <c r="U113" s="69">
        <f t="shared" si="17"/>
        <v>1427</v>
      </c>
      <c r="V113" s="68">
        <f>VLOOKUP(B113,'114+840'!$B$15:$AB$115,15,FALSE)</f>
        <v>-573</v>
      </c>
      <c r="W113" s="67">
        <f>'114+840'!S114</f>
        <v>0</v>
      </c>
      <c r="X113" s="66">
        <f t="shared" si="22"/>
        <v>183</v>
      </c>
      <c r="Y113" s="65">
        <f t="shared" si="23"/>
        <v>0</v>
      </c>
      <c r="Z113" s="64">
        <f t="shared" si="24"/>
        <v>0</v>
      </c>
      <c r="AA113" s="63">
        <f t="shared" si="25"/>
        <v>1.4489999999999998</v>
      </c>
      <c r="AB113" s="63">
        <f t="shared" si="26"/>
        <v>0.41799999999999998</v>
      </c>
      <c r="AC113" s="52"/>
      <c r="AD113" s="52"/>
      <c r="AE113" s="52"/>
      <c r="AF113" s="52"/>
    </row>
    <row r="114" spans="1:32" s="77" customFormat="1" ht="15" customHeight="1">
      <c r="A114" s="78"/>
      <c r="B114" s="104">
        <f>'114+840'!B115</f>
        <v>45371</v>
      </c>
      <c r="C114" s="75">
        <f t="shared" si="18"/>
        <v>1</v>
      </c>
      <c r="D114" s="74">
        <f t="shared" si="19"/>
        <v>842</v>
      </c>
      <c r="E114" s="73">
        <f>VLOOKUP(B114,'114+840'!B115:AB216,3,FALSE)</f>
        <v>1421</v>
      </c>
      <c r="F114" s="70">
        <f t="shared" si="14"/>
        <v>2263</v>
      </c>
      <c r="G114" s="72">
        <f>VLOOKUP(B114,'114+840'!$B$15:$AB$115,20,FALSE)</f>
        <v>904</v>
      </c>
      <c r="H114" s="72">
        <f>VLOOKUP(B114,'114+840'!$B$15:$AB$115,4,FALSE)</f>
        <v>539</v>
      </c>
      <c r="I114" s="69">
        <f t="shared" si="15"/>
        <v>1724</v>
      </c>
      <c r="J114" s="69">
        <f>VLOOKUP(B114,'114+840'!$B$15:$AB$115,13,FALSE)</f>
        <v>-276</v>
      </c>
      <c r="K114" s="67">
        <f>'114+840'!Q115</f>
        <v>0</v>
      </c>
      <c r="L114" s="66">
        <f t="shared" si="20"/>
        <v>196</v>
      </c>
      <c r="M114" s="71">
        <f>VLOOKUP(B114,'114+840'!$B$14:$AB$115,21,FALSE)</f>
        <v>809</v>
      </c>
      <c r="N114" s="70">
        <f>VLOOKUP(B114,'114+840'!$B$15:$AB$115,5,FALSE)</f>
        <v>454</v>
      </c>
      <c r="O114" s="69">
        <f t="shared" si="16"/>
        <v>1809</v>
      </c>
      <c r="P114" s="69">
        <f>VLOOKUP(B114,'114+840'!$B$15:$AB$115,14,FALSE)</f>
        <v>-191</v>
      </c>
      <c r="Q114" s="67">
        <f>'114+840'!R115</f>
        <v>0</v>
      </c>
      <c r="R114" s="66">
        <f t="shared" si="21"/>
        <v>291</v>
      </c>
      <c r="S114" s="71">
        <f>VLOOKUP(B114,'114+840'!$B$14:$AB$115,22,FALSE)</f>
        <v>917</v>
      </c>
      <c r="T114" s="70">
        <f>VLOOKUP(B114,'114+840'!$B$15:$AB$115,6,FALSE)</f>
        <v>836</v>
      </c>
      <c r="U114" s="69">
        <f t="shared" si="17"/>
        <v>1427</v>
      </c>
      <c r="V114" s="68">
        <f>VLOOKUP(B114,'114+840'!$B$15:$AB$115,15,FALSE)</f>
        <v>-573</v>
      </c>
      <c r="W114" s="67">
        <f>'114+840'!S115</f>
        <v>0</v>
      </c>
      <c r="X114" s="66">
        <f t="shared" si="22"/>
        <v>183</v>
      </c>
      <c r="Y114" s="65">
        <f t="shared" si="23"/>
        <v>0</v>
      </c>
      <c r="Z114" s="64">
        <f t="shared" si="24"/>
        <v>0</v>
      </c>
      <c r="AA114" s="63">
        <f t="shared" si="25"/>
        <v>1.4489999999999998</v>
      </c>
      <c r="AB114" s="63">
        <f t="shared" si="26"/>
        <v>0.41799999999999998</v>
      </c>
      <c r="AC114" s="52"/>
      <c r="AD114" s="52"/>
      <c r="AE114" s="52"/>
      <c r="AF114" s="52"/>
    </row>
    <row r="115" spans="1:32">
      <c r="B115" s="104">
        <f>'114+840'!B116</f>
        <v>45372</v>
      </c>
      <c r="C115" s="75">
        <f t="shared" si="18"/>
        <v>1</v>
      </c>
      <c r="D115" s="74">
        <f t="shared" si="19"/>
        <v>842</v>
      </c>
      <c r="E115" s="73">
        <f>VLOOKUP(B115,'114+840'!B116:AB217,3,FALSE)</f>
        <v>1419</v>
      </c>
      <c r="F115" s="70">
        <f t="shared" si="14"/>
        <v>2261</v>
      </c>
      <c r="G115" s="72">
        <f>VLOOKUP(B115,'114+840'!$B$15:$AB$516,20,FALSE)</f>
        <v>904</v>
      </c>
      <c r="H115" s="72">
        <f>VLOOKUP(B115,'114+840'!$B$15:$AB$516,4,FALSE)</f>
        <v>537</v>
      </c>
      <c r="I115" s="69">
        <f t="shared" si="15"/>
        <v>1724</v>
      </c>
      <c r="J115" s="69">
        <f>VLOOKUP(B115,'114+840'!$B$15:$AB$516,13,FALSE)</f>
        <v>-276</v>
      </c>
      <c r="K115" s="67">
        <f>'114+840'!Q116</f>
        <v>0</v>
      </c>
      <c r="L115" s="66">
        <f t="shared" si="20"/>
        <v>196</v>
      </c>
      <c r="M115" s="71">
        <f>VLOOKUP(B115,'114+840'!$B$14:$AB$516,21,FALSE)</f>
        <v>809</v>
      </c>
      <c r="N115" s="70">
        <f>VLOOKUP(B115,'114+840'!$B$15:$AB$516,5,FALSE)</f>
        <v>452</v>
      </c>
      <c r="O115" s="69">
        <f t="shared" si="16"/>
        <v>1809</v>
      </c>
      <c r="P115" s="69">
        <f>VLOOKUP(B115,'114+840'!$B$15:$AB$516,14,FALSE)</f>
        <v>-191</v>
      </c>
      <c r="Q115" s="67">
        <f>'114+840'!R116</f>
        <v>0</v>
      </c>
      <c r="R115" s="66">
        <f t="shared" si="21"/>
        <v>291</v>
      </c>
      <c r="S115" s="71">
        <f>VLOOKUP(B115,'114+840'!$B$14:$AB$516,22,FALSE)</f>
        <v>917</v>
      </c>
      <c r="T115" s="70">
        <f>VLOOKUP(B115,'114+840'!$B$15:$AB$516,6,FALSE)</f>
        <v>834</v>
      </c>
      <c r="U115" s="69">
        <f t="shared" si="17"/>
        <v>1427</v>
      </c>
      <c r="V115" s="68">
        <f>VLOOKUP(B115,'114+840'!$B$15:$AB$516,15,FALSE)</f>
        <v>-573</v>
      </c>
      <c r="W115" s="67">
        <f>'114+840'!S116</f>
        <v>0</v>
      </c>
      <c r="X115" s="66">
        <f t="shared" si="22"/>
        <v>183</v>
      </c>
      <c r="Y115" s="65">
        <f t="shared" si="23"/>
        <v>0</v>
      </c>
      <c r="Z115" s="64">
        <f t="shared" si="24"/>
        <v>0</v>
      </c>
      <c r="AA115" s="63">
        <f t="shared" si="25"/>
        <v>1.4489999999999998</v>
      </c>
      <c r="AB115" s="63">
        <f t="shared" si="26"/>
        <v>0.41799999999999998</v>
      </c>
      <c r="AD115" s="51"/>
      <c r="AE115" s="50"/>
    </row>
    <row r="116" spans="1:32">
      <c r="B116" s="104">
        <f>'114+840'!B117</f>
        <v>45373</v>
      </c>
      <c r="C116" s="75">
        <f t="shared" si="18"/>
        <v>1</v>
      </c>
      <c r="D116" s="74">
        <f t="shared" si="19"/>
        <v>842</v>
      </c>
      <c r="E116" s="73">
        <f>VLOOKUP(B116,'114+840'!B117:AB218,3,FALSE)</f>
        <v>1417</v>
      </c>
      <c r="F116" s="70">
        <f t="shared" si="14"/>
        <v>2259</v>
      </c>
      <c r="G116" s="72">
        <f>VLOOKUP(B116,'114+840'!$B$15:$AB$516,20,FALSE)</f>
        <v>904</v>
      </c>
      <c r="H116" s="72">
        <f>VLOOKUP(B116,'114+840'!$B$15:$AB$516,4,FALSE)</f>
        <v>535</v>
      </c>
      <c r="I116" s="69">
        <f t="shared" si="15"/>
        <v>1724</v>
      </c>
      <c r="J116" s="69">
        <f>VLOOKUP(B116,'114+840'!$B$15:$AB$516,13,FALSE)</f>
        <v>-276</v>
      </c>
      <c r="K116" s="67">
        <f>'114+840'!Q117</f>
        <v>0</v>
      </c>
      <c r="L116" s="66">
        <f t="shared" si="20"/>
        <v>196</v>
      </c>
      <c r="M116" s="71">
        <f>VLOOKUP(B116,'114+840'!$B$14:$AB$516,21,FALSE)</f>
        <v>809</v>
      </c>
      <c r="N116" s="70">
        <f>VLOOKUP(B116,'114+840'!$B$15:$AB$516,5,FALSE)</f>
        <v>450</v>
      </c>
      <c r="O116" s="69">
        <f t="shared" si="16"/>
        <v>1809</v>
      </c>
      <c r="P116" s="69">
        <f>VLOOKUP(B116,'114+840'!$B$15:$AB$516,14,FALSE)</f>
        <v>-191</v>
      </c>
      <c r="Q116" s="67">
        <f>'114+840'!R117</f>
        <v>0</v>
      </c>
      <c r="R116" s="66">
        <f t="shared" si="21"/>
        <v>291</v>
      </c>
      <c r="S116" s="71">
        <f>VLOOKUP(B116,'114+840'!$B$14:$AB$516,22,FALSE)</f>
        <v>917</v>
      </c>
      <c r="T116" s="70">
        <f>VLOOKUP(B116,'114+840'!$B$15:$AB$516,6,FALSE)</f>
        <v>832</v>
      </c>
      <c r="U116" s="69">
        <f t="shared" si="17"/>
        <v>1427</v>
      </c>
      <c r="V116" s="68">
        <f>VLOOKUP(B116,'114+840'!$B$15:$AB$516,15,FALSE)</f>
        <v>-573</v>
      </c>
      <c r="W116" s="67">
        <f>'114+840'!S117</f>
        <v>0</v>
      </c>
      <c r="X116" s="66">
        <f t="shared" si="22"/>
        <v>183</v>
      </c>
      <c r="Y116" s="65">
        <f t="shared" si="23"/>
        <v>0</v>
      </c>
      <c r="Z116" s="64">
        <f t="shared" si="24"/>
        <v>0</v>
      </c>
      <c r="AA116" s="63">
        <f t="shared" si="25"/>
        <v>1.4489999999999998</v>
      </c>
      <c r="AB116" s="63">
        <f t="shared" si="26"/>
        <v>0.41799999999999998</v>
      </c>
      <c r="AD116" s="51"/>
      <c r="AE116" s="50"/>
    </row>
    <row r="117" spans="1:32">
      <c r="B117" s="104">
        <f>'114+840'!B118</f>
        <v>45374</v>
      </c>
      <c r="C117" s="75">
        <f t="shared" si="18"/>
        <v>1</v>
      </c>
      <c r="D117" s="74">
        <f t="shared" si="19"/>
        <v>842</v>
      </c>
      <c r="E117" s="73">
        <f>VLOOKUP(B117,'114+840'!B118:AB219,3,FALSE)</f>
        <v>1415</v>
      </c>
      <c r="F117" s="70">
        <f t="shared" si="14"/>
        <v>2257</v>
      </c>
      <c r="G117" s="72">
        <f>VLOOKUP(B117,'114+840'!$B$15:$AB$516,20,FALSE)</f>
        <v>904</v>
      </c>
      <c r="H117" s="72">
        <f>VLOOKUP(B117,'114+840'!$B$15:$AB$516,4,FALSE)</f>
        <v>533</v>
      </c>
      <c r="I117" s="69">
        <f t="shared" si="15"/>
        <v>1724</v>
      </c>
      <c r="J117" s="69">
        <f>VLOOKUP(B117,'114+840'!$B$15:$AB$516,13,FALSE)</f>
        <v>-276</v>
      </c>
      <c r="K117" s="67">
        <f>'114+840'!Q118</f>
        <v>0</v>
      </c>
      <c r="L117" s="66">
        <f t="shared" si="20"/>
        <v>196</v>
      </c>
      <c r="M117" s="71">
        <f>VLOOKUP(B117,'114+840'!$B$14:$AB$516,21,FALSE)</f>
        <v>809</v>
      </c>
      <c r="N117" s="70">
        <f>VLOOKUP(B117,'114+840'!$B$15:$AB$516,5,FALSE)</f>
        <v>448</v>
      </c>
      <c r="O117" s="69">
        <f t="shared" si="16"/>
        <v>1809</v>
      </c>
      <c r="P117" s="69">
        <f>VLOOKUP(B117,'114+840'!$B$15:$AB$516,14,FALSE)</f>
        <v>-191</v>
      </c>
      <c r="Q117" s="67">
        <f>'114+840'!R118</f>
        <v>0</v>
      </c>
      <c r="R117" s="66">
        <f t="shared" si="21"/>
        <v>291</v>
      </c>
      <c r="S117" s="71">
        <f>VLOOKUP(B117,'114+840'!$B$14:$AB$516,22,FALSE)</f>
        <v>917</v>
      </c>
      <c r="T117" s="70">
        <f>VLOOKUP(B117,'114+840'!$B$15:$AB$516,6,FALSE)</f>
        <v>830</v>
      </c>
      <c r="U117" s="69">
        <f t="shared" si="17"/>
        <v>1427</v>
      </c>
      <c r="V117" s="68">
        <f>VLOOKUP(B117,'114+840'!$B$15:$AB$516,15,FALSE)</f>
        <v>-573</v>
      </c>
      <c r="W117" s="67">
        <f>'114+840'!S118</f>
        <v>0</v>
      </c>
      <c r="X117" s="66">
        <f t="shared" si="22"/>
        <v>183</v>
      </c>
      <c r="Y117" s="65">
        <f t="shared" si="23"/>
        <v>0</v>
      </c>
      <c r="Z117" s="64">
        <f t="shared" si="24"/>
        <v>0</v>
      </c>
      <c r="AA117" s="63">
        <f t="shared" si="25"/>
        <v>1.4489999999999998</v>
      </c>
      <c r="AB117" s="63">
        <f t="shared" si="26"/>
        <v>0.41799999999999998</v>
      </c>
      <c r="AD117" s="51"/>
      <c r="AE117" s="50"/>
    </row>
    <row r="118" spans="1:32">
      <c r="B118" s="104">
        <f>'114+840'!B119</f>
        <v>45375</v>
      </c>
      <c r="C118" s="75">
        <f t="shared" si="18"/>
        <v>1</v>
      </c>
      <c r="D118" s="74">
        <f t="shared" si="19"/>
        <v>842</v>
      </c>
      <c r="E118" s="73">
        <f>VLOOKUP(B118,'114+840'!B119:AB220,3,FALSE)</f>
        <v>1413</v>
      </c>
      <c r="F118" s="70">
        <f t="shared" si="14"/>
        <v>2255</v>
      </c>
      <c r="G118" s="72">
        <f>VLOOKUP(B118,'114+840'!$B$15:$AB$516,20,FALSE)</f>
        <v>904</v>
      </c>
      <c r="H118" s="72">
        <f>VLOOKUP(B118,'114+840'!$B$15:$AB$516,4,FALSE)</f>
        <v>531</v>
      </c>
      <c r="I118" s="69">
        <f t="shared" si="15"/>
        <v>1724</v>
      </c>
      <c r="J118" s="69">
        <f>VLOOKUP(B118,'114+840'!$B$15:$AB$516,13,FALSE)</f>
        <v>-276</v>
      </c>
      <c r="K118" s="67">
        <f>'114+840'!Q119</f>
        <v>0</v>
      </c>
      <c r="L118" s="66">
        <f t="shared" si="20"/>
        <v>196</v>
      </c>
      <c r="M118" s="71">
        <f>VLOOKUP(B118,'114+840'!$B$14:$AB$516,21,FALSE)</f>
        <v>809</v>
      </c>
      <c r="N118" s="70">
        <f>VLOOKUP(B118,'114+840'!$B$15:$AB$516,5,FALSE)</f>
        <v>446</v>
      </c>
      <c r="O118" s="69">
        <f t="shared" si="16"/>
        <v>1809</v>
      </c>
      <c r="P118" s="69">
        <f>VLOOKUP(B118,'114+840'!$B$15:$AB$516,14,FALSE)</f>
        <v>-191</v>
      </c>
      <c r="Q118" s="67">
        <f>'114+840'!R119</f>
        <v>0</v>
      </c>
      <c r="R118" s="66">
        <f t="shared" si="21"/>
        <v>291</v>
      </c>
      <c r="S118" s="71">
        <f>VLOOKUP(B118,'114+840'!$B$14:$AB$516,22,FALSE)</f>
        <v>917</v>
      </c>
      <c r="T118" s="70">
        <f>VLOOKUP(B118,'114+840'!$B$15:$AB$516,6,FALSE)</f>
        <v>828</v>
      </c>
      <c r="U118" s="69">
        <f t="shared" si="17"/>
        <v>1427</v>
      </c>
      <c r="V118" s="68">
        <f>VLOOKUP(B118,'114+840'!$B$15:$AB$516,15,FALSE)</f>
        <v>-573</v>
      </c>
      <c r="W118" s="67">
        <f>'114+840'!S119</f>
        <v>0</v>
      </c>
      <c r="X118" s="66">
        <f t="shared" si="22"/>
        <v>183</v>
      </c>
      <c r="Y118" s="65">
        <f t="shared" si="23"/>
        <v>0</v>
      </c>
      <c r="Z118" s="64">
        <f t="shared" si="24"/>
        <v>0</v>
      </c>
      <c r="AA118" s="63">
        <f t="shared" si="25"/>
        <v>1.4489999999999998</v>
      </c>
      <c r="AB118" s="63">
        <f t="shared" si="26"/>
        <v>0.41799999999999998</v>
      </c>
      <c r="AD118" s="51"/>
      <c r="AE118" s="50"/>
    </row>
    <row r="119" spans="1:32">
      <c r="B119" s="104">
        <f>'114+840'!B120</f>
        <v>45376</v>
      </c>
      <c r="C119" s="75">
        <f t="shared" si="18"/>
        <v>1</v>
      </c>
      <c r="D119" s="74">
        <f t="shared" si="19"/>
        <v>842</v>
      </c>
      <c r="E119" s="73">
        <f>VLOOKUP(B119,'114+840'!B120:AB221,3,FALSE)</f>
        <v>1411</v>
      </c>
      <c r="F119" s="70">
        <f t="shared" si="14"/>
        <v>2253</v>
      </c>
      <c r="G119" s="72">
        <f>VLOOKUP(B119,'114+840'!$B$15:$AB$516,20,FALSE)</f>
        <v>904</v>
      </c>
      <c r="H119" s="72">
        <f>VLOOKUP(B119,'114+840'!$B$15:$AB$516,4,FALSE)</f>
        <v>529</v>
      </c>
      <c r="I119" s="69">
        <f t="shared" si="15"/>
        <v>1724</v>
      </c>
      <c r="J119" s="69">
        <f>VLOOKUP(B119,'114+840'!$B$15:$AB$516,13,FALSE)</f>
        <v>-276</v>
      </c>
      <c r="K119" s="67">
        <f>'114+840'!Q120</f>
        <v>0</v>
      </c>
      <c r="L119" s="66">
        <f t="shared" si="20"/>
        <v>196</v>
      </c>
      <c r="M119" s="71">
        <f>VLOOKUP(B119,'114+840'!$B$14:$AB$516,21,FALSE)</f>
        <v>809</v>
      </c>
      <c r="N119" s="70">
        <f>VLOOKUP(B119,'114+840'!$B$15:$AB$516,5,FALSE)</f>
        <v>444</v>
      </c>
      <c r="O119" s="69">
        <f t="shared" si="16"/>
        <v>1809</v>
      </c>
      <c r="P119" s="69">
        <f>VLOOKUP(B119,'114+840'!$B$15:$AB$516,14,FALSE)</f>
        <v>-191</v>
      </c>
      <c r="Q119" s="67">
        <f>'114+840'!R120</f>
        <v>0</v>
      </c>
      <c r="R119" s="66">
        <f t="shared" si="21"/>
        <v>291</v>
      </c>
      <c r="S119" s="71">
        <f>VLOOKUP(B119,'114+840'!$B$14:$AB$516,22,FALSE)</f>
        <v>917</v>
      </c>
      <c r="T119" s="70">
        <f>VLOOKUP(B119,'114+840'!$B$15:$AB$516,6,FALSE)</f>
        <v>826</v>
      </c>
      <c r="U119" s="69">
        <f t="shared" si="17"/>
        <v>1427</v>
      </c>
      <c r="V119" s="68">
        <f>VLOOKUP(B119,'114+840'!$B$15:$AB$516,15,FALSE)</f>
        <v>-573</v>
      </c>
      <c r="W119" s="67">
        <f>'114+840'!S120</f>
        <v>0</v>
      </c>
      <c r="X119" s="66">
        <f t="shared" si="22"/>
        <v>183</v>
      </c>
      <c r="Y119" s="65">
        <f t="shared" si="23"/>
        <v>0</v>
      </c>
      <c r="Z119" s="64">
        <f t="shared" si="24"/>
        <v>0</v>
      </c>
      <c r="AA119" s="63">
        <f t="shared" si="25"/>
        <v>1.4489999999999998</v>
      </c>
      <c r="AB119" s="63">
        <f t="shared" si="26"/>
        <v>0.41799999999999998</v>
      </c>
      <c r="AD119" s="51"/>
      <c r="AE119" s="50"/>
    </row>
    <row r="120" spans="1:32">
      <c r="B120" s="104">
        <f>'114+840'!B121</f>
        <v>45377</v>
      </c>
      <c r="C120" s="75">
        <f t="shared" si="18"/>
        <v>1</v>
      </c>
      <c r="D120" s="74">
        <f t="shared" si="19"/>
        <v>842</v>
      </c>
      <c r="E120" s="73">
        <f>VLOOKUP(B120,'114+840'!B121:AB222,3,FALSE)</f>
        <v>1409</v>
      </c>
      <c r="F120" s="70">
        <f t="shared" si="14"/>
        <v>2251</v>
      </c>
      <c r="G120" s="72">
        <f>VLOOKUP(B120,'114+840'!$B$15:$AB$516,20,FALSE)</f>
        <v>904</v>
      </c>
      <c r="H120" s="72">
        <f>VLOOKUP(B120,'114+840'!$B$15:$AB$516,4,FALSE)</f>
        <v>527</v>
      </c>
      <c r="I120" s="69">
        <f t="shared" si="15"/>
        <v>1724</v>
      </c>
      <c r="J120" s="69">
        <f>VLOOKUP(B120,'114+840'!$B$15:$AB$516,13,FALSE)</f>
        <v>-276</v>
      </c>
      <c r="K120" s="67">
        <f>'114+840'!Q121</f>
        <v>0</v>
      </c>
      <c r="L120" s="66">
        <f t="shared" si="20"/>
        <v>196</v>
      </c>
      <c r="M120" s="71">
        <f>VLOOKUP(B120,'114+840'!$B$14:$AB$516,21,FALSE)</f>
        <v>809</v>
      </c>
      <c r="N120" s="70">
        <f>VLOOKUP(B120,'114+840'!$B$15:$AB$516,5,FALSE)</f>
        <v>442</v>
      </c>
      <c r="O120" s="69">
        <f t="shared" si="16"/>
        <v>1809</v>
      </c>
      <c r="P120" s="69">
        <f>VLOOKUP(B120,'114+840'!$B$15:$AB$516,14,FALSE)</f>
        <v>-191</v>
      </c>
      <c r="Q120" s="67">
        <f>'114+840'!R121</f>
        <v>0</v>
      </c>
      <c r="R120" s="66">
        <f t="shared" si="21"/>
        <v>291</v>
      </c>
      <c r="S120" s="71">
        <f>VLOOKUP(B120,'114+840'!$B$14:$AB$516,22,FALSE)</f>
        <v>917</v>
      </c>
      <c r="T120" s="70">
        <f>VLOOKUP(B120,'114+840'!$B$15:$AB$516,6,FALSE)</f>
        <v>824</v>
      </c>
      <c r="U120" s="69">
        <f t="shared" si="17"/>
        <v>1427</v>
      </c>
      <c r="V120" s="68">
        <f>VLOOKUP(B120,'114+840'!$B$15:$AB$516,15,FALSE)</f>
        <v>-573</v>
      </c>
      <c r="W120" s="67">
        <f>'114+840'!S121</f>
        <v>0</v>
      </c>
      <c r="X120" s="66">
        <f t="shared" si="22"/>
        <v>183</v>
      </c>
      <c r="Y120" s="65">
        <f t="shared" si="23"/>
        <v>0</v>
      </c>
      <c r="Z120" s="64">
        <f t="shared" si="24"/>
        <v>0</v>
      </c>
      <c r="AA120" s="63">
        <f t="shared" si="25"/>
        <v>1.4489999999999998</v>
      </c>
      <c r="AB120" s="63">
        <f t="shared" si="26"/>
        <v>0.41799999999999998</v>
      </c>
      <c r="AD120" s="51"/>
      <c r="AE120" s="50"/>
    </row>
    <row r="121" spans="1:32">
      <c r="B121" s="104">
        <f>'114+840'!B122</f>
        <v>45378</v>
      </c>
      <c r="C121" s="75">
        <f t="shared" si="18"/>
        <v>1</v>
      </c>
      <c r="D121" s="74">
        <f t="shared" si="19"/>
        <v>842</v>
      </c>
      <c r="E121" s="73">
        <f>VLOOKUP(B121,'114+840'!B122:AB223,3,FALSE)</f>
        <v>1407</v>
      </c>
      <c r="F121" s="70">
        <f t="shared" si="14"/>
        <v>2249</v>
      </c>
      <c r="G121" s="72">
        <f>VLOOKUP(B121,'114+840'!$B$15:$AB$516,20,FALSE)</f>
        <v>904</v>
      </c>
      <c r="H121" s="72">
        <f>VLOOKUP(B121,'114+840'!$B$15:$AB$516,4,FALSE)</f>
        <v>525</v>
      </c>
      <c r="I121" s="69">
        <f t="shared" si="15"/>
        <v>1724</v>
      </c>
      <c r="J121" s="69">
        <f>VLOOKUP(B121,'114+840'!$B$15:$AB$516,13,FALSE)</f>
        <v>-276</v>
      </c>
      <c r="K121" s="67">
        <f>'114+840'!Q122</f>
        <v>0</v>
      </c>
      <c r="L121" s="66">
        <f t="shared" si="20"/>
        <v>196</v>
      </c>
      <c r="M121" s="71">
        <f>VLOOKUP(B121,'114+840'!$B$14:$AB$516,21,FALSE)</f>
        <v>809</v>
      </c>
      <c r="N121" s="70">
        <f>VLOOKUP(B121,'114+840'!$B$15:$AB$516,5,FALSE)</f>
        <v>440</v>
      </c>
      <c r="O121" s="69">
        <f t="shared" si="16"/>
        <v>1809</v>
      </c>
      <c r="P121" s="69">
        <f>VLOOKUP(B121,'114+840'!$B$15:$AB$516,14,FALSE)</f>
        <v>-191</v>
      </c>
      <c r="Q121" s="67">
        <f>'114+840'!R122</f>
        <v>0</v>
      </c>
      <c r="R121" s="66">
        <f t="shared" si="21"/>
        <v>291</v>
      </c>
      <c r="S121" s="71">
        <f>VLOOKUP(B121,'114+840'!$B$14:$AB$516,22,FALSE)</f>
        <v>917</v>
      </c>
      <c r="T121" s="70">
        <f>VLOOKUP(B121,'114+840'!$B$15:$AB$516,6,FALSE)</f>
        <v>822</v>
      </c>
      <c r="U121" s="69">
        <f t="shared" si="17"/>
        <v>1427</v>
      </c>
      <c r="V121" s="68">
        <f>VLOOKUP(B121,'114+840'!$B$15:$AB$516,15,FALSE)</f>
        <v>-573</v>
      </c>
      <c r="W121" s="67">
        <f>'114+840'!S122</f>
        <v>0</v>
      </c>
      <c r="X121" s="66">
        <f t="shared" si="22"/>
        <v>183</v>
      </c>
      <c r="Y121" s="65">
        <f t="shared" si="23"/>
        <v>0</v>
      </c>
      <c r="Z121" s="64">
        <f t="shared" si="24"/>
        <v>0</v>
      </c>
      <c r="AA121" s="63">
        <f t="shared" si="25"/>
        <v>1.4489999999999998</v>
      </c>
      <c r="AB121" s="63">
        <f t="shared" si="26"/>
        <v>0.41799999999999998</v>
      </c>
      <c r="AD121" s="51"/>
      <c r="AE121" s="50"/>
    </row>
    <row r="122" spans="1:32">
      <c r="B122" s="104">
        <f>'114+840'!B123</f>
        <v>45379</v>
      </c>
      <c r="C122" s="75">
        <f t="shared" si="18"/>
        <v>1</v>
      </c>
      <c r="D122" s="74">
        <f t="shared" si="19"/>
        <v>842</v>
      </c>
      <c r="E122" s="73">
        <f>VLOOKUP(B122,'114+840'!B123:AB224,3,FALSE)</f>
        <v>1405</v>
      </c>
      <c r="F122" s="70">
        <f t="shared" si="14"/>
        <v>2247</v>
      </c>
      <c r="G122" s="72">
        <f>VLOOKUP(B122,'114+840'!$B$15:$AB$516,20,FALSE)</f>
        <v>904</v>
      </c>
      <c r="H122" s="72">
        <f>VLOOKUP(B122,'114+840'!$B$15:$AB$516,4,FALSE)</f>
        <v>523</v>
      </c>
      <c r="I122" s="69">
        <f t="shared" si="15"/>
        <v>1724</v>
      </c>
      <c r="J122" s="69">
        <f>VLOOKUP(B122,'114+840'!$B$15:$AB$516,13,FALSE)</f>
        <v>-276</v>
      </c>
      <c r="K122" s="67">
        <f>'114+840'!Q123</f>
        <v>0</v>
      </c>
      <c r="L122" s="66">
        <f t="shared" si="20"/>
        <v>196</v>
      </c>
      <c r="M122" s="71">
        <f>VLOOKUP(B122,'114+840'!$B$14:$AB$516,21,FALSE)</f>
        <v>809</v>
      </c>
      <c r="N122" s="70">
        <f>VLOOKUP(B122,'114+840'!$B$15:$AB$516,5,FALSE)</f>
        <v>438</v>
      </c>
      <c r="O122" s="69">
        <f t="shared" si="16"/>
        <v>1809</v>
      </c>
      <c r="P122" s="69">
        <f>VLOOKUP(B122,'114+840'!$B$15:$AB$516,14,FALSE)</f>
        <v>-191</v>
      </c>
      <c r="Q122" s="67">
        <f>'114+840'!R123</f>
        <v>0</v>
      </c>
      <c r="R122" s="66">
        <f t="shared" si="21"/>
        <v>291</v>
      </c>
      <c r="S122" s="71">
        <f>VLOOKUP(B122,'114+840'!$B$14:$AB$516,22,FALSE)</f>
        <v>917</v>
      </c>
      <c r="T122" s="70">
        <f>VLOOKUP(B122,'114+840'!$B$15:$AB$516,6,FALSE)</f>
        <v>820</v>
      </c>
      <c r="U122" s="69">
        <f t="shared" si="17"/>
        <v>1427</v>
      </c>
      <c r="V122" s="68">
        <f>VLOOKUP(B122,'114+840'!$B$15:$AB$516,15,FALSE)</f>
        <v>-573</v>
      </c>
      <c r="W122" s="67">
        <f>'114+840'!S123</f>
        <v>0</v>
      </c>
      <c r="X122" s="66">
        <f t="shared" si="22"/>
        <v>183</v>
      </c>
      <c r="Y122" s="65">
        <f t="shared" si="23"/>
        <v>0</v>
      </c>
      <c r="Z122" s="64">
        <f t="shared" si="24"/>
        <v>0</v>
      </c>
      <c r="AA122" s="63">
        <f t="shared" si="25"/>
        <v>1.4489999999999998</v>
      </c>
      <c r="AB122" s="63">
        <f t="shared" si="26"/>
        <v>0.41799999999999998</v>
      </c>
      <c r="AD122" s="51"/>
      <c r="AE122" s="50"/>
    </row>
    <row r="123" spans="1:32">
      <c r="B123" s="104">
        <f>'114+840'!B124</f>
        <v>45380</v>
      </c>
      <c r="C123" s="75">
        <f t="shared" si="18"/>
        <v>1</v>
      </c>
      <c r="D123" s="74">
        <f t="shared" si="19"/>
        <v>842</v>
      </c>
      <c r="E123" s="73">
        <f>VLOOKUP(B123,'114+840'!B124:AB225,3,FALSE)</f>
        <v>1403</v>
      </c>
      <c r="F123" s="70">
        <f t="shared" si="14"/>
        <v>2245</v>
      </c>
      <c r="G123" s="72">
        <f>VLOOKUP(B123,'114+840'!$B$15:$AB$516,20,FALSE)</f>
        <v>904</v>
      </c>
      <c r="H123" s="72">
        <f>VLOOKUP(B123,'114+840'!$B$15:$AB$516,4,FALSE)</f>
        <v>521</v>
      </c>
      <c r="I123" s="69">
        <f t="shared" si="15"/>
        <v>1724</v>
      </c>
      <c r="J123" s="69">
        <f>VLOOKUP(B123,'114+840'!$B$15:$AB$516,13,FALSE)</f>
        <v>-276</v>
      </c>
      <c r="K123" s="67">
        <f>'114+840'!Q124</f>
        <v>0</v>
      </c>
      <c r="L123" s="66">
        <f t="shared" si="20"/>
        <v>196</v>
      </c>
      <c r="M123" s="71">
        <f>VLOOKUP(B123,'114+840'!$B$14:$AB$516,21,FALSE)</f>
        <v>809</v>
      </c>
      <c r="N123" s="70">
        <f>VLOOKUP(B123,'114+840'!$B$15:$AB$516,5,FALSE)</f>
        <v>436</v>
      </c>
      <c r="O123" s="69">
        <f t="shared" si="16"/>
        <v>1809</v>
      </c>
      <c r="P123" s="69">
        <f>VLOOKUP(B123,'114+840'!$B$15:$AB$516,14,FALSE)</f>
        <v>-191</v>
      </c>
      <c r="Q123" s="67">
        <f>'114+840'!R124</f>
        <v>0</v>
      </c>
      <c r="R123" s="66">
        <f t="shared" si="21"/>
        <v>291</v>
      </c>
      <c r="S123" s="71">
        <f>VLOOKUP(B123,'114+840'!$B$14:$AB$516,22,FALSE)</f>
        <v>917</v>
      </c>
      <c r="T123" s="70">
        <f>VLOOKUP(B123,'114+840'!$B$15:$AB$516,6,FALSE)</f>
        <v>818</v>
      </c>
      <c r="U123" s="69">
        <f t="shared" si="17"/>
        <v>1427</v>
      </c>
      <c r="V123" s="68">
        <f>VLOOKUP(B123,'114+840'!$B$15:$AB$516,15,FALSE)</f>
        <v>-573</v>
      </c>
      <c r="W123" s="67">
        <f>'114+840'!S124</f>
        <v>0</v>
      </c>
      <c r="X123" s="66">
        <f t="shared" si="22"/>
        <v>183</v>
      </c>
      <c r="Y123" s="65">
        <f t="shared" si="23"/>
        <v>0</v>
      </c>
      <c r="Z123" s="64">
        <f t="shared" si="24"/>
        <v>0</v>
      </c>
      <c r="AA123" s="63">
        <f t="shared" si="25"/>
        <v>1.4489999999999998</v>
      </c>
      <c r="AB123" s="63">
        <f t="shared" si="26"/>
        <v>0.41799999999999998</v>
      </c>
      <c r="AD123" s="51"/>
      <c r="AE123" s="50"/>
    </row>
    <row r="124" spans="1:32">
      <c r="B124" s="104">
        <f>'114+840'!B125</f>
        <v>45381</v>
      </c>
      <c r="C124" s="75">
        <f t="shared" si="18"/>
        <v>1</v>
      </c>
      <c r="D124" s="74">
        <f t="shared" si="19"/>
        <v>842</v>
      </c>
      <c r="E124" s="73">
        <f>VLOOKUP(B124,'114+840'!B125:AB226,3,FALSE)</f>
        <v>1401</v>
      </c>
      <c r="F124" s="70">
        <f t="shared" si="14"/>
        <v>2243</v>
      </c>
      <c r="G124" s="72">
        <f>VLOOKUP(B124,'114+840'!$B$15:$AB$516,20,FALSE)</f>
        <v>904</v>
      </c>
      <c r="H124" s="72">
        <f>VLOOKUP(B124,'114+840'!$B$15:$AB$516,4,FALSE)</f>
        <v>519</v>
      </c>
      <c r="I124" s="69">
        <f t="shared" si="15"/>
        <v>1724</v>
      </c>
      <c r="J124" s="69">
        <f>VLOOKUP(B124,'114+840'!$B$15:$AB$516,13,FALSE)</f>
        <v>-276</v>
      </c>
      <c r="K124" s="67">
        <f>'114+840'!Q125</f>
        <v>0</v>
      </c>
      <c r="L124" s="66">
        <f t="shared" si="20"/>
        <v>196</v>
      </c>
      <c r="M124" s="71">
        <f>VLOOKUP(B124,'114+840'!$B$14:$AB$516,21,FALSE)</f>
        <v>809</v>
      </c>
      <c r="N124" s="70">
        <f>VLOOKUP(B124,'114+840'!$B$15:$AB$516,5,FALSE)</f>
        <v>434</v>
      </c>
      <c r="O124" s="69">
        <f t="shared" si="16"/>
        <v>1809</v>
      </c>
      <c r="P124" s="69">
        <f>VLOOKUP(B124,'114+840'!$B$15:$AB$516,14,FALSE)</f>
        <v>-191</v>
      </c>
      <c r="Q124" s="67">
        <f>'114+840'!R125</f>
        <v>0</v>
      </c>
      <c r="R124" s="66">
        <f t="shared" si="21"/>
        <v>291</v>
      </c>
      <c r="S124" s="71">
        <f>VLOOKUP(B124,'114+840'!$B$14:$AB$516,22,FALSE)</f>
        <v>917</v>
      </c>
      <c r="T124" s="70">
        <f>VLOOKUP(B124,'114+840'!$B$15:$AB$516,6,FALSE)</f>
        <v>816</v>
      </c>
      <c r="U124" s="69">
        <f t="shared" si="17"/>
        <v>1427</v>
      </c>
      <c r="V124" s="68">
        <f>VLOOKUP(B124,'114+840'!$B$15:$AB$516,15,FALSE)</f>
        <v>-573</v>
      </c>
      <c r="W124" s="67">
        <f>'114+840'!S125</f>
        <v>0</v>
      </c>
      <c r="X124" s="66">
        <f t="shared" si="22"/>
        <v>183</v>
      </c>
      <c r="Y124" s="65">
        <f t="shared" si="23"/>
        <v>0</v>
      </c>
      <c r="Z124" s="64">
        <f t="shared" si="24"/>
        <v>0</v>
      </c>
      <c r="AA124" s="63">
        <f t="shared" si="25"/>
        <v>1.4489999999999998</v>
      </c>
      <c r="AB124" s="63">
        <f t="shared" si="26"/>
        <v>0.41799999999999998</v>
      </c>
      <c r="AD124" s="51"/>
      <c r="AE124" s="50"/>
    </row>
    <row r="125" spans="1:32">
      <c r="B125" s="104">
        <f>'114+840'!B126</f>
        <v>45382</v>
      </c>
      <c r="C125" s="75">
        <f t="shared" si="18"/>
        <v>1</v>
      </c>
      <c r="D125" s="74">
        <f t="shared" si="19"/>
        <v>842</v>
      </c>
      <c r="E125" s="73">
        <f>VLOOKUP(B125,'114+840'!B126:AB227,3,FALSE)</f>
        <v>1399</v>
      </c>
      <c r="F125" s="70">
        <f t="shared" si="14"/>
        <v>2241</v>
      </c>
      <c r="G125" s="72">
        <f>VLOOKUP(B125,'114+840'!$B$15:$AB$516,20,FALSE)</f>
        <v>904</v>
      </c>
      <c r="H125" s="72">
        <f>VLOOKUP(B125,'114+840'!$B$15:$AB$516,4,FALSE)</f>
        <v>517</v>
      </c>
      <c r="I125" s="69">
        <f t="shared" si="15"/>
        <v>1724</v>
      </c>
      <c r="J125" s="69">
        <f>VLOOKUP(B125,'114+840'!$B$15:$AB$516,13,FALSE)</f>
        <v>-276</v>
      </c>
      <c r="K125" s="67">
        <f>'114+840'!Q126</f>
        <v>0</v>
      </c>
      <c r="L125" s="66">
        <f t="shared" si="20"/>
        <v>196</v>
      </c>
      <c r="M125" s="71">
        <f>VLOOKUP(B125,'114+840'!$B$14:$AB$516,21,FALSE)</f>
        <v>809</v>
      </c>
      <c r="N125" s="70">
        <f>VLOOKUP(B125,'114+840'!$B$15:$AB$516,5,FALSE)</f>
        <v>432</v>
      </c>
      <c r="O125" s="69">
        <f t="shared" si="16"/>
        <v>1809</v>
      </c>
      <c r="P125" s="69">
        <f>VLOOKUP(B125,'114+840'!$B$15:$AB$516,14,FALSE)</f>
        <v>-191</v>
      </c>
      <c r="Q125" s="67">
        <f>'114+840'!R126</f>
        <v>0</v>
      </c>
      <c r="R125" s="66">
        <f t="shared" si="21"/>
        <v>291</v>
      </c>
      <c r="S125" s="71">
        <f>VLOOKUP(B125,'114+840'!$B$14:$AB$516,22,FALSE)</f>
        <v>917</v>
      </c>
      <c r="T125" s="70">
        <f>VLOOKUP(B125,'114+840'!$B$15:$AB$516,6,FALSE)</f>
        <v>814</v>
      </c>
      <c r="U125" s="69">
        <f t="shared" si="17"/>
        <v>1427</v>
      </c>
      <c r="V125" s="68">
        <f>VLOOKUP(B125,'114+840'!$B$15:$AB$516,15,FALSE)</f>
        <v>-573</v>
      </c>
      <c r="W125" s="67">
        <f>'114+840'!S126</f>
        <v>0</v>
      </c>
      <c r="X125" s="66">
        <f t="shared" si="22"/>
        <v>183</v>
      </c>
      <c r="Y125" s="65">
        <f t="shared" si="23"/>
        <v>0</v>
      </c>
      <c r="Z125" s="64">
        <f t="shared" si="24"/>
        <v>0</v>
      </c>
      <c r="AA125" s="63">
        <f t="shared" si="25"/>
        <v>1.4489999999999998</v>
      </c>
      <c r="AB125" s="63">
        <f t="shared" si="26"/>
        <v>0.41799999999999998</v>
      </c>
      <c r="AD125" s="51"/>
      <c r="AE125" s="50"/>
    </row>
    <row r="126" spans="1:32">
      <c r="B126" s="104">
        <f>'114+840'!B127</f>
        <v>45383</v>
      </c>
      <c r="C126" s="75">
        <f t="shared" si="18"/>
        <v>1</v>
      </c>
      <c r="D126" s="74">
        <f t="shared" si="19"/>
        <v>842</v>
      </c>
      <c r="E126" s="73">
        <f>VLOOKUP(B126,'114+840'!B127:AB228,3,FALSE)</f>
        <v>1401</v>
      </c>
      <c r="F126" s="70">
        <f t="shared" si="14"/>
        <v>2243</v>
      </c>
      <c r="G126" s="72">
        <f>VLOOKUP(B126,'114+840'!$B$15:$AB$516,20,FALSE)</f>
        <v>904</v>
      </c>
      <c r="H126" s="72">
        <f>VLOOKUP(B126,'114+840'!$B$15:$AB$516,4,FALSE)</f>
        <v>519</v>
      </c>
      <c r="I126" s="69">
        <f t="shared" si="15"/>
        <v>1724</v>
      </c>
      <c r="J126" s="69">
        <f>VLOOKUP(B126,'114+840'!$B$15:$AB$516,13,FALSE)</f>
        <v>-276</v>
      </c>
      <c r="K126" s="67">
        <f>'114+840'!Q127</f>
        <v>0</v>
      </c>
      <c r="L126" s="66">
        <f t="shared" si="20"/>
        <v>196</v>
      </c>
      <c r="M126" s="71">
        <f>VLOOKUP(B126,'114+840'!$B$14:$AB$516,21,FALSE)</f>
        <v>809</v>
      </c>
      <c r="N126" s="70">
        <f>VLOOKUP(B126,'114+840'!$B$15:$AB$516,5,FALSE)</f>
        <v>434</v>
      </c>
      <c r="O126" s="69">
        <f t="shared" si="16"/>
        <v>1809</v>
      </c>
      <c r="P126" s="69">
        <f>VLOOKUP(B126,'114+840'!$B$15:$AB$516,14,FALSE)</f>
        <v>-191</v>
      </c>
      <c r="Q126" s="67">
        <f>'114+840'!R127</f>
        <v>0</v>
      </c>
      <c r="R126" s="66">
        <f t="shared" si="21"/>
        <v>291</v>
      </c>
      <c r="S126" s="71">
        <f>VLOOKUP(B126,'114+840'!$B$14:$AB$516,22,FALSE)</f>
        <v>917</v>
      </c>
      <c r="T126" s="70">
        <f>VLOOKUP(B126,'114+840'!$B$15:$AB$516,6,FALSE)</f>
        <v>816</v>
      </c>
      <c r="U126" s="69">
        <f t="shared" si="17"/>
        <v>1427</v>
      </c>
      <c r="V126" s="68">
        <f>VLOOKUP(B126,'114+840'!$B$15:$AB$516,15,FALSE)</f>
        <v>-573</v>
      </c>
      <c r="W126" s="67">
        <f>'114+840'!S127</f>
        <v>0</v>
      </c>
      <c r="X126" s="66">
        <f t="shared" si="22"/>
        <v>183</v>
      </c>
      <c r="Y126" s="65">
        <f t="shared" si="23"/>
        <v>0</v>
      </c>
      <c r="Z126" s="64">
        <f t="shared" si="24"/>
        <v>0</v>
      </c>
      <c r="AA126" s="63">
        <f t="shared" si="25"/>
        <v>1.4489999999999998</v>
      </c>
      <c r="AB126" s="63">
        <f t="shared" si="26"/>
        <v>0.41799999999999998</v>
      </c>
      <c r="AD126" s="51"/>
      <c r="AE126" s="50"/>
    </row>
    <row r="127" spans="1:32">
      <c r="B127" s="104">
        <f>'114+840'!B128</f>
        <v>45384</v>
      </c>
      <c r="C127" s="75">
        <f t="shared" si="18"/>
        <v>1</v>
      </c>
      <c r="D127" s="74">
        <f t="shared" si="19"/>
        <v>842</v>
      </c>
      <c r="E127" s="73">
        <f>VLOOKUP(B127,'114+840'!B128:AB229,3,FALSE)</f>
        <v>1403</v>
      </c>
      <c r="F127" s="70">
        <f t="shared" si="14"/>
        <v>2245</v>
      </c>
      <c r="G127" s="72">
        <f>VLOOKUP(B127,'114+840'!$B$15:$AB$516,20,FALSE)</f>
        <v>904</v>
      </c>
      <c r="H127" s="72">
        <f>VLOOKUP(B127,'114+840'!$B$15:$AB$516,4,FALSE)</f>
        <v>521</v>
      </c>
      <c r="I127" s="69">
        <f t="shared" si="15"/>
        <v>1724</v>
      </c>
      <c r="J127" s="69">
        <f>VLOOKUP(B127,'114+840'!$B$15:$AB$516,13,FALSE)</f>
        <v>-276</v>
      </c>
      <c r="K127" s="67">
        <f>'114+840'!Q128</f>
        <v>0</v>
      </c>
      <c r="L127" s="66">
        <f t="shared" si="20"/>
        <v>196</v>
      </c>
      <c r="M127" s="71">
        <f>VLOOKUP(B127,'114+840'!$B$14:$AB$516,21,FALSE)</f>
        <v>809</v>
      </c>
      <c r="N127" s="70">
        <f>VLOOKUP(B127,'114+840'!$B$15:$AB$516,5,FALSE)</f>
        <v>436</v>
      </c>
      <c r="O127" s="69">
        <f t="shared" si="16"/>
        <v>1809</v>
      </c>
      <c r="P127" s="69">
        <f>VLOOKUP(B127,'114+840'!$B$15:$AB$516,14,FALSE)</f>
        <v>-191</v>
      </c>
      <c r="Q127" s="67">
        <f>'114+840'!R128</f>
        <v>0</v>
      </c>
      <c r="R127" s="66">
        <f t="shared" si="21"/>
        <v>291</v>
      </c>
      <c r="S127" s="71">
        <f>VLOOKUP(B127,'114+840'!$B$14:$AB$516,22,FALSE)</f>
        <v>917</v>
      </c>
      <c r="T127" s="70">
        <f>VLOOKUP(B127,'114+840'!$B$15:$AB$516,6,FALSE)</f>
        <v>818</v>
      </c>
      <c r="U127" s="69">
        <f t="shared" si="17"/>
        <v>1427</v>
      </c>
      <c r="V127" s="68">
        <f>VLOOKUP(B127,'114+840'!$B$15:$AB$516,15,FALSE)</f>
        <v>-573</v>
      </c>
      <c r="W127" s="67">
        <f>'114+840'!S128</f>
        <v>0</v>
      </c>
      <c r="X127" s="66">
        <f t="shared" si="22"/>
        <v>183</v>
      </c>
      <c r="Y127" s="65">
        <f t="shared" si="23"/>
        <v>0</v>
      </c>
      <c r="Z127" s="64">
        <f t="shared" si="24"/>
        <v>0</v>
      </c>
      <c r="AA127" s="63">
        <f t="shared" si="25"/>
        <v>1.4489999999999998</v>
      </c>
      <c r="AB127" s="63">
        <f t="shared" si="26"/>
        <v>0.41799999999999998</v>
      </c>
      <c r="AD127" s="51"/>
      <c r="AE127" s="50"/>
    </row>
    <row r="128" spans="1:32">
      <c r="B128" s="104">
        <f>'114+840'!B129</f>
        <v>45385</v>
      </c>
      <c r="C128" s="75">
        <f t="shared" si="18"/>
        <v>1</v>
      </c>
      <c r="D128" s="74">
        <f t="shared" si="19"/>
        <v>842</v>
      </c>
      <c r="E128" s="73">
        <f>VLOOKUP(B128,'114+840'!B129:AB230,3,FALSE)</f>
        <v>1405</v>
      </c>
      <c r="F128" s="70">
        <f t="shared" si="14"/>
        <v>2247</v>
      </c>
      <c r="G128" s="72">
        <f>VLOOKUP(B128,'114+840'!$B$15:$AB$516,20,FALSE)</f>
        <v>904</v>
      </c>
      <c r="H128" s="72">
        <f>VLOOKUP(B128,'114+840'!$B$15:$AB$516,4,FALSE)</f>
        <v>523</v>
      </c>
      <c r="I128" s="69">
        <f t="shared" si="15"/>
        <v>1724</v>
      </c>
      <c r="J128" s="69">
        <f>VLOOKUP(B128,'114+840'!$B$15:$AB$516,13,FALSE)</f>
        <v>-276</v>
      </c>
      <c r="K128" s="67">
        <f>'114+840'!Q129</f>
        <v>0</v>
      </c>
      <c r="L128" s="66">
        <f t="shared" si="20"/>
        <v>196</v>
      </c>
      <c r="M128" s="71">
        <f>VLOOKUP(B128,'114+840'!$B$14:$AB$516,21,FALSE)</f>
        <v>809</v>
      </c>
      <c r="N128" s="70">
        <f>VLOOKUP(B128,'114+840'!$B$15:$AB$516,5,FALSE)</f>
        <v>438</v>
      </c>
      <c r="O128" s="69">
        <f t="shared" si="16"/>
        <v>1809</v>
      </c>
      <c r="P128" s="69">
        <f>VLOOKUP(B128,'114+840'!$B$15:$AB$516,14,FALSE)</f>
        <v>-191</v>
      </c>
      <c r="Q128" s="67">
        <f>'114+840'!R129</f>
        <v>0</v>
      </c>
      <c r="R128" s="66">
        <f t="shared" si="21"/>
        <v>291</v>
      </c>
      <c r="S128" s="71">
        <f>VLOOKUP(B128,'114+840'!$B$14:$AB$516,22,FALSE)</f>
        <v>917</v>
      </c>
      <c r="T128" s="70">
        <f>VLOOKUP(B128,'114+840'!$B$15:$AB$516,6,FALSE)</f>
        <v>820</v>
      </c>
      <c r="U128" s="69">
        <f t="shared" si="17"/>
        <v>1427</v>
      </c>
      <c r="V128" s="68">
        <f>VLOOKUP(B128,'114+840'!$B$15:$AB$516,15,FALSE)</f>
        <v>-573</v>
      </c>
      <c r="W128" s="67">
        <f>'114+840'!S129</f>
        <v>0</v>
      </c>
      <c r="X128" s="66">
        <f t="shared" si="22"/>
        <v>183</v>
      </c>
      <c r="Y128" s="65">
        <f t="shared" si="23"/>
        <v>0</v>
      </c>
      <c r="Z128" s="64">
        <f t="shared" si="24"/>
        <v>0</v>
      </c>
      <c r="AA128" s="63">
        <f t="shared" si="25"/>
        <v>1.4489999999999998</v>
      </c>
      <c r="AB128" s="63">
        <f t="shared" si="26"/>
        <v>0.41799999999999998</v>
      </c>
      <c r="AD128" s="51"/>
      <c r="AE128" s="50"/>
    </row>
    <row r="129" spans="2:31">
      <c r="B129" s="104">
        <f>'114+840'!B130</f>
        <v>45386</v>
      </c>
      <c r="C129" s="75">
        <f t="shared" si="18"/>
        <v>1</v>
      </c>
      <c r="D129" s="74">
        <f t="shared" si="19"/>
        <v>842</v>
      </c>
      <c r="E129" s="73">
        <f>VLOOKUP(B129,'114+840'!B130:AB231,3,FALSE)</f>
        <v>1407</v>
      </c>
      <c r="F129" s="70">
        <f t="shared" si="14"/>
        <v>2249</v>
      </c>
      <c r="G129" s="72">
        <f>VLOOKUP(B129,'114+840'!$B$15:$AB$516,20,FALSE)</f>
        <v>904</v>
      </c>
      <c r="H129" s="72">
        <f>VLOOKUP(B129,'114+840'!$B$15:$AB$516,4,FALSE)</f>
        <v>525</v>
      </c>
      <c r="I129" s="69">
        <f t="shared" si="15"/>
        <v>1724</v>
      </c>
      <c r="J129" s="69">
        <f>VLOOKUP(B129,'114+840'!$B$15:$AB$516,13,FALSE)</f>
        <v>-276</v>
      </c>
      <c r="K129" s="67">
        <f>'114+840'!Q130</f>
        <v>0</v>
      </c>
      <c r="L129" s="66">
        <f t="shared" si="20"/>
        <v>196</v>
      </c>
      <c r="M129" s="71">
        <f>VLOOKUP(B129,'114+840'!$B$14:$AB$516,21,FALSE)</f>
        <v>809</v>
      </c>
      <c r="N129" s="70">
        <f>VLOOKUP(B129,'114+840'!$B$15:$AB$516,5,FALSE)</f>
        <v>440</v>
      </c>
      <c r="O129" s="69">
        <f t="shared" si="16"/>
        <v>1809</v>
      </c>
      <c r="P129" s="69">
        <f>VLOOKUP(B129,'114+840'!$B$15:$AB$516,14,FALSE)</f>
        <v>-191</v>
      </c>
      <c r="Q129" s="67">
        <f>'114+840'!R130</f>
        <v>0</v>
      </c>
      <c r="R129" s="66">
        <f t="shared" si="21"/>
        <v>291</v>
      </c>
      <c r="S129" s="71">
        <f>VLOOKUP(B129,'114+840'!$B$14:$AB$516,22,FALSE)</f>
        <v>917</v>
      </c>
      <c r="T129" s="70">
        <f>VLOOKUP(B129,'114+840'!$B$15:$AB$516,6,FALSE)</f>
        <v>822</v>
      </c>
      <c r="U129" s="69">
        <f t="shared" si="17"/>
        <v>1427</v>
      </c>
      <c r="V129" s="68">
        <f>VLOOKUP(B129,'114+840'!$B$15:$AB$516,15,FALSE)</f>
        <v>-573</v>
      </c>
      <c r="W129" s="67">
        <f>'114+840'!S130</f>
        <v>0</v>
      </c>
      <c r="X129" s="66">
        <f t="shared" si="22"/>
        <v>183</v>
      </c>
      <c r="Y129" s="65">
        <f t="shared" si="23"/>
        <v>0</v>
      </c>
      <c r="Z129" s="64">
        <f t="shared" si="24"/>
        <v>0</v>
      </c>
      <c r="AA129" s="63">
        <f t="shared" si="25"/>
        <v>1.4489999999999998</v>
      </c>
      <c r="AB129" s="63">
        <f t="shared" si="26"/>
        <v>0.41799999999999998</v>
      </c>
      <c r="AD129" s="51"/>
      <c r="AE129" s="50"/>
    </row>
    <row r="130" spans="2:31">
      <c r="B130" s="104">
        <f>'114+840'!B131</f>
        <v>45387</v>
      </c>
      <c r="C130" s="75">
        <f t="shared" si="18"/>
        <v>1</v>
      </c>
      <c r="D130" s="74">
        <f t="shared" si="19"/>
        <v>842</v>
      </c>
      <c r="E130" s="73">
        <f>VLOOKUP(B130,'114+840'!B131:AB232,3,FALSE)</f>
        <v>1409</v>
      </c>
      <c r="F130" s="70">
        <f t="shared" si="14"/>
        <v>2251</v>
      </c>
      <c r="G130" s="72">
        <f>VLOOKUP(B130,'114+840'!$B$15:$AB$516,20,FALSE)</f>
        <v>904</v>
      </c>
      <c r="H130" s="72">
        <f>VLOOKUP(B130,'114+840'!$B$15:$AB$516,4,FALSE)</f>
        <v>527</v>
      </c>
      <c r="I130" s="69">
        <f t="shared" si="15"/>
        <v>1724</v>
      </c>
      <c r="J130" s="69">
        <f>VLOOKUP(B130,'114+840'!$B$15:$AB$516,13,FALSE)</f>
        <v>-276</v>
      </c>
      <c r="K130" s="67">
        <f>'114+840'!Q131</f>
        <v>0</v>
      </c>
      <c r="L130" s="66">
        <f t="shared" si="20"/>
        <v>196</v>
      </c>
      <c r="M130" s="71">
        <f>VLOOKUP(B130,'114+840'!$B$14:$AB$516,21,FALSE)</f>
        <v>809</v>
      </c>
      <c r="N130" s="70">
        <f>VLOOKUP(B130,'114+840'!$B$15:$AB$516,5,FALSE)</f>
        <v>442</v>
      </c>
      <c r="O130" s="69">
        <f t="shared" si="16"/>
        <v>1809</v>
      </c>
      <c r="P130" s="69">
        <f>VLOOKUP(B130,'114+840'!$B$15:$AB$516,14,FALSE)</f>
        <v>-191</v>
      </c>
      <c r="Q130" s="67">
        <f>'114+840'!R131</f>
        <v>0</v>
      </c>
      <c r="R130" s="66">
        <f t="shared" si="21"/>
        <v>291</v>
      </c>
      <c r="S130" s="71">
        <f>VLOOKUP(B130,'114+840'!$B$14:$AB$516,22,FALSE)</f>
        <v>917</v>
      </c>
      <c r="T130" s="70">
        <f>VLOOKUP(B130,'114+840'!$B$15:$AB$516,6,FALSE)</f>
        <v>824</v>
      </c>
      <c r="U130" s="69">
        <f t="shared" si="17"/>
        <v>1427</v>
      </c>
      <c r="V130" s="68">
        <f>VLOOKUP(B130,'114+840'!$B$15:$AB$516,15,FALSE)</f>
        <v>-573</v>
      </c>
      <c r="W130" s="67">
        <f>'114+840'!S131</f>
        <v>0</v>
      </c>
      <c r="X130" s="66">
        <f t="shared" si="22"/>
        <v>183</v>
      </c>
      <c r="Y130" s="65">
        <f t="shared" si="23"/>
        <v>0</v>
      </c>
      <c r="Z130" s="64">
        <f t="shared" si="24"/>
        <v>0</v>
      </c>
      <c r="AA130" s="63">
        <f t="shared" si="25"/>
        <v>1.4489999999999998</v>
      </c>
      <c r="AB130" s="63">
        <f t="shared" si="26"/>
        <v>0.41799999999999998</v>
      </c>
      <c r="AD130" s="51"/>
      <c r="AE130" s="50"/>
    </row>
    <row r="131" spans="2:31">
      <c r="B131" s="104">
        <f>'114+840'!B132</f>
        <v>45388</v>
      </c>
      <c r="C131" s="75">
        <f t="shared" si="18"/>
        <v>1</v>
      </c>
      <c r="D131" s="74">
        <f t="shared" si="19"/>
        <v>842</v>
      </c>
      <c r="E131" s="73">
        <f>VLOOKUP(B131,'114+840'!B132:AB233,3,FALSE)</f>
        <v>1411</v>
      </c>
      <c r="F131" s="70">
        <f t="shared" si="14"/>
        <v>2253</v>
      </c>
      <c r="G131" s="72">
        <f>VLOOKUP(B131,'114+840'!$B$15:$AB$516,20,FALSE)</f>
        <v>904</v>
      </c>
      <c r="H131" s="72">
        <f>VLOOKUP(B131,'114+840'!$B$15:$AB$516,4,FALSE)</f>
        <v>529</v>
      </c>
      <c r="I131" s="69">
        <f t="shared" si="15"/>
        <v>1724</v>
      </c>
      <c r="J131" s="69">
        <f>VLOOKUP(B131,'114+840'!$B$15:$AB$516,13,FALSE)</f>
        <v>-276</v>
      </c>
      <c r="K131" s="67">
        <f>'114+840'!Q132</f>
        <v>0</v>
      </c>
      <c r="L131" s="66">
        <f t="shared" si="20"/>
        <v>196</v>
      </c>
      <c r="M131" s="71">
        <f>VLOOKUP(B131,'114+840'!$B$14:$AB$516,21,FALSE)</f>
        <v>809</v>
      </c>
      <c r="N131" s="70">
        <f>VLOOKUP(B131,'114+840'!$B$15:$AB$516,5,FALSE)</f>
        <v>444</v>
      </c>
      <c r="O131" s="69">
        <f t="shared" si="16"/>
        <v>1809</v>
      </c>
      <c r="P131" s="69">
        <f>VLOOKUP(B131,'114+840'!$B$15:$AB$516,14,FALSE)</f>
        <v>-191</v>
      </c>
      <c r="Q131" s="67">
        <f>'114+840'!R132</f>
        <v>0</v>
      </c>
      <c r="R131" s="66">
        <f t="shared" si="21"/>
        <v>291</v>
      </c>
      <c r="S131" s="71">
        <f>VLOOKUP(B131,'114+840'!$B$14:$AB$516,22,FALSE)</f>
        <v>917</v>
      </c>
      <c r="T131" s="70">
        <f>VLOOKUP(B131,'114+840'!$B$15:$AB$516,6,FALSE)</f>
        <v>826</v>
      </c>
      <c r="U131" s="69">
        <f t="shared" si="17"/>
        <v>1427</v>
      </c>
      <c r="V131" s="68">
        <f>VLOOKUP(B131,'114+840'!$B$15:$AB$516,15,FALSE)</f>
        <v>-573</v>
      </c>
      <c r="W131" s="67">
        <f>'114+840'!S132</f>
        <v>0</v>
      </c>
      <c r="X131" s="66">
        <f t="shared" si="22"/>
        <v>183</v>
      </c>
      <c r="Y131" s="65">
        <f t="shared" si="23"/>
        <v>0</v>
      </c>
      <c r="Z131" s="64">
        <f t="shared" si="24"/>
        <v>0</v>
      </c>
      <c r="AA131" s="63">
        <f t="shared" si="25"/>
        <v>1.4489999999999998</v>
      </c>
      <c r="AB131" s="63">
        <f t="shared" si="26"/>
        <v>0.41799999999999998</v>
      </c>
    </row>
    <row r="132" spans="2:31">
      <c r="B132" s="104">
        <f>'114+840'!B133</f>
        <v>45389</v>
      </c>
      <c r="C132" s="75">
        <f t="shared" si="18"/>
        <v>1</v>
      </c>
      <c r="D132" s="74">
        <f t="shared" si="19"/>
        <v>842</v>
      </c>
      <c r="E132" s="73">
        <f>VLOOKUP(B132,'114+840'!B133:AB234,3,FALSE)</f>
        <v>1413</v>
      </c>
      <c r="F132" s="70">
        <f t="shared" si="14"/>
        <v>2255</v>
      </c>
      <c r="G132" s="72">
        <f>VLOOKUP(B132,'114+840'!$B$15:$AB$516,20,FALSE)</f>
        <v>904</v>
      </c>
      <c r="H132" s="72">
        <f>VLOOKUP(B132,'114+840'!$B$15:$AB$516,4,FALSE)</f>
        <v>531</v>
      </c>
      <c r="I132" s="69">
        <f t="shared" si="15"/>
        <v>1724</v>
      </c>
      <c r="J132" s="69">
        <f>VLOOKUP(B132,'114+840'!$B$15:$AB$516,13,FALSE)</f>
        <v>-276</v>
      </c>
      <c r="K132" s="67">
        <f>'114+840'!Q133</f>
        <v>0</v>
      </c>
      <c r="L132" s="66">
        <f t="shared" si="20"/>
        <v>196</v>
      </c>
      <c r="M132" s="71">
        <f>VLOOKUP(B132,'114+840'!$B$14:$AB$516,21,FALSE)</f>
        <v>809</v>
      </c>
      <c r="N132" s="70">
        <f>VLOOKUP(B132,'114+840'!$B$15:$AB$516,5,FALSE)</f>
        <v>446</v>
      </c>
      <c r="O132" s="69">
        <f t="shared" si="16"/>
        <v>1809</v>
      </c>
      <c r="P132" s="69">
        <f>VLOOKUP(B132,'114+840'!$B$15:$AB$516,14,FALSE)</f>
        <v>-191</v>
      </c>
      <c r="Q132" s="67">
        <f>'114+840'!R133</f>
        <v>0</v>
      </c>
      <c r="R132" s="66">
        <f t="shared" si="21"/>
        <v>291</v>
      </c>
      <c r="S132" s="71">
        <f>VLOOKUP(B132,'114+840'!$B$14:$AB$516,22,FALSE)</f>
        <v>917</v>
      </c>
      <c r="T132" s="70">
        <f>VLOOKUP(B132,'114+840'!$B$15:$AB$516,6,FALSE)</f>
        <v>828</v>
      </c>
      <c r="U132" s="69">
        <f t="shared" si="17"/>
        <v>1427</v>
      </c>
      <c r="V132" s="68">
        <f>VLOOKUP(B132,'114+840'!$B$15:$AB$516,15,FALSE)</f>
        <v>-573</v>
      </c>
      <c r="W132" s="67">
        <f>'114+840'!S133</f>
        <v>0</v>
      </c>
      <c r="X132" s="66">
        <f t="shared" si="22"/>
        <v>183</v>
      </c>
      <c r="Y132" s="65">
        <f t="shared" si="23"/>
        <v>0</v>
      </c>
      <c r="Z132" s="64">
        <f t="shared" si="24"/>
        <v>0</v>
      </c>
      <c r="AA132" s="63">
        <f t="shared" si="25"/>
        <v>1.4489999999999998</v>
      </c>
      <c r="AB132" s="63">
        <f t="shared" si="26"/>
        <v>0.41799999999999998</v>
      </c>
    </row>
    <row r="133" spans="2:31">
      <c r="B133" s="104">
        <f>'114+840'!B134</f>
        <v>45390</v>
      </c>
      <c r="C133" s="75">
        <f t="shared" si="18"/>
        <v>1</v>
      </c>
      <c r="D133" s="74">
        <f t="shared" si="19"/>
        <v>842</v>
      </c>
      <c r="E133" s="73">
        <f>VLOOKUP(B133,'114+840'!B134:AB235,3,FALSE)</f>
        <v>1415</v>
      </c>
      <c r="F133" s="70">
        <f t="shared" si="14"/>
        <v>2257</v>
      </c>
      <c r="G133" s="72">
        <f>VLOOKUP(B133,'114+840'!$B$15:$AB$516,20,FALSE)</f>
        <v>904</v>
      </c>
      <c r="H133" s="72">
        <f>VLOOKUP(B133,'114+840'!$B$15:$AB$516,4,FALSE)</f>
        <v>533</v>
      </c>
      <c r="I133" s="69">
        <f t="shared" si="15"/>
        <v>1724</v>
      </c>
      <c r="J133" s="69">
        <f>VLOOKUP(B133,'114+840'!$B$15:$AB$516,13,FALSE)</f>
        <v>-276</v>
      </c>
      <c r="K133" s="67">
        <f>'114+840'!Q134</f>
        <v>0</v>
      </c>
      <c r="L133" s="66">
        <f t="shared" si="20"/>
        <v>196</v>
      </c>
      <c r="M133" s="71">
        <f>VLOOKUP(B133,'114+840'!$B$14:$AB$516,21,FALSE)</f>
        <v>809</v>
      </c>
      <c r="N133" s="70">
        <f>VLOOKUP(B133,'114+840'!$B$15:$AB$516,5,FALSE)</f>
        <v>448</v>
      </c>
      <c r="O133" s="69">
        <f t="shared" si="16"/>
        <v>1809</v>
      </c>
      <c r="P133" s="69">
        <f>VLOOKUP(B133,'114+840'!$B$15:$AB$516,14,FALSE)</f>
        <v>-191</v>
      </c>
      <c r="Q133" s="67">
        <f>'114+840'!R134</f>
        <v>0</v>
      </c>
      <c r="R133" s="66">
        <f t="shared" si="21"/>
        <v>291</v>
      </c>
      <c r="S133" s="71">
        <f>VLOOKUP(B133,'114+840'!$B$14:$AB$516,22,FALSE)</f>
        <v>917</v>
      </c>
      <c r="T133" s="70">
        <f>VLOOKUP(B133,'114+840'!$B$15:$AB$516,6,FALSE)</f>
        <v>830</v>
      </c>
      <c r="U133" s="69">
        <f t="shared" si="17"/>
        <v>1427</v>
      </c>
      <c r="V133" s="68">
        <f>VLOOKUP(B133,'114+840'!$B$15:$AB$516,15,FALSE)</f>
        <v>-573</v>
      </c>
      <c r="W133" s="67">
        <f>'114+840'!S134</f>
        <v>0</v>
      </c>
      <c r="X133" s="66">
        <f t="shared" si="22"/>
        <v>183</v>
      </c>
      <c r="Y133" s="65">
        <f t="shared" si="23"/>
        <v>0</v>
      </c>
      <c r="Z133" s="64">
        <f t="shared" si="24"/>
        <v>0</v>
      </c>
      <c r="AA133" s="63">
        <f t="shared" si="25"/>
        <v>1.4489999999999998</v>
      </c>
      <c r="AB133" s="63">
        <f t="shared" si="26"/>
        <v>0.41799999999999998</v>
      </c>
    </row>
    <row r="134" spans="2:31">
      <c r="B134" s="104">
        <f>'114+840'!B135</f>
        <v>45391</v>
      </c>
      <c r="C134" s="75">
        <f t="shared" si="18"/>
        <v>1</v>
      </c>
      <c r="D134" s="74">
        <f t="shared" si="19"/>
        <v>842</v>
      </c>
      <c r="E134" s="73">
        <f>VLOOKUP(B134,'114+840'!B135:AB236,3,FALSE)</f>
        <v>1417</v>
      </c>
      <c r="F134" s="70">
        <f t="shared" si="14"/>
        <v>2259</v>
      </c>
      <c r="G134" s="72">
        <f>VLOOKUP(B134,'114+840'!$B$15:$AB$516,20,FALSE)</f>
        <v>904</v>
      </c>
      <c r="H134" s="72">
        <f>VLOOKUP(B134,'114+840'!$B$15:$AB$516,4,FALSE)</f>
        <v>535</v>
      </c>
      <c r="I134" s="69">
        <f t="shared" si="15"/>
        <v>1724</v>
      </c>
      <c r="J134" s="69">
        <f>VLOOKUP(B134,'114+840'!$B$15:$AB$516,13,FALSE)</f>
        <v>-276</v>
      </c>
      <c r="K134" s="67">
        <f>'114+840'!Q135</f>
        <v>0</v>
      </c>
      <c r="L134" s="66">
        <f t="shared" si="20"/>
        <v>196</v>
      </c>
      <c r="M134" s="71">
        <f>VLOOKUP(B134,'114+840'!$B$14:$AB$516,21,FALSE)</f>
        <v>809</v>
      </c>
      <c r="N134" s="70">
        <f>VLOOKUP(B134,'114+840'!$B$15:$AB$516,5,FALSE)</f>
        <v>450</v>
      </c>
      <c r="O134" s="69">
        <f t="shared" si="16"/>
        <v>1809</v>
      </c>
      <c r="P134" s="69">
        <f>VLOOKUP(B134,'114+840'!$B$15:$AB$516,14,FALSE)</f>
        <v>-191</v>
      </c>
      <c r="Q134" s="67">
        <f>'114+840'!R135</f>
        <v>0</v>
      </c>
      <c r="R134" s="66">
        <f t="shared" si="21"/>
        <v>291</v>
      </c>
      <c r="S134" s="71">
        <f>VLOOKUP(B134,'114+840'!$B$14:$AB$516,22,FALSE)</f>
        <v>917</v>
      </c>
      <c r="T134" s="70">
        <f>VLOOKUP(B134,'114+840'!$B$15:$AB$516,6,FALSE)</f>
        <v>832</v>
      </c>
      <c r="U134" s="69">
        <f t="shared" si="17"/>
        <v>1427</v>
      </c>
      <c r="V134" s="68">
        <f>VLOOKUP(B134,'114+840'!$B$15:$AB$516,15,FALSE)</f>
        <v>-573</v>
      </c>
      <c r="W134" s="67">
        <f>'114+840'!S135</f>
        <v>0</v>
      </c>
      <c r="X134" s="66">
        <f t="shared" si="22"/>
        <v>183</v>
      </c>
      <c r="Y134" s="65">
        <f t="shared" si="23"/>
        <v>0</v>
      </c>
      <c r="Z134" s="64">
        <f t="shared" si="24"/>
        <v>0</v>
      </c>
      <c r="AA134" s="63">
        <f t="shared" si="25"/>
        <v>1.4489999999999998</v>
      </c>
      <c r="AB134" s="63">
        <f t="shared" si="26"/>
        <v>0.41799999999999998</v>
      </c>
    </row>
    <row r="135" spans="2:31">
      <c r="B135" s="104">
        <f>'114+840'!B136</f>
        <v>45392</v>
      </c>
      <c r="C135" s="75">
        <f t="shared" si="18"/>
        <v>1</v>
      </c>
      <c r="D135" s="74">
        <f t="shared" si="19"/>
        <v>842</v>
      </c>
      <c r="E135" s="73">
        <f>VLOOKUP(B135,'114+840'!B136:AB237,3,FALSE)</f>
        <v>1419</v>
      </c>
      <c r="F135" s="70">
        <f t="shared" si="14"/>
        <v>2261</v>
      </c>
      <c r="G135" s="72">
        <f>VLOOKUP(B135,'114+840'!$B$15:$AB$516,20,FALSE)</f>
        <v>904</v>
      </c>
      <c r="H135" s="72">
        <f>VLOOKUP(B135,'114+840'!$B$15:$AB$516,4,FALSE)</f>
        <v>537</v>
      </c>
      <c r="I135" s="69">
        <f t="shared" si="15"/>
        <v>1724</v>
      </c>
      <c r="J135" s="69">
        <f>VLOOKUP(B135,'114+840'!$B$15:$AB$516,13,FALSE)</f>
        <v>-276</v>
      </c>
      <c r="K135" s="67">
        <f>'114+840'!Q136</f>
        <v>0</v>
      </c>
      <c r="L135" s="66">
        <f t="shared" si="20"/>
        <v>196</v>
      </c>
      <c r="M135" s="71">
        <f>VLOOKUP(B135,'114+840'!$B$14:$AB$516,21,FALSE)</f>
        <v>809</v>
      </c>
      <c r="N135" s="70">
        <f>VLOOKUP(B135,'114+840'!$B$15:$AB$516,5,FALSE)</f>
        <v>452</v>
      </c>
      <c r="O135" s="69">
        <f t="shared" si="16"/>
        <v>1809</v>
      </c>
      <c r="P135" s="69">
        <f>VLOOKUP(B135,'114+840'!$B$15:$AB$516,14,FALSE)</f>
        <v>-191</v>
      </c>
      <c r="Q135" s="67">
        <f>'114+840'!R136</f>
        <v>0</v>
      </c>
      <c r="R135" s="66">
        <f t="shared" si="21"/>
        <v>291</v>
      </c>
      <c r="S135" s="71">
        <f>VLOOKUP(B135,'114+840'!$B$14:$AB$516,22,FALSE)</f>
        <v>917</v>
      </c>
      <c r="T135" s="70">
        <f>VLOOKUP(B135,'114+840'!$B$15:$AB$516,6,FALSE)</f>
        <v>834</v>
      </c>
      <c r="U135" s="69">
        <f t="shared" si="17"/>
        <v>1427</v>
      </c>
      <c r="V135" s="68">
        <f>VLOOKUP(B135,'114+840'!$B$15:$AB$516,15,FALSE)</f>
        <v>-573</v>
      </c>
      <c r="W135" s="67">
        <f>'114+840'!S136</f>
        <v>0</v>
      </c>
      <c r="X135" s="66">
        <f t="shared" si="22"/>
        <v>183</v>
      </c>
      <c r="Y135" s="65">
        <f t="shared" si="23"/>
        <v>0</v>
      </c>
      <c r="Z135" s="64">
        <f t="shared" si="24"/>
        <v>0</v>
      </c>
      <c r="AA135" s="63">
        <f t="shared" si="25"/>
        <v>1.4489999999999998</v>
      </c>
      <c r="AB135" s="63">
        <f t="shared" si="26"/>
        <v>0.41799999999999998</v>
      </c>
    </row>
    <row r="136" spans="2:31">
      <c r="B136" s="104">
        <f>'114+840'!B137</f>
        <v>45393</v>
      </c>
      <c r="C136" s="75">
        <f t="shared" si="18"/>
        <v>1</v>
      </c>
      <c r="D136" s="74">
        <f t="shared" si="19"/>
        <v>842</v>
      </c>
      <c r="E136" s="73">
        <f>VLOOKUP(B136,'114+840'!B137:AB238,3,FALSE)</f>
        <v>1421</v>
      </c>
      <c r="F136" s="70">
        <f t="shared" si="14"/>
        <v>2263</v>
      </c>
      <c r="G136" s="72">
        <f>VLOOKUP(B136,'114+840'!$B$15:$AB$516,20,FALSE)</f>
        <v>904</v>
      </c>
      <c r="H136" s="72">
        <f>VLOOKUP(B136,'114+840'!$B$15:$AB$516,4,FALSE)</f>
        <v>539</v>
      </c>
      <c r="I136" s="69">
        <f t="shared" si="15"/>
        <v>1724</v>
      </c>
      <c r="J136" s="69">
        <f>VLOOKUP(B136,'114+840'!$B$15:$AB$516,13,FALSE)</f>
        <v>-276</v>
      </c>
      <c r="K136" s="67">
        <f>'114+840'!Q137</f>
        <v>0</v>
      </c>
      <c r="L136" s="66">
        <f t="shared" si="20"/>
        <v>196</v>
      </c>
      <c r="M136" s="71">
        <f>VLOOKUP(B136,'114+840'!$B$14:$AB$516,21,FALSE)</f>
        <v>809</v>
      </c>
      <c r="N136" s="70">
        <f>VLOOKUP(B136,'114+840'!$B$15:$AB$516,5,FALSE)</f>
        <v>454</v>
      </c>
      <c r="O136" s="69">
        <f t="shared" si="16"/>
        <v>1809</v>
      </c>
      <c r="P136" s="69">
        <f>VLOOKUP(B136,'114+840'!$B$15:$AB$516,14,FALSE)</f>
        <v>-191</v>
      </c>
      <c r="Q136" s="67">
        <f>'114+840'!R137</f>
        <v>0</v>
      </c>
      <c r="R136" s="66">
        <f t="shared" si="21"/>
        <v>291</v>
      </c>
      <c r="S136" s="71">
        <f>VLOOKUP(B136,'114+840'!$B$14:$AB$516,22,FALSE)</f>
        <v>917</v>
      </c>
      <c r="T136" s="70">
        <f>VLOOKUP(B136,'114+840'!$B$15:$AB$516,6,FALSE)</f>
        <v>836</v>
      </c>
      <c r="U136" s="69">
        <f t="shared" si="17"/>
        <v>1427</v>
      </c>
      <c r="V136" s="68">
        <f>VLOOKUP(B136,'114+840'!$B$15:$AB$516,15,FALSE)</f>
        <v>-573</v>
      </c>
      <c r="W136" s="67">
        <f>'114+840'!S137</f>
        <v>0</v>
      </c>
      <c r="X136" s="66">
        <f t="shared" si="22"/>
        <v>183</v>
      </c>
      <c r="Y136" s="65">
        <f t="shared" si="23"/>
        <v>0</v>
      </c>
      <c r="Z136" s="64">
        <f t="shared" si="24"/>
        <v>0</v>
      </c>
      <c r="AA136" s="63">
        <f t="shared" si="25"/>
        <v>1.4489999999999998</v>
      </c>
      <c r="AB136" s="63">
        <f t="shared" si="26"/>
        <v>0.41799999999999998</v>
      </c>
    </row>
    <row r="137" spans="2:31">
      <c r="B137" s="104">
        <f>'114+840'!B138</f>
        <v>45394</v>
      </c>
      <c r="C137" s="75">
        <f t="shared" si="18"/>
        <v>1</v>
      </c>
      <c r="D137" s="74">
        <f t="shared" si="19"/>
        <v>842</v>
      </c>
      <c r="E137" s="73">
        <f>VLOOKUP(B137,'114+840'!B138:AB239,3,FALSE)</f>
        <v>1423</v>
      </c>
      <c r="F137" s="70">
        <f t="shared" si="14"/>
        <v>2265</v>
      </c>
      <c r="G137" s="72">
        <f>VLOOKUP(B137,'114+840'!$B$15:$AB$516,20,FALSE)</f>
        <v>904</v>
      </c>
      <c r="H137" s="72">
        <f>VLOOKUP(B137,'114+840'!$B$15:$AB$516,4,FALSE)</f>
        <v>541</v>
      </c>
      <c r="I137" s="69">
        <f t="shared" si="15"/>
        <v>1724</v>
      </c>
      <c r="J137" s="69">
        <f>VLOOKUP(B137,'114+840'!$B$15:$AB$516,13,FALSE)</f>
        <v>-276</v>
      </c>
      <c r="K137" s="67">
        <f>'114+840'!Q138</f>
        <v>0</v>
      </c>
      <c r="L137" s="66">
        <f t="shared" si="20"/>
        <v>196</v>
      </c>
      <c r="M137" s="71">
        <f>VLOOKUP(B137,'114+840'!$B$14:$AB$516,21,FALSE)</f>
        <v>809</v>
      </c>
      <c r="N137" s="70">
        <f>VLOOKUP(B137,'114+840'!$B$15:$AB$516,5,FALSE)</f>
        <v>456</v>
      </c>
      <c r="O137" s="69">
        <f t="shared" si="16"/>
        <v>1809</v>
      </c>
      <c r="P137" s="69">
        <f>VLOOKUP(B137,'114+840'!$B$15:$AB$516,14,FALSE)</f>
        <v>-191</v>
      </c>
      <c r="Q137" s="67">
        <f>'114+840'!R138</f>
        <v>0</v>
      </c>
      <c r="R137" s="66">
        <f t="shared" si="21"/>
        <v>291</v>
      </c>
      <c r="S137" s="71">
        <f>VLOOKUP(B137,'114+840'!$B$14:$AB$516,22,FALSE)</f>
        <v>917</v>
      </c>
      <c r="T137" s="70">
        <f>VLOOKUP(B137,'114+840'!$B$15:$AB$516,6,FALSE)</f>
        <v>838</v>
      </c>
      <c r="U137" s="69">
        <f t="shared" si="17"/>
        <v>1427</v>
      </c>
      <c r="V137" s="68">
        <f>VLOOKUP(B137,'114+840'!$B$15:$AB$516,15,FALSE)</f>
        <v>-573</v>
      </c>
      <c r="W137" s="67">
        <f>'114+840'!S138</f>
        <v>0</v>
      </c>
      <c r="X137" s="66">
        <f t="shared" si="22"/>
        <v>183</v>
      </c>
      <c r="Y137" s="65">
        <f t="shared" si="23"/>
        <v>0</v>
      </c>
      <c r="Z137" s="64">
        <f t="shared" si="24"/>
        <v>0</v>
      </c>
      <c r="AA137" s="63">
        <f t="shared" si="25"/>
        <v>1.4489999999999998</v>
      </c>
      <c r="AB137" s="63">
        <f t="shared" si="26"/>
        <v>0.41799999999999998</v>
      </c>
    </row>
    <row r="138" spans="2:31">
      <c r="B138" s="104">
        <f>'114+840'!B139</f>
        <v>45395</v>
      </c>
      <c r="C138" s="75">
        <f t="shared" si="18"/>
        <v>1</v>
      </c>
      <c r="D138" s="74">
        <f t="shared" si="19"/>
        <v>842</v>
      </c>
      <c r="E138" s="73">
        <f>VLOOKUP(B138,'114+840'!B139:AB240,3,FALSE)</f>
        <v>1425</v>
      </c>
      <c r="F138" s="70">
        <f t="shared" si="14"/>
        <v>2267</v>
      </c>
      <c r="G138" s="72">
        <f>VLOOKUP(B138,'114+840'!$B$15:$AB$516,20,FALSE)</f>
        <v>904</v>
      </c>
      <c r="H138" s="72">
        <f>VLOOKUP(B138,'114+840'!$B$15:$AB$516,4,FALSE)</f>
        <v>543</v>
      </c>
      <c r="I138" s="69">
        <f t="shared" si="15"/>
        <v>1724</v>
      </c>
      <c r="J138" s="69">
        <f>VLOOKUP(B138,'114+840'!$B$15:$AB$516,13,FALSE)</f>
        <v>-276</v>
      </c>
      <c r="K138" s="67">
        <f>'114+840'!Q139</f>
        <v>0</v>
      </c>
      <c r="L138" s="66">
        <f t="shared" si="20"/>
        <v>196</v>
      </c>
      <c r="M138" s="71">
        <f>VLOOKUP(B138,'114+840'!$B$14:$AB$516,21,FALSE)</f>
        <v>809</v>
      </c>
      <c r="N138" s="70">
        <f>VLOOKUP(B138,'114+840'!$B$15:$AB$516,5,FALSE)</f>
        <v>458</v>
      </c>
      <c r="O138" s="69">
        <f t="shared" si="16"/>
        <v>1809</v>
      </c>
      <c r="P138" s="69">
        <f>VLOOKUP(B138,'114+840'!$B$15:$AB$516,14,FALSE)</f>
        <v>-191</v>
      </c>
      <c r="Q138" s="67">
        <f>'114+840'!R139</f>
        <v>0</v>
      </c>
      <c r="R138" s="66">
        <f t="shared" si="21"/>
        <v>291</v>
      </c>
      <c r="S138" s="71">
        <f>VLOOKUP(B138,'114+840'!$B$14:$AB$516,22,FALSE)</f>
        <v>917</v>
      </c>
      <c r="T138" s="70">
        <f>VLOOKUP(B138,'114+840'!$B$15:$AB$516,6,FALSE)</f>
        <v>840</v>
      </c>
      <c r="U138" s="69">
        <f t="shared" si="17"/>
        <v>1427</v>
      </c>
      <c r="V138" s="68">
        <f>VLOOKUP(B138,'114+840'!$B$15:$AB$516,15,FALSE)</f>
        <v>-573</v>
      </c>
      <c r="W138" s="67">
        <f>'114+840'!S139</f>
        <v>0</v>
      </c>
      <c r="X138" s="66">
        <f t="shared" si="22"/>
        <v>183</v>
      </c>
      <c r="Y138" s="65">
        <f t="shared" si="23"/>
        <v>0</v>
      </c>
      <c r="Z138" s="64">
        <f t="shared" si="24"/>
        <v>0</v>
      </c>
      <c r="AA138" s="63">
        <f t="shared" si="25"/>
        <v>1.4489999999999998</v>
      </c>
      <c r="AB138" s="63">
        <f t="shared" si="26"/>
        <v>0.41799999999999998</v>
      </c>
    </row>
    <row r="139" spans="2:31">
      <c r="B139" s="104">
        <f>'114+840'!B140</f>
        <v>45396</v>
      </c>
      <c r="C139" s="75">
        <f t="shared" si="18"/>
        <v>1</v>
      </c>
      <c r="D139" s="74">
        <f t="shared" si="19"/>
        <v>842</v>
      </c>
      <c r="E139" s="73">
        <f>VLOOKUP(B139,'114+840'!B140:AB241,3,FALSE)</f>
        <v>1427</v>
      </c>
      <c r="F139" s="70">
        <f t="shared" si="14"/>
        <v>2269</v>
      </c>
      <c r="G139" s="72">
        <f>VLOOKUP(B139,'114+840'!$B$15:$AB$516,20,FALSE)</f>
        <v>1197</v>
      </c>
      <c r="H139" s="72">
        <f>VLOOKUP(B139,'114+840'!$B$15:$AB$516,4,FALSE)</f>
        <v>552</v>
      </c>
      <c r="I139" s="69">
        <f t="shared" si="15"/>
        <v>1717</v>
      </c>
      <c r="J139" s="69">
        <f>VLOOKUP(B139,'114+840'!$B$15:$AB$516,13,FALSE)</f>
        <v>-283</v>
      </c>
      <c r="K139" s="67">
        <f>'114+840'!Q140</f>
        <v>7</v>
      </c>
      <c r="L139" s="66">
        <f t="shared" si="20"/>
        <v>203</v>
      </c>
      <c r="M139" s="71">
        <f>VLOOKUP(B139,'114+840'!$B$14:$AB$516,21,FALSE)</f>
        <v>1100</v>
      </c>
      <c r="N139" s="70">
        <f>VLOOKUP(B139,'114+840'!$B$15:$AB$516,5,FALSE)</f>
        <v>469</v>
      </c>
      <c r="O139" s="69">
        <f t="shared" si="16"/>
        <v>1800</v>
      </c>
      <c r="P139" s="69">
        <f>VLOOKUP(B139,'114+840'!$B$15:$AB$516,14,FALSE)</f>
        <v>-200</v>
      </c>
      <c r="Q139" s="67">
        <f>'114+840'!R140</f>
        <v>9</v>
      </c>
      <c r="R139" s="66">
        <f t="shared" si="21"/>
        <v>300</v>
      </c>
      <c r="S139" s="71">
        <f>VLOOKUP(B139,'114+840'!$B$14:$AB$516,22,FALSE)</f>
        <v>1209</v>
      </c>
      <c r="T139" s="70">
        <f>VLOOKUP(B139,'114+840'!$B$15:$AB$516,6,FALSE)</f>
        <v>850</v>
      </c>
      <c r="U139" s="69">
        <f t="shared" si="17"/>
        <v>1419</v>
      </c>
      <c r="V139" s="68">
        <f>VLOOKUP(B139,'114+840'!$B$15:$AB$516,15,FALSE)</f>
        <v>-581</v>
      </c>
      <c r="W139" s="67">
        <f>'114+840'!S140</f>
        <v>8</v>
      </c>
      <c r="X139" s="66">
        <f t="shared" si="22"/>
        <v>191</v>
      </c>
      <c r="Y139" s="65">
        <f t="shared" si="23"/>
        <v>292</v>
      </c>
      <c r="Z139" s="64">
        <f t="shared" si="24"/>
        <v>0.29199999999999998</v>
      </c>
      <c r="AA139" s="63">
        <f t="shared" si="25"/>
        <v>1.7409999999999999</v>
      </c>
      <c r="AB139" s="63">
        <f t="shared" si="26"/>
        <v>0.7</v>
      </c>
    </row>
    <row r="140" spans="2:31">
      <c r="B140" s="104">
        <f>'114+840'!B141</f>
        <v>45397</v>
      </c>
      <c r="C140" s="75">
        <f t="shared" si="18"/>
        <v>1</v>
      </c>
      <c r="D140" s="74">
        <f t="shared" si="19"/>
        <v>842</v>
      </c>
      <c r="E140" s="73">
        <f>VLOOKUP(B140,'114+840'!B141:AB242,3,FALSE)</f>
        <v>1429</v>
      </c>
      <c r="F140" s="70">
        <f t="shared" si="14"/>
        <v>2271</v>
      </c>
      <c r="G140" s="72">
        <f>VLOOKUP(B140,'114+840'!$B$15:$AB$516,20,FALSE)</f>
        <v>1194</v>
      </c>
      <c r="H140" s="72">
        <f>VLOOKUP(B140,'114+840'!$B$15:$AB$516,4,FALSE)</f>
        <v>557</v>
      </c>
      <c r="I140" s="69">
        <f t="shared" si="15"/>
        <v>1714</v>
      </c>
      <c r="J140" s="69">
        <f>VLOOKUP(B140,'114+840'!$B$15:$AB$516,13,FALSE)</f>
        <v>-286</v>
      </c>
      <c r="K140" s="67">
        <f>'114+840'!Q141</f>
        <v>3</v>
      </c>
      <c r="L140" s="66">
        <f t="shared" si="20"/>
        <v>206</v>
      </c>
      <c r="M140" s="71">
        <f>VLOOKUP(B140,'114+840'!$B$14:$AB$516,21,FALSE)</f>
        <v>1097</v>
      </c>
      <c r="N140" s="70">
        <f>VLOOKUP(B140,'114+840'!$B$15:$AB$516,5,FALSE)</f>
        <v>474</v>
      </c>
      <c r="O140" s="69">
        <f t="shared" si="16"/>
        <v>1797</v>
      </c>
      <c r="P140" s="69">
        <f>VLOOKUP(B140,'114+840'!$B$15:$AB$516,14,FALSE)</f>
        <v>-203</v>
      </c>
      <c r="Q140" s="67">
        <f>'114+840'!R141</f>
        <v>3</v>
      </c>
      <c r="R140" s="66">
        <f t="shared" si="21"/>
        <v>303</v>
      </c>
      <c r="S140" s="71">
        <f>VLOOKUP(B140,'114+840'!$B$14:$AB$516,22,FALSE)</f>
        <v>1206</v>
      </c>
      <c r="T140" s="70">
        <f>VLOOKUP(B140,'114+840'!$B$15:$AB$516,6,FALSE)</f>
        <v>855</v>
      </c>
      <c r="U140" s="69">
        <f t="shared" si="17"/>
        <v>1416</v>
      </c>
      <c r="V140" s="68">
        <f>VLOOKUP(B140,'114+840'!$B$15:$AB$516,15,FALSE)</f>
        <v>-584</v>
      </c>
      <c r="W140" s="67">
        <f>'114+840'!S141</f>
        <v>3</v>
      </c>
      <c r="X140" s="66">
        <f t="shared" si="22"/>
        <v>194</v>
      </c>
      <c r="Y140" s="65">
        <f t="shared" si="23"/>
        <v>-3</v>
      </c>
      <c r="Z140" s="64">
        <f t="shared" si="24"/>
        <v>0</v>
      </c>
      <c r="AA140" s="63">
        <f t="shared" si="25"/>
        <v>1.7409999999999999</v>
      </c>
      <c r="AB140" s="63">
        <f t="shared" si="26"/>
        <v>0.69399999999999995</v>
      </c>
    </row>
    <row r="141" spans="2:31">
      <c r="B141" s="104">
        <f>'114+840'!B142</f>
        <v>45398</v>
      </c>
      <c r="C141" s="75">
        <f t="shared" si="18"/>
        <v>1</v>
      </c>
      <c r="D141" s="74">
        <f t="shared" si="19"/>
        <v>842</v>
      </c>
      <c r="E141" s="73">
        <f>VLOOKUP(B141,'114+840'!B142:AB243,3,FALSE)</f>
        <v>1431</v>
      </c>
      <c r="F141" s="70">
        <f t="shared" ref="F141:F204" si="27">D141+E141</f>
        <v>2273</v>
      </c>
      <c r="G141" s="72">
        <f>VLOOKUP(B141,'114+840'!$B$15:$AB$516,20,FALSE)</f>
        <v>1190</v>
      </c>
      <c r="H141" s="72">
        <f>VLOOKUP(B141,'114+840'!$B$15:$AB$516,4,FALSE)</f>
        <v>563</v>
      </c>
      <c r="I141" s="69">
        <f t="shared" ref="I141:I204" si="28">F141-H141</f>
        <v>1710</v>
      </c>
      <c r="J141" s="69">
        <f>VLOOKUP(B141,'114+840'!$B$15:$AB$516,13,FALSE)</f>
        <v>-290</v>
      </c>
      <c r="K141" s="67">
        <f>'114+840'!Q142</f>
        <v>4</v>
      </c>
      <c r="L141" s="66">
        <f t="shared" si="20"/>
        <v>210</v>
      </c>
      <c r="M141" s="71">
        <f>VLOOKUP(B141,'114+840'!$B$14:$AB$516,21,FALSE)</f>
        <v>1093</v>
      </c>
      <c r="N141" s="70">
        <f>VLOOKUP(B141,'114+840'!$B$15:$AB$516,5,FALSE)</f>
        <v>480</v>
      </c>
      <c r="O141" s="69">
        <f t="shared" ref="O141:O204" si="29">F141-N141</f>
        <v>1793</v>
      </c>
      <c r="P141" s="69">
        <f>VLOOKUP(B141,'114+840'!$B$15:$AB$516,14,FALSE)</f>
        <v>-207</v>
      </c>
      <c r="Q141" s="67">
        <f>'114+840'!R142</f>
        <v>4</v>
      </c>
      <c r="R141" s="66">
        <f t="shared" si="21"/>
        <v>307</v>
      </c>
      <c r="S141" s="71">
        <f>VLOOKUP(B141,'114+840'!$B$14:$AB$516,22,FALSE)</f>
        <v>1202</v>
      </c>
      <c r="T141" s="70">
        <f>VLOOKUP(B141,'114+840'!$B$15:$AB$516,6,FALSE)</f>
        <v>861</v>
      </c>
      <c r="U141" s="69">
        <f t="shared" ref="U141:U204" si="30">F141-T141</f>
        <v>1412</v>
      </c>
      <c r="V141" s="68">
        <f>VLOOKUP(B141,'114+840'!$B$15:$AB$516,15,FALSE)</f>
        <v>-588</v>
      </c>
      <c r="W141" s="67">
        <f>'114+840'!S142</f>
        <v>4</v>
      </c>
      <c r="X141" s="66">
        <f t="shared" si="22"/>
        <v>198</v>
      </c>
      <c r="Y141" s="65">
        <f t="shared" si="23"/>
        <v>-4</v>
      </c>
      <c r="Z141" s="64">
        <f t="shared" si="24"/>
        <v>0</v>
      </c>
      <c r="AA141" s="63">
        <f t="shared" si="25"/>
        <v>1.7409999999999999</v>
      </c>
      <c r="AB141" s="63">
        <f t="shared" si="26"/>
        <v>0.68600000000000005</v>
      </c>
    </row>
    <row r="142" spans="2:31">
      <c r="B142" s="104">
        <f>'114+840'!B143</f>
        <v>45399</v>
      </c>
      <c r="C142" s="75">
        <f t="shared" ref="C142:C205" si="31">B142-B141</f>
        <v>1</v>
      </c>
      <c r="D142" s="74">
        <f t="shared" ref="D142:D205" si="32">D141</f>
        <v>842</v>
      </c>
      <c r="E142" s="73">
        <f>VLOOKUP(B142,'114+840'!B143:AB244,3,FALSE)</f>
        <v>1433</v>
      </c>
      <c r="F142" s="70">
        <f t="shared" si="27"/>
        <v>2275</v>
      </c>
      <c r="G142" s="72">
        <f>VLOOKUP(B142,'114+840'!$B$15:$AB$516,20,FALSE)</f>
        <v>1185</v>
      </c>
      <c r="H142" s="72">
        <f>VLOOKUP(B142,'114+840'!$B$15:$AB$516,4,FALSE)</f>
        <v>570</v>
      </c>
      <c r="I142" s="69">
        <f t="shared" si="28"/>
        <v>1705</v>
      </c>
      <c r="J142" s="69">
        <f>VLOOKUP(B142,'114+840'!$B$15:$AB$516,13,FALSE)</f>
        <v>-295</v>
      </c>
      <c r="K142" s="67">
        <f>'114+840'!Q143</f>
        <v>5</v>
      </c>
      <c r="L142" s="66">
        <f t="shared" ref="L142:L205" si="33">+K142+L141</f>
        <v>215</v>
      </c>
      <c r="M142" s="71">
        <f>VLOOKUP(B142,'114+840'!$B$14:$AB$516,21,FALSE)</f>
        <v>1091</v>
      </c>
      <c r="N142" s="70">
        <f>VLOOKUP(B142,'114+840'!$B$15:$AB$516,5,FALSE)</f>
        <v>484</v>
      </c>
      <c r="O142" s="69">
        <f t="shared" si="29"/>
        <v>1791</v>
      </c>
      <c r="P142" s="69">
        <f>VLOOKUP(B142,'114+840'!$B$15:$AB$516,14,FALSE)</f>
        <v>-209</v>
      </c>
      <c r="Q142" s="67">
        <f>'114+840'!R143</f>
        <v>2</v>
      </c>
      <c r="R142" s="66">
        <f t="shared" ref="R142:R205" si="34">+Q142+R141</f>
        <v>309</v>
      </c>
      <c r="S142" s="71">
        <f>VLOOKUP(B142,'114+840'!$B$14:$AB$516,22,FALSE)</f>
        <v>1198</v>
      </c>
      <c r="T142" s="70">
        <f>VLOOKUP(B142,'114+840'!$B$15:$AB$516,6,FALSE)</f>
        <v>867</v>
      </c>
      <c r="U142" s="69">
        <f t="shared" si="30"/>
        <v>1408</v>
      </c>
      <c r="V142" s="68">
        <f>VLOOKUP(B142,'114+840'!$B$15:$AB$516,15,FALSE)</f>
        <v>-592</v>
      </c>
      <c r="W142" s="67">
        <f>'114+840'!S143</f>
        <v>4</v>
      </c>
      <c r="X142" s="66">
        <f t="shared" ref="X142:X205" si="35">+W142+X141</f>
        <v>202</v>
      </c>
      <c r="Y142" s="65">
        <f t="shared" ref="Y142:Y205" si="36">S142-S141</f>
        <v>-4</v>
      </c>
      <c r="Z142" s="64">
        <f t="shared" ref="Z142:Z205" si="37">IF(Y142&gt;0,Y142,0)/1000</f>
        <v>0</v>
      </c>
      <c r="AA142" s="63">
        <f t="shared" ref="AA142:AA205" si="38">AA141+Z142</f>
        <v>1.7409999999999999</v>
      </c>
      <c r="AB142" s="63">
        <f t="shared" ref="AB142:AB205" si="39">(M142-$M$13-R142)/1000</f>
        <v>0.68200000000000005</v>
      </c>
    </row>
    <row r="143" spans="2:31">
      <c r="B143" s="104">
        <f>'114+840'!B144</f>
        <v>45400</v>
      </c>
      <c r="C143" s="75">
        <f t="shared" si="31"/>
        <v>1</v>
      </c>
      <c r="D143" s="74">
        <f t="shared" si="32"/>
        <v>842</v>
      </c>
      <c r="E143" s="73">
        <f>VLOOKUP(B143,'114+840'!B144:AB245,3,FALSE)</f>
        <v>1435</v>
      </c>
      <c r="F143" s="70">
        <f t="shared" si="27"/>
        <v>2277</v>
      </c>
      <c r="G143" s="72">
        <f>VLOOKUP(B143,'114+840'!$B$15:$AB$516,20,FALSE)</f>
        <v>1476</v>
      </c>
      <c r="H143" s="72">
        <f>VLOOKUP(B143,'114+840'!$B$15:$AB$516,4,FALSE)</f>
        <v>581</v>
      </c>
      <c r="I143" s="69">
        <f t="shared" si="28"/>
        <v>1696</v>
      </c>
      <c r="J143" s="69">
        <f>VLOOKUP(B143,'114+840'!$B$15:$AB$516,13,FALSE)</f>
        <v>-304</v>
      </c>
      <c r="K143" s="67">
        <f>'114+840'!Q144</f>
        <v>9</v>
      </c>
      <c r="L143" s="66">
        <f t="shared" si="33"/>
        <v>224</v>
      </c>
      <c r="M143" s="71">
        <f>VLOOKUP(B143,'114+840'!$B$14:$AB$516,21,FALSE)</f>
        <v>1382</v>
      </c>
      <c r="N143" s="70">
        <f>VLOOKUP(B143,'114+840'!$B$15:$AB$516,5,FALSE)</f>
        <v>495</v>
      </c>
      <c r="O143" s="69">
        <f t="shared" si="29"/>
        <v>1782</v>
      </c>
      <c r="P143" s="69">
        <f>VLOOKUP(B143,'114+840'!$B$15:$AB$516,14,FALSE)</f>
        <v>-218</v>
      </c>
      <c r="Q143" s="67">
        <f>'114+840'!R144</f>
        <v>9</v>
      </c>
      <c r="R143" s="66">
        <f t="shared" si="34"/>
        <v>318</v>
      </c>
      <c r="S143" s="71">
        <f>VLOOKUP(B143,'114+840'!$B$14:$AB$516,22,FALSE)</f>
        <v>1489</v>
      </c>
      <c r="T143" s="70">
        <f>VLOOKUP(B143,'114+840'!$B$15:$AB$516,6,FALSE)</f>
        <v>878</v>
      </c>
      <c r="U143" s="69">
        <f t="shared" si="30"/>
        <v>1399</v>
      </c>
      <c r="V143" s="68">
        <f>VLOOKUP(B143,'114+840'!$B$15:$AB$516,15,FALSE)</f>
        <v>-601</v>
      </c>
      <c r="W143" s="67">
        <f>'114+840'!S144</f>
        <v>9</v>
      </c>
      <c r="X143" s="66">
        <f t="shared" si="35"/>
        <v>211</v>
      </c>
      <c r="Y143" s="65">
        <f t="shared" si="36"/>
        <v>291</v>
      </c>
      <c r="Z143" s="64">
        <f t="shared" si="37"/>
        <v>0.29099999999999998</v>
      </c>
      <c r="AA143" s="63">
        <f t="shared" si="38"/>
        <v>2.032</v>
      </c>
      <c r="AB143" s="63">
        <f t="shared" si="39"/>
        <v>0.96399999999999997</v>
      </c>
    </row>
    <row r="144" spans="2:31">
      <c r="B144" s="104">
        <f>'114+840'!B145</f>
        <v>45401</v>
      </c>
      <c r="C144" s="75">
        <f t="shared" si="31"/>
        <v>1</v>
      </c>
      <c r="D144" s="74">
        <f t="shared" si="32"/>
        <v>842</v>
      </c>
      <c r="E144" s="73">
        <f>VLOOKUP(B144,'114+840'!B145:AB246,3,FALSE)</f>
        <v>1437</v>
      </c>
      <c r="F144" s="70">
        <f t="shared" si="27"/>
        <v>2279</v>
      </c>
      <c r="G144" s="72">
        <f>VLOOKUP(B144,'114+840'!$B$15:$AB$516,20,FALSE)</f>
        <v>1472</v>
      </c>
      <c r="H144" s="72">
        <f>VLOOKUP(B144,'114+840'!$B$15:$AB$516,4,FALSE)</f>
        <v>587</v>
      </c>
      <c r="I144" s="69">
        <f t="shared" si="28"/>
        <v>1692</v>
      </c>
      <c r="J144" s="69">
        <f>VLOOKUP(B144,'114+840'!$B$15:$AB$516,13,FALSE)</f>
        <v>-308</v>
      </c>
      <c r="K144" s="67">
        <f>'114+840'!Q145</f>
        <v>4</v>
      </c>
      <c r="L144" s="66">
        <f t="shared" si="33"/>
        <v>228</v>
      </c>
      <c r="M144" s="71">
        <f>VLOOKUP(B144,'114+840'!$B$14:$AB$516,21,FALSE)</f>
        <v>1379</v>
      </c>
      <c r="N144" s="70">
        <f>VLOOKUP(B144,'114+840'!$B$15:$AB$516,5,FALSE)</f>
        <v>500</v>
      </c>
      <c r="O144" s="69">
        <f t="shared" si="29"/>
        <v>1779</v>
      </c>
      <c r="P144" s="69">
        <f>VLOOKUP(B144,'114+840'!$B$15:$AB$516,14,FALSE)</f>
        <v>-221</v>
      </c>
      <c r="Q144" s="67">
        <f>'114+840'!R145</f>
        <v>3</v>
      </c>
      <c r="R144" s="66">
        <f t="shared" si="34"/>
        <v>321</v>
      </c>
      <c r="S144" s="71">
        <f>VLOOKUP(B144,'114+840'!$B$14:$AB$516,22,FALSE)</f>
        <v>1486</v>
      </c>
      <c r="T144" s="70">
        <f>VLOOKUP(B144,'114+840'!$B$15:$AB$516,6,FALSE)</f>
        <v>883</v>
      </c>
      <c r="U144" s="69">
        <f t="shared" si="30"/>
        <v>1396</v>
      </c>
      <c r="V144" s="68">
        <f>VLOOKUP(B144,'114+840'!$B$15:$AB$516,15,FALSE)</f>
        <v>-604</v>
      </c>
      <c r="W144" s="67">
        <f>'114+840'!S145</f>
        <v>3</v>
      </c>
      <c r="X144" s="66">
        <f t="shared" si="35"/>
        <v>214</v>
      </c>
      <c r="Y144" s="65">
        <f t="shared" si="36"/>
        <v>-3</v>
      </c>
      <c r="Z144" s="64">
        <f t="shared" si="37"/>
        <v>0</v>
      </c>
      <c r="AA144" s="63">
        <f t="shared" si="38"/>
        <v>2.032</v>
      </c>
      <c r="AB144" s="63">
        <f t="shared" si="39"/>
        <v>0.95799999999999996</v>
      </c>
    </row>
    <row r="145" spans="2:28">
      <c r="B145" s="104">
        <f>'114+840'!B146</f>
        <v>45402</v>
      </c>
      <c r="C145" s="75">
        <f t="shared" si="31"/>
        <v>1</v>
      </c>
      <c r="D145" s="74">
        <f t="shared" si="32"/>
        <v>842</v>
      </c>
      <c r="E145" s="73">
        <f>VLOOKUP(B145,'114+840'!B146:AB247,3,FALSE)</f>
        <v>1439</v>
      </c>
      <c r="F145" s="70">
        <f t="shared" si="27"/>
        <v>2281</v>
      </c>
      <c r="G145" s="72">
        <f>VLOOKUP(B145,'114+840'!$B$15:$AB$516,20,FALSE)</f>
        <v>1469</v>
      </c>
      <c r="H145" s="72">
        <f>VLOOKUP(B145,'114+840'!$B$15:$AB$516,4,FALSE)</f>
        <v>592</v>
      </c>
      <c r="I145" s="69">
        <f t="shared" si="28"/>
        <v>1689</v>
      </c>
      <c r="J145" s="69">
        <f>VLOOKUP(B145,'114+840'!$B$15:$AB$516,13,FALSE)</f>
        <v>-311</v>
      </c>
      <c r="K145" s="67">
        <f>'114+840'!Q146</f>
        <v>3</v>
      </c>
      <c r="L145" s="66">
        <f t="shared" si="33"/>
        <v>231</v>
      </c>
      <c r="M145" s="71">
        <f>VLOOKUP(B145,'114+840'!$B$14:$AB$516,21,FALSE)</f>
        <v>1375</v>
      </c>
      <c r="N145" s="70">
        <f>VLOOKUP(B145,'114+840'!$B$15:$AB$516,5,FALSE)</f>
        <v>506</v>
      </c>
      <c r="O145" s="69">
        <f t="shared" si="29"/>
        <v>1775</v>
      </c>
      <c r="P145" s="69">
        <f>VLOOKUP(B145,'114+840'!$B$15:$AB$516,14,FALSE)</f>
        <v>-225</v>
      </c>
      <c r="Q145" s="67">
        <f>'114+840'!R146</f>
        <v>4</v>
      </c>
      <c r="R145" s="66">
        <f t="shared" si="34"/>
        <v>325</v>
      </c>
      <c r="S145" s="71">
        <f>VLOOKUP(B145,'114+840'!$B$14:$AB$516,22,FALSE)</f>
        <v>1482</v>
      </c>
      <c r="T145" s="70">
        <f>VLOOKUP(B145,'114+840'!$B$15:$AB$516,6,FALSE)</f>
        <v>889</v>
      </c>
      <c r="U145" s="69">
        <f t="shared" si="30"/>
        <v>1392</v>
      </c>
      <c r="V145" s="68">
        <f>VLOOKUP(B145,'114+840'!$B$15:$AB$516,15,FALSE)</f>
        <v>-608</v>
      </c>
      <c r="W145" s="67">
        <f>'114+840'!S146</f>
        <v>4</v>
      </c>
      <c r="X145" s="66">
        <f t="shared" si="35"/>
        <v>218</v>
      </c>
      <c r="Y145" s="65">
        <f t="shared" si="36"/>
        <v>-4</v>
      </c>
      <c r="Z145" s="64">
        <f t="shared" si="37"/>
        <v>0</v>
      </c>
      <c r="AA145" s="63">
        <f t="shared" si="38"/>
        <v>2.032</v>
      </c>
      <c r="AB145" s="63">
        <f t="shared" si="39"/>
        <v>0.95</v>
      </c>
    </row>
    <row r="146" spans="2:28">
      <c r="B146" s="104">
        <f>'114+840'!B147</f>
        <v>45403</v>
      </c>
      <c r="C146" s="75">
        <f t="shared" si="31"/>
        <v>1</v>
      </c>
      <c r="D146" s="74">
        <f t="shared" si="32"/>
        <v>842</v>
      </c>
      <c r="E146" s="73">
        <f>VLOOKUP(B146,'114+840'!B147:AB248,3,FALSE)</f>
        <v>1441</v>
      </c>
      <c r="F146" s="70">
        <f t="shared" si="27"/>
        <v>2283</v>
      </c>
      <c r="G146" s="72">
        <f>VLOOKUP(B146,'114+840'!$B$15:$AB$516,20,FALSE)</f>
        <v>1467</v>
      </c>
      <c r="H146" s="72">
        <f>VLOOKUP(B146,'114+840'!$B$15:$AB$516,4,FALSE)</f>
        <v>596</v>
      </c>
      <c r="I146" s="69">
        <f t="shared" si="28"/>
        <v>1687</v>
      </c>
      <c r="J146" s="69">
        <f>VLOOKUP(B146,'114+840'!$B$15:$AB$516,13,FALSE)</f>
        <v>-313</v>
      </c>
      <c r="K146" s="67">
        <f>'114+840'!Q147</f>
        <v>2</v>
      </c>
      <c r="L146" s="66">
        <f t="shared" si="33"/>
        <v>233</v>
      </c>
      <c r="M146" s="71">
        <f>VLOOKUP(B146,'114+840'!$B$14:$AB$516,21,FALSE)</f>
        <v>1370</v>
      </c>
      <c r="N146" s="70">
        <f>VLOOKUP(B146,'114+840'!$B$15:$AB$516,5,FALSE)</f>
        <v>513</v>
      </c>
      <c r="O146" s="69">
        <f t="shared" si="29"/>
        <v>1770</v>
      </c>
      <c r="P146" s="69">
        <f>VLOOKUP(B146,'114+840'!$B$15:$AB$516,14,FALSE)</f>
        <v>-230</v>
      </c>
      <c r="Q146" s="67">
        <f>'114+840'!R147</f>
        <v>5</v>
      </c>
      <c r="R146" s="66">
        <f t="shared" si="34"/>
        <v>330</v>
      </c>
      <c r="S146" s="71">
        <f>VLOOKUP(B146,'114+840'!$B$14:$AB$516,22,FALSE)</f>
        <v>1480</v>
      </c>
      <c r="T146" s="70">
        <f>VLOOKUP(B146,'114+840'!$B$15:$AB$516,6,FALSE)</f>
        <v>893</v>
      </c>
      <c r="U146" s="69">
        <f t="shared" si="30"/>
        <v>1390</v>
      </c>
      <c r="V146" s="68">
        <f>VLOOKUP(B146,'114+840'!$B$15:$AB$516,15,FALSE)</f>
        <v>-610</v>
      </c>
      <c r="W146" s="67">
        <f>'114+840'!S147</f>
        <v>2</v>
      </c>
      <c r="X146" s="66">
        <f t="shared" si="35"/>
        <v>220</v>
      </c>
      <c r="Y146" s="65">
        <f t="shared" si="36"/>
        <v>-2</v>
      </c>
      <c r="Z146" s="64">
        <f t="shared" si="37"/>
        <v>0</v>
      </c>
      <c r="AA146" s="63">
        <f t="shared" si="38"/>
        <v>2.032</v>
      </c>
      <c r="AB146" s="63">
        <f t="shared" si="39"/>
        <v>0.94</v>
      </c>
    </row>
    <row r="147" spans="2:28">
      <c r="B147" s="104">
        <f>'114+840'!B148</f>
        <v>45404</v>
      </c>
      <c r="C147" s="75">
        <f t="shared" si="31"/>
        <v>1</v>
      </c>
      <c r="D147" s="74">
        <f t="shared" si="32"/>
        <v>842</v>
      </c>
      <c r="E147" s="73">
        <f>VLOOKUP(B147,'114+840'!B148:AB249,3,FALSE)</f>
        <v>1443</v>
      </c>
      <c r="F147" s="70">
        <f t="shared" si="27"/>
        <v>2285</v>
      </c>
      <c r="G147" s="72">
        <f>VLOOKUP(B147,'114+840'!$B$15:$AB$516,20,FALSE)</f>
        <v>1463</v>
      </c>
      <c r="H147" s="72">
        <f>VLOOKUP(B147,'114+840'!$B$15:$AB$516,4,FALSE)</f>
        <v>-398</v>
      </c>
      <c r="I147" s="69">
        <f t="shared" si="28"/>
        <v>2683</v>
      </c>
      <c r="J147" s="69">
        <f>VLOOKUP(B147,'114+840'!$B$15:$AB$516,13,FALSE)</f>
        <v>-317</v>
      </c>
      <c r="K147" s="67">
        <f>'114+840'!Q148</f>
        <v>4</v>
      </c>
      <c r="L147" s="66">
        <f t="shared" si="33"/>
        <v>237</v>
      </c>
      <c r="M147" s="71">
        <f>VLOOKUP(B147,'114+840'!$B$14:$AB$516,21,FALSE)</f>
        <v>1365</v>
      </c>
      <c r="N147" s="70">
        <f>VLOOKUP(B147,'114+840'!$B$15:$AB$516,5,FALSE)</f>
        <v>-480</v>
      </c>
      <c r="O147" s="69">
        <f t="shared" si="29"/>
        <v>2765</v>
      </c>
      <c r="P147" s="69">
        <f>VLOOKUP(B147,'114+840'!$B$15:$AB$516,14,FALSE)</f>
        <v>-235</v>
      </c>
      <c r="Q147" s="67">
        <f>'114+840'!R148</f>
        <v>5</v>
      </c>
      <c r="R147" s="66">
        <f t="shared" si="34"/>
        <v>335</v>
      </c>
      <c r="S147" s="71">
        <f>VLOOKUP(B147,'114+840'!$B$14:$AB$516,22,FALSE)</f>
        <v>1475</v>
      </c>
      <c r="T147" s="70">
        <f>VLOOKUP(B147,'114+840'!$B$15:$AB$516,6,FALSE)</f>
        <v>-100</v>
      </c>
      <c r="U147" s="69">
        <f t="shared" si="30"/>
        <v>2385</v>
      </c>
      <c r="V147" s="68">
        <f>VLOOKUP(B147,'114+840'!$B$15:$AB$516,15,FALSE)</f>
        <v>-615</v>
      </c>
      <c r="W147" s="67">
        <f>'114+840'!S148</f>
        <v>5</v>
      </c>
      <c r="X147" s="66">
        <f t="shared" si="35"/>
        <v>225</v>
      </c>
      <c r="Y147" s="65">
        <f t="shared" si="36"/>
        <v>-5</v>
      </c>
      <c r="Z147" s="64">
        <f t="shared" si="37"/>
        <v>0</v>
      </c>
      <c r="AA147" s="63">
        <f t="shared" si="38"/>
        <v>2.032</v>
      </c>
      <c r="AB147" s="63">
        <f t="shared" si="39"/>
        <v>0.93</v>
      </c>
    </row>
    <row r="148" spans="2:28">
      <c r="B148" s="104">
        <f>'114+840'!B149</f>
        <v>45405</v>
      </c>
      <c r="C148" s="75">
        <f t="shared" si="31"/>
        <v>1</v>
      </c>
      <c r="D148" s="74">
        <f t="shared" si="32"/>
        <v>842</v>
      </c>
      <c r="E148" s="73">
        <f>VLOOKUP(B148,'114+840'!B149:AB250,3,FALSE)</f>
        <v>1445</v>
      </c>
      <c r="F148" s="70">
        <f t="shared" si="27"/>
        <v>2287</v>
      </c>
      <c r="G148" s="72">
        <f>VLOOKUP(B148,'114+840'!$B$15:$AB$516,20,FALSE)</f>
        <v>1755</v>
      </c>
      <c r="H148" s="72">
        <f>VLOOKUP(B148,'114+840'!$B$15:$AB$516,4,FALSE)</f>
        <v>-388</v>
      </c>
      <c r="I148" s="69">
        <f t="shared" si="28"/>
        <v>2675</v>
      </c>
      <c r="J148" s="69">
        <f>VLOOKUP(B148,'114+840'!$B$15:$AB$516,13,FALSE)</f>
        <v>-325</v>
      </c>
      <c r="K148" s="67">
        <f>'114+840'!Q149</f>
        <v>8</v>
      </c>
      <c r="L148" s="66">
        <f t="shared" si="33"/>
        <v>245</v>
      </c>
      <c r="M148" s="71">
        <f>VLOOKUP(B148,'114+840'!$B$14:$AB$516,21,FALSE)</f>
        <v>1656</v>
      </c>
      <c r="N148" s="70">
        <f>VLOOKUP(B148,'114+840'!$B$15:$AB$516,5,FALSE)</f>
        <v>-469</v>
      </c>
      <c r="O148" s="69">
        <f t="shared" si="29"/>
        <v>2756</v>
      </c>
      <c r="P148" s="69">
        <f>VLOOKUP(B148,'114+840'!$B$15:$AB$516,14,FALSE)</f>
        <v>-244</v>
      </c>
      <c r="Q148" s="67">
        <f>'114+840'!R149</f>
        <v>9</v>
      </c>
      <c r="R148" s="66">
        <f t="shared" si="34"/>
        <v>344</v>
      </c>
      <c r="S148" s="71">
        <f>VLOOKUP(B148,'114+840'!$B$14:$AB$516,22,FALSE)</f>
        <v>1767</v>
      </c>
      <c r="T148" s="70">
        <f>VLOOKUP(B148,'114+840'!$B$15:$AB$516,6,FALSE)</f>
        <v>-90</v>
      </c>
      <c r="U148" s="69">
        <f t="shared" si="30"/>
        <v>2377</v>
      </c>
      <c r="V148" s="68">
        <f>VLOOKUP(B148,'114+840'!$B$15:$AB$516,15,FALSE)</f>
        <v>-623</v>
      </c>
      <c r="W148" s="67">
        <f>'114+840'!S149</f>
        <v>8</v>
      </c>
      <c r="X148" s="66">
        <f t="shared" si="35"/>
        <v>233</v>
      </c>
      <c r="Y148" s="65">
        <f t="shared" si="36"/>
        <v>292</v>
      </c>
      <c r="Z148" s="64">
        <f t="shared" si="37"/>
        <v>0.29199999999999998</v>
      </c>
      <c r="AA148" s="63">
        <f t="shared" si="38"/>
        <v>2.3239999999999998</v>
      </c>
      <c r="AB148" s="63">
        <f t="shared" si="39"/>
        <v>1.212</v>
      </c>
    </row>
    <row r="149" spans="2:28">
      <c r="B149" s="104">
        <f>'114+840'!B150</f>
        <v>45406</v>
      </c>
      <c r="C149" s="75">
        <f t="shared" si="31"/>
        <v>1</v>
      </c>
      <c r="D149" s="74">
        <f t="shared" si="32"/>
        <v>842</v>
      </c>
      <c r="E149" s="73">
        <f>VLOOKUP(B149,'114+840'!B150:AB251,3,FALSE)</f>
        <v>1447</v>
      </c>
      <c r="F149" s="70">
        <f t="shared" si="27"/>
        <v>2289</v>
      </c>
      <c r="G149" s="72">
        <f>VLOOKUP(B149,'114+840'!$B$15:$AB$516,20,FALSE)</f>
        <v>1750</v>
      </c>
      <c r="H149" s="72">
        <f>VLOOKUP(B149,'114+840'!$B$15:$AB$516,4,FALSE)</f>
        <v>-381</v>
      </c>
      <c r="I149" s="69">
        <f t="shared" si="28"/>
        <v>2670</v>
      </c>
      <c r="J149" s="69">
        <f>VLOOKUP(B149,'114+840'!$B$15:$AB$516,13,FALSE)</f>
        <v>-330</v>
      </c>
      <c r="K149" s="67">
        <f>'114+840'!Q150</f>
        <v>5</v>
      </c>
      <c r="L149" s="66">
        <f t="shared" si="33"/>
        <v>250</v>
      </c>
      <c r="M149" s="71">
        <f>VLOOKUP(B149,'114+840'!$B$14:$AB$516,21,FALSE)</f>
        <v>1651</v>
      </c>
      <c r="N149" s="70">
        <f>VLOOKUP(B149,'114+840'!$B$15:$AB$516,5,FALSE)</f>
        <v>-462</v>
      </c>
      <c r="O149" s="69">
        <f t="shared" si="29"/>
        <v>2751</v>
      </c>
      <c r="P149" s="69">
        <f>VLOOKUP(B149,'114+840'!$B$15:$AB$516,14,FALSE)</f>
        <v>-249</v>
      </c>
      <c r="Q149" s="67">
        <f>'114+840'!R150</f>
        <v>5</v>
      </c>
      <c r="R149" s="66">
        <f t="shared" si="34"/>
        <v>349</v>
      </c>
      <c r="S149" s="71">
        <f>VLOOKUP(B149,'114+840'!$B$14:$AB$516,22,FALSE)</f>
        <v>1763</v>
      </c>
      <c r="T149" s="70">
        <f>VLOOKUP(B149,'114+840'!$B$15:$AB$516,6,FALSE)</f>
        <v>-84</v>
      </c>
      <c r="U149" s="69">
        <f t="shared" si="30"/>
        <v>2373</v>
      </c>
      <c r="V149" s="68">
        <f>VLOOKUP(B149,'114+840'!$B$15:$AB$516,15,FALSE)</f>
        <v>-627</v>
      </c>
      <c r="W149" s="67">
        <f>'114+840'!S150</f>
        <v>4</v>
      </c>
      <c r="X149" s="66">
        <f t="shared" si="35"/>
        <v>237</v>
      </c>
      <c r="Y149" s="65">
        <f t="shared" si="36"/>
        <v>-4</v>
      </c>
      <c r="Z149" s="64">
        <f t="shared" si="37"/>
        <v>0</v>
      </c>
      <c r="AA149" s="63">
        <f t="shared" si="38"/>
        <v>2.3239999999999998</v>
      </c>
      <c r="AB149" s="63">
        <f t="shared" si="39"/>
        <v>1.202</v>
      </c>
    </row>
    <row r="150" spans="2:28">
      <c r="B150" s="104">
        <f>'114+840'!B151</f>
        <v>45407</v>
      </c>
      <c r="C150" s="75">
        <f t="shared" si="31"/>
        <v>1</v>
      </c>
      <c r="D150" s="74">
        <f t="shared" si="32"/>
        <v>842</v>
      </c>
      <c r="E150" s="73">
        <f>VLOOKUP(B150,'114+840'!B151:AB252,3,FALSE)</f>
        <v>1449</v>
      </c>
      <c r="F150" s="70">
        <f t="shared" si="27"/>
        <v>2291</v>
      </c>
      <c r="G150" s="72">
        <f>VLOOKUP(B150,'114+840'!$B$15:$AB$516,20,FALSE)</f>
        <v>1745</v>
      </c>
      <c r="H150" s="72">
        <f>VLOOKUP(B150,'114+840'!$B$15:$AB$516,4,FALSE)</f>
        <v>-374</v>
      </c>
      <c r="I150" s="69">
        <f t="shared" si="28"/>
        <v>2665</v>
      </c>
      <c r="J150" s="69">
        <f>VLOOKUP(B150,'114+840'!$B$15:$AB$516,13,FALSE)</f>
        <v>-335</v>
      </c>
      <c r="K150" s="67">
        <f>'114+840'!Q151</f>
        <v>5</v>
      </c>
      <c r="L150" s="66">
        <f t="shared" si="33"/>
        <v>255</v>
      </c>
      <c r="M150" s="71">
        <f>VLOOKUP(B150,'114+840'!$B$14:$AB$516,21,FALSE)</f>
        <v>1647</v>
      </c>
      <c r="N150" s="70">
        <f>VLOOKUP(B150,'114+840'!$B$15:$AB$516,5,FALSE)</f>
        <v>-456</v>
      </c>
      <c r="O150" s="69">
        <f t="shared" si="29"/>
        <v>2747</v>
      </c>
      <c r="P150" s="69">
        <f>VLOOKUP(B150,'114+840'!$B$15:$AB$516,14,FALSE)</f>
        <v>-253</v>
      </c>
      <c r="Q150" s="67">
        <f>'114+840'!R151</f>
        <v>4</v>
      </c>
      <c r="R150" s="66">
        <f t="shared" si="34"/>
        <v>353</v>
      </c>
      <c r="S150" s="71">
        <f>VLOOKUP(B150,'114+840'!$B$14:$AB$516,22,FALSE)</f>
        <v>1760</v>
      </c>
      <c r="T150" s="70">
        <f>VLOOKUP(B150,'114+840'!$B$15:$AB$516,6,FALSE)</f>
        <v>-79</v>
      </c>
      <c r="U150" s="69">
        <f t="shared" si="30"/>
        <v>2370</v>
      </c>
      <c r="V150" s="68">
        <f>VLOOKUP(B150,'114+840'!$B$15:$AB$516,15,FALSE)</f>
        <v>-630</v>
      </c>
      <c r="W150" s="67">
        <f>'114+840'!S151</f>
        <v>3</v>
      </c>
      <c r="X150" s="66">
        <f t="shared" si="35"/>
        <v>240</v>
      </c>
      <c r="Y150" s="65">
        <f t="shared" si="36"/>
        <v>-3</v>
      </c>
      <c r="Z150" s="64">
        <f t="shared" si="37"/>
        <v>0</v>
      </c>
      <c r="AA150" s="63">
        <f t="shared" si="38"/>
        <v>2.3239999999999998</v>
      </c>
      <c r="AB150" s="63">
        <f t="shared" si="39"/>
        <v>1.194</v>
      </c>
    </row>
    <row r="151" spans="2:28">
      <c r="B151" s="104">
        <f>'114+840'!B152</f>
        <v>45408</v>
      </c>
      <c r="C151" s="75">
        <f t="shared" si="31"/>
        <v>1</v>
      </c>
      <c r="D151" s="74">
        <f t="shared" si="32"/>
        <v>842</v>
      </c>
      <c r="E151" s="73">
        <f>VLOOKUP(B151,'114+840'!B152:AB253,3,FALSE)</f>
        <v>1451</v>
      </c>
      <c r="F151" s="70">
        <f t="shared" si="27"/>
        <v>2293</v>
      </c>
      <c r="G151" s="72">
        <f>VLOOKUP(B151,'114+840'!$B$15:$AB$516,20,FALSE)</f>
        <v>1741</v>
      </c>
      <c r="H151" s="72">
        <f>VLOOKUP(B151,'114+840'!$B$15:$AB$516,4,FALSE)</f>
        <v>-368</v>
      </c>
      <c r="I151" s="69">
        <f t="shared" si="28"/>
        <v>2661</v>
      </c>
      <c r="J151" s="69">
        <f>VLOOKUP(B151,'114+840'!$B$15:$AB$516,13,FALSE)</f>
        <v>-339</v>
      </c>
      <c r="K151" s="67">
        <f>'114+840'!Q152</f>
        <v>4</v>
      </c>
      <c r="L151" s="66">
        <f t="shared" si="33"/>
        <v>259</v>
      </c>
      <c r="M151" s="71">
        <f>VLOOKUP(B151,'114+840'!$B$14:$AB$516,21,FALSE)</f>
        <v>1643</v>
      </c>
      <c r="N151" s="70">
        <f>VLOOKUP(B151,'114+840'!$B$15:$AB$516,5,FALSE)</f>
        <v>-450</v>
      </c>
      <c r="O151" s="69">
        <f t="shared" si="29"/>
        <v>2743</v>
      </c>
      <c r="P151" s="69">
        <f>VLOOKUP(B151,'114+840'!$B$15:$AB$516,14,FALSE)</f>
        <v>-257</v>
      </c>
      <c r="Q151" s="67">
        <f>'114+840'!R152</f>
        <v>4</v>
      </c>
      <c r="R151" s="66">
        <f t="shared" si="34"/>
        <v>357</v>
      </c>
      <c r="S151" s="71">
        <f>VLOOKUP(B151,'114+840'!$B$14:$AB$516,22,FALSE)</f>
        <v>1759</v>
      </c>
      <c r="T151" s="70">
        <f>VLOOKUP(B151,'114+840'!$B$15:$AB$516,6,FALSE)</f>
        <v>-76</v>
      </c>
      <c r="U151" s="69">
        <f t="shared" si="30"/>
        <v>2369</v>
      </c>
      <c r="V151" s="68">
        <f>VLOOKUP(B151,'114+840'!$B$15:$AB$516,15,FALSE)</f>
        <v>-631</v>
      </c>
      <c r="W151" s="67">
        <f>'114+840'!S152</f>
        <v>1</v>
      </c>
      <c r="X151" s="66">
        <f t="shared" si="35"/>
        <v>241</v>
      </c>
      <c r="Y151" s="65">
        <f t="shared" si="36"/>
        <v>-1</v>
      </c>
      <c r="Z151" s="64">
        <f t="shared" si="37"/>
        <v>0</v>
      </c>
      <c r="AA151" s="63">
        <f t="shared" si="38"/>
        <v>2.3239999999999998</v>
      </c>
      <c r="AB151" s="63">
        <f t="shared" si="39"/>
        <v>1.1859999999999999</v>
      </c>
    </row>
    <row r="152" spans="2:28">
      <c r="B152" s="104">
        <f>'114+840'!B153</f>
        <v>45409</v>
      </c>
      <c r="C152" s="75">
        <f t="shared" si="31"/>
        <v>1</v>
      </c>
      <c r="D152" s="74">
        <f t="shared" si="32"/>
        <v>842</v>
      </c>
      <c r="E152" s="73">
        <f>VLOOKUP(B152,'114+840'!B153:AB254,3,FALSE)</f>
        <v>1453</v>
      </c>
      <c r="F152" s="70">
        <f t="shared" si="27"/>
        <v>2295</v>
      </c>
      <c r="G152" s="72">
        <f>VLOOKUP(B152,'114+840'!$B$15:$AB$516,20,FALSE)</f>
        <v>1738</v>
      </c>
      <c r="H152" s="72">
        <f>VLOOKUP(B152,'114+840'!$B$15:$AB$516,4,FALSE)</f>
        <v>-363</v>
      </c>
      <c r="I152" s="69">
        <f t="shared" si="28"/>
        <v>2658</v>
      </c>
      <c r="J152" s="69">
        <f>VLOOKUP(B152,'114+840'!$B$15:$AB$516,13,FALSE)</f>
        <v>-342</v>
      </c>
      <c r="K152" s="67">
        <f>'114+840'!Q153</f>
        <v>3</v>
      </c>
      <c r="L152" s="66">
        <f t="shared" si="33"/>
        <v>262</v>
      </c>
      <c r="M152" s="71">
        <f>VLOOKUP(B152,'114+840'!$B$14:$AB$516,21,FALSE)</f>
        <v>1636</v>
      </c>
      <c r="N152" s="70">
        <f>VLOOKUP(B152,'114+840'!$B$15:$AB$516,5,FALSE)</f>
        <v>-441</v>
      </c>
      <c r="O152" s="69">
        <f t="shared" si="29"/>
        <v>2736</v>
      </c>
      <c r="P152" s="69">
        <f>VLOOKUP(B152,'114+840'!$B$15:$AB$516,14,FALSE)</f>
        <v>-264</v>
      </c>
      <c r="Q152" s="67">
        <f>'114+840'!R153</f>
        <v>7</v>
      </c>
      <c r="R152" s="66">
        <f t="shared" si="34"/>
        <v>364</v>
      </c>
      <c r="S152" s="71">
        <f>VLOOKUP(B152,'114+840'!$B$14:$AB$516,22,FALSE)</f>
        <v>1758</v>
      </c>
      <c r="T152" s="70">
        <f>VLOOKUP(B152,'114+840'!$B$15:$AB$516,6,FALSE)</f>
        <v>-73</v>
      </c>
      <c r="U152" s="69">
        <f t="shared" si="30"/>
        <v>2368</v>
      </c>
      <c r="V152" s="68">
        <f>VLOOKUP(B152,'114+840'!$B$15:$AB$516,15,FALSE)</f>
        <v>-632</v>
      </c>
      <c r="W152" s="67">
        <f>'114+840'!S153</f>
        <v>1</v>
      </c>
      <c r="X152" s="66">
        <f t="shared" si="35"/>
        <v>242</v>
      </c>
      <c r="Y152" s="65">
        <f t="shared" si="36"/>
        <v>-1</v>
      </c>
      <c r="Z152" s="64">
        <f t="shared" si="37"/>
        <v>0</v>
      </c>
      <c r="AA152" s="63">
        <f t="shared" si="38"/>
        <v>2.3239999999999998</v>
      </c>
      <c r="AB152" s="63">
        <f t="shared" si="39"/>
        <v>1.1719999999999999</v>
      </c>
    </row>
    <row r="153" spans="2:28">
      <c r="B153" s="104">
        <f>'114+840'!B154</f>
        <v>45410</v>
      </c>
      <c r="C153" s="75">
        <f t="shared" si="31"/>
        <v>1</v>
      </c>
      <c r="D153" s="74">
        <f t="shared" si="32"/>
        <v>842</v>
      </c>
      <c r="E153" s="73">
        <f>VLOOKUP(B153,'114+840'!B154:AB255,3,FALSE)</f>
        <v>1455</v>
      </c>
      <c r="F153" s="70">
        <f t="shared" si="27"/>
        <v>2297</v>
      </c>
      <c r="G153" s="72">
        <f>VLOOKUP(B153,'114+840'!$B$15:$AB$516,20,FALSE)</f>
        <v>1736</v>
      </c>
      <c r="H153" s="72">
        <f>VLOOKUP(B153,'114+840'!$B$15:$AB$516,4,FALSE)</f>
        <v>-359</v>
      </c>
      <c r="I153" s="69">
        <f t="shared" si="28"/>
        <v>2656</v>
      </c>
      <c r="J153" s="69">
        <f>VLOOKUP(B153,'114+840'!$B$15:$AB$516,13,FALSE)</f>
        <v>-344</v>
      </c>
      <c r="K153" s="67">
        <f>'114+840'!Q154</f>
        <v>2</v>
      </c>
      <c r="L153" s="66">
        <f t="shared" si="33"/>
        <v>264</v>
      </c>
      <c r="M153" s="71">
        <f>VLOOKUP(B153,'114+840'!$B$14:$AB$516,21,FALSE)</f>
        <v>1631</v>
      </c>
      <c r="N153" s="70">
        <f>VLOOKUP(B153,'114+840'!$B$15:$AB$516,5,FALSE)</f>
        <v>-434</v>
      </c>
      <c r="O153" s="69">
        <f t="shared" si="29"/>
        <v>2731</v>
      </c>
      <c r="P153" s="69">
        <f>VLOOKUP(B153,'114+840'!$B$15:$AB$516,14,FALSE)</f>
        <v>-269</v>
      </c>
      <c r="Q153" s="67">
        <f>'114+840'!R154</f>
        <v>5</v>
      </c>
      <c r="R153" s="66">
        <f t="shared" si="34"/>
        <v>369</v>
      </c>
      <c r="S153" s="71">
        <f>VLOOKUP(B153,'114+840'!$B$14:$AB$516,22,FALSE)</f>
        <v>1757</v>
      </c>
      <c r="T153" s="70">
        <f>VLOOKUP(B153,'114+840'!$B$15:$AB$516,6,FALSE)</f>
        <v>-70</v>
      </c>
      <c r="U153" s="69">
        <f t="shared" si="30"/>
        <v>2367</v>
      </c>
      <c r="V153" s="68">
        <f>VLOOKUP(B153,'114+840'!$B$15:$AB$516,15,FALSE)</f>
        <v>-633</v>
      </c>
      <c r="W153" s="67">
        <f>'114+840'!S154</f>
        <v>1</v>
      </c>
      <c r="X153" s="66">
        <f t="shared" si="35"/>
        <v>243</v>
      </c>
      <c r="Y153" s="65">
        <f t="shared" si="36"/>
        <v>-1</v>
      </c>
      <c r="Z153" s="64">
        <f t="shared" si="37"/>
        <v>0</v>
      </c>
      <c r="AA153" s="63">
        <f t="shared" si="38"/>
        <v>2.3239999999999998</v>
      </c>
      <c r="AB153" s="63">
        <f t="shared" si="39"/>
        <v>1.1619999999999999</v>
      </c>
    </row>
    <row r="154" spans="2:28">
      <c r="B154" s="104">
        <f>'114+840'!B155</f>
        <v>45411</v>
      </c>
      <c r="C154" s="75">
        <f t="shared" si="31"/>
        <v>1</v>
      </c>
      <c r="D154" s="74">
        <f t="shared" si="32"/>
        <v>842</v>
      </c>
      <c r="E154" s="73">
        <f>VLOOKUP(B154,'114+840'!B155:AB255,3,FALSE)</f>
        <v>1457</v>
      </c>
      <c r="F154" s="70">
        <f t="shared" si="27"/>
        <v>2299</v>
      </c>
      <c r="G154" s="72">
        <f>VLOOKUP(B154,'114+840'!$B$15:$AB$516,20,FALSE)</f>
        <v>1732</v>
      </c>
      <c r="H154" s="72">
        <f>VLOOKUP(B154,'114+840'!$B$15:$AB$516,4,FALSE)</f>
        <v>-353</v>
      </c>
      <c r="I154" s="69">
        <f t="shared" si="28"/>
        <v>2652</v>
      </c>
      <c r="J154" s="69">
        <f>VLOOKUP(B154,'114+840'!$B$15:$AB$516,13,FALSE)</f>
        <v>-348</v>
      </c>
      <c r="K154" s="67">
        <f>'114+840'!Q155</f>
        <v>4</v>
      </c>
      <c r="L154" s="66">
        <f t="shared" si="33"/>
        <v>268</v>
      </c>
      <c r="M154" s="71">
        <f>VLOOKUP(B154,'114+840'!$B$14:$AB$516,21,FALSE)</f>
        <v>1626</v>
      </c>
      <c r="N154" s="70">
        <f>VLOOKUP(B154,'114+840'!$B$15:$AB$516,5,FALSE)</f>
        <v>-427</v>
      </c>
      <c r="O154" s="69">
        <f t="shared" si="29"/>
        <v>2726</v>
      </c>
      <c r="P154" s="69">
        <f>VLOOKUP(B154,'114+840'!$B$15:$AB$516,14,FALSE)</f>
        <v>-274</v>
      </c>
      <c r="Q154" s="67">
        <f>'114+840'!R155</f>
        <v>5</v>
      </c>
      <c r="R154" s="66">
        <f t="shared" si="34"/>
        <v>374</v>
      </c>
      <c r="S154" s="71">
        <f>VLOOKUP(B154,'114+840'!$B$14:$AB$516,22,FALSE)</f>
        <v>1754</v>
      </c>
      <c r="T154" s="70">
        <f>VLOOKUP(B154,'114+840'!$B$15:$AB$516,6,FALSE)</f>
        <v>-65</v>
      </c>
      <c r="U154" s="69">
        <f t="shared" si="30"/>
        <v>2364</v>
      </c>
      <c r="V154" s="68">
        <f>VLOOKUP(B154,'114+840'!$B$15:$AB$516,15,FALSE)</f>
        <v>-636</v>
      </c>
      <c r="W154" s="67">
        <f>'114+840'!S155</f>
        <v>3</v>
      </c>
      <c r="X154" s="66">
        <f t="shared" si="35"/>
        <v>246</v>
      </c>
      <c r="Y154" s="65">
        <f t="shared" si="36"/>
        <v>-3</v>
      </c>
      <c r="Z154" s="64">
        <f t="shared" si="37"/>
        <v>0</v>
      </c>
      <c r="AA154" s="63">
        <f t="shared" si="38"/>
        <v>2.3239999999999998</v>
      </c>
      <c r="AB154" s="63">
        <f t="shared" si="39"/>
        <v>1.1519999999999999</v>
      </c>
    </row>
    <row r="155" spans="2:28">
      <c r="B155" s="104">
        <f>'114+840'!B156</f>
        <v>45412</v>
      </c>
      <c r="C155" s="75">
        <f t="shared" si="31"/>
        <v>1</v>
      </c>
      <c r="D155" s="74">
        <f t="shared" si="32"/>
        <v>842</v>
      </c>
      <c r="E155" s="73">
        <f>VLOOKUP(B155,'114+840'!B156:AB255,3,FALSE)</f>
        <v>1459</v>
      </c>
      <c r="F155" s="70">
        <f t="shared" si="27"/>
        <v>2301</v>
      </c>
      <c r="G155" s="72">
        <f>VLOOKUP(B155,'114+840'!$B$15:$AB$516,20,FALSE)</f>
        <v>1730</v>
      </c>
      <c r="H155" s="72">
        <f>VLOOKUP(B155,'114+840'!$B$15:$AB$516,4,FALSE)</f>
        <v>-349</v>
      </c>
      <c r="I155" s="69">
        <f t="shared" si="28"/>
        <v>2650</v>
      </c>
      <c r="J155" s="69">
        <f>VLOOKUP(B155,'114+840'!$B$15:$AB$516,13,FALSE)</f>
        <v>-350</v>
      </c>
      <c r="K155" s="67">
        <f>'114+840'!Q156</f>
        <v>2</v>
      </c>
      <c r="L155" s="66">
        <f t="shared" si="33"/>
        <v>270</v>
      </c>
      <c r="M155" s="71">
        <f>VLOOKUP(B155,'114+840'!$B$14:$AB$516,21,FALSE)</f>
        <v>1622</v>
      </c>
      <c r="N155" s="70">
        <f>VLOOKUP(B155,'114+840'!$B$15:$AB$516,5,FALSE)</f>
        <v>-421</v>
      </c>
      <c r="O155" s="69">
        <f t="shared" si="29"/>
        <v>2722</v>
      </c>
      <c r="P155" s="69">
        <f>VLOOKUP(B155,'114+840'!$B$15:$AB$516,14,FALSE)</f>
        <v>-278</v>
      </c>
      <c r="Q155" s="67">
        <f>'114+840'!R156</f>
        <v>4</v>
      </c>
      <c r="R155" s="66">
        <f t="shared" si="34"/>
        <v>378</v>
      </c>
      <c r="S155" s="71">
        <f>VLOOKUP(B155,'114+840'!$B$14:$AB$516,22,FALSE)</f>
        <v>1753</v>
      </c>
      <c r="T155" s="70">
        <f>VLOOKUP(B155,'114+840'!$B$15:$AB$516,6,FALSE)</f>
        <v>-62</v>
      </c>
      <c r="U155" s="69">
        <f t="shared" si="30"/>
        <v>2363</v>
      </c>
      <c r="V155" s="68">
        <f>VLOOKUP(B155,'114+840'!$B$15:$AB$516,15,FALSE)</f>
        <v>-637</v>
      </c>
      <c r="W155" s="67">
        <f>'114+840'!S156</f>
        <v>1</v>
      </c>
      <c r="X155" s="66">
        <f t="shared" si="35"/>
        <v>247</v>
      </c>
      <c r="Y155" s="65">
        <f t="shared" si="36"/>
        <v>-1</v>
      </c>
      <c r="Z155" s="64">
        <f t="shared" si="37"/>
        <v>0</v>
      </c>
      <c r="AA155" s="63">
        <f t="shared" si="38"/>
        <v>2.3239999999999998</v>
      </c>
      <c r="AB155" s="63">
        <f t="shared" si="39"/>
        <v>1.1439999999999999</v>
      </c>
    </row>
    <row r="156" spans="2:28">
      <c r="B156" s="104">
        <f>'114+840'!B157</f>
        <v>45413</v>
      </c>
      <c r="C156" s="75">
        <f t="shared" si="31"/>
        <v>1</v>
      </c>
      <c r="D156" s="74">
        <f t="shared" si="32"/>
        <v>842</v>
      </c>
      <c r="E156" s="73">
        <f>VLOOKUP(B156,'114+840'!B157:AB255,3,FALSE)</f>
        <v>1461</v>
      </c>
      <c r="F156" s="70">
        <f t="shared" si="27"/>
        <v>2303</v>
      </c>
      <c r="G156" s="72">
        <f>VLOOKUP(B156,'114+840'!$B$15:$AB$516,20,FALSE)</f>
        <v>1726</v>
      </c>
      <c r="H156" s="72">
        <f>VLOOKUP(B156,'114+840'!$B$15:$AB$516,4,FALSE)</f>
        <v>-343</v>
      </c>
      <c r="I156" s="69">
        <f t="shared" si="28"/>
        <v>2646</v>
      </c>
      <c r="J156" s="69">
        <f>VLOOKUP(B156,'114+840'!$B$15:$AB$516,13,FALSE)</f>
        <v>-354</v>
      </c>
      <c r="K156" s="67">
        <f>'114+840'!Q157</f>
        <v>4</v>
      </c>
      <c r="L156" s="66">
        <f t="shared" si="33"/>
        <v>274</v>
      </c>
      <c r="M156" s="71">
        <f>VLOOKUP(B156,'114+840'!$B$14:$AB$516,21,FALSE)</f>
        <v>1619</v>
      </c>
      <c r="N156" s="70">
        <f>VLOOKUP(B156,'114+840'!$B$15:$AB$516,5,FALSE)</f>
        <v>-416</v>
      </c>
      <c r="O156" s="69">
        <f t="shared" si="29"/>
        <v>2719</v>
      </c>
      <c r="P156" s="69">
        <f>VLOOKUP(B156,'114+840'!$B$15:$AB$516,14,FALSE)</f>
        <v>-281</v>
      </c>
      <c r="Q156" s="67">
        <f>'114+840'!R157</f>
        <v>3</v>
      </c>
      <c r="R156" s="66">
        <f t="shared" si="34"/>
        <v>381</v>
      </c>
      <c r="S156" s="71">
        <f>VLOOKUP(B156,'114+840'!$B$14:$AB$516,22,FALSE)</f>
        <v>1751</v>
      </c>
      <c r="T156" s="70">
        <f>VLOOKUP(B156,'114+840'!$B$15:$AB$516,6,FALSE)</f>
        <v>-58</v>
      </c>
      <c r="U156" s="69">
        <f t="shared" si="30"/>
        <v>2361</v>
      </c>
      <c r="V156" s="68">
        <f>VLOOKUP(B156,'114+840'!$B$15:$AB$516,15,FALSE)</f>
        <v>-639</v>
      </c>
      <c r="W156" s="67">
        <f>'114+840'!S157</f>
        <v>2</v>
      </c>
      <c r="X156" s="66">
        <f t="shared" si="35"/>
        <v>249</v>
      </c>
      <c r="Y156" s="65">
        <f t="shared" si="36"/>
        <v>-2</v>
      </c>
      <c r="Z156" s="64">
        <f t="shared" si="37"/>
        <v>0</v>
      </c>
      <c r="AA156" s="63">
        <f t="shared" si="38"/>
        <v>2.3239999999999998</v>
      </c>
      <c r="AB156" s="63">
        <f t="shared" si="39"/>
        <v>1.1379999999999999</v>
      </c>
    </row>
    <row r="157" spans="2:28">
      <c r="B157" s="104">
        <f>'114+840'!B158</f>
        <v>45414</v>
      </c>
      <c r="C157" s="75">
        <f t="shared" si="31"/>
        <v>1</v>
      </c>
      <c r="D157" s="74">
        <f t="shared" si="32"/>
        <v>842</v>
      </c>
      <c r="E157" s="73">
        <f>VLOOKUP(B157,'114+840'!B158:AB255,3,FALSE)</f>
        <v>1463</v>
      </c>
      <c r="F157" s="70">
        <f t="shared" si="27"/>
        <v>2305</v>
      </c>
      <c r="G157" s="72">
        <f>VLOOKUP(B157,'114+840'!$B$15:$AB$516,20,FALSE)</f>
        <v>1725</v>
      </c>
      <c r="H157" s="72">
        <f>VLOOKUP(B157,'114+840'!$B$15:$AB$516,4,FALSE)</f>
        <v>-340</v>
      </c>
      <c r="I157" s="69">
        <f t="shared" si="28"/>
        <v>2645</v>
      </c>
      <c r="J157" s="69">
        <f>VLOOKUP(B157,'114+840'!$B$15:$AB$516,13,FALSE)</f>
        <v>-355</v>
      </c>
      <c r="K157" s="67">
        <f>'114+840'!Q158</f>
        <v>1</v>
      </c>
      <c r="L157" s="66">
        <f t="shared" si="33"/>
        <v>275</v>
      </c>
      <c r="M157" s="71">
        <f>VLOOKUP(B157,'114+840'!$B$14:$AB$516,21,FALSE)</f>
        <v>1617</v>
      </c>
      <c r="N157" s="70">
        <f>VLOOKUP(B157,'114+840'!$B$15:$AB$516,5,FALSE)</f>
        <v>-412</v>
      </c>
      <c r="O157" s="69">
        <f t="shared" si="29"/>
        <v>2717</v>
      </c>
      <c r="P157" s="69">
        <f>VLOOKUP(B157,'114+840'!$B$15:$AB$516,14,FALSE)</f>
        <v>-283</v>
      </c>
      <c r="Q157" s="67">
        <f>'114+840'!R158</f>
        <v>2</v>
      </c>
      <c r="R157" s="66">
        <f t="shared" si="34"/>
        <v>383</v>
      </c>
      <c r="S157" s="71">
        <f>VLOOKUP(B157,'114+840'!$B$14:$AB$516,22,FALSE)</f>
        <v>1750</v>
      </c>
      <c r="T157" s="70">
        <f>VLOOKUP(B157,'114+840'!$B$15:$AB$516,6,FALSE)</f>
        <v>-55</v>
      </c>
      <c r="U157" s="69">
        <f t="shared" si="30"/>
        <v>2360</v>
      </c>
      <c r="V157" s="68">
        <f>VLOOKUP(B157,'114+840'!$B$15:$AB$516,15,FALSE)</f>
        <v>-640</v>
      </c>
      <c r="W157" s="67">
        <f>'114+840'!S158</f>
        <v>1</v>
      </c>
      <c r="X157" s="66">
        <f t="shared" si="35"/>
        <v>250</v>
      </c>
      <c r="Y157" s="65">
        <f t="shared" si="36"/>
        <v>-1</v>
      </c>
      <c r="Z157" s="64">
        <f t="shared" si="37"/>
        <v>0</v>
      </c>
      <c r="AA157" s="63">
        <f t="shared" si="38"/>
        <v>2.3239999999999998</v>
      </c>
      <c r="AB157" s="63">
        <f t="shared" si="39"/>
        <v>1.1339999999999999</v>
      </c>
    </row>
    <row r="158" spans="2:28">
      <c r="B158" s="104">
        <f>'114+840'!B159</f>
        <v>45415</v>
      </c>
      <c r="C158" s="75">
        <f t="shared" si="31"/>
        <v>1</v>
      </c>
      <c r="D158" s="74">
        <f t="shared" si="32"/>
        <v>842</v>
      </c>
      <c r="E158" s="73">
        <f>VLOOKUP(B158,'114+840'!B159:AB255,3,FALSE)</f>
        <v>1465</v>
      </c>
      <c r="F158" s="70">
        <f t="shared" si="27"/>
        <v>2307</v>
      </c>
      <c r="G158" s="72">
        <f>VLOOKUP(B158,'114+840'!$B$15:$AB$516,20,FALSE)</f>
        <v>1724</v>
      </c>
      <c r="H158" s="72">
        <f>VLOOKUP(B158,'114+840'!$B$15:$AB$516,4,FALSE)</f>
        <v>-337</v>
      </c>
      <c r="I158" s="69">
        <f t="shared" si="28"/>
        <v>2644</v>
      </c>
      <c r="J158" s="69">
        <f>VLOOKUP(B158,'114+840'!$B$15:$AB$516,13,FALSE)</f>
        <v>-356</v>
      </c>
      <c r="K158" s="67">
        <f>'114+840'!Q159</f>
        <v>1</v>
      </c>
      <c r="L158" s="66">
        <f t="shared" si="33"/>
        <v>276</v>
      </c>
      <c r="M158" s="71">
        <f>VLOOKUP(B158,'114+840'!$B$14:$AB$516,21,FALSE)</f>
        <v>1610</v>
      </c>
      <c r="N158" s="70">
        <f>VLOOKUP(B158,'114+840'!$B$15:$AB$516,5,FALSE)</f>
        <v>-403</v>
      </c>
      <c r="O158" s="69">
        <f t="shared" si="29"/>
        <v>2710</v>
      </c>
      <c r="P158" s="69">
        <f>VLOOKUP(B158,'114+840'!$B$15:$AB$516,14,FALSE)</f>
        <v>-290</v>
      </c>
      <c r="Q158" s="67">
        <f>'114+840'!R159</f>
        <v>7</v>
      </c>
      <c r="R158" s="66">
        <f t="shared" si="34"/>
        <v>390</v>
      </c>
      <c r="S158" s="71">
        <f>VLOOKUP(B158,'114+840'!$B$14:$AB$516,22,FALSE)</f>
        <v>1748</v>
      </c>
      <c r="T158" s="70">
        <f>VLOOKUP(B158,'114+840'!$B$15:$AB$516,6,FALSE)</f>
        <v>-51</v>
      </c>
      <c r="U158" s="69">
        <f t="shared" si="30"/>
        <v>2358</v>
      </c>
      <c r="V158" s="68">
        <f>VLOOKUP(B158,'114+840'!$B$15:$AB$516,15,FALSE)</f>
        <v>-642</v>
      </c>
      <c r="W158" s="67">
        <f>'114+840'!S159</f>
        <v>2</v>
      </c>
      <c r="X158" s="66">
        <f t="shared" si="35"/>
        <v>252</v>
      </c>
      <c r="Y158" s="65">
        <f t="shared" si="36"/>
        <v>-2</v>
      </c>
      <c r="Z158" s="64">
        <f t="shared" si="37"/>
        <v>0</v>
      </c>
      <c r="AA158" s="63">
        <f t="shared" si="38"/>
        <v>2.3239999999999998</v>
      </c>
      <c r="AB158" s="63">
        <f t="shared" si="39"/>
        <v>1.1200000000000001</v>
      </c>
    </row>
    <row r="159" spans="2:28">
      <c r="B159" s="104">
        <f>'114+840'!B160</f>
        <v>45416</v>
      </c>
      <c r="C159" s="75">
        <f t="shared" si="31"/>
        <v>1</v>
      </c>
      <c r="D159" s="74">
        <f t="shared" si="32"/>
        <v>842</v>
      </c>
      <c r="E159" s="73">
        <f>VLOOKUP(B159,'114+840'!B160:AB255,3,FALSE)</f>
        <v>1467</v>
      </c>
      <c r="F159" s="70">
        <f t="shared" si="27"/>
        <v>2309</v>
      </c>
      <c r="G159" s="72">
        <f>VLOOKUP(B159,'114+840'!$B$15:$AB$516,20,FALSE)</f>
        <v>1723</v>
      </c>
      <c r="H159" s="72">
        <f>VLOOKUP(B159,'114+840'!$B$15:$AB$516,4,FALSE)</f>
        <v>-334</v>
      </c>
      <c r="I159" s="69">
        <f t="shared" si="28"/>
        <v>2643</v>
      </c>
      <c r="J159" s="69">
        <f>VLOOKUP(B159,'114+840'!$B$15:$AB$516,13,FALSE)</f>
        <v>-357</v>
      </c>
      <c r="K159" s="67">
        <f>'114+840'!Q160</f>
        <v>1</v>
      </c>
      <c r="L159" s="66">
        <f t="shared" si="33"/>
        <v>277</v>
      </c>
      <c r="M159" s="71">
        <f>VLOOKUP(B159,'114+840'!$B$14:$AB$516,21,FALSE)</f>
        <v>1605</v>
      </c>
      <c r="N159" s="70">
        <f>VLOOKUP(B159,'114+840'!$B$15:$AB$516,5,FALSE)</f>
        <v>-396</v>
      </c>
      <c r="O159" s="69">
        <f t="shared" si="29"/>
        <v>2705</v>
      </c>
      <c r="P159" s="69">
        <f>VLOOKUP(B159,'114+840'!$B$15:$AB$516,14,FALSE)</f>
        <v>-295</v>
      </c>
      <c r="Q159" s="67">
        <f>'114+840'!R160</f>
        <v>5</v>
      </c>
      <c r="R159" s="66">
        <f t="shared" si="34"/>
        <v>395</v>
      </c>
      <c r="S159" s="71">
        <f>VLOOKUP(B159,'114+840'!$B$14:$AB$516,22,FALSE)</f>
        <v>1746</v>
      </c>
      <c r="T159" s="70">
        <f>VLOOKUP(B159,'114+840'!$B$15:$AB$516,6,FALSE)</f>
        <v>-47</v>
      </c>
      <c r="U159" s="69">
        <f t="shared" si="30"/>
        <v>2356</v>
      </c>
      <c r="V159" s="68">
        <f>VLOOKUP(B159,'114+840'!$B$15:$AB$516,15,FALSE)</f>
        <v>-644</v>
      </c>
      <c r="W159" s="67">
        <f>'114+840'!S160</f>
        <v>2</v>
      </c>
      <c r="X159" s="66">
        <f t="shared" si="35"/>
        <v>254</v>
      </c>
      <c r="Y159" s="65">
        <f t="shared" si="36"/>
        <v>-2</v>
      </c>
      <c r="Z159" s="64">
        <f t="shared" si="37"/>
        <v>0</v>
      </c>
      <c r="AA159" s="63">
        <f t="shared" si="38"/>
        <v>2.3239999999999998</v>
      </c>
      <c r="AB159" s="63">
        <f t="shared" si="39"/>
        <v>1.1100000000000001</v>
      </c>
    </row>
    <row r="160" spans="2:28">
      <c r="B160" s="104">
        <f>'114+840'!B161</f>
        <v>45417</v>
      </c>
      <c r="C160" s="75">
        <f t="shared" si="31"/>
        <v>1</v>
      </c>
      <c r="D160" s="74">
        <f t="shared" si="32"/>
        <v>842</v>
      </c>
      <c r="E160" s="73">
        <f>VLOOKUP(B160,'114+840'!B161:AB255,3,FALSE)</f>
        <v>1469</v>
      </c>
      <c r="F160" s="70">
        <f t="shared" si="27"/>
        <v>2311</v>
      </c>
      <c r="G160" s="72">
        <f>VLOOKUP(B160,'114+840'!$B$15:$AB$516,20,FALSE)</f>
        <v>1723</v>
      </c>
      <c r="H160" s="72">
        <f>VLOOKUP(B160,'114+840'!$B$15:$AB$516,4,FALSE)</f>
        <v>-332</v>
      </c>
      <c r="I160" s="69">
        <f t="shared" si="28"/>
        <v>2643</v>
      </c>
      <c r="J160" s="69">
        <f>VLOOKUP(B160,'114+840'!$B$15:$AB$516,13,FALSE)</f>
        <v>-357</v>
      </c>
      <c r="K160" s="67">
        <f>'114+840'!Q161</f>
        <v>0</v>
      </c>
      <c r="L160" s="66">
        <f t="shared" si="33"/>
        <v>277</v>
      </c>
      <c r="M160" s="71">
        <f>VLOOKUP(B160,'114+840'!$B$14:$AB$516,21,FALSE)</f>
        <v>1600</v>
      </c>
      <c r="N160" s="70">
        <f>VLOOKUP(B160,'114+840'!$B$15:$AB$516,5,FALSE)</f>
        <v>-389</v>
      </c>
      <c r="O160" s="69">
        <f t="shared" si="29"/>
        <v>2700</v>
      </c>
      <c r="P160" s="69">
        <f>VLOOKUP(B160,'114+840'!$B$15:$AB$516,14,FALSE)</f>
        <v>-300</v>
      </c>
      <c r="Q160" s="67">
        <f>'114+840'!R161</f>
        <v>5</v>
      </c>
      <c r="R160" s="66">
        <f t="shared" si="34"/>
        <v>400</v>
      </c>
      <c r="S160" s="71">
        <f>VLOOKUP(B160,'114+840'!$B$14:$AB$516,22,FALSE)</f>
        <v>1746</v>
      </c>
      <c r="T160" s="70">
        <f>VLOOKUP(B160,'114+840'!$B$15:$AB$516,6,FALSE)</f>
        <v>-45</v>
      </c>
      <c r="U160" s="69">
        <f t="shared" si="30"/>
        <v>2356</v>
      </c>
      <c r="V160" s="68">
        <f>VLOOKUP(B160,'114+840'!$B$15:$AB$516,15,FALSE)</f>
        <v>-644</v>
      </c>
      <c r="W160" s="67">
        <f>'114+840'!S161</f>
        <v>0</v>
      </c>
      <c r="X160" s="66">
        <f t="shared" si="35"/>
        <v>254</v>
      </c>
      <c r="Y160" s="65">
        <f t="shared" si="36"/>
        <v>0</v>
      </c>
      <c r="Z160" s="64">
        <f t="shared" si="37"/>
        <v>0</v>
      </c>
      <c r="AA160" s="63">
        <f t="shared" si="38"/>
        <v>2.3239999999999998</v>
      </c>
      <c r="AB160" s="63">
        <f t="shared" si="39"/>
        <v>1.1000000000000001</v>
      </c>
    </row>
    <row r="161" spans="2:28">
      <c r="B161" s="104">
        <f>'114+840'!B162</f>
        <v>45418</v>
      </c>
      <c r="C161" s="75">
        <f t="shared" si="31"/>
        <v>1</v>
      </c>
      <c r="D161" s="74">
        <f t="shared" si="32"/>
        <v>842</v>
      </c>
      <c r="E161" s="73">
        <f>VLOOKUP(B161,'114+840'!B162:AB255,3,FALSE)</f>
        <v>1471</v>
      </c>
      <c r="F161" s="70">
        <f t="shared" si="27"/>
        <v>2313</v>
      </c>
      <c r="G161" s="72">
        <f>VLOOKUP(B161,'114+840'!$B$15:$AB$516,20,FALSE)</f>
        <v>1722</v>
      </c>
      <c r="H161" s="72">
        <f>VLOOKUP(B161,'114+840'!$B$15:$AB$516,4,FALSE)</f>
        <v>-329</v>
      </c>
      <c r="I161" s="69">
        <f t="shared" si="28"/>
        <v>2642</v>
      </c>
      <c r="J161" s="69">
        <f>VLOOKUP(B161,'114+840'!$B$15:$AB$516,13,FALSE)</f>
        <v>-358</v>
      </c>
      <c r="K161" s="67">
        <f>'114+840'!Q162</f>
        <v>1</v>
      </c>
      <c r="L161" s="66">
        <f t="shared" si="33"/>
        <v>278</v>
      </c>
      <c r="M161" s="71">
        <f>VLOOKUP(B161,'114+840'!$B$14:$AB$516,21,FALSE)</f>
        <v>1593</v>
      </c>
      <c r="N161" s="70">
        <f>VLOOKUP(B161,'114+840'!$B$15:$AB$516,5,FALSE)</f>
        <v>-380</v>
      </c>
      <c r="O161" s="69">
        <f t="shared" si="29"/>
        <v>2693</v>
      </c>
      <c r="P161" s="69">
        <f>VLOOKUP(B161,'114+840'!$B$15:$AB$516,14,FALSE)</f>
        <v>-307</v>
      </c>
      <c r="Q161" s="67">
        <f>'114+840'!R162</f>
        <v>7</v>
      </c>
      <c r="R161" s="66">
        <f t="shared" si="34"/>
        <v>407</v>
      </c>
      <c r="S161" s="71">
        <f>VLOOKUP(B161,'114+840'!$B$14:$AB$516,22,FALSE)</f>
        <v>1745</v>
      </c>
      <c r="T161" s="70">
        <f>VLOOKUP(B161,'114+840'!$B$15:$AB$516,6,FALSE)</f>
        <v>-42</v>
      </c>
      <c r="U161" s="69">
        <f t="shared" si="30"/>
        <v>2355</v>
      </c>
      <c r="V161" s="68">
        <f>VLOOKUP(B161,'114+840'!$B$15:$AB$516,15,FALSE)</f>
        <v>-645</v>
      </c>
      <c r="W161" s="67">
        <f>'114+840'!S162</f>
        <v>1</v>
      </c>
      <c r="X161" s="66">
        <f t="shared" si="35"/>
        <v>255</v>
      </c>
      <c r="Y161" s="65">
        <f t="shared" si="36"/>
        <v>-1</v>
      </c>
      <c r="Z161" s="64">
        <f t="shared" si="37"/>
        <v>0</v>
      </c>
      <c r="AA161" s="63">
        <f t="shared" si="38"/>
        <v>2.3239999999999998</v>
      </c>
      <c r="AB161" s="63">
        <f t="shared" si="39"/>
        <v>1.0860000000000001</v>
      </c>
    </row>
    <row r="162" spans="2:28">
      <c r="B162" s="104">
        <f>'114+840'!B163</f>
        <v>45419</v>
      </c>
      <c r="C162" s="75">
        <f t="shared" si="31"/>
        <v>1</v>
      </c>
      <c r="D162" s="74">
        <f t="shared" si="32"/>
        <v>842</v>
      </c>
      <c r="E162" s="73">
        <f>VLOOKUP(B162,'114+840'!B163:AB255,3,FALSE)</f>
        <v>1473</v>
      </c>
      <c r="F162" s="70">
        <f t="shared" si="27"/>
        <v>2315</v>
      </c>
      <c r="G162" s="72">
        <f>VLOOKUP(B162,'114+840'!$B$15:$AB$516,20,FALSE)</f>
        <v>1722</v>
      </c>
      <c r="H162" s="72">
        <f>VLOOKUP(B162,'114+840'!$B$15:$AB$516,4,FALSE)</f>
        <v>-327</v>
      </c>
      <c r="I162" s="69">
        <f t="shared" si="28"/>
        <v>2642</v>
      </c>
      <c r="J162" s="69">
        <f>VLOOKUP(B162,'114+840'!$B$15:$AB$516,13,FALSE)</f>
        <v>-358</v>
      </c>
      <c r="K162" s="67">
        <f>'114+840'!Q163</f>
        <v>0</v>
      </c>
      <c r="L162" s="66">
        <f t="shared" si="33"/>
        <v>278</v>
      </c>
      <c r="M162" s="71">
        <f>VLOOKUP(B162,'114+840'!$B$14:$AB$516,21,FALSE)</f>
        <v>1588</v>
      </c>
      <c r="N162" s="70">
        <f>VLOOKUP(B162,'114+840'!$B$15:$AB$516,5,FALSE)</f>
        <v>-373</v>
      </c>
      <c r="O162" s="69">
        <f t="shared" si="29"/>
        <v>2688</v>
      </c>
      <c r="P162" s="69">
        <f>VLOOKUP(B162,'114+840'!$B$15:$AB$516,14,FALSE)</f>
        <v>-312</v>
      </c>
      <c r="Q162" s="67">
        <f>'114+840'!R163</f>
        <v>5</v>
      </c>
      <c r="R162" s="66">
        <f t="shared" si="34"/>
        <v>412</v>
      </c>
      <c r="S162" s="71">
        <f>VLOOKUP(B162,'114+840'!$B$14:$AB$516,22,FALSE)</f>
        <v>1745</v>
      </c>
      <c r="T162" s="70">
        <f>VLOOKUP(B162,'114+840'!$B$15:$AB$516,6,FALSE)</f>
        <v>-40</v>
      </c>
      <c r="U162" s="69">
        <f t="shared" si="30"/>
        <v>2355</v>
      </c>
      <c r="V162" s="68">
        <f>VLOOKUP(B162,'114+840'!$B$15:$AB$516,15,FALSE)</f>
        <v>-645</v>
      </c>
      <c r="W162" s="67">
        <f>'114+840'!S163</f>
        <v>0</v>
      </c>
      <c r="X162" s="66">
        <f t="shared" si="35"/>
        <v>255</v>
      </c>
      <c r="Y162" s="65">
        <f t="shared" si="36"/>
        <v>0</v>
      </c>
      <c r="Z162" s="64">
        <f t="shared" si="37"/>
        <v>0</v>
      </c>
      <c r="AA162" s="63">
        <f t="shared" si="38"/>
        <v>2.3239999999999998</v>
      </c>
      <c r="AB162" s="63">
        <f t="shared" si="39"/>
        <v>1.0760000000000001</v>
      </c>
    </row>
    <row r="163" spans="2:28">
      <c r="B163" s="104">
        <f>'114+840'!B164</f>
        <v>45420</v>
      </c>
      <c r="C163" s="75">
        <f t="shared" si="31"/>
        <v>1</v>
      </c>
      <c r="D163" s="74">
        <f t="shared" si="32"/>
        <v>842</v>
      </c>
      <c r="E163" s="73">
        <f>VLOOKUP(B163,'114+840'!B164:AB255,3,FALSE)</f>
        <v>1475</v>
      </c>
      <c r="F163" s="70">
        <f t="shared" si="27"/>
        <v>2317</v>
      </c>
      <c r="G163" s="72">
        <f>VLOOKUP(B163,'114+840'!$B$15:$AB$516,20,FALSE)</f>
        <v>1721</v>
      </c>
      <c r="H163" s="72">
        <f>VLOOKUP(B163,'114+840'!$B$15:$AB$516,4,FALSE)</f>
        <v>-324</v>
      </c>
      <c r="I163" s="69">
        <f t="shared" si="28"/>
        <v>2641</v>
      </c>
      <c r="J163" s="69">
        <f>VLOOKUP(B163,'114+840'!$B$15:$AB$516,13,FALSE)</f>
        <v>-359</v>
      </c>
      <c r="K163" s="67">
        <f>'114+840'!Q164</f>
        <v>1</v>
      </c>
      <c r="L163" s="66">
        <f t="shared" si="33"/>
        <v>279</v>
      </c>
      <c r="M163" s="71">
        <f>VLOOKUP(B163,'114+840'!$B$14:$AB$516,21,FALSE)</f>
        <v>1583</v>
      </c>
      <c r="N163" s="70">
        <f>VLOOKUP(B163,'114+840'!$B$15:$AB$516,5,FALSE)</f>
        <v>-366</v>
      </c>
      <c r="O163" s="69">
        <f t="shared" si="29"/>
        <v>2683</v>
      </c>
      <c r="P163" s="69">
        <f>VLOOKUP(B163,'114+840'!$B$15:$AB$516,14,FALSE)</f>
        <v>-317</v>
      </c>
      <c r="Q163" s="67">
        <f>'114+840'!R164</f>
        <v>5</v>
      </c>
      <c r="R163" s="66">
        <f t="shared" si="34"/>
        <v>417</v>
      </c>
      <c r="S163" s="71">
        <f>VLOOKUP(B163,'114+840'!$B$14:$AB$516,22,FALSE)</f>
        <v>1745</v>
      </c>
      <c r="T163" s="70">
        <f>VLOOKUP(B163,'114+840'!$B$15:$AB$516,6,FALSE)</f>
        <v>-38</v>
      </c>
      <c r="U163" s="69">
        <f t="shared" si="30"/>
        <v>2355</v>
      </c>
      <c r="V163" s="68">
        <f>VLOOKUP(B163,'114+840'!$B$15:$AB$516,15,FALSE)</f>
        <v>-645</v>
      </c>
      <c r="W163" s="67">
        <f>'114+840'!S164</f>
        <v>0</v>
      </c>
      <c r="X163" s="66">
        <f t="shared" si="35"/>
        <v>255</v>
      </c>
      <c r="Y163" s="65">
        <f t="shared" si="36"/>
        <v>0</v>
      </c>
      <c r="Z163" s="64">
        <f t="shared" si="37"/>
        <v>0</v>
      </c>
      <c r="AA163" s="63">
        <f t="shared" si="38"/>
        <v>2.3239999999999998</v>
      </c>
      <c r="AB163" s="63">
        <f t="shared" si="39"/>
        <v>1.0660000000000001</v>
      </c>
    </row>
    <row r="164" spans="2:28">
      <c r="B164" s="104">
        <f>'114+840'!B165</f>
        <v>45421</v>
      </c>
      <c r="C164" s="75">
        <f t="shared" si="31"/>
        <v>1</v>
      </c>
      <c r="D164" s="74">
        <f t="shared" si="32"/>
        <v>842</v>
      </c>
      <c r="E164" s="73">
        <f>VLOOKUP(B164,'114+840'!B165:AB255,3,FALSE)</f>
        <v>1477</v>
      </c>
      <c r="F164" s="70">
        <f t="shared" si="27"/>
        <v>2319</v>
      </c>
      <c r="G164" s="72">
        <f>VLOOKUP(B164,'114+840'!$B$15:$AB$516,20,FALSE)</f>
        <v>1721</v>
      </c>
      <c r="H164" s="72">
        <f>VLOOKUP(B164,'114+840'!$B$15:$AB$516,4,FALSE)</f>
        <v>-322</v>
      </c>
      <c r="I164" s="69">
        <f t="shared" si="28"/>
        <v>2641</v>
      </c>
      <c r="J164" s="69">
        <f>VLOOKUP(B164,'114+840'!$B$15:$AB$516,13,FALSE)</f>
        <v>-359</v>
      </c>
      <c r="K164" s="67">
        <f>'114+840'!Q165</f>
        <v>0</v>
      </c>
      <c r="L164" s="66">
        <f t="shared" si="33"/>
        <v>279</v>
      </c>
      <c r="M164" s="71">
        <f>VLOOKUP(B164,'114+840'!$B$14:$AB$516,21,FALSE)</f>
        <v>1579</v>
      </c>
      <c r="N164" s="70">
        <f>VLOOKUP(B164,'114+840'!$B$15:$AB$516,5,FALSE)</f>
        <v>-360</v>
      </c>
      <c r="O164" s="69">
        <f t="shared" si="29"/>
        <v>2679</v>
      </c>
      <c r="P164" s="69">
        <f>VLOOKUP(B164,'114+840'!$B$15:$AB$516,14,FALSE)</f>
        <v>-321</v>
      </c>
      <c r="Q164" s="67">
        <f>'114+840'!R165</f>
        <v>4</v>
      </c>
      <c r="R164" s="66">
        <f t="shared" si="34"/>
        <v>421</v>
      </c>
      <c r="S164" s="71">
        <f>VLOOKUP(B164,'114+840'!$B$14:$AB$516,22,FALSE)</f>
        <v>1744</v>
      </c>
      <c r="T164" s="70">
        <f>VLOOKUP(B164,'114+840'!$B$15:$AB$516,6,FALSE)</f>
        <v>-35</v>
      </c>
      <c r="U164" s="69">
        <f t="shared" si="30"/>
        <v>2354</v>
      </c>
      <c r="V164" s="68">
        <f>VLOOKUP(B164,'114+840'!$B$15:$AB$516,15,FALSE)</f>
        <v>-646</v>
      </c>
      <c r="W164" s="67">
        <f>'114+840'!S165</f>
        <v>1</v>
      </c>
      <c r="X164" s="66">
        <f t="shared" si="35"/>
        <v>256</v>
      </c>
      <c r="Y164" s="65">
        <f t="shared" si="36"/>
        <v>-1</v>
      </c>
      <c r="Z164" s="64">
        <f t="shared" si="37"/>
        <v>0</v>
      </c>
      <c r="AA164" s="63">
        <f t="shared" si="38"/>
        <v>2.3239999999999998</v>
      </c>
      <c r="AB164" s="63">
        <f t="shared" si="39"/>
        <v>1.0580000000000001</v>
      </c>
    </row>
    <row r="165" spans="2:28">
      <c r="B165" s="104">
        <f>'114+840'!B166</f>
        <v>45422</v>
      </c>
      <c r="C165" s="75">
        <f t="shared" si="31"/>
        <v>1</v>
      </c>
      <c r="D165" s="74">
        <f t="shared" si="32"/>
        <v>842</v>
      </c>
      <c r="E165" s="73">
        <f>VLOOKUP(B165,'114+840'!B166:AB255,3,FALSE)</f>
        <v>1479</v>
      </c>
      <c r="F165" s="70">
        <f t="shared" si="27"/>
        <v>2321</v>
      </c>
      <c r="G165" s="72">
        <f>VLOOKUP(B165,'114+840'!$B$15:$AB$516,20,FALSE)</f>
        <v>1720</v>
      </c>
      <c r="H165" s="72">
        <f>VLOOKUP(B165,'114+840'!$B$15:$AB$516,4,FALSE)</f>
        <v>-319</v>
      </c>
      <c r="I165" s="69">
        <f t="shared" si="28"/>
        <v>2640</v>
      </c>
      <c r="J165" s="69">
        <f>VLOOKUP(B165,'114+840'!$B$15:$AB$516,13,FALSE)</f>
        <v>-360</v>
      </c>
      <c r="K165" s="67">
        <f>'114+840'!Q166</f>
        <v>1</v>
      </c>
      <c r="L165" s="66">
        <f t="shared" si="33"/>
        <v>280</v>
      </c>
      <c r="M165" s="71">
        <f>VLOOKUP(B165,'114+840'!$B$14:$AB$516,21,FALSE)</f>
        <v>1576</v>
      </c>
      <c r="N165" s="70">
        <f>VLOOKUP(B165,'114+840'!$B$15:$AB$516,5,FALSE)</f>
        <v>-355</v>
      </c>
      <c r="O165" s="69">
        <f t="shared" si="29"/>
        <v>2676</v>
      </c>
      <c r="P165" s="69">
        <f>VLOOKUP(B165,'114+840'!$B$15:$AB$516,14,FALSE)</f>
        <v>-324</v>
      </c>
      <c r="Q165" s="67">
        <f>'114+840'!R166</f>
        <v>3</v>
      </c>
      <c r="R165" s="66">
        <f t="shared" si="34"/>
        <v>424</v>
      </c>
      <c r="S165" s="71">
        <f>VLOOKUP(B165,'114+840'!$B$14:$AB$516,22,FALSE)</f>
        <v>1744</v>
      </c>
      <c r="T165" s="70">
        <f>VLOOKUP(B165,'114+840'!$B$15:$AB$516,6,FALSE)</f>
        <v>-33</v>
      </c>
      <c r="U165" s="69">
        <f t="shared" si="30"/>
        <v>2354</v>
      </c>
      <c r="V165" s="68">
        <f>VLOOKUP(B165,'114+840'!$B$15:$AB$516,15,FALSE)</f>
        <v>-646</v>
      </c>
      <c r="W165" s="67">
        <f>'114+840'!S166</f>
        <v>0</v>
      </c>
      <c r="X165" s="66">
        <f t="shared" si="35"/>
        <v>256</v>
      </c>
      <c r="Y165" s="65">
        <f t="shared" si="36"/>
        <v>0</v>
      </c>
      <c r="Z165" s="64">
        <f t="shared" si="37"/>
        <v>0</v>
      </c>
      <c r="AA165" s="63">
        <f t="shared" si="38"/>
        <v>2.3239999999999998</v>
      </c>
      <c r="AB165" s="63">
        <f t="shared" si="39"/>
        <v>1.052</v>
      </c>
    </row>
    <row r="166" spans="2:28">
      <c r="B166" s="104">
        <f>'114+840'!B167</f>
        <v>45423</v>
      </c>
      <c r="C166" s="75">
        <f t="shared" si="31"/>
        <v>1</v>
      </c>
      <c r="D166" s="74">
        <f t="shared" si="32"/>
        <v>842</v>
      </c>
      <c r="E166" s="73">
        <f>VLOOKUP(B166,'114+840'!B167:AB255,3,FALSE)</f>
        <v>1481</v>
      </c>
      <c r="F166" s="70">
        <f t="shared" si="27"/>
        <v>2323</v>
      </c>
      <c r="G166" s="72">
        <f>VLOOKUP(B166,'114+840'!$B$15:$AB$516,20,FALSE)</f>
        <v>1720</v>
      </c>
      <c r="H166" s="72">
        <f>VLOOKUP(B166,'114+840'!$B$15:$AB$516,4,FALSE)</f>
        <v>-317</v>
      </c>
      <c r="I166" s="69">
        <f t="shared" si="28"/>
        <v>2640</v>
      </c>
      <c r="J166" s="69">
        <f>VLOOKUP(B166,'114+840'!$B$15:$AB$516,13,FALSE)</f>
        <v>-360</v>
      </c>
      <c r="K166" s="67">
        <f>'114+840'!Q167</f>
        <v>0</v>
      </c>
      <c r="L166" s="66">
        <f t="shared" si="33"/>
        <v>280</v>
      </c>
      <c r="M166" s="71">
        <f>VLOOKUP(B166,'114+840'!$B$14:$AB$516,21,FALSE)</f>
        <v>1574</v>
      </c>
      <c r="N166" s="70">
        <f>VLOOKUP(B166,'114+840'!$B$15:$AB$516,5,FALSE)</f>
        <v>-351</v>
      </c>
      <c r="O166" s="69">
        <f t="shared" si="29"/>
        <v>2674</v>
      </c>
      <c r="P166" s="69">
        <f>VLOOKUP(B166,'114+840'!$B$15:$AB$516,14,FALSE)</f>
        <v>-326</v>
      </c>
      <c r="Q166" s="67">
        <f>'114+840'!R167</f>
        <v>2</v>
      </c>
      <c r="R166" s="66">
        <f t="shared" si="34"/>
        <v>426</v>
      </c>
      <c r="S166" s="71">
        <f>VLOOKUP(B166,'114+840'!$B$14:$AB$516,22,FALSE)</f>
        <v>1744</v>
      </c>
      <c r="T166" s="70">
        <f>VLOOKUP(B166,'114+840'!$B$15:$AB$516,6,FALSE)</f>
        <v>-31</v>
      </c>
      <c r="U166" s="69">
        <f t="shared" si="30"/>
        <v>2354</v>
      </c>
      <c r="V166" s="68">
        <f>VLOOKUP(B166,'114+840'!$B$15:$AB$516,15,FALSE)</f>
        <v>-646</v>
      </c>
      <c r="W166" s="67">
        <f>'114+840'!S167</f>
        <v>0</v>
      </c>
      <c r="X166" s="66">
        <f t="shared" si="35"/>
        <v>256</v>
      </c>
      <c r="Y166" s="65">
        <f t="shared" si="36"/>
        <v>0</v>
      </c>
      <c r="Z166" s="64">
        <f t="shared" si="37"/>
        <v>0</v>
      </c>
      <c r="AA166" s="63">
        <f t="shared" si="38"/>
        <v>2.3239999999999998</v>
      </c>
      <c r="AB166" s="63">
        <f t="shared" si="39"/>
        <v>1.048</v>
      </c>
    </row>
    <row r="167" spans="2:28">
      <c r="B167" s="104">
        <f>'114+840'!B168</f>
        <v>45424</v>
      </c>
      <c r="C167" s="75">
        <f t="shared" si="31"/>
        <v>1</v>
      </c>
      <c r="D167" s="74">
        <f t="shared" si="32"/>
        <v>842</v>
      </c>
      <c r="E167" s="73">
        <f>VLOOKUP(B167,'114+840'!B168:AB255,3,FALSE)</f>
        <v>1483</v>
      </c>
      <c r="F167" s="70">
        <f t="shared" si="27"/>
        <v>2325</v>
      </c>
      <c r="G167" s="72">
        <f>VLOOKUP(B167,'114+840'!$B$15:$AB$516,20,FALSE)</f>
        <v>1719</v>
      </c>
      <c r="H167" s="72">
        <f>VLOOKUP(B167,'114+840'!$B$15:$AB$516,4,FALSE)</f>
        <v>-314</v>
      </c>
      <c r="I167" s="69">
        <f t="shared" si="28"/>
        <v>2639</v>
      </c>
      <c r="J167" s="69">
        <f>VLOOKUP(B167,'114+840'!$B$15:$AB$516,13,FALSE)</f>
        <v>-361</v>
      </c>
      <c r="K167" s="67">
        <f>'114+840'!Q168</f>
        <v>1</v>
      </c>
      <c r="L167" s="66">
        <f t="shared" si="33"/>
        <v>281</v>
      </c>
      <c r="M167" s="71">
        <f>VLOOKUP(B167,'114+840'!$B$14:$AB$516,21,FALSE)</f>
        <v>1567</v>
      </c>
      <c r="N167" s="70">
        <f>VLOOKUP(B167,'114+840'!$B$15:$AB$516,5,FALSE)</f>
        <v>-342</v>
      </c>
      <c r="O167" s="69">
        <f t="shared" si="29"/>
        <v>2667</v>
      </c>
      <c r="P167" s="69">
        <f>VLOOKUP(B167,'114+840'!$B$15:$AB$516,14,FALSE)</f>
        <v>-333</v>
      </c>
      <c r="Q167" s="67">
        <f>'114+840'!R168</f>
        <v>7</v>
      </c>
      <c r="R167" s="66">
        <f t="shared" si="34"/>
        <v>433</v>
      </c>
      <c r="S167" s="71">
        <f>VLOOKUP(B167,'114+840'!$B$14:$AB$516,22,FALSE)</f>
        <v>1743</v>
      </c>
      <c r="T167" s="70">
        <f>VLOOKUP(B167,'114+840'!$B$15:$AB$516,6,FALSE)</f>
        <v>-28</v>
      </c>
      <c r="U167" s="69">
        <f t="shared" si="30"/>
        <v>2353</v>
      </c>
      <c r="V167" s="68">
        <f>VLOOKUP(B167,'114+840'!$B$15:$AB$516,15,FALSE)</f>
        <v>-647</v>
      </c>
      <c r="W167" s="67">
        <f>'114+840'!S168</f>
        <v>1</v>
      </c>
      <c r="X167" s="66">
        <f t="shared" si="35"/>
        <v>257</v>
      </c>
      <c r="Y167" s="65">
        <f t="shared" si="36"/>
        <v>-1</v>
      </c>
      <c r="Z167" s="64">
        <f t="shared" si="37"/>
        <v>0</v>
      </c>
      <c r="AA167" s="63">
        <f t="shared" si="38"/>
        <v>2.3239999999999998</v>
      </c>
      <c r="AB167" s="63">
        <f t="shared" si="39"/>
        <v>1.034</v>
      </c>
    </row>
    <row r="168" spans="2:28">
      <c r="B168" s="104">
        <f>'114+840'!B169</f>
        <v>45425</v>
      </c>
      <c r="C168" s="75">
        <f t="shared" si="31"/>
        <v>1</v>
      </c>
      <c r="D168" s="74">
        <f t="shared" si="32"/>
        <v>842</v>
      </c>
      <c r="E168" s="73">
        <f>VLOOKUP(B168,'114+840'!B169:AB255,3,FALSE)</f>
        <v>1485</v>
      </c>
      <c r="F168" s="70">
        <f t="shared" si="27"/>
        <v>2327</v>
      </c>
      <c r="G168" s="72">
        <f>VLOOKUP(B168,'114+840'!$B$15:$AB$516,20,FALSE)</f>
        <v>1719</v>
      </c>
      <c r="H168" s="72">
        <f>VLOOKUP(B168,'114+840'!$B$15:$AB$516,4,FALSE)</f>
        <v>-312</v>
      </c>
      <c r="I168" s="69">
        <f t="shared" si="28"/>
        <v>2639</v>
      </c>
      <c r="J168" s="69">
        <f>VLOOKUP(B168,'114+840'!$B$15:$AB$516,13,FALSE)</f>
        <v>-361</v>
      </c>
      <c r="K168" s="67">
        <f>'114+840'!Q169</f>
        <v>0</v>
      </c>
      <c r="L168" s="66">
        <f t="shared" si="33"/>
        <v>281</v>
      </c>
      <c r="M168" s="71">
        <f>VLOOKUP(B168,'114+840'!$B$14:$AB$516,21,FALSE)</f>
        <v>1562</v>
      </c>
      <c r="N168" s="70">
        <f>VLOOKUP(B168,'114+840'!$B$15:$AB$516,5,FALSE)</f>
        <v>-335</v>
      </c>
      <c r="O168" s="69">
        <f t="shared" si="29"/>
        <v>2662</v>
      </c>
      <c r="P168" s="69">
        <f>VLOOKUP(B168,'114+840'!$B$15:$AB$516,14,FALSE)</f>
        <v>-338</v>
      </c>
      <c r="Q168" s="67">
        <f>'114+840'!R169</f>
        <v>5</v>
      </c>
      <c r="R168" s="66">
        <f t="shared" si="34"/>
        <v>438</v>
      </c>
      <c r="S168" s="71">
        <f>VLOOKUP(B168,'114+840'!$B$14:$AB$516,22,FALSE)</f>
        <v>1743</v>
      </c>
      <c r="T168" s="70">
        <f>VLOOKUP(B168,'114+840'!$B$15:$AB$516,6,FALSE)</f>
        <v>-26</v>
      </c>
      <c r="U168" s="69">
        <f t="shared" si="30"/>
        <v>2353</v>
      </c>
      <c r="V168" s="68">
        <f>VLOOKUP(B168,'114+840'!$B$15:$AB$516,15,FALSE)</f>
        <v>-647</v>
      </c>
      <c r="W168" s="67">
        <f>'114+840'!S169</f>
        <v>0</v>
      </c>
      <c r="X168" s="66">
        <f t="shared" si="35"/>
        <v>257</v>
      </c>
      <c r="Y168" s="65">
        <f t="shared" si="36"/>
        <v>0</v>
      </c>
      <c r="Z168" s="64">
        <f t="shared" si="37"/>
        <v>0</v>
      </c>
      <c r="AA168" s="63">
        <f t="shared" si="38"/>
        <v>2.3239999999999998</v>
      </c>
      <c r="AB168" s="63">
        <f t="shared" si="39"/>
        <v>1.024</v>
      </c>
    </row>
    <row r="169" spans="2:28">
      <c r="B169" s="104">
        <f>'114+840'!B170</f>
        <v>45426</v>
      </c>
      <c r="C169" s="75">
        <f t="shared" si="31"/>
        <v>1</v>
      </c>
      <c r="D169" s="74">
        <f t="shared" si="32"/>
        <v>842</v>
      </c>
      <c r="E169" s="73">
        <f>VLOOKUP(B169,'114+840'!B170:AB255,3,FALSE)</f>
        <v>1487</v>
      </c>
      <c r="F169" s="70">
        <f t="shared" si="27"/>
        <v>2329</v>
      </c>
      <c r="G169" s="72">
        <f>VLOOKUP(B169,'114+840'!$B$15:$AB$516,20,FALSE)</f>
        <v>1719</v>
      </c>
      <c r="H169" s="72">
        <f>VLOOKUP(B169,'114+840'!$B$15:$AB$516,4,FALSE)</f>
        <v>-310</v>
      </c>
      <c r="I169" s="69">
        <f t="shared" si="28"/>
        <v>2639</v>
      </c>
      <c r="J169" s="69">
        <f>VLOOKUP(B169,'114+840'!$B$15:$AB$516,13,FALSE)</f>
        <v>-361</v>
      </c>
      <c r="K169" s="67">
        <f>'114+840'!Q170</f>
        <v>0</v>
      </c>
      <c r="L169" s="66">
        <f t="shared" si="33"/>
        <v>281</v>
      </c>
      <c r="M169" s="71">
        <f>VLOOKUP(B169,'114+840'!$B$14:$AB$516,21,FALSE)</f>
        <v>1557</v>
      </c>
      <c r="N169" s="70">
        <f>VLOOKUP(B169,'114+840'!$B$15:$AB$516,5,FALSE)</f>
        <v>-328</v>
      </c>
      <c r="O169" s="69">
        <f t="shared" si="29"/>
        <v>2657</v>
      </c>
      <c r="P169" s="69">
        <f>VLOOKUP(B169,'114+840'!$B$15:$AB$516,14,FALSE)</f>
        <v>-343</v>
      </c>
      <c r="Q169" s="67">
        <f>'114+840'!R170</f>
        <v>5</v>
      </c>
      <c r="R169" s="66">
        <f t="shared" si="34"/>
        <v>443</v>
      </c>
      <c r="S169" s="71">
        <f>VLOOKUP(B169,'114+840'!$B$14:$AB$516,22,FALSE)</f>
        <v>1743</v>
      </c>
      <c r="T169" s="70">
        <f>VLOOKUP(B169,'114+840'!$B$15:$AB$516,6,FALSE)</f>
        <v>-24</v>
      </c>
      <c r="U169" s="69">
        <f t="shared" si="30"/>
        <v>2353</v>
      </c>
      <c r="V169" s="68">
        <f>VLOOKUP(B169,'114+840'!$B$15:$AB$516,15,FALSE)</f>
        <v>-647</v>
      </c>
      <c r="W169" s="67">
        <f>'114+840'!S170</f>
        <v>0</v>
      </c>
      <c r="X169" s="66">
        <f t="shared" si="35"/>
        <v>257</v>
      </c>
      <c r="Y169" s="65">
        <f t="shared" si="36"/>
        <v>0</v>
      </c>
      <c r="Z169" s="64">
        <f t="shared" si="37"/>
        <v>0</v>
      </c>
      <c r="AA169" s="63">
        <f t="shared" si="38"/>
        <v>2.3239999999999998</v>
      </c>
      <c r="AB169" s="63">
        <f t="shared" si="39"/>
        <v>1.014</v>
      </c>
    </row>
    <row r="170" spans="2:28">
      <c r="B170" s="104">
        <f>'114+840'!B171</f>
        <v>45427</v>
      </c>
      <c r="C170" s="75">
        <f t="shared" si="31"/>
        <v>1</v>
      </c>
      <c r="D170" s="74">
        <f t="shared" si="32"/>
        <v>842</v>
      </c>
      <c r="E170" s="73">
        <f>VLOOKUP(B170,'114+840'!B171:AB255,3,FALSE)</f>
        <v>1489</v>
      </c>
      <c r="F170" s="70">
        <f t="shared" si="27"/>
        <v>2331</v>
      </c>
      <c r="G170" s="72">
        <f>VLOOKUP(B170,'114+840'!$B$15:$AB$516,20,FALSE)</f>
        <v>1719</v>
      </c>
      <c r="H170" s="72">
        <f>VLOOKUP(B170,'114+840'!$B$15:$AB$516,4,FALSE)</f>
        <v>-308</v>
      </c>
      <c r="I170" s="69">
        <f t="shared" si="28"/>
        <v>2639</v>
      </c>
      <c r="J170" s="69">
        <f>VLOOKUP(B170,'114+840'!$B$15:$AB$516,13,FALSE)</f>
        <v>-361</v>
      </c>
      <c r="K170" s="67">
        <f>'114+840'!Q171</f>
        <v>0</v>
      </c>
      <c r="L170" s="66">
        <f t="shared" si="33"/>
        <v>281</v>
      </c>
      <c r="M170" s="71">
        <f>VLOOKUP(B170,'114+840'!$B$14:$AB$516,21,FALSE)</f>
        <v>1552</v>
      </c>
      <c r="N170" s="70">
        <f>VLOOKUP(B170,'114+840'!$B$15:$AB$516,5,FALSE)</f>
        <v>-321</v>
      </c>
      <c r="O170" s="69">
        <f t="shared" si="29"/>
        <v>2652</v>
      </c>
      <c r="P170" s="69">
        <f>VLOOKUP(B170,'114+840'!$B$15:$AB$516,14,FALSE)</f>
        <v>-348</v>
      </c>
      <c r="Q170" s="67">
        <f>'114+840'!R171</f>
        <v>5</v>
      </c>
      <c r="R170" s="66">
        <f t="shared" si="34"/>
        <v>448</v>
      </c>
      <c r="S170" s="71">
        <f>VLOOKUP(B170,'114+840'!$B$14:$AB$516,22,FALSE)</f>
        <v>1742</v>
      </c>
      <c r="T170" s="70">
        <f>VLOOKUP(B170,'114+840'!$B$15:$AB$516,6,FALSE)</f>
        <v>-21</v>
      </c>
      <c r="U170" s="69">
        <f t="shared" si="30"/>
        <v>2352</v>
      </c>
      <c r="V170" s="68">
        <f>VLOOKUP(B170,'114+840'!$B$15:$AB$516,15,FALSE)</f>
        <v>-648</v>
      </c>
      <c r="W170" s="67">
        <f>'114+840'!S171</f>
        <v>1</v>
      </c>
      <c r="X170" s="66">
        <f t="shared" si="35"/>
        <v>258</v>
      </c>
      <c r="Y170" s="65">
        <f t="shared" si="36"/>
        <v>-1</v>
      </c>
      <c r="Z170" s="64">
        <f t="shared" si="37"/>
        <v>0</v>
      </c>
      <c r="AA170" s="63">
        <f t="shared" si="38"/>
        <v>2.3239999999999998</v>
      </c>
      <c r="AB170" s="63">
        <f t="shared" si="39"/>
        <v>1.004</v>
      </c>
    </row>
    <row r="171" spans="2:28">
      <c r="B171" s="104">
        <f>'114+840'!B172</f>
        <v>45428</v>
      </c>
      <c r="C171" s="75">
        <f t="shared" si="31"/>
        <v>1</v>
      </c>
      <c r="D171" s="74">
        <f t="shared" si="32"/>
        <v>842</v>
      </c>
      <c r="E171" s="73">
        <f>VLOOKUP(B171,'114+840'!B172:AB255,3,FALSE)</f>
        <v>1491</v>
      </c>
      <c r="F171" s="70">
        <f t="shared" si="27"/>
        <v>2333</v>
      </c>
      <c r="G171" s="72">
        <f>VLOOKUP(B171,'114+840'!$B$15:$AB$516,20,FALSE)</f>
        <v>1719</v>
      </c>
      <c r="H171" s="72">
        <f>VLOOKUP(B171,'114+840'!$B$15:$AB$516,4,FALSE)</f>
        <v>-306</v>
      </c>
      <c r="I171" s="69">
        <f t="shared" si="28"/>
        <v>2639</v>
      </c>
      <c r="J171" s="69">
        <f>VLOOKUP(B171,'114+840'!$B$15:$AB$516,13,FALSE)</f>
        <v>-361</v>
      </c>
      <c r="K171" s="67">
        <f>'114+840'!Q172</f>
        <v>0</v>
      </c>
      <c r="L171" s="66">
        <f t="shared" si="33"/>
        <v>281</v>
      </c>
      <c r="M171" s="71">
        <f>VLOOKUP(B171,'114+840'!$B$14:$AB$516,21,FALSE)</f>
        <v>1547</v>
      </c>
      <c r="N171" s="70">
        <f>VLOOKUP(B171,'114+840'!$B$15:$AB$516,5,FALSE)</f>
        <v>-314</v>
      </c>
      <c r="O171" s="69">
        <f t="shared" si="29"/>
        <v>2647</v>
      </c>
      <c r="P171" s="69">
        <f>VLOOKUP(B171,'114+840'!$B$15:$AB$516,14,FALSE)</f>
        <v>-353</v>
      </c>
      <c r="Q171" s="67">
        <f>'114+840'!R172</f>
        <v>5</v>
      </c>
      <c r="R171" s="66">
        <f t="shared" si="34"/>
        <v>453</v>
      </c>
      <c r="S171" s="71">
        <f>VLOOKUP(B171,'114+840'!$B$14:$AB$516,22,FALSE)</f>
        <v>1742</v>
      </c>
      <c r="T171" s="70">
        <f>VLOOKUP(B171,'114+840'!$B$15:$AB$516,6,FALSE)</f>
        <v>-19</v>
      </c>
      <c r="U171" s="69">
        <f t="shared" si="30"/>
        <v>2352</v>
      </c>
      <c r="V171" s="68">
        <f>VLOOKUP(B171,'114+840'!$B$15:$AB$516,15,FALSE)</f>
        <v>-648</v>
      </c>
      <c r="W171" s="67">
        <f>'114+840'!S172</f>
        <v>0</v>
      </c>
      <c r="X171" s="66">
        <f t="shared" si="35"/>
        <v>258</v>
      </c>
      <c r="Y171" s="65">
        <f t="shared" si="36"/>
        <v>0</v>
      </c>
      <c r="Z171" s="64">
        <f t="shared" si="37"/>
        <v>0</v>
      </c>
      <c r="AA171" s="63">
        <f t="shared" si="38"/>
        <v>2.3239999999999998</v>
      </c>
      <c r="AB171" s="63">
        <f t="shared" si="39"/>
        <v>0.99399999999999999</v>
      </c>
    </row>
    <row r="172" spans="2:28">
      <c r="B172" s="104">
        <f>'114+840'!B173</f>
        <v>45429</v>
      </c>
      <c r="C172" s="75">
        <f t="shared" si="31"/>
        <v>1</v>
      </c>
      <c r="D172" s="74">
        <f t="shared" si="32"/>
        <v>842</v>
      </c>
      <c r="E172" s="73">
        <f>VLOOKUP(B172,'114+840'!B173:AB255,3,FALSE)</f>
        <v>1493</v>
      </c>
      <c r="F172" s="70">
        <f t="shared" si="27"/>
        <v>2335</v>
      </c>
      <c r="G172" s="72">
        <f>VLOOKUP(B172,'114+840'!$B$15:$AB$516,20,FALSE)</f>
        <v>1719</v>
      </c>
      <c r="H172" s="72">
        <f>VLOOKUP(B172,'114+840'!$B$15:$AB$516,4,FALSE)</f>
        <v>-304</v>
      </c>
      <c r="I172" s="69">
        <f t="shared" si="28"/>
        <v>2639</v>
      </c>
      <c r="J172" s="69">
        <f>VLOOKUP(B172,'114+840'!$B$15:$AB$516,13,FALSE)</f>
        <v>-361</v>
      </c>
      <c r="K172" s="67">
        <f>'114+840'!Q173</f>
        <v>0</v>
      </c>
      <c r="L172" s="66">
        <f t="shared" si="33"/>
        <v>281</v>
      </c>
      <c r="M172" s="71">
        <f>VLOOKUP(B172,'114+840'!$B$14:$AB$516,21,FALSE)</f>
        <v>1543</v>
      </c>
      <c r="N172" s="70">
        <f>VLOOKUP(B172,'114+840'!$B$15:$AB$516,5,FALSE)</f>
        <v>-308</v>
      </c>
      <c r="O172" s="69">
        <f t="shared" si="29"/>
        <v>2643</v>
      </c>
      <c r="P172" s="69">
        <f>VLOOKUP(B172,'114+840'!$B$15:$AB$516,14,FALSE)</f>
        <v>-357</v>
      </c>
      <c r="Q172" s="67">
        <f>'114+840'!R173</f>
        <v>4</v>
      </c>
      <c r="R172" s="66">
        <f t="shared" si="34"/>
        <v>457</v>
      </c>
      <c r="S172" s="71">
        <f>VLOOKUP(B172,'114+840'!$B$14:$AB$516,22,FALSE)</f>
        <v>1742</v>
      </c>
      <c r="T172" s="70">
        <f>VLOOKUP(B172,'114+840'!$B$15:$AB$516,6,FALSE)</f>
        <v>-17</v>
      </c>
      <c r="U172" s="69">
        <f t="shared" si="30"/>
        <v>2352</v>
      </c>
      <c r="V172" s="68">
        <f>VLOOKUP(B172,'114+840'!$B$15:$AB$516,15,FALSE)</f>
        <v>-648</v>
      </c>
      <c r="W172" s="67">
        <f>'114+840'!S173</f>
        <v>0</v>
      </c>
      <c r="X172" s="66">
        <f t="shared" si="35"/>
        <v>258</v>
      </c>
      <c r="Y172" s="65">
        <f t="shared" si="36"/>
        <v>0</v>
      </c>
      <c r="Z172" s="64">
        <f t="shared" si="37"/>
        <v>0</v>
      </c>
      <c r="AA172" s="63">
        <f t="shared" si="38"/>
        <v>2.3239999999999998</v>
      </c>
      <c r="AB172" s="63">
        <f t="shared" si="39"/>
        <v>0.98599999999999999</v>
      </c>
    </row>
    <row r="173" spans="2:28">
      <c r="B173" s="104">
        <f>'114+840'!B174</f>
        <v>45430</v>
      </c>
      <c r="C173" s="75">
        <f t="shared" si="31"/>
        <v>1</v>
      </c>
      <c r="D173" s="74">
        <f t="shared" si="32"/>
        <v>842</v>
      </c>
      <c r="E173" s="73">
        <f>VLOOKUP(B173,'114+840'!B174:AB255,3,FALSE)</f>
        <v>1495</v>
      </c>
      <c r="F173" s="70">
        <f t="shared" si="27"/>
        <v>2337</v>
      </c>
      <c r="G173" s="72">
        <f>VLOOKUP(B173,'114+840'!$B$15:$AB$516,20,FALSE)</f>
        <v>1719</v>
      </c>
      <c r="H173" s="72">
        <f>VLOOKUP(B173,'114+840'!$B$15:$AB$516,4,FALSE)</f>
        <v>-302</v>
      </c>
      <c r="I173" s="69">
        <f t="shared" si="28"/>
        <v>2639</v>
      </c>
      <c r="J173" s="69">
        <f>VLOOKUP(B173,'114+840'!$B$15:$AB$516,13,FALSE)</f>
        <v>-361</v>
      </c>
      <c r="K173" s="67">
        <f>'114+840'!Q174</f>
        <v>0</v>
      </c>
      <c r="L173" s="66">
        <f t="shared" si="33"/>
        <v>281</v>
      </c>
      <c r="M173" s="71">
        <f>VLOOKUP(B173,'114+840'!$B$14:$AB$516,21,FALSE)</f>
        <v>1540</v>
      </c>
      <c r="N173" s="70">
        <f>VLOOKUP(B173,'114+840'!$B$15:$AB$516,5,FALSE)</f>
        <v>-303</v>
      </c>
      <c r="O173" s="69">
        <f t="shared" si="29"/>
        <v>2640</v>
      </c>
      <c r="P173" s="69">
        <f>VLOOKUP(B173,'114+840'!$B$15:$AB$516,14,FALSE)</f>
        <v>-360</v>
      </c>
      <c r="Q173" s="67">
        <f>'114+840'!R174</f>
        <v>3</v>
      </c>
      <c r="R173" s="66">
        <f t="shared" si="34"/>
        <v>460</v>
      </c>
      <c r="S173" s="71">
        <f>VLOOKUP(B173,'114+840'!$B$14:$AB$516,22,FALSE)</f>
        <v>1742</v>
      </c>
      <c r="T173" s="70">
        <f>VLOOKUP(B173,'114+840'!$B$15:$AB$516,6,FALSE)</f>
        <v>-15</v>
      </c>
      <c r="U173" s="69">
        <f t="shared" si="30"/>
        <v>2352</v>
      </c>
      <c r="V173" s="68">
        <f>VLOOKUP(B173,'114+840'!$B$15:$AB$516,15,FALSE)</f>
        <v>-648</v>
      </c>
      <c r="W173" s="67">
        <f>'114+840'!S174</f>
        <v>0</v>
      </c>
      <c r="X173" s="66">
        <f t="shared" si="35"/>
        <v>258</v>
      </c>
      <c r="Y173" s="65">
        <f t="shared" si="36"/>
        <v>0</v>
      </c>
      <c r="Z173" s="64">
        <f t="shared" si="37"/>
        <v>0</v>
      </c>
      <c r="AA173" s="63">
        <f t="shared" si="38"/>
        <v>2.3239999999999998</v>
      </c>
      <c r="AB173" s="63">
        <f t="shared" si="39"/>
        <v>0.98</v>
      </c>
    </row>
    <row r="174" spans="2:28">
      <c r="B174" s="104">
        <f>'114+840'!B175</f>
        <v>45431</v>
      </c>
      <c r="C174" s="75">
        <f t="shared" si="31"/>
        <v>1</v>
      </c>
      <c r="D174" s="74">
        <f t="shared" si="32"/>
        <v>842</v>
      </c>
      <c r="E174" s="73">
        <f>VLOOKUP(B174,'114+840'!B175:AB255,3,FALSE)</f>
        <v>1497</v>
      </c>
      <c r="F174" s="70">
        <f t="shared" si="27"/>
        <v>2339</v>
      </c>
      <c r="G174" s="72">
        <f>VLOOKUP(B174,'114+840'!$B$15:$AB$516,20,FALSE)</f>
        <v>1719</v>
      </c>
      <c r="H174" s="72">
        <f>VLOOKUP(B174,'114+840'!$B$15:$AB$516,4,FALSE)</f>
        <v>-300</v>
      </c>
      <c r="I174" s="69">
        <f t="shared" si="28"/>
        <v>2639</v>
      </c>
      <c r="J174" s="69">
        <f>VLOOKUP(B174,'114+840'!$B$15:$AB$516,13,FALSE)</f>
        <v>-361</v>
      </c>
      <c r="K174" s="67">
        <f>'114+840'!Q175</f>
        <v>0</v>
      </c>
      <c r="L174" s="66">
        <f t="shared" si="33"/>
        <v>281</v>
      </c>
      <c r="M174" s="71">
        <f>VLOOKUP(B174,'114+840'!$B$14:$AB$516,21,FALSE)</f>
        <v>1538</v>
      </c>
      <c r="N174" s="70">
        <f>VLOOKUP(B174,'114+840'!$B$15:$AB$516,5,FALSE)</f>
        <v>-299</v>
      </c>
      <c r="O174" s="69">
        <f t="shared" si="29"/>
        <v>2638</v>
      </c>
      <c r="P174" s="69">
        <f>VLOOKUP(B174,'114+840'!$B$15:$AB$516,14,FALSE)</f>
        <v>-362</v>
      </c>
      <c r="Q174" s="67">
        <f>'114+840'!R175</f>
        <v>2</v>
      </c>
      <c r="R174" s="66">
        <f t="shared" si="34"/>
        <v>462</v>
      </c>
      <c r="S174" s="71">
        <f>VLOOKUP(B174,'114+840'!$B$14:$AB$516,22,FALSE)</f>
        <v>1742</v>
      </c>
      <c r="T174" s="70">
        <f>VLOOKUP(B174,'114+840'!$B$15:$AB$516,6,FALSE)</f>
        <v>-13</v>
      </c>
      <c r="U174" s="69">
        <f t="shared" si="30"/>
        <v>2352</v>
      </c>
      <c r="V174" s="68">
        <f>VLOOKUP(B174,'114+840'!$B$15:$AB$516,15,FALSE)</f>
        <v>-648</v>
      </c>
      <c r="W174" s="67">
        <f>'114+840'!S175</f>
        <v>0</v>
      </c>
      <c r="X174" s="66">
        <f t="shared" si="35"/>
        <v>258</v>
      </c>
      <c r="Y174" s="65">
        <f t="shared" si="36"/>
        <v>0</v>
      </c>
      <c r="Z174" s="64">
        <f t="shared" si="37"/>
        <v>0</v>
      </c>
      <c r="AA174" s="63">
        <f t="shared" si="38"/>
        <v>2.3239999999999998</v>
      </c>
      <c r="AB174" s="63">
        <f t="shared" si="39"/>
        <v>0.97599999999999998</v>
      </c>
    </row>
    <row r="175" spans="2:28">
      <c r="B175" s="104">
        <f>'114+840'!B176</f>
        <v>45432</v>
      </c>
      <c r="C175" s="75">
        <f t="shared" si="31"/>
        <v>1</v>
      </c>
      <c r="D175" s="74">
        <f t="shared" si="32"/>
        <v>842</v>
      </c>
      <c r="E175" s="73">
        <f>VLOOKUP(B175,'114+840'!B176:AB255,3,FALSE)</f>
        <v>1499</v>
      </c>
      <c r="F175" s="70">
        <f t="shared" si="27"/>
        <v>2341</v>
      </c>
      <c r="G175" s="72">
        <f>VLOOKUP(B175,'114+840'!$B$15:$AB$516,20,FALSE)</f>
        <v>1719</v>
      </c>
      <c r="H175" s="72">
        <f>VLOOKUP(B175,'114+840'!$B$15:$AB$516,4,FALSE)</f>
        <v>-298</v>
      </c>
      <c r="I175" s="69">
        <f t="shared" si="28"/>
        <v>2639</v>
      </c>
      <c r="J175" s="69">
        <f>VLOOKUP(B175,'114+840'!$B$15:$AB$516,13,FALSE)</f>
        <v>-361</v>
      </c>
      <c r="K175" s="67">
        <f>'114+840'!Q176</f>
        <v>0</v>
      </c>
      <c r="L175" s="66">
        <f t="shared" si="33"/>
        <v>281</v>
      </c>
      <c r="M175" s="71">
        <f>VLOOKUP(B175,'114+840'!$B$14:$AB$516,21,FALSE)</f>
        <v>1535</v>
      </c>
      <c r="N175" s="70">
        <f>VLOOKUP(B175,'114+840'!$B$15:$AB$516,5,FALSE)</f>
        <v>-294</v>
      </c>
      <c r="O175" s="69">
        <f t="shared" si="29"/>
        <v>2635</v>
      </c>
      <c r="P175" s="69">
        <f>VLOOKUP(B175,'114+840'!$B$15:$AB$516,14,FALSE)</f>
        <v>-365</v>
      </c>
      <c r="Q175" s="67">
        <f>'114+840'!R176</f>
        <v>3</v>
      </c>
      <c r="R175" s="66">
        <f t="shared" si="34"/>
        <v>465</v>
      </c>
      <c r="S175" s="71">
        <f>VLOOKUP(B175,'114+840'!$B$14:$AB$516,22,FALSE)</f>
        <v>1742</v>
      </c>
      <c r="T175" s="70">
        <f>VLOOKUP(B175,'114+840'!$B$15:$AB$516,6,FALSE)</f>
        <v>-11</v>
      </c>
      <c r="U175" s="69">
        <f t="shared" si="30"/>
        <v>2352</v>
      </c>
      <c r="V175" s="68">
        <f>VLOOKUP(B175,'114+840'!$B$15:$AB$516,15,FALSE)</f>
        <v>-648</v>
      </c>
      <c r="W175" s="67">
        <f>'114+840'!S176</f>
        <v>0</v>
      </c>
      <c r="X175" s="66">
        <f t="shared" si="35"/>
        <v>258</v>
      </c>
      <c r="Y175" s="65">
        <f t="shared" si="36"/>
        <v>0</v>
      </c>
      <c r="Z175" s="64">
        <f t="shared" si="37"/>
        <v>0</v>
      </c>
      <c r="AA175" s="63">
        <f t="shared" si="38"/>
        <v>2.3239999999999998</v>
      </c>
      <c r="AB175" s="63">
        <f t="shared" si="39"/>
        <v>0.97</v>
      </c>
    </row>
    <row r="176" spans="2:28">
      <c r="B176" s="104">
        <f>'114+840'!B177</f>
        <v>45433</v>
      </c>
      <c r="C176" s="75">
        <f t="shared" si="31"/>
        <v>1</v>
      </c>
      <c r="D176" s="74">
        <f t="shared" si="32"/>
        <v>842</v>
      </c>
      <c r="E176" s="73">
        <f>VLOOKUP(B176,'114+840'!B177:AB255,3,FALSE)</f>
        <v>1501</v>
      </c>
      <c r="F176" s="70">
        <f t="shared" si="27"/>
        <v>2343</v>
      </c>
      <c r="G176" s="72">
        <f>VLOOKUP(B176,'114+840'!$B$15:$AB$516,20,FALSE)</f>
        <v>1719</v>
      </c>
      <c r="H176" s="72">
        <f>VLOOKUP(B176,'114+840'!$B$15:$AB$516,4,FALSE)</f>
        <v>-296</v>
      </c>
      <c r="I176" s="69">
        <f t="shared" si="28"/>
        <v>2639</v>
      </c>
      <c r="J176" s="69">
        <f>VLOOKUP(B176,'114+840'!$B$15:$AB$516,13,FALSE)</f>
        <v>-361</v>
      </c>
      <c r="K176" s="67">
        <f>'114+840'!Q177</f>
        <v>0</v>
      </c>
      <c r="L176" s="66">
        <f t="shared" si="33"/>
        <v>281</v>
      </c>
      <c r="M176" s="71">
        <f>VLOOKUP(B176,'114+840'!$B$14:$AB$516,21,FALSE)</f>
        <v>1534</v>
      </c>
      <c r="N176" s="70">
        <f>VLOOKUP(B176,'114+840'!$B$15:$AB$516,5,FALSE)</f>
        <v>-291</v>
      </c>
      <c r="O176" s="69">
        <f t="shared" si="29"/>
        <v>2634</v>
      </c>
      <c r="P176" s="69">
        <f>VLOOKUP(B176,'114+840'!$B$15:$AB$516,14,FALSE)</f>
        <v>-366</v>
      </c>
      <c r="Q176" s="67">
        <f>'114+840'!R177</f>
        <v>1</v>
      </c>
      <c r="R176" s="66">
        <f t="shared" si="34"/>
        <v>466</v>
      </c>
      <c r="S176" s="71">
        <f>VLOOKUP(B176,'114+840'!$B$14:$AB$516,22,FALSE)</f>
        <v>1742</v>
      </c>
      <c r="T176" s="70">
        <f>VLOOKUP(B176,'114+840'!$B$15:$AB$516,6,FALSE)</f>
        <v>-9</v>
      </c>
      <c r="U176" s="69">
        <f t="shared" si="30"/>
        <v>2352</v>
      </c>
      <c r="V176" s="68">
        <f>VLOOKUP(B176,'114+840'!$B$15:$AB$516,15,FALSE)</f>
        <v>-648</v>
      </c>
      <c r="W176" s="67">
        <f>'114+840'!S177</f>
        <v>0</v>
      </c>
      <c r="X176" s="66">
        <f t="shared" si="35"/>
        <v>258</v>
      </c>
      <c r="Y176" s="65">
        <f t="shared" si="36"/>
        <v>0</v>
      </c>
      <c r="Z176" s="64">
        <f t="shared" si="37"/>
        <v>0</v>
      </c>
      <c r="AA176" s="63">
        <f t="shared" si="38"/>
        <v>2.3239999999999998</v>
      </c>
      <c r="AB176" s="63">
        <f t="shared" si="39"/>
        <v>0.96799999999999997</v>
      </c>
    </row>
    <row r="177" spans="2:28">
      <c r="B177" s="104">
        <f>'114+840'!B178</f>
        <v>45434</v>
      </c>
      <c r="C177" s="75">
        <f t="shared" si="31"/>
        <v>1</v>
      </c>
      <c r="D177" s="74">
        <f t="shared" si="32"/>
        <v>842</v>
      </c>
      <c r="E177" s="73">
        <f>VLOOKUP(B177,'114+840'!B178:AB255,3,FALSE)</f>
        <v>1503</v>
      </c>
      <c r="F177" s="70">
        <f t="shared" si="27"/>
        <v>2345</v>
      </c>
      <c r="G177" s="72">
        <f>VLOOKUP(B177,'114+840'!$B$15:$AB$516,20,FALSE)</f>
        <v>1719</v>
      </c>
      <c r="H177" s="72">
        <f>VLOOKUP(B177,'114+840'!$B$15:$AB$516,4,FALSE)</f>
        <v>-294</v>
      </c>
      <c r="I177" s="69">
        <f t="shared" si="28"/>
        <v>2639</v>
      </c>
      <c r="J177" s="69">
        <f>VLOOKUP(B177,'114+840'!$B$15:$AB$516,13,FALSE)</f>
        <v>-361</v>
      </c>
      <c r="K177" s="67">
        <f>'114+840'!Q178</f>
        <v>0</v>
      </c>
      <c r="L177" s="66">
        <f t="shared" si="33"/>
        <v>281</v>
      </c>
      <c r="M177" s="71">
        <f>VLOOKUP(B177,'114+840'!$B$14:$AB$516,21,FALSE)</f>
        <v>1532</v>
      </c>
      <c r="N177" s="70">
        <f>VLOOKUP(B177,'114+840'!$B$15:$AB$516,5,FALSE)</f>
        <v>-287</v>
      </c>
      <c r="O177" s="69">
        <f t="shared" si="29"/>
        <v>2632</v>
      </c>
      <c r="P177" s="69">
        <f>VLOOKUP(B177,'114+840'!$B$15:$AB$516,14,FALSE)</f>
        <v>-368</v>
      </c>
      <c r="Q177" s="67">
        <f>'114+840'!R178</f>
        <v>2</v>
      </c>
      <c r="R177" s="66">
        <f t="shared" si="34"/>
        <v>468</v>
      </c>
      <c r="S177" s="71">
        <f>VLOOKUP(B177,'114+840'!$B$14:$AB$516,22,FALSE)</f>
        <v>1742</v>
      </c>
      <c r="T177" s="70">
        <f>VLOOKUP(B177,'114+840'!$B$15:$AB$516,6,FALSE)</f>
        <v>-7</v>
      </c>
      <c r="U177" s="69">
        <f t="shared" si="30"/>
        <v>2352</v>
      </c>
      <c r="V177" s="68">
        <f>VLOOKUP(B177,'114+840'!$B$15:$AB$516,15,FALSE)</f>
        <v>-648</v>
      </c>
      <c r="W177" s="67">
        <f>'114+840'!S178</f>
        <v>0</v>
      </c>
      <c r="X177" s="66">
        <f t="shared" si="35"/>
        <v>258</v>
      </c>
      <c r="Y177" s="65">
        <f t="shared" si="36"/>
        <v>0</v>
      </c>
      <c r="Z177" s="64">
        <f t="shared" si="37"/>
        <v>0</v>
      </c>
      <c r="AA177" s="63">
        <f t="shared" si="38"/>
        <v>2.3239999999999998</v>
      </c>
      <c r="AB177" s="63">
        <f t="shared" si="39"/>
        <v>0.96399999999999997</v>
      </c>
    </row>
    <row r="178" spans="2:28">
      <c r="B178" s="104">
        <f>'114+840'!B179</f>
        <v>45435</v>
      </c>
      <c r="C178" s="75">
        <f t="shared" si="31"/>
        <v>1</v>
      </c>
      <c r="D178" s="74">
        <f t="shared" si="32"/>
        <v>842</v>
      </c>
      <c r="E178" s="73">
        <f>VLOOKUP(B178,'114+840'!B179:AB255,3,FALSE)</f>
        <v>1505</v>
      </c>
      <c r="F178" s="70">
        <f t="shared" si="27"/>
        <v>2347</v>
      </c>
      <c r="G178" s="72">
        <f>VLOOKUP(B178,'114+840'!$B$15:$AB$516,20,FALSE)</f>
        <v>1719</v>
      </c>
      <c r="H178" s="72">
        <f>VLOOKUP(B178,'114+840'!$B$15:$AB$516,4,FALSE)</f>
        <v>-292</v>
      </c>
      <c r="I178" s="69">
        <f t="shared" si="28"/>
        <v>2639</v>
      </c>
      <c r="J178" s="69">
        <f>VLOOKUP(B178,'114+840'!$B$15:$AB$516,13,FALSE)</f>
        <v>-361</v>
      </c>
      <c r="K178" s="67">
        <f>'114+840'!Q179</f>
        <v>0</v>
      </c>
      <c r="L178" s="66">
        <f t="shared" si="33"/>
        <v>281</v>
      </c>
      <c r="M178" s="71">
        <f>VLOOKUP(B178,'114+840'!$B$14:$AB$516,21,FALSE)</f>
        <v>1531</v>
      </c>
      <c r="N178" s="70">
        <f>VLOOKUP(B178,'114+840'!$B$15:$AB$516,5,FALSE)</f>
        <v>-284</v>
      </c>
      <c r="O178" s="69">
        <f t="shared" si="29"/>
        <v>2631</v>
      </c>
      <c r="P178" s="69">
        <f>VLOOKUP(B178,'114+840'!$B$15:$AB$516,14,FALSE)</f>
        <v>-369</v>
      </c>
      <c r="Q178" s="67">
        <f>'114+840'!R179</f>
        <v>1</v>
      </c>
      <c r="R178" s="66">
        <f t="shared" si="34"/>
        <v>469</v>
      </c>
      <c r="S178" s="71">
        <f>VLOOKUP(B178,'114+840'!$B$14:$AB$516,22,FALSE)</f>
        <v>1742</v>
      </c>
      <c r="T178" s="70">
        <f>VLOOKUP(B178,'114+840'!$B$15:$AB$516,6,FALSE)</f>
        <v>-5</v>
      </c>
      <c r="U178" s="69">
        <f t="shared" si="30"/>
        <v>2352</v>
      </c>
      <c r="V178" s="68">
        <f>VLOOKUP(B178,'114+840'!$B$15:$AB$516,15,FALSE)</f>
        <v>-648</v>
      </c>
      <c r="W178" s="67">
        <f>'114+840'!S179</f>
        <v>0</v>
      </c>
      <c r="X178" s="66">
        <f t="shared" si="35"/>
        <v>258</v>
      </c>
      <c r="Y178" s="65">
        <f t="shared" si="36"/>
        <v>0</v>
      </c>
      <c r="Z178" s="64">
        <f t="shared" si="37"/>
        <v>0</v>
      </c>
      <c r="AA178" s="63">
        <f t="shared" si="38"/>
        <v>2.3239999999999998</v>
      </c>
      <c r="AB178" s="63">
        <f t="shared" si="39"/>
        <v>0.96199999999999997</v>
      </c>
    </row>
    <row r="179" spans="2:28">
      <c r="B179" s="104">
        <f>'114+840'!B180</f>
        <v>45436</v>
      </c>
      <c r="C179" s="75">
        <f t="shared" si="31"/>
        <v>1</v>
      </c>
      <c r="D179" s="74">
        <f t="shared" si="32"/>
        <v>842</v>
      </c>
      <c r="E179" s="73">
        <f>VLOOKUP(B179,'114+840'!B180:AB255,3,FALSE)</f>
        <v>1507</v>
      </c>
      <c r="F179" s="70">
        <f t="shared" si="27"/>
        <v>2349</v>
      </c>
      <c r="G179" s="72">
        <f>VLOOKUP(B179,'114+840'!$B$15:$AB$516,20,FALSE)</f>
        <v>1719</v>
      </c>
      <c r="H179" s="72">
        <f>VLOOKUP(B179,'114+840'!$B$15:$AB$516,4,FALSE)</f>
        <v>-290</v>
      </c>
      <c r="I179" s="69">
        <f t="shared" si="28"/>
        <v>2639</v>
      </c>
      <c r="J179" s="69">
        <f>VLOOKUP(B179,'114+840'!$B$15:$AB$516,13,FALSE)</f>
        <v>-361</v>
      </c>
      <c r="K179" s="67">
        <f>'114+840'!Q180</f>
        <v>0</v>
      </c>
      <c r="L179" s="66">
        <f t="shared" si="33"/>
        <v>281</v>
      </c>
      <c r="M179" s="71">
        <f>VLOOKUP(B179,'114+840'!$B$14:$AB$516,21,FALSE)</f>
        <v>1529</v>
      </c>
      <c r="N179" s="70">
        <f>VLOOKUP(B179,'114+840'!$B$15:$AB$516,5,FALSE)</f>
        <v>-280</v>
      </c>
      <c r="O179" s="69">
        <f t="shared" si="29"/>
        <v>2629</v>
      </c>
      <c r="P179" s="69">
        <f>VLOOKUP(B179,'114+840'!$B$15:$AB$516,14,FALSE)</f>
        <v>-371</v>
      </c>
      <c r="Q179" s="67">
        <f>'114+840'!R180</f>
        <v>2</v>
      </c>
      <c r="R179" s="66">
        <f t="shared" si="34"/>
        <v>471</v>
      </c>
      <c r="S179" s="71">
        <f>VLOOKUP(B179,'114+840'!$B$14:$AB$516,22,FALSE)</f>
        <v>1742</v>
      </c>
      <c r="T179" s="70">
        <f>VLOOKUP(B179,'114+840'!$B$15:$AB$516,6,FALSE)</f>
        <v>-3</v>
      </c>
      <c r="U179" s="69">
        <f t="shared" si="30"/>
        <v>2352</v>
      </c>
      <c r="V179" s="68">
        <f>VLOOKUP(B179,'114+840'!$B$15:$AB$516,15,FALSE)</f>
        <v>-648</v>
      </c>
      <c r="W179" s="67">
        <f>'114+840'!S180</f>
        <v>0</v>
      </c>
      <c r="X179" s="66">
        <f t="shared" si="35"/>
        <v>258</v>
      </c>
      <c r="Y179" s="65">
        <f t="shared" si="36"/>
        <v>0</v>
      </c>
      <c r="Z179" s="64">
        <f t="shared" si="37"/>
        <v>0</v>
      </c>
      <c r="AA179" s="63">
        <f t="shared" si="38"/>
        <v>2.3239999999999998</v>
      </c>
      <c r="AB179" s="63">
        <f t="shared" si="39"/>
        <v>0.95799999999999996</v>
      </c>
    </row>
    <row r="180" spans="2:28">
      <c r="B180" s="104">
        <f>'114+840'!B181</f>
        <v>45437</v>
      </c>
      <c r="C180" s="75">
        <f t="shared" si="31"/>
        <v>1</v>
      </c>
      <c r="D180" s="74">
        <f t="shared" si="32"/>
        <v>842</v>
      </c>
      <c r="E180" s="73">
        <f>VLOOKUP(B180,'114+840'!B181:AB255,3,FALSE)</f>
        <v>1509</v>
      </c>
      <c r="F180" s="70">
        <f t="shared" si="27"/>
        <v>2351</v>
      </c>
      <c r="G180" s="72">
        <f>VLOOKUP(B180,'114+840'!$B$15:$AB$516,20,FALSE)</f>
        <v>1719</v>
      </c>
      <c r="H180" s="72">
        <f>VLOOKUP(B180,'114+840'!$B$15:$AB$516,4,FALSE)</f>
        <v>-288</v>
      </c>
      <c r="I180" s="69">
        <f t="shared" si="28"/>
        <v>2639</v>
      </c>
      <c r="J180" s="69">
        <f>VLOOKUP(B180,'114+840'!$B$15:$AB$516,13,FALSE)</f>
        <v>-361</v>
      </c>
      <c r="K180" s="67">
        <f>'114+840'!Q181</f>
        <v>0</v>
      </c>
      <c r="L180" s="66">
        <f t="shared" si="33"/>
        <v>281</v>
      </c>
      <c r="M180" s="71">
        <f>VLOOKUP(B180,'114+840'!$B$14:$AB$516,21,FALSE)</f>
        <v>1527</v>
      </c>
      <c r="N180" s="70">
        <f>VLOOKUP(B180,'114+840'!$B$15:$AB$516,5,FALSE)</f>
        <v>-276</v>
      </c>
      <c r="O180" s="69">
        <f t="shared" si="29"/>
        <v>2627</v>
      </c>
      <c r="P180" s="69">
        <f>VLOOKUP(B180,'114+840'!$B$15:$AB$516,14,FALSE)</f>
        <v>-373</v>
      </c>
      <c r="Q180" s="67">
        <f>'114+840'!R181</f>
        <v>2</v>
      </c>
      <c r="R180" s="66">
        <f t="shared" si="34"/>
        <v>473</v>
      </c>
      <c r="S180" s="71">
        <f>VLOOKUP(B180,'114+840'!$B$14:$AB$516,22,FALSE)</f>
        <v>1742</v>
      </c>
      <c r="T180" s="70">
        <f>VLOOKUP(B180,'114+840'!$B$15:$AB$516,6,FALSE)</f>
        <v>-1</v>
      </c>
      <c r="U180" s="69">
        <f t="shared" si="30"/>
        <v>2352</v>
      </c>
      <c r="V180" s="68">
        <f>VLOOKUP(B180,'114+840'!$B$15:$AB$516,15,FALSE)</f>
        <v>-648</v>
      </c>
      <c r="W180" s="67">
        <f>'114+840'!S181</f>
        <v>0</v>
      </c>
      <c r="X180" s="66">
        <f t="shared" si="35"/>
        <v>258</v>
      </c>
      <c r="Y180" s="65">
        <f t="shared" si="36"/>
        <v>0</v>
      </c>
      <c r="Z180" s="64">
        <f t="shared" si="37"/>
        <v>0</v>
      </c>
      <c r="AA180" s="63">
        <f t="shared" si="38"/>
        <v>2.3239999999999998</v>
      </c>
      <c r="AB180" s="63">
        <f t="shared" si="39"/>
        <v>0.95399999999999996</v>
      </c>
    </row>
    <row r="181" spans="2:28">
      <c r="B181" s="104">
        <f>'114+840'!B182</f>
        <v>45438</v>
      </c>
      <c r="C181" s="75">
        <f t="shared" si="31"/>
        <v>1</v>
      </c>
      <c r="D181" s="74">
        <f t="shared" si="32"/>
        <v>842</v>
      </c>
      <c r="E181" s="73">
        <f>VLOOKUP(B181,'114+840'!B182:AB255,3,FALSE)</f>
        <v>1511</v>
      </c>
      <c r="F181" s="70">
        <f t="shared" si="27"/>
        <v>2353</v>
      </c>
      <c r="G181" s="72">
        <f>VLOOKUP(B181,'114+840'!$B$15:$AB$516,20,FALSE)</f>
        <v>1719</v>
      </c>
      <c r="H181" s="72">
        <f>VLOOKUP(B181,'114+840'!$B$15:$AB$516,4,FALSE)</f>
        <v>-286</v>
      </c>
      <c r="I181" s="69">
        <f t="shared" si="28"/>
        <v>2639</v>
      </c>
      <c r="J181" s="69">
        <f>VLOOKUP(B181,'114+840'!$B$15:$AB$516,13,FALSE)</f>
        <v>-361</v>
      </c>
      <c r="K181" s="67">
        <f>'114+840'!Q182</f>
        <v>0</v>
      </c>
      <c r="L181" s="66">
        <f t="shared" si="33"/>
        <v>281</v>
      </c>
      <c r="M181" s="71">
        <f>VLOOKUP(B181,'114+840'!$B$14:$AB$516,21,FALSE)</f>
        <v>1527</v>
      </c>
      <c r="N181" s="70">
        <f>VLOOKUP(B181,'114+840'!$B$15:$AB$516,5,FALSE)</f>
        <v>-274</v>
      </c>
      <c r="O181" s="69">
        <f t="shared" si="29"/>
        <v>2627</v>
      </c>
      <c r="P181" s="69">
        <f>VLOOKUP(B181,'114+840'!$B$15:$AB$516,14,FALSE)</f>
        <v>-373</v>
      </c>
      <c r="Q181" s="67">
        <f>'114+840'!R182</f>
        <v>0</v>
      </c>
      <c r="R181" s="66">
        <f t="shared" si="34"/>
        <v>473</v>
      </c>
      <c r="S181" s="71">
        <f>VLOOKUP(B181,'114+840'!$B$14:$AB$516,22,FALSE)</f>
        <v>1742</v>
      </c>
      <c r="T181" s="70">
        <f>VLOOKUP(B181,'114+840'!$B$15:$AB$516,6,FALSE)</f>
        <v>1</v>
      </c>
      <c r="U181" s="69">
        <f t="shared" si="30"/>
        <v>2352</v>
      </c>
      <c r="V181" s="68">
        <f>VLOOKUP(B181,'114+840'!$B$15:$AB$516,15,FALSE)</f>
        <v>-648</v>
      </c>
      <c r="W181" s="67">
        <f>'114+840'!S182</f>
        <v>0</v>
      </c>
      <c r="X181" s="66">
        <f t="shared" si="35"/>
        <v>258</v>
      </c>
      <c r="Y181" s="65">
        <f t="shared" si="36"/>
        <v>0</v>
      </c>
      <c r="Z181" s="64">
        <f t="shared" si="37"/>
        <v>0</v>
      </c>
      <c r="AA181" s="63">
        <f t="shared" si="38"/>
        <v>2.3239999999999998</v>
      </c>
      <c r="AB181" s="63">
        <f t="shared" si="39"/>
        <v>0.95399999999999996</v>
      </c>
    </row>
    <row r="182" spans="2:28">
      <c r="B182" s="104">
        <f>'114+840'!B183</f>
        <v>45439</v>
      </c>
      <c r="C182" s="75">
        <f t="shared" si="31"/>
        <v>1</v>
      </c>
      <c r="D182" s="74">
        <f t="shared" si="32"/>
        <v>842</v>
      </c>
      <c r="E182" s="73">
        <f>VLOOKUP(B182,'114+840'!B183:AB255,3,FALSE)</f>
        <v>1513</v>
      </c>
      <c r="F182" s="70">
        <f t="shared" si="27"/>
        <v>2355</v>
      </c>
      <c r="G182" s="72">
        <f>VLOOKUP(B182,'114+840'!$B$15:$AB$516,20,FALSE)</f>
        <v>1719</v>
      </c>
      <c r="H182" s="72">
        <f>VLOOKUP(B182,'114+840'!$B$15:$AB$516,4,FALSE)</f>
        <v>-284</v>
      </c>
      <c r="I182" s="69">
        <f t="shared" si="28"/>
        <v>2639</v>
      </c>
      <c r="J182" s="69">
        <f>VLOOKUP(B182,'114+840'!$B$15:$AB$516,13,FALSE)</f>
        <v>-361</v>
      </c>
      <c r="K182" s="67">
        <f>'114+840'!Q183</f>
        <v>0</v>
      </c>
      <c r="L182" s="66">
        <f t="shared" si="33"/>
        <v>281</v>
      </c>
      <c r="M182" s="71">
        <f>VLOOKUP(B182,'114+840'!$B$14:$AB$516,21,FALSE)</f>
        <v>1527</v>
      </c>
      <c r="N182" s="70">
        <f>VLOOKUP(B182,'114+840'!$B$15:$AB$516,5,FALSE)</f>
        <v>-272</v>
      </c>
      <c r="O182" s="69">
        <f t="shared" si="29"/>
        <v>2627</v>
      </c>
      <c r="P182" s="69">
        <f>VLOOKUP(B182,'114+840'!$B$15:$AB$516,14,FALSE)</f>
        <v>-373</v>
      </c>
      <c r="Q182" s="67">
        <f>'114+840'!R183</f>
        <v>0</v>
      </c>
      <c r="R182" s="66">
        <f t="shared" si="34"/>
        <v>473</v>
      </c>
      <c r="S182" s="71">
        <f>VLOOKUP(B182,'114+840'!$B$14:$AB$516,22,FALSE)</f>
        <v>1742</v>
      </c>
      <c r="T182" s="70">
        <f>VLOOKUP(B182,'114+840'!$B$15:$AB$516,6,FALSE)</f>
        <v>3</v>
      </c>
      <c r="U182" s="69">
        <f t="shared" si="30"/>
        <v>2352</v>
      </c>
      <c r="V182" s="68">
        <f>VLOOKUP(B182,'114+840'!$B$15:$AB$516,15,FALSE)</f>
        <v>-648</v>
      </c>
      <c r="W182" s="67">
        <f>'114+840'!S183</f>
        <v>0</v>
      </c>
      <c r="X182" s="66">
        <f t="shared" si="35"/>
        <v>258</v>
      </c>
      <c r="Y182" s="65">
        <f t="shared" si="36"/>
        <v>0</v>
      </c>
      <c r="Z182" s="64">
        <f t="shared" si="37"/>
        <v>0</v>
      </c>
      <c r="AA182" s="63">
        <f t="shared" si="38"/>
        <v>2.3239999999999998</v>
      </c>
      <c r="AB182" s="63">
        <f t="shared" si="39"/>
        <v>0.95399999999999996</v>
      </c>
    </row>
    <row r="183" spans="2:28">
      <c r="B183" s="104">
        <f>'114+840'!B184</f>
        <v>45440</v>
      </c>
      <c r="C183" s="75">
        <f t="shared" si="31"/>
        <v>1</v>
      </c>
      <c r="D183" s="74">
        <f t="shared" si="32"/>
        <v>842</v>
      </c>
      <c r="E183" s="73">
        <f>VLOOKUP(B183,'114+840'!B184:AB255,3,FALSE)</f>
        <v>1515</v>
      </c>
      <c r="F183" s="70">
        <f t="shared" si="27"/>
        <v>2357</v>
      </c>
      <c r="G183" s="72">
        <f>VLOOKUP(B183,'114+840'!$B$15:$AB$516,20,FALSE)</f>
        <v>1719</v>
      </c>
      <c r="H183" s="72">
        <f>VLOOKUP(B183,'114+840'!$B$15:$AB$516,4,FALSE)</f>
        <v>-282</v>
      </c>
      <c r="I183" s="69">
        <f t="shared" si="28"/>
        <v>2639</v>
      </c>
      <c r="J183" s="69">
        <f>VLOOKUP(B183,'114+840'!$B$15:$AB$516,13,FALSE)</f>
        <v>-361</v>
      </c>
      <c r="K183" s="67">
        <f>'114+840'!Q184</f>
        <v>0</v>
      </c>
      <c r="L183" s="66">
        <f t="shared" si="33"/>
        <v>281</v>
      </c>
      <c r="M183" s="71">
        <f>VLOOKUP(B183,'114+840'!$B$14:$AB$516,21,FALSE)</f>
        <v>1527</v>
      </c>
      <c r="N183" s="70">
        <f>VLOOKUP(B183,'114+840'!$B$15:$AB$516,5,FALSE)</f>
        <v>-270</v>
      </c>
      <c r="O183" s="69">
        <f t="shared" si="29"/>
        <v>2627</v>
      </c>
      <c r="P183" s="69">
        <f>VLOOKUP(B183,'114+840'!$B$15:$AB$516,14,FALSE)</f>
        <v>-373</v>
      </c>
      <c r="Q183" s="67">
        <f>'114+840'!R184</f>
        <v>0</v>
      </c>
      <c r="R183" s="66">
        <f t="shared" si="34"/>
        <v>473</v>
      </c>
      <c r="S183" s="71">
        <f>VLOOKUP(B183,'114+840'!$B$14:$AB$516,22,FALSE)</f>
        <v>1742</v>
      </c>
      <c r="T183" s="70">
        <f>VLOOKUP(B183,'114+840'!$B$15:$AB$516,6,FALSE)</f>
        <v>5</v>
      </c>
      <c r="U183" s="69">
        <f t="shared" si="30"/>
        <v>2352</v>
      </c>
      <c r="V183" s="68">
        <f>VLOOKUP(B183,'114+840'!$B$15:$AB$516,15,FALSE)</f>
        <v>-648</v>
      </c>
      <c r="W183" s="67">
        <f>'114+840'!S184</f>
        <v>0</v>
      </c>
      <c r="X183" s="66">
        <f t="shared" si="35"/>
        <v>258</v>
      </c>
      <c r="Y183" s="65">
        <f t="shared" si="36"/>
        <v>0</v>
      </c>
      <c r="Z183" s="64">
        <f t="shared" si="37"/>
        <v>0</v>
      </c>
      <c r="AA183" s="63">
        <f t="shared" si="38"/>
        <v>2.3239999999999998</v>
      </c>
      <c r="AB183" s="63">
        <f t="shared" si="39"/>
        <v>0.95399999999999996</v>
      </c>
    </row>
    <row r="184" spans="2:28">
      <c r="B184" s="104">
        <f>'114+840'!B185</f>
        <v>45441</v>
      </c>
      <c r="C184" s="75">
        <f t="shared" si="31"/>
        <v>1</v>
      </c>
      <c r="D184" s="74">
        <f t="shared" si="32"/>
        <v>842</v>
      </c>
      <c r="E184" s="73">
        <f>VLOOKUP(B184,'114+840'!B185:AB255,3,FALSE)</f>
        <v>1517</v>
      </c>
      <c r="F184" s="70">
        <f t="shared" si="27"/>
        <v>2359</v>
      </c>
      <c r="G184" s="72">
        <f>VLOOKUP(B184,'114+840'!$B$15:$AB$516,20,FALSE)</f>
        <v>1719</v>
      </c>
      <c r="H184" s="72">
        <f>VLOOKUP(B184,'114+840'!$B$15:$AB$516,4,FALSE)</f>
        <v>-280</v>
      </c>
      <c r="I184" s="69">
        <f t="shared" si="28"/>
        <v>2639</v>
      </c>
      <c r="J184" s="69">
        <f>VLOOKUP(B184,'114+840'!$B$15:$AB$516,13,FALSE)</f>
        <v>-361</v>
      </c>
      <c r="K184" s="67">
        <f>'114+840'!Q185</f>
        <v>0</v>
      </c>
      <c r="L184" s="66">
        <f t="shared" si="33"/>
        <v>281</v>
      </c>
      <c r="M184" s="71">
        <f>VLOOKUP(B184,'114+840'!$B$14:$AB$516,21,FALSE)</f>
        <v>1527</v>
      </c>
      <c r="N184" s="70">
        <f>VLOOKUP(B184,'114+840'!$B$15:$AB$516,5,FALSE)</f>
        <v>-268</v>
      </c>
      <c r="O184" s="69">
        <f t="shared" si="29"/>
        <v>2627</v>
      </c>
      <c r="P184" s="69">
        <f>VLOOKUP(B184,'114+840'!$B$15:$AB$516,14,FALSE)</f>
        <v>-373</v>
      </c>
      <c r="Q184" s="67">
        <f>'114+840'!R185</f>
        <v>0</v>
      </c>
      <c r="R184" s="66">
        <f t="shared" si="34"/>
        <v>473</v>
      </c>
      <c r="S184" s="71">
        <f>VLOOKUP(B184,'114+840'!$B$14:$AB$516,22,FALSE)</f>
        <v>1742</v>
      </c>
      <c r="T184" s="70">
        <f>VLOOKUP(B184,'114+840'!$B$15:$AB$516,6,FALSE)</f>
        <v>7</v>
      </c>
      <c r="U184" s="69">
        <f t="shared" si="30"/>
        <v>2352</v>
      </c>
      <c r="V184" s="68">
        <f>VLOOKUP(B184,'114+840'!$B$15:$AB$516,15,FALSE)</f>
        <v>-648</v>
      </c>
      <c r="W184" s="67">
        <f>'114+840'!S185</f>
        <v>0</v>
      </c>
      <c r="X184" s="66">
        <f t="shared" si="35"/>
        <v>258</v>
      </c>
      <c r="Y184" s="65">
        <f t="shared" si="36"/>
        <v>0</v>
      </c>
      <c r="Z184" s="64">
        <f t="shared" si="37"/>
        <v>0</v>
      </c>
      <c r="AA184" s="63">
        <f t="shared" si="38"/>
        <v>2.3239999999999998</v>
      </c>
      <c r="AB184" s="63">
        <f t="shared" si="39"/>
        <v>0.95399999999999996</v>
      </c>
    </row>
    <row r="185" spans="2:28">
      <c r="B185" s="104">
        <f>'114+840'!B186</f>
        <v>45442</v>
      </c>
      <c r="C185" s="75">
        <f t="shared" si="31"/>
        <v>1</v>
      </c>
      <c r="D185" s="74">
        <f t="shared" si="32"/>
        <v>842</v>
      </c>
      <c r="E185" s="73">
        <f>VLOOKUP(B185,'114+840'!B186:AB255,3,FALSE)</f>
        <v>1519</v>
      </c>
      <c r="F185" s="70">
        <f t="shared" si="27"/>
        <v>2361</v>
      </c>
      <c r="G185" s="72">
        <f>VLOOKUP(B185,'114+840'!$B$15:$AB$516,20,FALSE)</f>
        <v>1719</v>
      </c>
      <c r="H185" s="72">
        <f>VLOOKUP(B185,'114+840'!$B$15:$AB$516,4,FALSE)</f>
        <v>-278</v>
      </c>
      <c r="I185" s="69">
        <f t="shared" si="28"/>
        <v>2639</v>
      </c>
      <c r="J185" s="69">
        <f>VLOOKUP(B185,'114+840'!$B$15:$AB$516,13,FALSE)</f>
        <v>-361</v>
      </c>
      <c r="K185" s="67">
        <f>'114+840'!Q186</f>
        <v>0</v>
      </c>
      <c r="L185" s="66">
        <f t="shared" si="33"/>
        <v>281</v>
      </c>
      <c r="M185" s="71">
        <f>VLOOKUP(B185,'114+840'!$B$14:$AB$516,21,FALSE)</f>
        <v>1527</v>
      </c>
      <c r="N185" s="70">
        <f>VLOOKUP(B185,'114+840'!$B$15:$AB$516,5,FALSE)</f>
        <v>-266</v>
      </c>
      <c r="O185" s="69">
        <f t="shared" si="29"/>
        <v>2627</v>
      </c>
      <c r="P185" s="69">
        <f>VLOOKUP(B185,'114+840'!$B$15:$AB$516,14,FALSE)</f>
        <v>-373</v>
      </c>
      <c r="Q185" s="67">
        <f>'114+840'!R186</f>
        <v>0</v>
      </c>
      <c r="R185" s="66">
        <f t="shared" si="34"/>
        <v>473</v>
      </c>
      <c r="S185" s="71">
        <f>VLOOKUP(B185,'114+840'!$B$14:$AB$516,22,FALSE)</f>
        <v>1742</v>
      </c>
      <c r="T185" s="70">
        <f>VLOOKUP(B185,'114+840'!$B$15:$AB$516,6,FALSE)</f>
        <v>9</v>
      </c>
      <c r="U185" s="69">
        <f t="shared" si="30"/>
        <v>2352</v>
      </c>
      <c r="V185" s="68">
        <f>VLOOKUP(B185,'114+840'!$B$15:$AB$516,15,FALSE)</f>
        <v>-648</v>
      </c>
      <c r="W185" s="67">
        <f>'114+840'!S186</f>
        <v>0</v>
      </c>
      <c r="X185" s="66">
        <f t="shared" si="35"/>
        <v>258</v>
      </c>
      <c r="Y185" s="65">
        <f t="shared" si="36"/>
        <v>0</v>
      </c>
      <c r="Z185" s="64">
        <f t="shared" si="37"/>
        <v>0</v>
      </c>
      <c r="AA185" s="63">
        <f t="shared" si="38"/>
        <v>2.3239999999999998</v>
      </c>
      <c r="AB185" s="63">
        <f t="shared" si="39"/>
        <v>0.95399999999999996</v>
      </c>
    </row>
    <row r="186" spans="2:28">
      <c r="B186" s="104">
        <f>'114+840'!B187</f>
        <v>45443</v>
      </c>
      <c r="C186" s="75">
        <f t="shared" si="31"/>
        <v>1</v>
      </c>
      <c r="D186" s="74">
        <f t="shared" si="32"/>
        <v>842</v>
      </c>
      <c r="E186" s="73">
        <f>VLOOKUP(B186,'114+840'!B187:AB255,3,FALSE)</f>
        <v>1521</v>
      </c>
      <c r="F186" s="70">
        <f t="shared" si="27"/>
        <v>2363</v>
      </c>
      <c r="G186" s="72">
        <f>VLOOKUP(B186,'114+840'!$B$15:$AB$516,20,FALSE)</f>
        <v>1719</v>
      </c>
      <c r="H186" s="72">
        <f>VLOOKUP(B186,'114+840'!$B$15:$AB$516,4,FALSE)</f>
        <v>-276</v>
      </c>
      <c r="I186" s="69">
        <f t="shared" si="28"/>
        <v>2639</v>
      </c>
      <c r="J186" s="69">
        <f>VLOOKUP(B186,'114+840'!$B$15:$AB$516,13,FALSE)</f>
        <v>-361</v>
      </c>
      <c r="K186" s="67">
        <f>'114+840'!Q187</f>
        <v>0</v>
      </c>
      <c r="L186" s="66">
        <f t="shared" si="33"/>
        <v>281</v>
      </c>
      <c r="M186" s="71">
        <f>VLOOKUP(B186,'114+840'!$B$14:$AB$516,21,FALSE)</f>
        <v>1527</v>
      </c>
      <c r="N186" s="70">
        <f>VLOOKUP(B186,'114+840'!$B$15:$AB$516,5,FALSE)</f>
        <v>-264</v>
      </c>
      <c r="O186" s="69">
        <f t="shared" si="29"/>
        <v>2627</v>
      </c>
      <c r="P186" s="69">
        <f>VLOOKUP(B186,'114+840'!$B$15:$AB$516,14,FALSE)</f>
        <v>-373</v>
      </c>
      <c r="Q186" s="67">
        <f>'114+840'!R187</f>
        <v>0</v>
      </c>
      <c r="R186" s="66">
        <f t="shared" si="34"/>
        <v>473</v>
      </c>
      <c r="S186" s="71">
        <f>VLOOKUP(B186,'114+840'!$B$14:$AB$516,22,FALSE)</f>
        <v>1742</v>
      </c>
      <c r="T186" s="70">
        <f>VLOOKUP(B186,'114+840'!$B$15:$AB$516,6,FALSE)</f>
        <v>11</v>
      </c>
      <c r="U186" s="69">
        <f t="shared" si="30"/>
        <v>2352</v>
      </c>
      <c r="V186" s="68">
        <f>VLOOKUP(B186,'114+840'!$B$15:$AB$516,15,FALSE)</f>
        <v>-648</v>
      </c>
      <c r="W186" s="67">
        <f>'114+840'!S187</f>
        <v>0</v>
      </c>
      <c r="X186" s="66">
        <f t="shared" si="35"/>
        <v>258</v>
      </c>
      <c r="Y186" s="65">
        <f t="shared" si="36"/>
        <v>0</v>
      </c>
      <c r="Z186" s="64">
        <f t="shared" si="37"/>
        <v>0</v>
      </c>
      <c r="AA186" s="63">
        <f t="shared" si="38"/>
        <v>2.3239999999999998</v>
      </c>
      <c r="AB186" s="63">
        <f t="shared" si="39"/>
        <v>0.95399999999999996</v>
      </c>
    </row>
    <row r="187" spans="2:28">
      <c r="B187" s="104">
        <f>'114+840'!B188</f>
        <v>45444</v>
      </c>
      <c r="C187" s="75">
        <f t="shared" si="31"/>
        <v>1</v>
      </c>
      <c r="D187" s="74">
        <f t="shared" si="32"/>
        <v>842</v>
      </c>
      <c r="E187" s="73">
        <f>VLOOKUP(B187,'114+840'!B188:AB255,3,FALSE)</f>
        <v>1523</v>
      </c>
      <c r="F187" s="70">
        <f t="shared" si="27"/>
        <v>2365</v>
      </c>
      <c r="G187" s="72">
        <f>VLOOKUP(B187,'114+840'!$B$15:$AB$516,20,FALSE)</f>
        <v>1719</v>
      </c>
      <c r="H187" s="72">
        <f>VLOOKUP(B187,'114+840'!$B$15:$AB$516,4,FALSE)</f>
        <v>-274</v>
      </c>
      <c r="I187" s="69">
        <f t="shared" si="28"/>
        <v>2639</v>
      </c>
      <c r="J187" s="69">
        <f>VLOOKUP(B187,'114+840'!$B$15:$AB$516,13,FALSE)</f>
        <v>-361</v>
      </c>
      <c r="K187" s="67">
        <f>'114+840'!Q188</f>
        <v>0</v>
      </c>
      <c r="L187" s="66">
        <f t="shared" si="33"/>
        <v>281</v>
      </c>
      <c r="M187" s="71">
        <f>VLOOKUP(B187,'114+840'!$B$14:$AB$516,21,FALSE)</f>
        <v>1527</v>
      </c>
      <c r="N187" s="70">
        <f>VLOOKUP(B187,'114+840'!$B$15:$AB$516,5,FALSE)</f>
        <v>-262</v>
      </c>
      <c r="O187" s="69">
        <f t="shared" si="29"/>
        <v>2627</v>
      </c>
      <c r="P187" s="69">
        <f>VLOOKUP(B187,'114+840'!$B$15:$AB$516,14,FALSE)</f>
        <v>-373</v>
      </c>
      <c r="Q187" s="67">
        <f>'114+840'!R188</f>
        <v>0</v>
      </c>
      <c r="R187" s="66">
        <f t="shared" si="34"/>
        <v>473</v>
      </c>
      <c r="S187" s="71">
        <f>VLOOKUP(B187,'114+840'!$B$14:$AB$516,22,FALSE)</f>
        <v>1742</v>
      </c>
      <c r="T187" s="70">
        <f>VLOOKUP(B187,'114+840'!$B$15:$AB$516,6,FALSE)</f>
        <v>13</v>
      </c>
      <c r="U187" s="69">
        <f t="shared" si="30"/>
        <v>2352</v>
      </c>
      <c r="V187" s="68">
        <f>VLOOKUP(B187,'114+840'!$B$15:$AB$516,15,FALSE)</f>
        <v>-648</v>
      </c>
      <c r="W187" s="67">
        <f>'114+840'!S188</f>
        <v>0</v>
      </c>
      <c r="X187" s="66">
        <f t="shared" si="35"/>
        <v>258</v>
      </c>
      <c r="Y187" s="65">
        <f t="shared" si="36"/>
        <v>0</v>
      </c>
      <c r="Z187" s="64">
        <f t="shared" si="37"/>
        <v>0</v>
      </c>
      <c r="AA187" s="63">
        <f t="shared" si="38"/>
        <v>2.3239999999999998</v>
      </c>
      <c r="AB187" s="63">
        <f t="shared" si="39"/>
        <v>0.95399999999999996</v>
      </c>
    </row>
    <row r="188" spans="2:28">
      <c r="B188" s="104">
        <f>'114+840'!B189</f>
        <v>45445</v>
      </c>
      <c r="C188" s="75">
        <f t="shared" si="31"/>
        <v>1</v>
      </c>
      <c r="D188" s="74">
        <f t="shared" si="32"/>
        <v>842</v>
      </c>
      <c r="E188" s="73">
        <f>VLOOKUP(B188,'114+840'!B189:AB255,3,FALSE)</f>
        <v>1525</v>
      </c>
      <c r="F188" s="70">
        <f t="shared" si="27"/>
        <v>2367</v>
      </c>
      <c r="G188" s="72">
        <f>VLOOKUP(B188,'114+840'!$B$15:$AB$516,20,FALSE)</f>
        <v>1719</v>
      </c>
      <c r="H188" s="72">
        <f>VLOOKUP(B188,'114+840'!$B$15:$AB$516,4,FALSE)</f>
        <v>-272</v>
      </c>
      <c r="I188" s="69">
        <f t="shared" si="28"/>
        <v>2639</v>
      </c>
      <c r="J188" s="69">
        <f>VLOOKUP(B188,'114+840'!$B$15:$AB$516,13,FALSE)</f>
        <v>-361</v>
      </c>
      <c r="K188" s="67">
        <f>'114+840'!Q189</f>
        <v>0</v>
      </c>
      <c r="L188" s="66">
        <f t="shared" si="33"/>
        <v>281</v>
      </c>
      <c r="M188" s="71">
        <f>VLOOKUP(B188,'114+840'!$B$14:$AB$516,21,FALSE)</f>
        <v>1527</v>
      </c>
      <c r="N188" s="70">
        <f>VLOOKUP(B188,'114+840'!$B$15:$AB$516,5,FALSE)</f>
        <v>-260</v>
      </c>
      <c r="O188" s="69">
        <f t="shared" si="29"/>
        <v>2627</v>
      </c>
      <c r="P188" s="69">
        <f>VLOOKUP(B188,'114+840'!$B$15:$AB$516,14,FALSE)</f>
        <v>-373</v>
      </c>
      <c r="Q188" s="67">
        <f>'114+840'!R189</f>
        <v>0</v>
      </c>
      <c r="R188" s="66">
        <f t="shared" si="34"/>
        <v>473</v>
      </c>
      <c r="S188" s="71">
        <f>VLOOKUP(B188,'114+840'!$B$14:$AB$516,22,FALSE)</f>
        <v>1742</v>
      </c>
      <c r="T188" s="70">
        <f>VLOOKUP(B188,'114+840'!$B$15:$AB$516,6,FALSE)</f>
        <v>15</v>
      </c>
      <c r="U188" s="69">
        <f t="shared" si="30"/>
        <v>2352</v>
      </c>
      <c r="V188" s="68">
        <f>VLOOKUP(B188,'114+840'!$B$15:$AB$516,15,FALSE)</f>
        <v>-648</v>
      </c>
      <c r="W188" s="67">
        <f>'114+840'!S189</f>
        <v>0</v>
      </c>
      <c r="X188" s="66">
        <f t="shared" si="35"/>
        <v>258</v>
      </c>
      <c r="Y188" s="65">
        <f t="shared" si="36"/>
        <v>0</v>
      </c>
      <c r="Z188" s="64">
        <f t="shared" si="37"/>
        <v>0</v>
      </c>
      <c r="AA188" s="63">
        <f t="shared" si="38"/>
        <v>2.3239999999999998</v>
      </c>
      <c r="AB188" s="63">
        <f t="shared" si="39"/>
        <v>0.95399999999999996</v>
      </c>
    </row>
    <row r="189" spans="2:28">
      <c r="B189" s="104">
        <f>'114+840'!B190</f>
        <v>45446</v>
      </c>
      <c r="C189" s="75">
        <f t="shared" si="31"/>
        <v>1</v>
      </c>
      <c r="D189" s="74">
        <f t="shared" si="32"/>
        <v>842</v>
      </c>
      <c r="E189" s="73">
        <f>VLOOKUP(B189,'114+840'!B190:AB255,3,FALSE)</f>
        <v>1527</v>
      </c>
      <c r="F189" s="70">
        <f t="shared" si="27"/>
        <v>2369</v>
      </c>
      <c r="G189" s="72">
        <f>VLOOKUP(B189,'114+840'!$B$15:$AB$516,20,FALSE)</f>
        <v>1719</v>
      </c>
      <c r="H189" s="72">
        <f>VLOOKUP(B189,'114+840'!$B$15:$AB$516,4,FALSE)</f>
        <v>-270</v>
      </c>
      <c r="I189" s="69">
        <f t="shared" si="28"/>
        <v>2639</v>
      </c>
      <c r="J189" s="69">
        <f>VLOOKUP(B189,'114+840'!$B$15:$AB$516,13,FALSE)</f>
        <v>-361</v>
      </c>
      <c r="K189" s="67">
        <f>'114+840'!Q190</f>
        <v>0</v>
      </c>
      <c r="L189" s="66">
        <f t="shared" si="33"/>
        <v>281</v>
      </c>
      <c r="M189" s="71">
        <f>VLOOKUP(B189,'114+840'!$B$14:$AB$516,21,FALSE)</f>
        <v>1527</v>
      </c>
      <c r="N189" s="70">
        <f>VLOOKUP(B189,'114+840'!$B$15:$AB$516,5,FALSE)</f>
        <v>-258</v>
      </c>
      <c r="O189" s="69">
        <f t="shared" si="29"/>
        <v>2627</v>
      </c>
      <c r="P189" s="69">
        <f>VLOOKUP(B189,'114+840'!$B$15:$AB$516,14,FALSE)</f>
        <v>-373</v>
      </c>
      <c r="Q189" s="67">
        <f>'114+840'!R190</f>
        <v>0</v>
      </c>
      <c r="R189" s="66">
        <f t="shared" si="34"/>
        <v>473</v>
      </c>
      <c r="S189" s="71">
        <f>VLOOKUP(B189,'114+840'!$B$14:$AB$516,22,FALSE)</f>
        <v>1742</v>
      </c>
      <c r="T189" s="70">
        <f>VLOOKUP(B189,'114+840'!$B$15:$AB$516,6,FALSE)</f>
        <v>17</v>
      </c>
      <c r="U189" s="69">
        <f t="shared" si="30"/>
        <v>2352</v>
      </c>
      <c r="V189" s="68">
        <f>VLOOKUP(B189,'114+840'!$B$15:$AB$516,15,FALSE)</f>
        <v>-648</v>
      </c>
      <c r="W189" s="67">
        <f>'114+840'!S190</f>
        <v>0</v>
      </c>
      <c r="X189" s="66">
        <f t="shared" si="35"/>
        <v>258</v>
      </c>
      <c r="Y189" s="65">
        <f t="shared" si="36"/>
        <v>0</v>
      </c>
      <c r="Z189" s="64">
        <f t="shared" si="37"/>
        <v>0</v>
      </c>
      <c r="AA189" s="63">
        <f t="shared" si="38"/>
        <v>2.3239999999999998</v>
      </c>
      <c r="AB189" s="63">
        <f t="shared" si="39"/>
        <v>0.95399999999999996</v>
      </c>
    </row>
    <row r="190" spans="2:28">
      <c r="B190" s="104">
        <f>'114+840'!B191</f>
        <v>45447</v>
      </c>
      <c r="C190" s="75">
        <f t="shared" si="31"/>
        <v>1</v>
      </c>
      <c r="D190" s="74">
        <f t="shared" si="32"/>
        <v>842</v>
      </c>
      <c r="E190" s="73">
        <f>VLOOKUP(B190,'114+840'!B191:AB255,3,FALSE)</f>
        <v>1529</v>
      </c>
      <c r="F190" s="70">
        <f t="shared" si="27"/>
        <v>2371</v>
      </c>
      <c r="G190" s="72">
        <f>VLOOKUP(B190,'114+840'!$B$15:$AB$516,20,FALSE)</f>
        <v>1719</v>
      </c>
      <c r="H190" s="72">
        <f>VLOOKUP(B190,'114+840'!$B$15:$AB$516,4,FALSE)</f>
        <v>-268</v>
      </c>
      <c r="I190" s="69">
        <f t="shared" si="28"/>
        <v>2639</v>
      </c>
      <c r="J190" s="69">
        <f>VLOOKUP(B190,'114+840'!$B$15:$AB$516,13,FALSE)</f>
        <v>-361</v>
      </c>
      <c r="K190" s="67">
        <f>'114+840'!Q191</f>
        <v>0</v>
      </c>
      <c r="L190" s="66">
        <f t="shared" si="33"/>
        <v>281</v>
      </c>
      <c r="M190" s="71">
        <f>VLOOKUP(B190,'114+840'!$B$14:$AB$516,21,FALSE)</f>
        <v>1527</v>
      </c>
      <c r="N190" s="70">
        <f>VLOOKUP(B190,'114+840'!$B$15:$AB$516,5,FALSE)</f>
        <v>-256</v>
      </c>
      <c r="O190" s="69">
        <f t="shared" si="29"/>
        <v>2627</v>
      </c>
      <c r="P190" s="69">
        <f>VLOOKUP(B190,'114+840'!$B$15:$AB$516,14,FALSE)</f>
        <v>-373</v>
      </c>
      <c r="Q190" s="67">
        <f>'114+840'!R191</f>
        <v>0</v>
      </c>
      <c r="R190" s="66">
        <f t="shared" si="34"/>
        <v>473</v>
      </c>
      <c r="S190" s="71">
        <f>VLOOKUP(B190,'114+840'!$B$14:$AB$516,22,FALSE)</f>
        <v>1742</v>
      </c>
      <c r="T190" s="70">
        <f>VLOOKUP(B190,'114+840'!$B$15:$AB$516,6,FALSE)</f>
        <v>19</v>
      </c>
      <c r="U190" s="69">
        <f t="shared" si="30"/>
        <v>2352</v>
      </c>
      <c r="V190" s="68">
        <f>VLOOKUP(B190,'114+840'!$B$15:$AB$516,15,FALSE)</f>
        <v>-648</v>
      </c>
      <c r="W190" s="67">
        <f>'114+840'!S191</f>
        <v>0</v>
      </c>
      <c r="X190" s="66">
        <f t="shared" si="35"/>
        <v>258</v>
      </c>
      <c r="Y190" s="65">
        <f t="shared" si="36"/>
        <v>0</v>
      </c>
      <c r="Z190" s="64">
        <f t="shared" si="37"/>
        <v>0</v>
      </c>
      <c r="AA190" s="63">
        <f t="shared" si="38"/>
        <v>2.3239999999999998</v>
      </c>
      <c r="AB190" s="63">
        <f t="shared" si="39"/>
        <v>0.95399999999999996</v>
      </c>
    </row>
    <row r="191" spans="2:28">
      <c r="B191" s="104">
        <f>'114+840'!B192</f>
        <v>45448</v>
      </c>
      <c r="C191" s="75">
        <f t="shared" si="31"/>
        <v>1</v>
      </c>
      <c r="D191" s="74">
        <f t="shared" si="32"/>
        <v>842</v>
      </c>
      <c r="E191" s="73">
        <f>VLOOKUP(B191,'114+840'!B192:AB255,3,FALSE)</f>
        <v>1531</v>
      </c>
      <c r="F191" s="70">
        <f t="shared" si="27"/>
        <v>2373</v>
      </c>
      <c r="G191" s="72">
        <f>VLOOKUP(B191,'114+840'!$B$15:$AB$516,20,FALSE)</f>
        <v>1719</v>
      </c>
      <c r="H191" s="72">
        <f>VLOOKUP(B191,'114+840'!$B$15:$AB$516,4,FALSE)</f>
        <v>-266</v>
      </c>
      <c r="I191" s="69">
        <f t="shared" si="28"/>
        <v>2639</v>
      </c>
      <c r="J191" s="69">
        <f>VLOOKUP(B191,'114+840'!$B$15:$AB$516,13,FALSE)</f>
        <v>-361</v>
      </c>
      <c r="K191" s="67">
        <f>'114+840'!Q192</f>
        <v>0</v>
      </c>
      <c r="L191" s="66">
        <f t="shared" si="33"/>
        <v>281</v>
      </c>
      <c r="M191" s="71">
        <f>VLOOKUP(B191,'114+840'!$B$14:$AB$516,21,FALSE)</f>
        <v>1527</v>
      </c>
      <c r="N191" s="70">
        <f>VLOOKUP(B191,'114+840'!$B$15:$AB$516,5,FALSE)</f>
        <v>-254</v>
      </c>
      <c r="O191" s="69">
        <f t="shared" si="29"/>
        <v>2627</v>
      </c>
      <c r="P191" s="69">
        <f>VLOOKUP(B191,'114+840'!$B$15:$AB$516,14,FALSE)</f>
        <v>-373</v>
      </c>
      <c r="Q191" s="67">
        <f>'114+840'!R192</f>
        <v>0</v>
      </c>
      <c r="R191" s="66">
        <f t="shared" si="34"/>
        <v>473</v>
      </c>
      <c r="S191" s="71">
        <f>VLOOKUP(B191,'114+840'!$B$14:$AB$516,22,FALSE)</f>
        <v>1742</v>
      </c>
      <c r="T191" s="70">
        <f>VLOOKUP(B191,'114+840'!$B$15:$AB$516,6,FALSE)</f>
        <v>21</v>
      </c>
      <c r="U191" s="69">
        <f t="shared" si="30"/>
        <v>2352</v>
      </c>
      <c r="V191" s="68">
        <f>VLOOKUP(B191,'114+840'!$B$15:$AB$516,15,FALSE)</f>
        <v>-648</v>
      </c>
      <c r="W191" s="67">
        <f>'114+840'!S192</f>
        <v>0</v>
      </c>
      <c r="X191" s="66">
        <f t="shared" si="35"/>
        <v>258</v>
      </c>
      <c r="Y191" s="65">
        <f t="shared" si="36"/>
        <v>0</v>
      </c>
      <c r="Z191" s="64">
        <f t="shared" si="37"/>
        <v>0</v>
      </c>
      <c r="AA191" s="63">
        <f t="shared" si="38"/>
        <v>2.3239999999999998</v>
      </c>
      <c r="AB191" s="63">
        <f t="shared" si="39"/>
        <v>0.95399999999999996</v>
      </c>
    </row>
    <row r="192" spans="2:28">
      <c r="B192" s="104">
        <f>'114+840'!B193</f>
        <v>45449</v>
      </c>
      <c r="C192" s="75">
        <f t="shared" si="31"/>
        <v>1</v>
      </c>
      <c r="D192" s="74">
        <f t="shared" si="32"/>
        <v>842</v>
      </c>
      <c r="E192" s="73">
        <f>VLOOKUP(B192,'114+840'!B193:AB255,3,FALSE)</f>
        <v>1533</v>
      </c>
      <c r="F192" s="70">
        <f t="shared" si="27"/>
        <v>2375</v>
      </c>
      <c r="G192" s="72">
        <f>VLOOKUP(B192,'114+840'!$B$15:$AB$516,20,FALSE)</f>
        <v>1719</v>
      </c>
      <c r="H192" s="72">
        <f>VLOOKUP(B192,'114+840'!$B$15:$AB$516,4,FALSE)</f>
        <v>-264</v>
      </c>
      <c r="I192" s="69">
        <f t="shared" si="28"/>
        <v>2639</v>
      </c>
      <c r="J192" s="69">
        <f>VLOOKUP(B192,'114+840'!$B$15:$AB$516,13,FALSE)</f>
        <v>-361</v>
      </c>
      <c r="K192" s="67">
        <f>'114+840'!Q193</f>
        <v>0</v>
      </c>
      <c r="L192" s="66">
        <f t="shared" si="33"/>
        <v>281</v>
      </c>
      <c r="M192" s="71">
        <f>VLOOKUP(B192,'114+840'!$B$14:$AB$516,21,FALSE)</f>
        <v>1527</v>
      </c>
      <c r="N192" s="70">
        <f>VLOOKUP(B192,'114+840'!$B$15:$AB$516,5,FALSE)</f>
        <v>-252</v>
      </c>
      <c r="O192" s="69">
        <f t="shared" si="29"/>
        <v>2627</v>
      </c>
      <c r="P192" s="69">
        <f>VLOOKUP(B192,'114+840'!$B$15:$AB$516,14,FALSE)</f>
        <v>-373</v>
      </c>
      <c r="Q192" s="67">
        <f>'114+840'!R193</f>
        <v>0</v>
      </c>
      <c r="R192" s="66">
        <f t="shared" si="34"/>
        <v>473</v>
      </c>
      <c r="S192" s="71">
        <f>VLOOKUP(B192,'114+840'!$B$14:$AB$516,22,FALSE)</f>
        <v>1742</v>
      </c>
      <c r="T192" s="70">
        <f>VLOOKUP(B192,'114+840'!$B$15:$AB$516,6,FALSE)</f>
        <v>23</v>
      </c>
      <c r="U192" s="69">
        <f t="shared" si="30"/>
        <v>2352</v>
      </c>
      <c r="V192" s="68">
        <f>VLOOKUP(B192,'114+840'!$B$15:$AB$516,15,FALSE)</f>
        <v>-648</v>
      </c>
      <c r="W192" s="67">
        <f>'114+840'!S193</f>
        <v>0</v>
      </c>
      <c r="X192" s="66">
        <f t="shared" si="35"/>
        <v>258</v>
      </c>
      <c r="Y192" s="65">
        <f t="shared" si="36"/>
        <v>0</v>
      </c>
      <c r="Z192" s="64">
        <f t="shared" si="37"/>
        <v>0</v>
      </c>
      <c r="AA192" s="63">
        <f t="shared" si="38"/>
        <v>2.3239999999999998</v>
      </c>
      <c r="AB192" s="63">
        <f t="shared" si="39"/>
        <v>0.95399999999999996</v>
      </c>
    </row>
    <row r="193" spans="2:28">
      <c r="B193" s="104">
        <f>'114+840'!B194</f>
        <v>45450</v>
      </c>
      <c r="C193" s="75">
        <f t="shared" si="31"/>
        <v>1</v>
      </c>
      <c r="D193" s="74">
        <f t="shared" si="32"/>
        <v>842</v>
      </c>
      <c r="E193" s="73">
        <f>VLOOKUP(B193,'114+840'!B194:AB255,3,FALSE)</f>
        <v>1535</v>
      </c>
      <c r="F193" s="70">
        <f t="shared" si="27"/>
        <v>2377</v>
      </c>
      <c r="G193" s="72">
        <f>VLOOKUP(B193,'114+840'!$B$15:$AB$516,20,FALSE)</f>
        <v>1719</v>
      </c>
      <c r="H193" s="72">
        <f>VLOOKUP(B193,'114+840'!$B$15:$AB$516,4,FALSE)</f>
        <v>-262</v>
      </c>
      <c r="I193" s="69">
        <f t="shared" si="28"/>
        <v>2639</v>
      </c>
      <c r="J193" s="69">
        <f>VLOOKUP(B193,'114+840'!$B$15:$AB$516,13,FALSE)</f>
        <v>-361</v>
      </c>
      <c r="K193" s="67">
        <f>'114+840'!Q194</f>
        <v>0</v>
      </c>
      <c r="L193" s="66">
        <f t="shared" si="33"/>
        <v>281</v>
      </c>
      <c r="M193" s="71">
        <f>VLOOKUP(B193,'114+840'!$B$14:$AB$516,21,FALSE)</f>
        <v>1527</v>
      </c>
      <c r="N193" s="70">
        <f>VLOOKUP(B193,'114+840'!$B$15:$AB$516,5,FALSE)</f>
        <v>-250</v>
      </c>
      <c r="O193" s="69">
        <f t="shared" si="29"/>
        <v>2627</v>
      </c>
      <c r="P193" s="69">
        <f>VLOOKUP(B193,'114+840'!$B$15:$AB$516,14,FALSE)</f>
        <v>-373</v>
      </c>
      <c r="Q193" s="67">
        <f>'114+840'!R194</f>
        <v>0</v>
      </c>
      <c r="R193" s="66">
        <f t="shared" si="34"/>
        <v>473</v>
      </c>
      <c r="S193" s="71">
        <f>VLOOKUP(B193,'114+840'!$B$14:$AB$516,22,FALSE)</f>
        <v>1742</v>
      </c>
      <c r="T193" s="70">
        <f>VLOOKUP(B193,'114+840'!$B$15:$AB$516,6,FALSE)</f>
        <v>25</v>
      </c>
      <c r="U193" s="69">
        <f t="shared" si="30"/>
        <v>2352</v>
      </c>
      <c r="V193" s="68">
        <f>VLOOKUP(B193,'114+840'!$B$15:$AB$516,15,FALSE)</f>
        <v>-648</v>
      </c>
      <c r="W193" s="67">
        <f>'114+840'!S194</f>
        <v>0</v>
      </c>
      <c r="X193" s="66">
        <f t="shared" si="35"/>
        <v>258</v>
      </c>
      <c r="Y193" s="65">
        <f t="shared" si="36"/>
        <v>0</v>
      </c>
      <c r="Z193" s="64">
        <f t="shared" si="37"/>
        <v>0</v>
      </c>
      <c r="AA193" s="63">
        <f t="shared" si="38"/>
        <v>2.3239999999999998</v>
      </c>
      <c r="AB193" s="63">
        <f t="shared" si="39"/>
        <v>0.95399999999999996</v>
      </c>
    </row>
    <row r="194" spans="2:28">
      <c r="B194" s="104">
        <f>'114+840'!B195</f>
        <v>45451</v>
      </c>
      <c r="C194" s="75">
        <f t="shared" si="31"/>
        <v>1</v>
      </c>
      <c r="D194" s="74">
        <f t="shared" si="32"/>
        <v>842</v>
      </c>
      <c r="E194" s="73">
        <f>VLOOKUP(B194,'114+840'!B195:AB255,3,FALSE)</f>
        <v>1537</v>
      </c>
      <c r="F194" s="70">
        <f t="shared" si="27"/>
        <v>2379</v>
      </c>
      <c r="G194" s="72">
        <f>VLOOKUP(B194,'114+840'!$B$15:$AB$516,20,FALSE)</f>
        <v>1719</v>
      </c>
      <c r="H194" s="72">
        <f>VLOOKUP(B194,'114+840'!$B$15:$AB$516,4,FALSE)</f>
        <v>-260</v>
      </c>
      <c r="I194" s="69">
        <f t="shared" si="28"/>
        <v>2639</v>
      </c>
      <c r="J194" s="69">
        <f>VLOOKUP(B194,'114+840'!$B$15:$AB$516,13,FALSE)</f>
        <v>-361</v>
      </c>
      <c r="K194" s="67">
        <f>'114+840'!Q195</f>
        <v>0</v>
      </c>
      <c r="L194" s="66">
        <f t="shared" si="33"/>
        <v>281</v>
      </c>
      <c r="M194" s="71">
        <f>VLOOKUP(B194,'114+840'!$B$14:$AB$516,21,FALSE)</f>
        <v>1527</v>
      </c>
      <c r="N194" s="70">
        <f>VLOOKUP(B194,'114+840'!$B$15:$AB$516,5,FALSE)</f>
        <v>-248</v>
      </c>
      <c r="O194" s="69">
        <f t="shared" si="29"/>
        <v>2627</v>
      </c>
      <c r="P194" s="69">
        <f>VLOOKUP(B194,'114+840'!$B$15:$AB$516,14,FALSE)</f>
        <v>-373</v>
      </c>
      <c r="Q194" s="67">
        <f>'114+840'!R195</f>
        <v>0</v>
      </c>
      <c r="R194" s="66">
        <f t="shared" si="34"/>
        <v>473</v>
      </c>
      <c r="S194" s="71">
        <f>VLOOKUP(B194,'114+840'!$B$14:$AB$516,22,FALSE)</f>
        <v>1742</v>
      </c>
      <c r="T194" s="70">
        <f>VLOOKUP(B194,'114+840'!$B$15:$AB$516,6,FALSE)</f>
        <v>27</v>
      </c>
      <c r="U194" s="69">
        <f t="shared" si="30"/>
        <v>2352</v>
      </c>
      <c r="V194" s="68">
        <f>VLOOKUP(B194,'114+840'!$B$15:$AB$516,15,FALSE)</f>
        <v>-648</v>
      </c>
      <c r="W194" s="67">
        <f>'114+840'!S195</f>
        <v>0</v>
      </c>
      <c r="X194" s="66">
        <f t="shared" si="35"/>
        <v>258</v>
      </c>
      <c r="Y194" s="65">
        <f t="shared" si="36"/>
        <v>0</v>
      </c>
      <c r="Z194" s="64">
        <f t="shared" si="37"/>
        <v>0</v>
      </c>
      <c r="AA194" s="63">
        <f t="shared" si="38"/>
        <v>2.3239999999999998</v>
      </c>
      <c r="AB194" s="63">
        <f t="shared" si="39"/>
        <v>0.95399999999999996</v>
      </c>
    </row>
    <row r="195" spans="2:28">
      <c r="B195" s="104">
        <f>'114+840'!B196</f>
        <v>45452</v>
      </c>
      <c r="C195" s="75">
        <f t="shared" si="31"/>
        <v>1</v>
      </c>
      <c r="D195" s="74">
        <f t="shared" si="32"/>
        <v>842</v>
      </c>
      <c r="E195" s="73">
        <f>VLOOKUP(B195,'114+840'!B196:AB255,3,FALSE)</f>
        <v>1539</v>
      </c>
      <c r="F195" s="70">
        <f t="shared" si="27"/>
        <v>2381</v>
      </c>
      <c r="G195" s="72">
        <f>VLOOKUP(B195,'114+840'!$B$15:$AB$516,20,FALSE)</f>
        <v>1719</v>
      </c>
      <c r="H195" s="72">
        <f>VLOOKUP(B195,'114+840'!$B$15:$AB$516,4,FALSE)</f>
        <v>-258</v>
      </c>
      <c r="I195" s="69">
        <f t="shared" si="28"/>
        <v>2639</v>
      </c>
      <c r="J195" s="69">
        <f>VLOOKUP(B195,'114+840'!$B$15:$AB$516,13,FALSE)</f>
        <v>-361</v>
      </c>
      <c r="K195" s="67">
        <f>'114+840'!Q196</f>
        <v>0</v>
      </c>
      <c r="L195" s="66">
        <f t="shared" si="33"/>
        <v>281</v>
      </c>
      <c r="M195" s="71">
        <f>VLOOKUP(B195,'114+840'!$B$14:$AB$516,21,FALSE)</f>
        <v>1527</v>
      </c>
      <c r="N195" s="70">
        <f>VLOOKUP(B195,'114+840'!$B$15:$AB$516,5,FALSE)</f>
        <v>-246</v>
      </c>
      <c r="O195" s="69">
        <f t="shared" si="29"/>
        <v>2627</v>
      </c>
      <c r="P195" s="69">
        <f>VLOOKUP(B195,'114+840'!$B$15:$AB$516,14,FALSE)</f>
        <v>-373</v>
      </c>
      <c r="Q195" s="67">
        <f>'114+840'!R196</f>
        <v>0</v>
      </c>
      <c r="R195" s="66">
        <f t="shared" si="34"/>
        <v>473</v>
      </c>
      <c r="S195" s="71">
        <f>VLOOKUP(B195,'114+840'!$B$14:$AB$516,22,FALSE)</f>
        <v>1742</v>
      </c>
      <c r="T195" s="70">
        <f>VLOOKUP(B195,'114+840'!$B$15:$AB$516,6,FALSE)</f>
        <v>29</v>
      </c>
      <c r="U195" s="69">
        <f t="shared" si="30"/>
        <v>2352</v>
      </c>
      <c r="V195" s="68">
        <f>VLOOKUP(B195,'114+840'!$B$15:$AB$516,15,FALSE)</f>
        <v>-648</v>
      </c>
      <c r="W195" s="67">
        <f>'114+840'!S196</f>
        <v>0</v>
      </c>
      <c r="X195" s="66">
        <f t="shared" si="35"/>
        <v>258</v>
      </c>
      <c r="Y195" s="65">
        <f t="shared" si="36"/>
        <v>0</v>
      </c>
      <c r="Z195" s="64">
        <f t="shared" si="37"/>
        <v>0</v>
      </c>
      <c r="AA195" s="63">
        <f t="shared" si="38"/>
        <v>2.3239999999999998</v>
      </c>
      <c r="AB195" s="63">
        <f t="shared" si="39"/>
        <v>0.95399999999999996</v>
      </c>
    </row>
    <row r="196" spans="2:28">
      <c r="B196" s="104">
        <f>'114+840'!B197</f>
        <v>45453</v>
      </c>
      <c r="C196" s="75">
        <f t="shared" si="31"/>
        <v>1</v>
      </c>
      <c r="D196" s="74">
        <f t="shared" si="32"/>
        <v>842</v>
      </c>
      <c r="E196" s="73">
        <f>VLOOKUP(B196,'114+840'!B197:AB255,3,FALSE)</f>
        <v>1541</v>
      </c>
      <c r="F196" s="70">
        <f t="shared" si="27"/>
        <v>2383</v>
      </c>
      <c r="G196" s="72">
        <f>VLOOKUP(B196,'114+840'!$B$15:$AB$516,20,FALSE)</f>
        <v>1719</v>
      </c>
      <c r="H196" s="72">
        <f>VLOOKUP(B196,'114+840'!$B$15:$AB$516,4,FALSE)</f>
        <v>-256</v>
      </c>
      <c r="I196" s="69">
        <f t="shared" si="28"/>
        <v>2639</v>
      </c>
      <c r="J196" s="69">
        <f>VLOOKUP(B196,'114+840'!$B$15:$AB$516,13,FALSE)</f>
        <v>-361</v>
      </c>
      <c r="K196" s="67">
        <f>'114+840'!Q197</f>
        <v>0</v>
      </c>
      <c r="L196" s="66">
        <f t="shared" si="33"/>
        <v>281</v>
      </c>
      <c r="M196" s="71">
        <f>VLOOKUP(B196,'114+840'!$B$14:$AB$516,21,FALSE)</f>
        <v>1527</v>
      </c>
      <c r="N196" s="70">
        <f>VLOOKUP(B196,'114+840'!$B$15:$AB$516,5,FALSE)</f>
        <v>-244</v>
      </c>
      <c r="O196" s="69">
        <f t="shared" si="29"/>
        <v>2627</v>
      </c>
      <c r="P196" s="69">
        <f>VLOOKUP(B196,'114+840'!$B$15:$AB$516,14,FALSE)</f>
        <v>-373</v>
      </c>
      <c r="Q196" s="67">
        <f>'114+840'!R197</f>
        <v>0</v>
      </c>
      <c r="R196" s="66">
        <f t="shared" si="34"/>
        <v>473</v>
      </c>
      <c r="S196" s="71">
        <f>VLOOKUP(B196,'114+840'!$B$14:$AB$516,22,FALSE)</f>
        <v>1742</v>
      </c>
      <c r="T196" s="70">
        <f>VLOOKUP(B196,'114+840'!$B$15:$AB$516,6,FALSE)</f>
        <v>31</v>
      </c>
      <c r="U196" s="69">
        <f t="shared" si="30"/>
        <v>2352</v>
      </c>
      <c r="V196" s="68">
        <f>VLOOKUP(B196,'114+840'!$B$15:$AB$516,15,FALSE)</f>
        <v>-648</v>
      </c>
      <c r="W196" s="67">
        <f>'114+840'!S197</f>
        <v>0</v>
      </c>
      <c r="X196" s="66">
        <f t="shared" si="35"/>
        <v>258</v>
      </c>
      <c r="Y196" s="65">
        <f t="shared" si="36"/>
        <v>0</v>
      </c>
      <c r="Z196" s="64">
        <f t="shared" si="37"/>
        <v>0</v>
      </c>
      <c r="AA196" s="63">
        <f t="shared" si="38"/>
        <v>2.3239999999999998</v>
      </c>
      <c r="AB196" s="63">
        <f t="shared" si="39"/>
        <v>0.95399999999999996</v>
      </c>
    </row>
    <row r="197" spans="2:28">
      <c r="B197" s="104">
        <f>'114+840'!B198</f>
        <v>45454</v>
      </c>
      <c r="C197" s="75">
        <f t="shared" si="31"/>
        <v>1</v>
      </c>
      <c r="D197" s="74">
        <f t="shared" si="32"/>
        <v>842</v>
      </c>
      <c r="E197" s="73">
        <f>VLOOKUP(B197,'114+840'!B198:AB255,3,FALSE)</f>
        <v>1543</v>
      </c>
      <c r="F197" s="70">
        <f t="shared" si="27"/>
        <v>2385</v>
      </c>
      <c r="G197" s="72">
        <f>VLOOKUP(B197,'114+840'!$B$15:$AB$516,20,FALSE)</f>
        <v>1719</v>
      </c>
      <c r="H197" s="72">
        <f>VLOOKUP(B197,'114+840'!$B$15:$AB$516,4,FALSE)</f>
        <v>-254</v>
      </c>
      <c r="I197" s="69">
        <f t="shared" si="28"/>
        <v>2639</v>
      </c>
      <c r="J197" s="69">
        <f>VLOOKUP(B197,'114+840'!$B$15:$AB$516,13,FALSE)</f>
        <v>-361</v>
      </c>
      <c r="K197" s="67">
        <f>'114+840'!Q198</f>
        <v>0</v>
      </c>
      <c r="L197" s="66">
        <f t="shared" si="33"/>
        <v>281</v>
      </c>
      <c r="M197" s="71">
        <f>VLOOKUP(B197,'114+840'!$B$14:$AB$516,21,FALSE)</f>
        <v>1527</v>
      </c>
      <c r="N197" s="70">
        <f>VLOOKUP(B197,'114+840'!$B$15:$AB$516,5,FALSE)</f>
        <v>-242</v>
      </c>
      <c r="O197" s="69">
        <f t="shared" si="29"/>
        <v>2627</v>
      </c>
      <c r="P197" s="69">
        <f>VLOOKUP(B197,'114+840'!$B$15:$AB$516,14,FALSE)</f>
        <v>-373</v>
      </c>
      <c r="Q197" s="67">
        <f>'114+840'!R198</f>
        <v>0</v>
      </c>
      <c r="R197" s="66">
        <f t="shared" si="34"/>
        <v>473</v>
      </c>
      <c r="S197" s="71">
        <f>VLOOKUP(B197,'114+840'!$B$14:$AB$516,22,FALSE)</f>
        <v>1742</v>
      </c>
      <c r="T197" s="70">
        <f>VLOOKUP(B197,'114+840'!$B$15:$AB$516,6,FALSE)</f>
        <v>33</v>
      </c>
      <c r="U197" s="69">
        <f t="shared" si="30"/>
        <v>2352</v>
      </c>
      <c r="V197" s="68">
        <f>VLOOKUP(B197,'114+840'!$B$15:$AB$516,15,FALSE)</f>
        <v>-648</v>
      </c>
      <c r="W197" s="67">
        <f>'114+840'!S198</f>
        <v>0</v>
      </c>
      <c r="X197" s="66">
        <f t="shared" si="35"/>
        <v>258</v>
      </c>
      <c r="Y197" s="65">
        <f t="shared" si="36"/>
        <v>0</v>
      </c>
      <c r="Z197" s="64">
        <f t="shared" si="37"/>
        <v>0</v>
      </c>
      <c r="AA197" s="63">
        <f t="shared" si="38"/>
        <v>2.3239999999999998</v>
      </c>
      <c r="AB197" s="63">
        <f t="shared" si="39"/>
        <v>0.95399999999999996</v>
      </c>
    </row>
    <row r="198" spans="2:28">
      <c r="B198" s="104">
        <f>'114+840'!B199</f>
        <v>45455</v>
      </c>
      <c r="C198" s="75">
        <f t="shared" si="31"/>
        <v>1</v>
      </c>
      <c r="D198" s="74">
        <f t="shared" si="32"/>
        <v>842</v>
      </c>
      <c r="E198" s="73">
        <f>VLOOKUP(B198,'114+840'!B199:AB255,3,FALSE)</f>
        <v>1545</v>
      </c>
      <c r="F198" s="70">
        <f t="shared" si="27"/>
        <v>2387</v>
      </c>
      <c r="G198" s="72">
        <f>VLOOKUP(B198,'114+840'!$B$15:$AB$516,20,FALSE)</f>
        <v>1719</v>
      </c>
      <c r="H198" s="72">
        <f>VLOOKUP(B198,'114+840'!$B$15:$AB$516,4,FALSE)</f>
        <v>-252</v>
      </c>
      <c r="I198" s="69">
        <f t="shared" si="28"/>
        <v>2639</v>
      </c>
      <c r="J198" s="69">
        <f>VLOOKUP(B198,'114+840'!$B$15:$AB$516,13,FALSE)</f>
        <v>-361</v>
      </c>
      <c r="K198" s="67">
        <f>'114+840'!Q199</f>
        <v>0</v>
      </c>
      <c r="L198" s="66">
        <f t="shared" si="33"/>
        <v>281</v>
      </c>
      <c r="M198" s="71">
        <f>VLOOKUP(B198,'114+840'!$B$14:$AB$516,21,FALSE)</f>
        <v>1527</v>
      </c>
      <c r="N198" s="70">
        <f>VLOOKUP(B198,'114+840'!$B$15:$AB$516,5,FALSE)</f>
        <v>-240</v>
      </c>
      <c r="O198" s="69">
        <f t="shared" si="29"/>
        <v>2627</v>
      </c>
      <c r="P198" s="69">
        <f>VLOOKUP(B198,'114+840'!$B$15:$AB$516,14,FALSE)</f>
        <v>-373</v>
      </c>
      <c r="Q198" s="67">
        <f>'114+840'!R199</f>
        <v>0</v>
      </c>
      <c r="R198" s="66">
        <f t="shared" si="34"/>
        <v>473</v>
      </c>
      <c r="S198" s="71">
        <f>VLOOKUP(B198,'114+840'!$B$14:$AB$516,22,FALSE)</f>
        <v>1742</v>
      </c>
      <c r="T198" s="70">
        <f>VLOOKUP(B198,'114+840'!$B$15:$AB$516,6,FALSE)</f>
        <v>35</v>
      </c>
      <c r="U198" s="69">
        <f t="shared" si="30"/>
        <v>2352</v>
      </c>
      <c r="V198" s="68">
        <f>VLOOKUP(B198,'114+840'!$B$15:$AB$516,15,FALSE)</f>
        <v>-648</v>
      </c>
      <c r="W198" s="67">
        <f>'114+840'!S199</f>
        <v>0</v>
      </c>
      <c r="X198" s="66">
        <f t="shared" si="35"/>
        <v>258</v>
      </c>
      <c r="Y198" s="65">
        <f t="shared" si="36"/>
        <v>0</v>
      </c>
      <c r="Z198" s="64">
        <f t="shared" si="37"/>
        <v>0</v>
      </c>
      <c r="AA198" s="63">
        <f t="shared" si="38"/>
        <v>2.3239999999999998</v>
      </c>
      <c r="AB198" s="63">
        <f t="shared" si="39"/>
        <v>0.95399999999999996</v>
      </c>
    </row>
    <row r="199" spans="2:28">
      <c r="B199" s="104">
        <f>'114+840'!B200</f>
        <v>45456</v>
      </c>
      <c r="C199" s="75">
        <f t="shared" si="31"/>
        <v>1</v>
      </c>
      <c r="D199" s="74">
        <f t="shared" si="32"/>
        <v>842</v>
      </c>
      <c r="E199" s="73">
        <f>VLOOKUP(B199,'114+840'!B200:AB255,3,FALSE)</f>
        <v>1547</v>
      </c>
      <c r="F199" s="70">
        <f t="shared" si="27"/>
        <v>2389</v>
      </c>
      <c r="G199" s="72">
        <f>VLOOKUP(B199,'114+840'!$B$15:$AB$516,20,FALSE)</f>
        <v>1719</v>
      </c>
      <c r="H199" s="72">
        <f>VLOOKUP(B199,'114+840'!$B$15:$AB$516,4,FALSE)</f>
        <v>-250</v>
      </c>
      <c r="I199" s="69">
        <f t="shared" si="28"/>
        <v>2639</v>
      </c>
      <c r="J199" s="69">
        <f>VLOOKUP(B199,'114+840'!$B$15:$AB$516,13,FALSE)</f>
        <v>-361</v>
      </c>
      <c r="K199" s="67">
        <f>'114+840'!Q200</f>
        <v>0</v>
      </c>
      <c r="L199" s="66">
        <f t="shared" si="33"/>
        <v>281</v>
      </c>
      <c r="M199" s="71">
        <f>VLOOKUP(B199,'114+840'!$B$14:$AB$516,21,FALSE)</f>
        <v>1527</v>
      </c>
      <c r="N199" s="70">
        <f>VLOOKUP(B199,'114+840'!$B$15:$AB$516,5,FALSE)</f>
        <v>-238</v>
      </c>
      <c r="O199" s="69">
        <f t="shared" si="29"/>
        <v>2627</v>
      </c>
      <c r="P199" s="69">
        <f>VLOOKUP(B199,'114+840'!$B$15:$AB$516,14,FALSE)</f>
        <v>-373</v>
      </c>
      <c r="Q199" s="67">
        <f>'114+840'!R200</f>
        <v>0</v>
      </c>
      <c r="R199" s="66">
        <f t="shared" si="34"/>
        <v>473</v>
      </c>
      <c r="S199" s="71">
        <f>VLOOKUP(B199,'114+840'!$B$14:$AB$516,22,FALSE)</f>
        <v>1742</v>
      </c>
      <c r="T199" s="70">
        <f>VLOOKUP(B199,'114+840'!$B$15:$AB$516,6,FALSE)</f>
        <v>37</v>
      </c>
      <c r="U199" s="69">
        <f t="shared" si="30"/>
        <v>2352</v>
      </c>
      <c r="V199" s="68">
        <f>VLOOKUP(B199,'114+840'!$B$15:$AB$516,15,FALSE)</f>
        <v>-648</v>
      </c>
      <c r="W199" s="67">
        <f>'114+840'!S200</f>
        <v>0</v>
      </c>
      <c r="X199" s="66">
        <f t="shared" si="35"/>
        <v>258</v>
      </c>
      <c r="Y199" s="65">
        <f t="shared" si="36"/>
        <v>0</v>
      </c>
      <c r="Z199" s="64">
        <f t="shared" si="37"/>
        <v>0</v>
      </c>
      <c r="AA199" s="63">
        <f t="shared" si="38"/>
        <v>2.3239999999999998</v>
      </c>
      <c r="AB199" s="63">
        <f t="shared" si="39"/>
        <v>0.95399999999999996</v>
      </c>
    </row>
    <row r="200" spans="2:28">
      <c r="B200" s="104">
        <f>'114+840'!B201</f>
        <v>45457</v>
      </c>
      <c r="C200" s="75">
        <f t="shared" si="31"/>
        <v>1</v>
      </c>
      <c r="D200" s="74">
        <f t="shared" si="32"/>
        <v>842</v>
      </c>
      <c r="E200" s="73">
        <f>VLOOKUP(B200,'114+840'!B201:AB255,3,FALSE)</f>
        <v>1549</v>
      </c>
      <c r="F200" s="70">
        <f t="shared" si="27"/>
        <v>2391</v>
      </c>
      <c r="G200" s="72">
        <f>VLOOKUP(B200,'114+840'!$B$15:$AB$516,20,FALSE)</f>
        <v>1719</v>
      </c>
      <c r="H200" s="72">
        <f>VLOOKUP(B200,'114+840'!$B$15:$AB$516,4,FALSE)</f>
        <v>-248</v>
      </c>
      <c r="I200" s="69">
        <f t="shared" si="28"/>
        <v>2639</v>
      </c>
      <c r="J200" s="69">
        <f>VLOOKUP(B200,'114+840'!$B$15:$AB$516,13,FALSE)</f>
        <v>-361</v>
      </c>
      <c r="K200" s="67">
        <f>'114+840'!Q201</f>
        <v>0</v>
      </c>
      <c r="L200" s="66">
        <f t="shared" si="33"/>
        <v>281</v>
      </c>
      <c r="M200" s="71">
        <f>VLOOKUP(B200,'114+840'!$B$14:$AB$516,21,FALSE)</f>
        <v>1527</v>
      </c>
      <c r="N200" s="70">
        <f>VLOOKUP(B200,'114+840'!$B$15:$AB$516,5,FALSE)</f>
        <v>-236</v>
      </c>
      <c r="O200" s="69">
        <f t="shared" si="29"/>
        <v>2627</v>
      </c>
      <c r="P200" s="69">
        <f>VLOOKUP(B200,'114+840'!$B$15:$AB$516,14,FALSE)</f>
        <v>-373</v>
      </c>
      <c r="Q200" s="67">
        <f>'114+840'!R201</f>
        <v>0</v>
      </c>
      <c r="R200" s="66">
        <f t="shared" si="34"/>
        <v>473</v>
      </c>
      <c r="S200" s="71">
        <f>VLOOKUP(B200,'114+840'!$B$14:$AB$516,22,FALSE)</f>
        <v>1742</v>
      </c>
      <c r="T200" s="70">
        <f>VLOOKUP(B200,'114+840'!$B$15:$AB$516,6,FALSE)</f>
        <v>39</v>
      </c>
      <c r="U200" s="69">
        <f t="shared" si="30"/>
        <v>2352</v>
      </c>
      <c r="V200" s="68">
        <f>VLOOKUP(B200,'114+840'!$B$15:$AB$516,15,FALSE)</f>
        <v>-648</v>
      </c>
      <c r="W200" s="67">
        <f>'114+840'!S201</f>
        <v>0</v>
      </c>
      <c r="X200" s="66">
        <f t="shared" si="35"/>
        <v>258</v>
      </c>
      <c r="Y200" s="65">
        <f t="shared" si="36"/>
        <v>0</v>
      </c>
      <c r="Z200" s="64">
        <f t="shared" si="37"/>
        <v>0</v>
      </c>
      <c r="AA200" s="63">
        <f t="shared" si="38"/>
        <v>2.3239999999999998</v>
      </c>
      <c r="AB200" s="63">
        <f t="shared" si="39"/>
        <v>0.95399999999999996</v>
      </c>
    </row>
    <row r="201" spans="2:28">
      <c r="B201" s="104">
        <f>'114+840'!B202</f>
        <v>45458</v>
      </c>
      <c r="C201" s="75">
        <f t="shared" si="31"/>
        <v>1</v>
      </c>
      <c r="D201" s="74">
        <f t="shared" si="32"/>
        <v>842</v>
      </c>
      <c r="E201" s="73">
        <f>VLOOKUP(B201,'114+840'!B202:AB255,3,FALSE)</f>
        <v>1551</v>
      </c>
      <c r="F201" s="70">
        <f t="shared" si="27"/>
        <v>2393</v>
      </c>
      <c r="G201" s="72">
        <f>VLOOKUP(B201,'114+840'!$B$15:$AB$516,20,FALSE)</f>
        <v>1719</v>
      </c>
      <c r="H201" s="72">
        <f>VLOOKUP(B201,'114+840'!$B$15:$AB$516,4,FALSE)</f>
        <v>-246</v>
      </c>
      <c r="I201" s="69">
        <f t="shared" si="28"/>
        <v>2639</v>
      </c>
      <c r="J201" s="69">
        <f>VLOOKUP(B201,'114+840'!$B$15:$AB$516,13,FALSE)</f>
        <v>-361</v>
      </c>
      <c r="K201" s="67">
        <f>'114+840'!Q202</f>
        <v>0</v>
      </c>
      <c r="L201" s="66">
        <f t="shared" si="33"/>
        <v>281</v>
      </c>
      <c r="M201" s="71">
        <f>VLOOKUP(B201,'114+840'!$B$14:$AB$516,21,FALSE)</f>
        <v>1527</v>
      </c>
      <c r="N201" s="70">
        <f>VLOOKUP(B201,'114+840'!$B$15:$AB$516,5,FALSE)</f>
        <v>-234</v>
      </c>
      <c r="O201" s="69">
        <f t="shared" si="29"/>
        <v>2627</v>
      </c>
      <c r="P201" s="69">
        <f>VLOOKUP(B201,'114+840'!$B$15:$AB$516,14,FALSE)</f>
        <v>-373</v>
      </c>
      <c r="Q201" s="67">
        <f>'114+840'!R202</f>
        <v>0</v>
      </c>
      <c r="R201" s="66">
        <f t="shared" si="34"/>
        <v>473</v>
      </c>
      <c r="S201" s="71">
        <f>VLOOKUP(B201,'114+840'!$B$14:$AB$516,22,FALSE)</f>
        <v>1742</v>
      </c>
      <c r="T201" s="70">
        <f>VLOOKUP(B201,'114+840'!$B$15:$AB$516,6,FALSE)</f>
        <v>41</v>
      </c>
      <c r="U201" s="69">
        <f t="shared" si="30"/>
        <v>2352</v>
      </c>
      <c r="V201" s="68">
        <f>VLOOKUP(B201,'114+840'!$B$15:$AB$516,15,FALSE)</f>
        <v>-648</v>
      </c>
      <c r="W201" s="67">
        <f>'114+840'!S202</f>
        <v>0</v>
      </c>
      <c r="X201" s="66">
        <f t="shared" si="35"/>
        <v>258</v>
      </c>
      <c r="Y201" s="65">
        <f t="shared" si="36"/>
        <v>0</v>
      </c>
      <c r="Z201" s="64">
        <f t="shared" si="37"/>
        <v>0</v>
      </c>
      <c r="AA201" s="63">
        <f t="shared" si="38"/>
        <v>2.3239999999999998</v>
      </c>
      <c r="AB201" s="63">
        <f t="shared" si="39"/>
        <v>0.95399999999999996</v>
      </c>
    </row>
    <row r="202" spans="2:28">
      <c r="B202" s="104">
        <f>'114+840'!B203</f>
        <v>45459</v>
      </c>
      <c r="C202" s="75">
        <f t="shared" si="31"/>
        <v>1</v>
      </c>
      <c r="D202" s="74">
        <f t="shared" si="32"/>
        <v>842</v>
      </c>
      <c r="E202" s="73">
        <f>VLOOKUP(B202,'114+840'!B203:AB255,3,FALSE)</f>
        <v>1553</v>
      </c>
      <c r="F202" s="70">
        <f t="shared" si="27"/>
        <v>2395</v>
      </c>
      <c r="G202" s="72">
        <f>VLOOKUP(B202,'114+840'!$B$15:$AB$516,20,FALSE)</f>
        <v>1719</v>
      </c>
      <c r="H202" s="72">
        <f>VLOOKUP(B202,'114+840'!$B$15:$AB$516,4,FALSE)</f>
        <v>-244</v>
      </c>
      <c r="I202" s="69">
        <f t="shared" si="28"/>
        <v>2639</v>
      </c>
      <c r="J202" s="69">
        <f>VLOOKUP(B202,'114+840'!$B$15:$AB$516,13,FALSE)</f>
        <v>-361</v>
      </c>
      <c r="K202" s="67">
        <f>'114+840'!Q203</f>
        <v>0</v>
      </c>
      <c r="L202" s="66">
        <f t="shared" si="33"/>
        <v>281</v>
      </c>
      <c r="M202" s="71">
        <f>VLOOKUP(B202,'114+840'!$B$14:$AB$516,21,FALSE)</f>
        <v>1527</v>
      </c>
      <c r="N202" s="70">
        <f>VLOOKUP(B202,'114+840'!$B$15:$AB$516,5,FALSE)</f>
        <v>-232</v>
      </c>
      <c r="O202" s="69">
        <f t="shared" si="29"/>
        <v>2627</v>
      </c>
      <c r="P202" s="69">
        <f>VLOOKUP(B202,'114+840'!$B$15:$AB$516,14,FALSE)</f>
        <v>-373</v>
      </c>
      <c r="Q202" s="67">
        <f>'114+840'!R203</f>
        <v>0</v>
      </c>
      <c r="R202" s="66">
        <f t="shared" si="34"/>
        <v>473</v>
      </c>
      <c r="S202" s="71">
        <f>VLOOKUP(B202,'114+840'!$B$14:$AB$516,22,FALSE)</f>
        <v>1742</v>
      </c>
      <c r="T202" s="70">
        <f>VLOOKUP(B202,'114+840'!$B$15:$AB$516,6,FALSE)</f>
        <v>43</v>
      </c>
      <c r="U202" s="69">
        <f t="shared" si="30"/>
        <v>2352</v>
      </c>
      <c r="V202" s="68">
        <f>VLOOKUP(B202,'114+840'!$B$15:$AB$516,15,FALSE)</f>
        <v>-648</v>
      </c>
      <c r="W202" s="67">
        <f>'114+840'!S203</f>
        <v>0</v>
      </c>
      <c r="X202" s="66">
        <f t="shared" si="35"/>
        <v>258</v>
      </c>
      <c r="Y202" s="65">
        <f t="shared" si="36"/>
        <v>0</v>
      </c>
      <c r="Z202" s="64">
        <f t="shared" si="37"/>
        <v>0</v>
      </c>
      <c r="AA202" s="63">
        <f t="shared" si="38"/>
        <v>2.3239999999999998</v>
      </c>
      <c r="AB202" s="63">
        <f t="shared" si="39"/>
        <v>0.95399999999999996</v>
      </c>
    </row>
    <row r="203" spans="2:28">
      <c r="B203" s="104">
        <f>'114+840'!B204</f>
        <v>45460</v>
      </c>
      <c r="C203" s="75">
        <f t="shared" si="31"/>
        <v>1</v>
      </c>
      <c r="D203" s="74">
        <f t="shared" si="32"/>
        <v>842</v>
      </c>
      <c r="E203" s="73">
        <f>VLOOKUP(B203,'114+840'!B204:AB255,3,FALSE)</f>
        <v>1555</v>
      </c>
      <c r="F203" s="70">
        <f t="shared" si="27"/>
        <v>2397</v>
      </c>
      <c r="G203" s="72">
        <f>VLOOKUP(B203,'114+840'!$B$15:$AB$516,20,FALSE)</f>
        <v>1719</v>
      </c>
      <c r="H203" s="72">
        <f>VLOOKUP(B203,'114+840'!$B$15:$AB$516,4,FALSE)</f>
        <v>-242</v>
      </c>
      <c r="I203" s="69">
        <f t="shared" si="28"/>
        <v>2639</v>
      </c>
      <c r="J203" s="69">
        <f>VLOOKUP(B203,'114+840'!$B$15:$AB$516,13,FALSE)</f>
        <v>-361</v>
      </c>
      <c r="K203" s="67">
        <f>'114+840'!Q204</f>
        <v>0</v>
      </c>
      <c r="L203" s="66">
        <f t="shared" si="33"/>
        <v>281</v>
      </c>
      <c r="M203" s="71">
        <f>VLOOKUP(B203,'114+840'!$B$14:$AB$516,21,FALSE)</f>
        <v>1527</v>
      </c>
      <c r="N203" s="70">
        <f>VLOOKUP(B203,'114+840'!$B$15:$AB$516,5,FALSE)</f>
        <v>-230</v>
      </c>
      <c r="O203" s="69">
        <f t="shared" si="29"/>
        <v>2627</v>
      </c>
      <c r="P203" s="69">
        <f>VLOOKUP(B203,'114+840'!$B$15:$AB$516,14,FALSE)</f>
        <v>-373</v>
      </c>
      <c r="Q203" s="67">
        <f>'114+840'!R204</f>
        <v>0</v>
      </c>
      <c r="R203" s="66">
        <f t="shared" si="34"/>
        <v>473</v>
      </c>
      <c r="S203" s="71">
        <f>VLOOKUP(B203,'114+840'!$B$14:$AB$516,22,FALSE)</f>
        <v>1742</v>
      </c>
      <c r="T203" s="70">
        <f>VLOOKUP(B203,'114+840'!$B$15:$AB$516,6,FALSE)</f>
        <v>45</v>
      </c>
      <c r="U203" s="69">
        <f t="shared" si="30"/>
        <v>2352</v>
      </c>
      <c r="V203" s="68">
        <f>VLOOKUP(B203,'114+840'!$B$15:$AB$516,15,FALSE)</f>
        <v>-648</v>
      </c>
      <c r="W203" s="67">
        <f>'114+840'!S204</f>
        <v>0</v>
      </c>
      <c r="X203" s="66">
        <f t="shared" si="35"/>
        <v>258</v>
      </c>
      <c r="Y203" s="65">
        <f t="shared" si="36"/>
        <v>0</v>
      </c>
      <c r="Z203" s="64">
        <f t="shared" si="37"/>
        <v>0</v>
      </c>
      <c r="AA203" s="63">
        <f t="shared" si="38"/>
        <v>2.3239999999999998</v>
      </c>
      <c r="AB203" s="63">
        <f t="shared" si="39"/>
        <v>0.95399999999999996</v>
      </c>
    </row>
    <row r="204" spans="2:28">
      <c r="B204" s="104">
        <f>'114+840'!B205</f>
        <v>45461</v>
      </c>
      <c r="C204" s="75">
        <f t="shared" si="31"/>
        <v>1</v>
      </c>
      <c r="D204" s="74">
        <f t="shared" si="32"/>
        <v>842</v>
      </c>
      <c r="E204" s="73">
        <f>VLOOKUP(B204,'114+840'!B205:AB255,3,FALSE)</f>
        <v>1557</v>
      </c>
      <c r="F204" s="70">
        <f t="shared" si="27"/>
        <v>2399</v>
      </c>
      <c r="G204" s="72">
        <f>VLOOKUP(B204,'114+840'!$B$15:$AB$516,20,FALSE)</f>
        <v>1719</v>
      </c>
      <c r="H204" s="72">
        <f>VLOOKUP(B204,'114+840'!$B$15:$AB$516,4,FALSE)</f>
        <v>-240</v>
      </c>
      <c r="I204" s="69">
        <f t="shared" si="28"/>
        <v>2639</v>
      </c>
      <c r="J204" s="69">
        <f>VLOOKUP(B204,'114+840'!$B$15:$AB$516,13,FALSE)</f>
        <v>-361</v>
      </c>
      <c r="K204" s="67">
        <f>'114+840'!Q205</f>
        <v>0</v>
      </c>
      <c r="L204" s="66">
        <f t="shared" si="33"/>
        <v>281</v>
      </c>
      <c r="M204" s="71">
        <f>VLOOKUP(B204,'114+840'!$B$14:$AB$516,21,FALSE)</f>
        <v>1527</v>
      </c>
      <c r="N204" s="70">
        <f>VLOOKUP(B204,'114+840'!$B$15:$AB$516,5,FALSE)</f>
        <v>-228</v>
      </c>
      <c r="O204" s="69">
        <f t="shared" si="29"/>
        <v>2627</v>
      </c>
      <c r="P204" s="69">
        <f>VLOOKUP(B204,'114+840'!$B$15:$AB$516,14,FALSE)</f>
        <v>-373</v>
      </c>
      <c r="Q204" s="67">
        <f>'114+840'!R205</f>
        <v>0</v>
      </c>
      <c r="R204" s="66">
        <f t="shared" si="34"/>
        <v>473</v>
      </c>
      <c r="S204" s="71">
        <f>VLOOKUP(B204,'114+840'!$B$14:$AB$516,22,FALSE)</f>
        <v>1742</v>
      </c>
      <c r="T204" s="70">
        <f>VLOOKUP(B204,'114+840'!$B$15:$AB$516,6,FALSE)</f>
        <v>47</v>
      </c>
      <c r="U204" s="69">
        <f t="shared" si="30"/>
        <v>2352</v>
      </c>
      <c r="V204" s="68">
        <f>VLOOKUP(B204,'114+840'!$B$15:$AB$516,15,FALSE)</f>
        <v>-648</v>
      </c>
      <c r="W204" s="67">
        <f>'114+840'!S205</f>
        <v>0</v>
      </c>
      <c r="X204" s="66">
        <f t="shared" si="35"/>
        <v>258</v>
      </c>
      <c r="Y204" s="65">
        <f t="shared" si="36"/>
        <v>0</v>
      </c>
      <c r="Z204" s="64">
        <f t="shared" si="37"/>
        <v>0</v>
      </c>
      <c r="AA204" s="63">
        <f t="shared" si="38"/>
        <v>2.3239999999999998</v>
      </c>
      <c r="AB204" s="63">
        <f t="shared" si="39"/>
        <v>0.95399999999999996</v>
      </c>
    </row>
    <row r="205" spans="2:28">
      <c r="B205" s="104">
        <f>'114+840'!B206</f>
        <v>45462</v>
      </c>
      <c r="C205" s="75">
        <f t="shared" si="31"/>
        <v>1</v>
      </c>
      <c r="D205" s="74">
        <f t="shared" si="32"/>
        <v>842</v>
      </c>
      <c r="E205" s="73">
        <f>VLOOKUP(B205,'114+840'!B206:AB255,3,FALSE)</f>
        <v>1559</v>
      </c>
      <c r="F205" s="70">
        <f t="shared" ref="F205:F268" si="40">D205+E205</f>
        <v>2401</v>
      </c>
      <c r="G205" s="72">
        <f>VLOOKUP(B205,'114+840'!$B$15:$AB$516,20,FALSE)</f>
        <v>1719</v>
      </c>
      <c r="H205" s="72">
        <f>VLOOKUP(B205,'114+840'!$B$15:$AB$516,4,FALSE)</f>
        <v>-238</v>
      </c>
      <c r="I205" s="69">
        <f t="shared" ref="I205:I268" si="41">F205-H205</f>
        <v>2639</v>
      </c>
      <c r="J205" s="69">
        <f>VLOOKUP(B205,'114+840'!$B$15:$AB$516,13,FALSE)</f>
        <v>-361</v>
      </c>
      <c r="K205" s="67">
        <f>'114+840'!Q206</f>
        <v>0</v>
      </c>
      <c r="L205" s="66">
        <f t="shared" si="33"/>
        <v>281</v>
      </c>
      <c r="M205" s="71">
        <f>VLOOKUP(B205,'114+840'!$B$14:$AB$516,21,FALSE)</f>
        <v>1527</v>
      </c>
      <c r="N205" s="70">
        <f>VLOOKUP(B205,'114+840'!$B$15:$AB$516,5,FALSE)</f>
        <v>-226</v>
      </c>
      <c r="O205" s="69">
        <f t="shared" ref="O205:O268" si="42">F205-N205</f>
        <v>2627</v>
      </c>
      <c r="P205" s="69">
        <f>VLOOKUP(B205,'114+840'!$B$15:$AB$516,14,FALSE)</f>
        <v>-373</v>
      </c>
      <c r="Q205" s="67">
        <f>'114+840'!R206</f>
        <v>0</v>
      </c>
      <c r="R205" s="66">
        <f t="shared" si="34"/>
        <v>473</v>
      </c>
      <c r="S205" s="71">
        <f>VLOOKUP(B205,'114+840'!$B$14:$AB$516,22,FALSE)</f>
        <v>1742</v>
      </c>
      <c r="T205" s="70">
        <f>VLOOKUP(B205,'114+840'!$B$15:$AB$516,6,FALSE)</f>
        <v>49</v>
      </c>
      <c r="U205" s="69">
        <f t="shared" ref="U205:U268" si="43">F205-T205</f>
        <v>2352</v>
      </c>
      <c r="V205" s="68">
        <f>VLOOKUP(B205,'114+840'!$B$15:$AB$516,15,FALSE)</f>
        <v>-648</v>
      </c>
      <c r="W205" s="67">
        <f>'114+840'!S206</f>
        <v>0</v>
      </c>
      <c r="X205" s="66">
        <f t="shared" si="35"/>
        <v>258</v>
      </c>
      <c r="Y205" s="65">
        <f t="shared" si="36"/>
        <v>0</v>
      </c>
      <c r="Z205" s="64">
        <f t="shared" si="37"/>
        <v>0</v>
      </c>
      <c r="AA205" s="63">
        <f t="shared" si="38"/>
        <v>2.3239999999999998</v>
      </c>
      <c r="AB205" s="63">
        <f t="shared" si="39"/>
        <v>0.95399999999999996</v>
      </c>
    </row>
    <row r="206" spans="2:28">
      <c r="B206" s="104">
        <f>'114+840'!B207</f>
        <v>45463</v>
      </c>
      <c r="C206" s="75">
        <f t="shared" ref="C206:C269" si="44">B206-B205</f>
        <v>1</v>
      </c>
      <c r="D206" s="74">
        <f t="shared" ref="D206:D269" si="45">D205</f>
        <v>842</v>
      </c>
      <c r="E206" s="73">
        <f>VLOOKUP(B206,'114+840'!B207:AB255,3,FALSE)</f>
        <v>1561</v>
      </c>
      <c r="F206" s="70">
        <f t="shared" si="40"/>
        <v>2403</v>
      </c>
      <c r="G206" s="72">
        <f>VLOOKUP(B206,'114+840'!$B$15:$AB$516,20,FALSE)</f>
        <v>1719</v>
      </c>
      <c r="H206" s="72">
        <f>VLOOKUP(B206,'114+840'!$B$15:$AB$516,4,FALSE)</f>
        <v>-236</v>
      </c>
      <c r="I206" s="69">
        <f t="shared" si="41"/>
        <v>2639</v>
      </c>
      <c r="J206" s="69">
        <f>VLOOKUP(B206,'114+840'!$B$15:$AB$516,13,FALSE)</f>
        <v>-361</v>
      </c>
      <c r="K206" s="67">
        <f>'114+840'!Q207</f>
        <v>0</v>
      </c>
      <c r="L206" s="66">
        <f t="shared" ref="L206:L269" si="46">+K206+L205</f>
        <v>281</v>
      </c>
      <c r="M206" s="71">
        <f>VLOOKUP(B206,'114+840'!$B$14:$AB$516,21,FALSE)</f>
        <v>1527</v>
      </c>
      <c r="N206" s="70">
        <f>VLOOKUP(B206,'114+840'!$B$15:$AB$516,5,FALSE)</f>
        <v>-224</v>
      </c>
      <c r="O206" s="69">
        <f t="shared" si="42"/>
        <v>2627</v>
      </c>
      <c r="P206" s="69">
        <f>VLOOKUP(B206,'114+840'!$B$15:$AB$516,14,FALSE)</f>
        <v>-373</v>
      </c>
      <c r="Q206" s="67">
        <f>'114+840'!R207</f>
        <v>0</v>
      </c>
      <c r="R206" s="66">
        <f t="shared" ref="R206:R269" si="47">+Q206+R205</f>
        <v>473</v>
      </c>
      <c r="S206" s="71">
        <f>VLOOKUP(B206,'114+840'!$B$14:$AB$516,22,FALSE)</f>
        <v>1742</v>
      </c>
      <c r="T206" s="70">
        <f>VLOOKUP(B206,'114+840'!$B$15:$AB$516,6,FALSE)</f>
        <v>51</v>
      </c>
      <c r="U206" s="69">
        <f t="shared" si="43"/>
        <v>2352</v>
      </c>
      <c r="V206" s="68">
        <f>VLOOKUP(B206,'114+840'!$B$15:$AB$516,15,FALSE)</f>
        <v>-648</v>
      </c>
      <c r="W206" s="67">
        <f>'114+840'!S207</f>
        <v>0</v>
      </c>
      <c r="X206" s="66">
        <f t="shared" ref="X206:X269" si="48">+W206+X205</f>
        <v>258</v>
      </c>
      <c r="Y206" s="65">
        <f t="shared" ref="Y206:Y269" si="49">S206-S205</f>
        <v>0</v>
      </c>
      <c r="Z206" s="64">
        <f t="shared" ref="Z206:Z269" si="50">IF(Y206&gt;0,Y206,0)/1000</f>
        <v>0</v>
      </c>
      <c r="AA206" s="63">
        <f t="shared" ref="AA206:AA269" si="51">AA205+Z206</f>
        <v>2.3239999999999998</v>
      </c>
      <c r="AB206" s="63">
        <f t="shared" ref="AB206:AB269" si="52">(M206-$M$13-R206)/1000</f>
        <v>0.95399999999999996</v>
      </c>
    </row>
    <row r="207" spans="2:28">
      <c r="B207" s="104">
        <f>'114+840'!B208</f>
        <v>45464</v>
      </c>
      <c r="C207" s="75">
        <f t="shared" si="44"/>
        <v>1</v>
      </c>
      <c r="D207" s="74">
        <f t="shared" si="45"/>
        <v>842</v>
      </c>
      <c r="E207" s="73">
        <f>VLOOKUP(B207,'114+840'!B208:AB255,3,FALSE)</f>
        <v>1563</v>
      </c>
      <c r="F207" s="70">
        <f t="shared" si="40"/>
        <v>2405</v>
      </c>
      <c r="G207" s="72">
        <f>VLOOKUP(B207,'114+840'!$B$15:$AB$516,20,FALSE)</f>
        <v>1719</v>
      </c>
      <c r="H207" s="72">
        <f>VLOOKUP(B207,'114+840'!$B$15:$AB$516,4,FALSE)</f>
        <v>-234</v>
      </c>
      <c r="I207" s="69">
        <f t="shared" si="41"/>
        <v>2639</v>
      </c>
      <c r="J207" s="69">
        <f>VLOOKUP(B207,'114+840'!$B$15:$AB$516,13,FALSE)</f>
        <v>-361</v>
      </c>
      <c r="K207" s="67">
        <f>'114+840'!Q208</f>
        <v>0</v>
      </c>
      <c r="L207" s="66">
        <f t="shared" si="46"/>
        <v>281</v>
      </c>
      <c r="M207" s="71">
        <f>VLOOKUP(B207,'114+840'!$B$14:$AB$516,21,FALSE)</f>
        <v>1527</v>
      </c>
      <c r="N207" s="70">
        <f>VLOOKUP(B207,'114+840'!$B$15:$AB$516,5,FALSE)</f>
        <v>-222</v>
      </c>
      <c r="O207" s="69">
        <f t="shared" si="42"/>
        <v>2627</v>
      </c>
      <c r="P207" s="69">
        <f>VLOOKUP(B207,'114+840'!$B$15:$AB$516,14,FALSE)</f>
        <v>-373</v>
      </c>
      <c r="Q207" s="67">
        <f>'114+840'!R208</f>
        <v>0</v>
      </c>
      <c r="R207" s="66">
        <f t="shared" si="47"/>
        <v>473</v>
      </c>
      <c r="S207" s="71">
        <f>VLOOKUP(B207,'114+840'!$B$14:$AB$516,22,FALSE)</f>
        <v>1742</v>
      </c>
      <c r="T207" s="70">
        <f>VLOOKUP(B207,'114+840'!$B$15:$AB$516,6,FALSE)</f>
        <v>53</v>
      </c>
      <c r="U207" s="69">
        <f t="shared" si="43"/>
        <v>2352</v>
      </c>
      <c r="V207" s="68">
        <f>VLOOKUP(B207,'114+840'!$B$15:$AB$516,15,FALSE)</f>
        <v>-648</v>
      </c>
      <c r="W207" s="67">
        <f>'114+840'!S208</f>
        <v>0</v>
      </c>
      <c r="X207" s="66">
        <f t="shared" si="48"/>
        <v>258</v>
      </c>
      <c r="Y207" s="65">
        <f t="shared" si="49"/>
        <v>0</v>
      </c>
      <c r="Z207" s="64">
        <f t="shared" si="50"/>
        <v>0</v>
      </c>
      <c r="AA207" s="63">
        <f t="shared" si="51"/>
        <v>2.3239999999999998</v>
      </c>
      <c r="AB207" s="63">
        <f t="shared" si="52"/>
        <v>0.95399999999999996</v>
      </c>
    </row>
    <row r="208" spans="2:28">
      <c r="B208" s="104">
        <f>'114+840'!B209</f>
        <v>45465</v>
      </c>
      <c r="C208" s="75">
        <f t="shared" si="44"/>
        <v>1</v>
      </c>
      <c r="D208" s="74">
        <f t="shared" si="45"/>
        <v>842</v>
      </c>
      <c r="E208" s="73">
        <f>VLOOKUP(B208,'114+840'!B209:AB255,3,FALSE)</f>
        <v>1565</v>
      </c>
      <c r="F208" s="70">
        <f t="shared" si="40"/>
        <v>2407</v>
      </c>
      <c r="G208" s="72">
        <f>VLOOKUP(B208,'114+840'!$B$15:$AB$516,20,FALSE)</f>
        <v>1719</v>
      </c>
      <c r="H208" s="72">
        <f>VLOOKUP(B208,'114+840'!$B$15:$AB$516,4,FALSE)</f>
        <v>-232</v>
      </c>
      <c r="I208" s="69">
        <f t="shared" si="41"/>
        <v>2639</v>
      </c>
      <c r="J208" s="69">
        <f>VLOOKUP(B208,'114+840'!$B$15:$AB$516,13,FALSE)</f>
        <v>-361</v>
      </c>
      <c r="K208" s="67">
        <f>'114+840'!Q209</f>
        <v>0</v>
      </c>
      <c r="L208" s="66">
        <f t="shared" si="46"/>
        <v>281</v>
      </c>
      <c r="M208" s="71">
        <f>VLOOKUP(B208,'114+840'!$B$14:$AB$516,21,FALSE)</f>
        <v>1527</v>
      </c>
      <c r="N208" s="70">
        <f>VLOOKUP(B208,'114+840'!$B$15:$AB$516,5,FALSE)</f>
        <v>-220</v>
      </c>
      <c r="O208" s="69">
        <f t="shared" si="42"/>
        <v>2627</v>
      </c>
      <c r="P208" s="69">
        <f>VLOOKUP(B208,'114+840'!$B$15:$AB$516,14,FALSE)</f>
        <v>-373</v>
      </c>
      <c r="Q208" s="67">
        <f>'114+840'!R209</f>
        <v>0</v>
      </c>
      <c r="R208" s="66">
        <f t="shared" si="47"/>
        <v>473</v>
      </c>
      <c r="S208" s="71">
        <f>VLOOKUP(B208,'114+840'!$B$14:$AB$516,22,FALSE)</f>
        <v>1742</v>
      </c>
      <c r="T208" s="70">
        <f>VLOOKUP(B208,'114+840'!$B$15:$AB$516,6,FALSE)</f>
        <v>55</v>
      </c>
      <c r="U208" s="69">
        <f t="shared" si="43"/>
        <v>2352</v>
      </c>
      <c r="V208" s="68">
        <f>VLOOKUP(B208,'114+840'!$B$15:$AB$516,15,FALSE)</f>
        <v>-648</v>
      </c>
      <c r="W208" s="67">
        <f>'114+840'!S209</f>
        <v>0</v>
      </c>
      <c r="X208" s="66">
        <f t="shared" si="48"/>
        <v>258</v>
      </c>
      <c r="Y208" s="65">
        <f t="shared" si="49"/>
        <v>0</v>
      </c>
      <c r="Z208" s="64">
        <f t="shared" si="50"/>
        <v>0</v>
      </c>
      <c r="AA208" s="63">
        <f t="shared" si="51"/>
        <v>2.3239999999999998</v>
      </c>
      <c r="AB208" s="63">
        <f t="shared" si="52"/>
        <v>0.95399999999999996</v>
      </c>
    </row>
    <row r="209" spans="2:28">
      <c r="B209" s="104">
        <f>'114+840'!B210</f>
        <v>45466</v>
      </c>
      <c r="C209" s="75">
        <f t="shared" si="44"/>
        <v>1</v>
      </c>
      <c r="D209" s="74">
        <f t="shared" si="45"/>
        <v>842</v>
      </c>
      <c r="E209" s="73">
        <f>VLOOKUP(B209,'114+840'!B210:AB255,3,FALSE)</f>
        <v>1567</v>
      </c>
      <c r="F209" s="70">
        <f t="shared" si="40"/>
        <v>2409</v>
      </c>
      <c r="G209" s="72">
        <f>VLOOKUP(B209,'114+840'!$B$15:$AB$516,20,FALSE)</f>
        <v>1719</v>
      </c>
      <c r="H209" s="72">
        <f>VLOOKUP(B209,'114+840'!$B$15:$AB$516,4,FALSE)</f>
        <v>-230</v>
      </c>
      <c r="I209" s="69">
        <f t="shared" si="41"/>
        <v>2639</v>
      </c>
      <c r="J209" s="69">
        <f>VLOOKUP(B209,'114+840'!$B$15:$AB$516,13,FALSE)</f>
        <v>-361</v>
      </c>
      <c r="K209" s="67">
        <f>'114+840'!Q210</f>
        <v>0</v>
      </c>
      <c r="L209" s="66">
        <f t="shared" si="46"/>
        <v>281</v>
      </c>
      <c r="M209" s="71">
        <f>VLOOKUP(B209,'114+840'!$B$14:$AB$516,21,FALSE)</f>
        <v>1527</v>
      </c>
      <c r="N209" s="70">
        <f>VLOOKUP(B209,'114+840'!$B$15:$AB$516,5,FALSE)</f>
        <v>-218</v>
      </c>
      <c r="O209" s="69">
        <f t="shared" si="42"/>
        <v>2627</v>
      </c>
      <c r="P209" s="69">
        <f>VLOOKUP(B209,'114+840'!$B$15:$AB$516,14,FALSE)</f>
        <v>-373</v>
      </c>
      <c r="Q209" s="67">
        <f>'114+840'!R210</f>
        <v>0</v>
      </c>
      <c r="R209" s="66">
        <f t="shared" si="47"/>
        <v>473</v>
      </c>
      <c r="S209" s="71">
        <f>VLOOKUP(B209,'114+840'!$B$14:$AB$516,22,FALSE)</f>
        <v>1742</v>
      </c>
      <c r="T209" s="70">
        <f>VLOOKUP(B209,'114+840'!$B$15:$AB$516,6,FALSE)</f>
        <v>57</v>
      </c>
      <c r="U209" s="69">
        <f t="shared" si="43"/>
        <v>2352</v>
      </c>
      <c r="V209" s="68">
        <f>VLOOKUP(B209,'114+840'!$B$15:$AB$516,15,FALSE)</f>
        <v>-648</v>
      </c>
      <c r="W209" s="67">
        <f>'114+840'!S210</f>
        <v>0</v>
      </c>
      <c r="X209" s="66">
        <f t="shared" si="48"/>
        <v>258</v>
      </c>
      <c r="Y209" s="65">
        <f t="shared" si="49"/>
        <v>0</v>
      </c>
      <c r="Z209" s="64">
        <f t="shared" si="50"/>
        <v>0</v>
      </c>
      <c r="AA209" s="63">
        <f t="shared" si="51"/>
        <v>2.3239999999999998</v>
      </c>
      <c r="AB209" s="63">
        <f t="shared" si="52"/>
        <v>0.95399999999999996</v>
      </c>
    </row>
    <row r="210" spans="2:28">
      <c r="B210" s="104">
        <f>'114+840'!B211</f>
        <v>45467</v>
      </c>
      <c r="C210" s="75">
        <f t="shared" si="44"/>
        <v>1</v>
      </c>
      <c r="D210" s="74">
        <f t="shared" si="45"/>
        <v>842</v>
      </c>
      <c r="E210" s="73">
        <f>VLOOKUP(B210,'114+840'!B211:AB255,3,FALSE)</f>
        <v>1569</v>
      </c>
      <c r="F210" s="70">
        <f t="shared" si="40"/>
        <v>2411</v>
      </c>
      <c r="G210" s="72">
        <f>VLOOKUP(B210,'114+840'!$B$15:$AB$516,20,FALSE)</f>
        <v>1719</v>
      </c>
      <c r="H210" s="72">
        <f>VLOOKUP(B210,'114+840'!$B$15:$AB$516,4,FALSE)</f>
        <v>-228</v>
      </c>
      <c r="I210" s="69">
        <f t="shared" si="41"/>
        <v>2639</v>
      </c>
      <c r="J210" s="69">
        <f>VLOOKUP(B210,'114+840'!$B$15:$AB$516,13,FALSE)</f>
        <v>-361</v>
      </c>
      <c r="K210" s="67">
        <f>'114+840'!Q211</f>
        <v>0</v>
      </c>
      <c r="L210" s="66">
        <f t="shared" si="46"/>
        <v>281</v>
      </c>
      <c r="M210" s="71">
        <f>VLOOKUP(B210,'114+840'!$B$14:$AB$516,21,FALSE)</f>
        <v>1527</v>
      </c>
      <c r="N210" s="70">
        <f>VLOOKUP(B210,'114+840'!$B$15:$AB$516,5,FALSE)</f>
        <v>-216</v>
      </c>
      <c r="O210" s="69">
        <f t="shared" si="42"/>
        <v>2627</v>
      </c>
      <c r="P210" s="69">
        <f>VLOOKUP(B210,'114+840'!$B$15:$AB$516,14,FALSE)</f>
        <v>-373</v>
      </c>
      <c r="Q210" s="67">
        <f>'114+840'!R211</f>
        <v>0</v>
      </c>
      <c r="R210" s="66">
        <f t="shared" si="47"/>
        <v>473</v>
      </c>
      <c r="S210" s="71">
        <f>VLOOKUP(B210,'114+840'!$B$14:$AB$516,22,FALSE)</f>
        <v>1742</v>
      </c>
      <c r="T210" s="70">
        <f>VLOOKUP(B210,'114+840'!$B$15:$AB$516,6,FALSE)</f>
        <v>59</v>
      </c>
      <c r="U210" s="69">
        <f t="shared" si="43"/>
        <v>2352</v>
      </c>
      <c r="V210" s="68">
        <f>VLOOKUP(B210,'114+840'!$B$15:$AB$516,15,FALSE)</f>
        <v>-648</v>
      </c>
      <c r="W210" s="67">
        <f>'114+840'!S211</f>
        <v>0</v>
      </c>
      <c r="X210" s="66">
        <f t="shared" si="48"/>
        <v>258</v>
      </c>
      <c r="Y210" s="65">
        <f t="shared" si="49"/>
        <v>0</v>
      </c>
      <c r="Z210" s="64">
        <f t="shared" si="50"/>
        <v>0</v>
      </c>
      <c r="AA210" s="63">
        <f t="shared" si="51"/>
        <v>2.3239999999999998</v>
      </c>
      <c r="AB210" s="63">
        <f t="shared" si="52"/>
        <v>0.95399999999999996</v>
      </c>
    </row>
    <row r="211" spans="2:28">
      <c r="B211" s="104">
        <f>'114+840'!B212</f>
        <v>45468</v>
      </c>
      <c r="C211" s="75">
        <f t="shared" si="44"/>
        <v>1</v>
      </c>
      <c r="D211" s="74">
        <f t="shared" si="45"/>
        <v>842</v>
      </c>
      <c r="E211" s="73">
        <f>VLOOKUP(B211,'114+840'!B212:AB255,3,FALSE)</f>
        <v>1571</v>
      </c>
      <c r="F211" s="70">
        <f t="shared" si="40"/>
        <v>2413</v>
      </c>
      <c r="G211" s="72">
        <f>VLOOKUP(B211,'114+840'!$B$15:$AB$516,20,FALSE)</f>
        <v>1719</v>
      </c>
      <c r="H211" s="72">
        <f>VLOOKUP(B211,'114+840'!$B$15:$AB$516,4,FALSE)</f>
        <v>-226</v>
      </c>
      <c r="I211" s="69">
        <f t="shared" si="41"/>
        <v>2639</v>
      </c>
      <c r="J211" s="69">
        <f>VLOOKUP(B211,'114+840'!$B$15:$AB$516,13,FALSE)</f>
        <v>-361</v>
      </c>
      <c r="K211" s="67">
        <f>'114+840'!Q212</f>
        <v>0</v>
      </c>
      <c r="L211" s="66">
        <f t="shared" si="46"/>
        <v>281</v>
      </c>
      <c r="M211" s="71">
        <f>VLOOKUP(B211,'114+840'!$B$14:$AB$516,21,FALSE)</f>
        <v>1527</v>
      </c>
      <c r="N211" s="70">
        <f>VLOOKUP(B211,'114+840'!$B$15:$AB$516,5,FALSE)</f>
        <v>-214</v>
      </c>
      <c r="O211" s="69">
        <f t="shared" si="42"/>
        <v>2627</v>
      </c>
      <c r="P211" s="69">
        <f>VLOOKUP(B211,'114+840'!$B$15:$AB$516,14,FALSE)</f>
        <v>-373</v>
      </c>
      <c r="Q211" s="67">
        <f>'114+840'!R212</f>
        <v>0</v>
      </c>
      <c r="R211" s="66">
        <f t="shared" si="47"/>
        <v>473</v>
      </c>
      <c r="S211" s="71">
        <f>VLOOKUP(B211,'114+840'!$B$14:$AB$516,22,FALSE)</f>
        <v>1742</v>
      </c>
      <c r="T211" s="70">
        <f>VLOOKUP(B211,'114+840'!$B$15:$AB$516,6,FALSE)</f>
        <v>61</v>
      </c>
      <c r="U211" s="69">
        <f t="shared" si="43"/>
        <v>2352</v>
      </c>
      <c r="V211" s="68">
        <f>VLOOKUP(B211,'114+840'!$B$15:$AB$516,15,FALSE)</f>
        <v>-648</v>
      </c>
      <c r="W211" s="67">
        <f>'114+840'!S212</f>
        <v>0</v>
      </c>
      <c r="X211" s="66">
        <f t="shared" si="48"/>
        <v>258</v>
      </c>
      <c r="Y211" s="65">
        <f t="shared" si="49"/>
        <v>0</v>
      </c>
      <c r="Z211" s="64">
        <f t="shared" si="50"/>
        <v>0</v>
      </c>
      <c r="AA211" s="63">
        <f t="shared" si="51"/>
        <v>2.3239999999999998</v>
      </c>
      <c r="AB211" s="63">
        <f t="shared" si="52"/>
        <v>0.95399999999999996</v>
      </c>
    </row>
    <row r="212" spans="2:28">
      <c r="B212" s="104">
        <f>'114+840'!B213</f>
        <v>45469</v>
      </c>
      <c r="C212" s="75">
        <f t="shared" si="44"/>
        <v>1</v>
      </c>
      <c r="D212" s="74">
        <f t="shared" si="45"/>
        <v>842</v>
      </c>
      <c r="E212" s="73">
        <f>VLOOKUP(B212,'114+840'!B213:AB255,3,FALSE)</f>
        <v>1573</v>
      </c>
      <c r="F212" s="70">
        <f t="shared" si="40"/>
        <v>2415</v>
      </c>
      <c r="G212" s="72">
        <f>VLOOKUP(B212,'114+840'!$B$15:$AB$516,20,FALSE)</f>
        <v>1719</v>
      </c>
      <c r="H212" s="72">
        <f>VLOOKUP(B212,'114+840'!$B$15:$AB$516,4,FALSE)</f>
        <v>-224</v>
      </c>
      <c r="I212" s="69">
        <f t="shared" si="41"/>
        <v>2639</v>
      </c>
      <c r="J212" s="69">
        <f>VLOOKUP(B212,'114+840'!$B$15:$AB$516,13,FALSE)</f>
        <v>-361</v>
      </c>
      <c r="K212" s="67">
        <f>'114+840'!Q213</f>
        <v>0</v>
      </c>
      <c r="L212" s="66">
        <f t="shared" si="46"/>
        <v>281</v>
      </c>
      <c r="M212" s="71">
        <f>VLOOKUP(B212,'114+840'!$B$14:$AB$516,21,FALSE)</f>
        <v>1527</v>
      </c>
      <c r="N212" s="70">
        <f>VLOOKUP(B212,'114+840'!$B$15:$AB$516,5,FALSE)</f>
        <v>-212</v>
      </c>
      <c r="O212" s="69">
        <f t="shared" si="42"/>
        <v>2627</v>
      </c>
      <c r="P212" s="69">
        <f>VLOOKUP(B212,'114+840'!$B$15:$AB$516,14,FALSE)</f>
        <v>-373</v>
      </c>
      <c r="Q212" s="67">
        <f>'114+840'!R213</f>
        <v>0</v>
      </c>
      <c r="R212" s="66">
        <f t="shared" si="47"/>
        <v>473</v>
      </c>
      <c r="S212" s="71">
        <f>VLOOKUP(B212,'114+840'!$B$14:$AB$516,22,FALSE)</f>
        <v>1742</v>
      </c>
      <c r="T212" s="70">
        <f>VLOOKUP(B212,'114+840'!$B$15:$AB$516,6,FALSE)</f>
        <v>63</v>
      </c>
      <c r="U212" s="69">
        <f t="shared" si="43"/>
        <v>2352</v>
      </c>
      <c r="V212" s="68">
        <f>VLOOKUP(B212,'114+840'!$B$15:$AB$516,15,FALSE)</f>
        <v>-648</v>
      </c>
      <c r="W212" s="67">
        <f>'114+840'!S213</f>
        <v>0</v>
      </c>
      <c r="X212" s="66">
        <f t="shared" si="48"/>
        <v>258</v>
      </c>
      <c r="Y212" s="65">
        <f t="shared" si="49"/>
        <v>0</v>
      </c>
      <c r="Z212" s="64">
        <f t="shared" si="50"/>
        <v>0</v>
      </c>
      <c r="AA212" s="63">
        <f t="shared" si="51"/>
        <v>2.3239999999999998</v>
      </c>
      <c r="AB212" s="63">
        <f t="shared" si="52"/>
        <v>0.95399999999999996</v>
      </c>
    </row>
    <row r="213" spans="2:28">
      <c r="B213" s="104">
        <f>'114+840'!B214</f>
        <v>45470</v>
      </c>
      <c r="C213" s="75">
        <f t="shared" si="44"/>
        <v>1</v>
      </c>
      <c r="D213" s="74">
        <f t="shared" si="45"/>
        <v>842</v>
      </c>
      <c r="E213" s="73">
        <f>VLOOKUP(B213,'114+840'!B214:AB255,3,FALSE)</f>
        <v>1575</v>
      </c>
      <c r="F213" s="70">
        <f t="shared" si="40"/>
        <v>2417</v>
      </c>
      <c r="G213" s="72">
        <f>VLOOKUP(B213,'114+840'!$B$15:$AB$516,20,FALSE)</f>
        <v>1719</v>
      </c>
      <c r="H213" s="72">
        <f>VLOOKUP(B213,'114+840'!$B$15:$AB$516,4,FALSE)</f>
        <v>-222</v>
      </c>
      <c r="I213" s="69">
        <f t="shared" si="41"/>
        <v>2639</v>
      </c>
      <c r="J213" s="69">
        <f>VLOOKUP(B213,'114+840'!$B$15:$AB$516,13,FALSE)</f>
        <v>-361</v>
      </c>
      <c r="K213" s="67">
        <f>'114+840'!Q214</f>
        <v>0</v>
      </c>
      <c r="L213" s="66">
        <f t="shared" si="46"/>
        <v>281</v>
      </c>
      <c r="M213" s="71">
        <f>VLOOKUP(B213,'114+840'!$B$14:$AB$516,21,FALSE)</f>
        <v>1527</v>
      </c>
      <c r="N213" s="70">
        <f>VLOOKUP(B213,'114+840'!$B$15:$AB$516,5,FALSE)</f>
        <v>-210</v>
      </c>
      <c r="O213" s="69">
        <f t="shared" si="42"/>
        <v>2627</v>
      </c>
      <c r="P213" s="69">
        <f>VLOOKUP(B213,'114+840'!$B$15:$AB$516,14,FALSE)</f>
        <v>-373</v>
      </c>
      <c r="Q213" s="67">
        <f>'114+840'!R214</f>
        <v>0</v>
      </c>
      <c r="R213" s="66">
        <f t="shared" si="47"/>
        <v>473</v>
      </c>
      <c r="S213" s="71">
        <f>VLOOKUP(B213,'114+840'!$B$14:$AB$516,22,FALSE)</f>
        <v>1742</v>
      </c>
      <c r="T213" s="70">
        <f>VLOOKUP(B213,'114+840'!$B$15:$AB$516,6,FALSE)</f>
        <v>65</v>
      </c>
      <c r="U213" s="69">
        <f t="shared" si="43"/>
        <v>2352</v>
      </c>
      <c r="V213" s="68">
        <f>VLOOKUP(B213,'114+840'!$B$15:$AB$516,15,FALSE)</f>
        <v>-648</v>
      </c>
      <c r="W213" s="67">
        <f>'114+840'!S214</f>
        <v>0</v>
      </c>
      <c r="X213" s="66">
        <f t="shared" si="48"/>
        <v>258</v>
      </c>
      <c r="Y213" s="65">
        <f t="shared" si="49"/>
        <v>0</v>
      </c>
      <c r="Z213" s="64">
        <f t="shared" si="50"/>
        <v>0</v>
      </c>
      <c r="AA213" s="63">
        <f t="shared" si="51"/>
        <v>2.3239999999999998</v>
      </c>
      <c r="AB213" s="63">
        <f t="shared" si="52"/>
        <v>0.95399999999999996</v>
      </c>
    </row>
    <row r="214" spans="2:28">
      <c r="B214" s="104">
        <f>'114+840'!B215</f>
        <v>45471</v>
      </c>
      <c r="C214" s="75">
        <f t="shared" si="44"/>
        <v>1</v>
      </c>
      <c r="D214" s="74">
        <f t="shared" si="45"/>
        <v>842</v>
      </c>
      <c r="E214" s="73">
        <f>VLOOKUP(B214,'114+840'!B215:AB255,3,FALSE)</f>
        <v>1577</v>
      </c>
      <c r="F214" s="70">
        <f t="shared" si="40"/>
        <v>2419</v>
      </c>
      <c r="G214" s="72">
        <f>VLOOKUP(B214,'114+840'!$B$15:$AB$516,20,FALSE)</f>
        <v>1719</v>
      </c>
      <c r="H214" s="72">
        <f>VLOOKUP(B214,'114+840'!$B$15:$AB$516,4,FALSE)</f>
        <v>-220</v>
      </c>
      <c r="I214" s="69">
        <f t="shared" si="41"/>
        <v>2639</v>
      </c>
      <c r="J214" s="69">
        <f>VLOOKUP(B214,'114+840'!$B$15:$AB$516,13,FALSE)</f>
        <v>-361</v>
      </c>
      <c r="K214" s="67">
        <f>'114+840'!Q215</f>
        <v>0</v>
      </c>
      <c r="L214" s="66">
        <f t="shared" si="46"/>
        <v>281</v>
      </c>
      <c r="M214" s="71">
        <f>VLOOKUP(B214,'114+840'!$B$14:$AB$516,21,FALSE)</f>
        <v>1527</v>
      </c>
      <c r="N214" s="70">
        <f>VLOOKUP(B214,'114+840'!$B$15:$AB$516,5,FALSE)</f>
        <v>-208</v>
      </c>
      <c r="O214" s="69">
        <f t="shared" si="42"/>
        <v>2627</v>
      </c>
      <c r="P214" s="69">
        <f>VLOOKUP(B214,'114+840'!$B$15:$AB$516,14,FALSE)</f>
        <v>-373</v>
      </c>
      <c r="Q214" s="67">
        <f>'114+840'!R215</f>
        <v>0</v>
      </c>
      <c r="R214" s="66">
        <f t="shared" si="47"/>
        <v>473</v>
      </c>
      <c r="S214" s="71">
        <f>VLOOKUP(B214,'114+840'!$B$14:$AB$516,22,FALSE)</f>
        <v>1742</v>
      </c>
      <c r="T214" s="70">
        <f>VLOOKUP(B214,'114+840'!$B$15:$AB$516,6,FALSE)</f>
        <v>67</v>
      </c>
      <c r="U214" s="69">
        <f t="shared" si="43"/>
        <v>2352</v>
      </c>
      <c r="V214" s="68">
        <f>VLOOKUP(B214,'114+840'!$B$15:$AB$516,15,FALSE)</f>
        <v>-648</v>
      </c>
      <c r="W214" s="67">
        <f>'114+840'!S215</f>
        <v>0</v>
      </c>
      <c r="X214" s="66">
        <f t="shared" si="48"/>
        <v>258</v>
      </c>
      <c r="Y214" s="65">
        <f t="shared" si="49"/>
        <v>0</v>
      </c>
      <c r="Z214" s="64">
        <f t="shared" si="50"/>
        <v>0</v>
      </c>
      <c r="AA214" s="63">
        <f t="shared" si="51"/>
        <v>2.3239999999999998</v>
      </c>
      <c r="AB214" s="63">
        <f t="shared" si="52"/>
        <v>0.95399999999999996</v>
      </c>
    </row>
    <row r="215" spans="2:28">
      <c r="B215" s="104">
        <f>'114+840'!B216</f>
        <v>45472</v>
      </c>
      <c r="C215" s="75">
        <f t="shared" si="44"/>
        <v>1</v>
      </c>
      <c r="D215" s="74">
        <f t="shared" si="45"/>
        <v>842</v>
      </c>
      <c r="E215" s="73">
        <f>VLOOKUP(B215,'114+840'!B216:AB255,3,FALSE)</f>
        <v>1579</v>
      </c>
      <c r="F215" s="70">
        <f t="shared" si="40"/>
        <v>2421</v>
      </c>
      <c r="G215" s="72">
        <f>VLOOKUP(B215,'114+840'!$B$15:$AB$516,20,FALSE)</f>
        <v>1719</v>
      </c>
      <c r="H215" s="72">
        <f>VLOOKUP(B215,'114+840'!$B$15:$AB$516,4,FALSE)</f>
        <v>-218</v>
      </c>
      <c r="I215" s="69">
        <f t="shared" si="41"/>
        <v>2639</v>
      </c>
      <c r="J215" s="69">
        <f>VLOOKUP(B215,'114+840'!$B$15:$AB$516,13,FALSE)</f>
        <v>-361</v>
      </c>
      <c r="K215" s="67">
        <f>'114+840'!Q216</f>
        <v>0</v>
      </c>
      <c r="L215" s="66">
        <f t="shared" si="46"/>
        <v>281</v>
      </c>
      <c r="M215" s="71">
        <f>VLOOKUP(B215,'114+840'!$B$14:$AB$516,21,FALSE)</f>
        <v>1527</v>
      </c>
      <c r="N215" s="70">
        <f>VLOOKUP(B215,'114+840'!$B$15:$AB$516,5,FALSE)</f>
        <v>-206</v>
      </c>
      <c r="O215" s="69">
        <f t="shared" si="42"/>
        <v>2627</v>
      </c>
      <c r="P215" s="69">
        <f>VLOOKUP(B215,'114+840'!$B$15:$AB$516,14,FALSE)</f>
        <v>-373</v>
      </c>
      <c r="Q215" s="67">
        <f>'114+840'!R216</f>
        <v>0</v>
      </c>
      <c r="R215" s="66">
        <f t="shared" si="47"/>
        <v>473</v>
      </c>
      <c r="S215" s="71">
        <f>VLOOKUP(B215,'114+840'!$B$14:$AB$516,22,FALSE)</f>
        <v>1742</v>
      </c>
      <c r="T215" s="70">
        <f>VLOOKUP(B215,'114+840'!$B$15:$AB$516,6,FALSE)</f>
        <v>69</v>
      </c>
      <c r="U215" s="69">
        <f t="shared" si="43"/>
        <v>2352</v>
      </c>
      <c r="V215" s="68">
        <f>VLOOKUP(B215,'114+840'!$B$15:$AB$516,15,FALSE)</f>
        <v>-648</v>
      </c>
      <c r="W215" s="67">
        <f>'114+840'!S216</f>
        <v>0</v>
      </c>
      <c r="X215" s="66">
        <f t="shared" si="48"/>
        <v>258</v>
      </c>
      <c r="Y215" s="65">
        <f t="shared" si="49"/>
        <v>0</v>
      </c>
      <c r="Z215" s="64">
        <f t="shared" si="50"/>
        <v>0</v>
      </c>
      <c r="AA215" s="63">
        <f t="shared" si="51"/>
        <v>2.3239999999999998</v>
      </c>
      <c r="AB215" s="63">
        <f t="shared" si="52"/>
        <v>0.95399999999999996</v>
      </c>
    </row>
    <row r="216" spans="2:28">
      <c r="B216" s="104">
        <f>'114+840'!B217</f>
        <v>45473</v>
      </c>
      <c r="C216" s="75">
        <f t="shared" si="44"/>
        <v>1</v>
      </c>
      <c r="D216" s="74">
        <f t="shared" si="45"/>
        <v>842</v>
      </c>
      <c r="E216" s="73">
        <f>VLOOKUP(B216,'114+840'!B217:AB255,3,FALSE)</f>
        <v>1581</v>
      </c>
      <c r="F216" s="70">
        <f t="shared" si="40"/>
        <v>2423</v>
      </c>
      <c r="G216" s="72">
        <f>VLOOKUP(B216,'114+840'!$B$15:$AB$516,20,FALSE)</f>
        <v>1719</v>
      </c>
      <c r="H216" s="72">
        <f>VLOOKUP(B216,'114+840'!$B$15:$AB$516,4,FALSE)</f>
        <v>-216</v>
      </c>
      <c r="I216" s="69">
        <f t="shared" si="41"/>
        <v>2639</v>
      </c>
      <c r="J216" s="69">
        <f>VLOOKUP(B216,'114+840'!$B$15:$AB$516,13,FALSE)</f>
        <v>-361</v>
      </c>
      <c r="K216" s="67">
        <f>'114+840'!Q217</f>
        <v>0</v>
      </c>
      <c r="L216" s="66">
        <f t="shared" si="46"/>
        <v>281</v>
      </c>
      <c r="M216" s="71">
        <f>VLOOKUP(B216,'114+840'!$B$14:$AB$516,21,FALSE)</f>
        <v>1527</v>
      </c>
      <c r="N216" s="70">
        <f>VLOOKUP(B216,'114+840'!$B$15:$AB$516,5,FALSE)</f>
        <v>-204</v>
      </c>
      <c r="O216" s="69">
        <f t="shared" si="42"/>
        <v>2627</v>
      </c>
      <c r="P216" s="69">
        <f>VLOOKUP(B216,'114+840'!$B$15:$AB$516,14,FALSE)</f>
        <v>-373</v>
      </c>
      <c r="Q216" s="67">
        <f>'114+840'!R217</f>
        <v>0</v>
      </c>
      <c r="R216" s="66">
        <f t="shared" si="47"/>
        <v>473</v>
      </c>
      <c r="S216" s="71">
        <f>VLOOKUP(B216,'114+840'!$B$14:$AB$516,22,FALSE)</f>
        <v>1742</v>
      </c>
      <c r="T216" s="70">
        <f>VLOOKUP(B216,'114+840'!$B$15:$AB$516,6,FALSE)</f>
        <v>71</v>
      </c>
      <c r="U216" s="69">
        <f t="shared" si="43"/>
        <v>2352</v>
      </c>
      <c r="V216" s="68">
        <f>VLOOKUP(B216,'114+840'!$B$15:$AB$516,15,FALSE)</f>
        <v>-648</v>
      </c>
      <c r="W216" s="67">
        <f>'114+840'!S217</f>
        <v>0</v>
      </c>
      <c r="X216" s="66">
        <f t="shared" si="48"/>
        <v>258</v>
      </c>
      <c r="Y216" s="65">
        <f t="shared" si="49"/>
        <v>0</v>
      </c>
      <c r="Z216" s="64">
        <f t="shared" si="50"/>
        <v>0</v>
      </c>
      <c r="AA216" s="63">
        <f t="shared" si="51"/>
        <v>2.3239999999999998</v>
      </c>
      <c r="AB216" s="63">
        <f t="shared" si="52"/>
        <v>0.95399999999999996</v>
      </c>
    </row>
    <row r="217" spans="2:28">
      <c r="B217" s="104">
        <f>'114+840'!B218</f>
        <v>45474</v>
      </c>
      <c r="C217" s="75">
        <f t="shared" si="44"/>
        <v>1</v>
      </c>
      <c r="D217" s="74">
        <f t="shared" si="45"/>
        <v>842</v>
      </c>
      <c r="E217" s="73">
        <f>VLOOKUP(B217,'114+840'!B218:AB255,3,FALSE)</f>
        <v>1583</v>
      </c>
      <c r="F217" s="70">
        <f t="shared" si="40"/>
        <v>2425</v>
      </c>
      <c r="G217" s="72">
        <f>VLOOKUP(B217,'114+840'!$B$15:$AB$516,20,FALSE)</f>
        <v>1719</v>
      </c>
      <c r="H217" s="72">
        <f>VLOOKUP(B217,'114+840'!$B$15:$AB$516,4,FALSE)</f>
        <v>-214</v>
      </c>
      <c r="I217" s="69">
        <f t="shared" si="41"/>
        <v>2639</v>
      </c>
      <c r="J217" s="69">
        <f>VLOOKUP(B217,'114+840'!$B$15:$AB$516,13,FALSE)</f>
        <v>-361</v>
      </c>
      <c r="K217" s="67">
        <f>'114+840'!Q218</f>
        <v>0</v>
      </c>
      <c r="L217" s="66">
        <f t="shared" si="46"/>
        <v>281</v>
      </c>
      <c r="M217" s="71">
        <f>VLOOKUP(B217,'114+840'!$B$14:$AB$516,21,FALSE)</f>
        <v>1527</v>
      </c>
      <c r="N217" s="70">
        <f>VLOOKUP(B217,'114+840'!$B$15:$AB$516,5,FALSE)</f>
        <v>-202</v>
      </c>
      <c r="O217" s="69">
        <f t="shared" si="42"/>
        <v>2627</v>
      </c>
      <c r="P217" s="69">
        <f>VLOOKUP(B217,'114+840'!$B$15:$AB$516,14,FALSE)</f>
        <v>-373</v>
      </c>
      <c r="Q217" s="67">
        <f>'114+840'!R218</f>
        <v>0</v>
      </c>
      <c r="R217" s="66">
        <f t="shared" si="47"/>
        <v>473</v>
      </c>
      <c r="S217" s="71">
        <f>VLOOKUP(B217,'114+840'!$B$14:$AB$516,22,FALSE)</f>
        <v>1742</v>
      </c>
      <c r="T217" s="70">
        <f>VLOOKUP(B217,'114+840'!$B$15:$AB$516,6,FALSE)</f>
        <v>73</v>
      </c>
      <c r="U217" s="69">
        <f t="shared" si="43"/>
        <v>2352</v>
      </c>
      <c r="V217" s="68">
        <f>VLOOKUP(B217,'114+840'!$B$15:$AB$516,15,FALSE)</f>
        <v>-648</v>
      </c>
      <c r="W217" s="67">
        <f>'114+840'!S218</f>
        <v>0</v>
      </c>
      <c r="X217" s="66">
        <f t="shared" si="48"/>
        <v>258</v>
      </c>
      <c r="Y217" s="65">
        <f t="shared" si="49"/>
        <v>0</v>
      </c>
      <c r="Z217" s="64">
        <f t="shared" si="50"/>
        <v>0</v>
      </c>
      <c r="AA217" s="63">
        <f t="shared" si="51"/>
        <v>2.3239999999999998</v>
      </c>
      <c r="AB217" s="63">
        <f t="shared" si="52"/>
        <v>0.95399999999999996</v>
      </c>
    </row>
    <row r="218" spans="2:28">
      <c r="B218" s="104">
        <f>'114+840'!B219</f>
        <v>45475</v>
      </c>
      <c r="C218" s="75">
        <f t="shared" si="44"/>
        <v>1</v>
      </c>
      <c r="D218" s="74">
        <f t="shared" si="45"/>
        <v>842</v>
      </c>
      <c r="E218" s="73">
        <f>VLOOKUP(B218,'114+840'!B219:AB255,3,FALSE)</f>
        <v>1585</v>
      </c>
      <c r="F218" s="70">
        <f t="shared" si="40"/>
        <v>2427</v>
      </c>
      <c r="G218" s="72">
        <f>VLOOKUP(B218,'114+840'!$B$15:$AB$516,20,FALSE)</f>
        <v>1719</v>
      </c>
      <c r="H218" s="72">
        <f>VLOOKUP(B218,'114+840'!$B$15:$AB$516,4,FALSE)</f>
        <v>-212</v>
      </c>
      <c r="I218" s="69">
        <f t="shared" si="41"/>
        <v>2639</v>
      </c>
      <c r="J218" s="69">
        <f>VLOOKUP(B218,'114+840'!$B$15:$AB$516,13,FALSE)</f>
        <v>-361</v>
      </c>
      <c r="K218" s="67">
        <f>'114+840'!Q219</f>
        <v>0</v>
      </c>
      <c r="L218" s="66">
        <f t="shared" si="46"/>
        <v>281</v>
      </c>
      <c r="M218" s="71">
        <f>VLOOKUP(B218,'114+840'!$B$14:$AB$516,21,FALSE)</f>
        <v>1527</v>
      </c>
      <c r="N218" s="70">
        <f>VLOOKUP(B218,'114+840'!$B$15:$AB$516,5,FALSE)</f>
        <v>-200</v>
      </c>
      <c r="O218" s="69">
        <f t="shared" si="42"/>
        <v>2627</v>
      </c>
      <c r="P218" s="69">
        <f>VLOOKUP(B218,'114+840'!$B$15:$AB$516,14,FALSE)</f>
        <v>-373</v>
      </c>
      <c r="Q218" s="67">
        <f>'114+840'!R219</f>
        <v>0</v>
      </c>
      <c r="R218" s="66">
        <f t="shared" si="47"/>
        <v>473</v>
      </c>
      <c r="S218" s="71">
        <f>VLOOKUP(B218,'114+840'!$B$14:$AB$516,22,FALSE)</f>
        <v>1742</v>
      </c>
      <c r="T218" s="70">
        <f>VLOOKUP(B218,'114+840'!$B$15:$AB$516,6,FALSE)</f>
        <v>75</v>
      </c>
      <c r="U218" s="69">
        <f t="shared" si="43"/>
        <v>2352</v>
      </c>
      <c r="V218" s="68">
        <f>VLOOKUP(B218,'114+840'!$B$15:$AB$516,15,FALSE)</f>
        <v>-648</v>
      </c>
      <c r="W218" s="67">
        <f>'114+840'!S219</f>
        <v>0</v>
      </c>
      <c r="X218" s="66">
        <f t="shared" si="48"/>
        <v>258</v>
      </c>
      <c r="Y218" s="65">
        <f t="shared" si="49"/>
        <v>0</v>
      </c>
      <c r="Z218" s="64">
        <f t="shared" si="50"/>
        <v>0</v>
      </c>
      <c r="AA218" s="63">
        <f t="shared" si="51"/>
        <v>2.3239999999999998</v>
      </c>
      <c r="AB218" s="63">
        <f t="shared" si="52"/>
        <v>0.95399999999999996</v>
      </c>
    </row>
    <row r="219" spans="2:28">
      <c r="B219" s="104">
        <f>'114+840'!B220</f>
        <v>45476</v>
      </c>
      <c r="C219" s="75">
        <f t="shared" si="44"/>
        <v>1</v>
      </c>
      <c r="D219" s="74">
        <f t="shared" si="45"/>
        <v>842</v>
      </c>
      <c r="E219" s="73">
        <f>VLOOKUP(B219,'114+840'!B220:AB255,3,FALSE)</f>
        <v>1587</v>
      </c>
      <c r="F219" s="70">
        <f t="shared" si="40"/>
        <v>2429</v>
      </c>
      <c r="G219" s="72">
        <f>VLOOKUP(B219,'114+840'!$B$15:$AB$516,20,FALSE)</f>
        <v>1719</v>
      </c>
      <c r="H219" s="72">
        <f>VLOOKUP(B219,'114+840'!$B$15:$AB$516,4,FALSE)</f>
        <v>-210</v>
      </c>
      <c r="I219" s="69">
        <f t="shared" si="41"/>
        <v>2639</v>
      </c>
      <c r="J219" s="69">
        <f>VLOOKUP(B219,'114+840'!$B$15:$AB$516,13,FALSE)</f>
        <v>-361</v>
      </c>
      <c r="K219" s="67">
        <f>'114+840'!Q220</f>
        <v>0</v>
      </c>
      <c r="L219" s="66">
        <f t="shared" si="46"/>
        <v>281</v>
      </c>
      <c r="M219" s="71">
        <f>VLOOKUP(B219,'114+840'!$B$14:$AB$516,21,FALSE)</f>
        <v>1527</v>
      </c>
      <c r="N219" s="70">
        <f>VLOOKUP(B219,'114+840'!$B$15:$AB$516,5,FALSE)</f>
        <v>-198</v>
      </c>
      <c r="O219" s="69">
        <f t="shared" si="42"/>
        <v>2627</v>
      </c>
      <c r="P219" s="69">
        <f>VLOOKUP(B219,'114+840'!$B$15:$AB$516,14,FALSE)</f>
        <v>-373</v>
      </c>
      <c r="Q219" s="67">
        <f>'114+840'!R220</f>
        <v>0</v>
      </c>
      <c r="R219" s="66">
        <f t="shared" si="47"/>
        <v>473</v>
      </c>
      <c r="S219" s="71">
        <f>VLOOKUP(B219,'114+840'!$B$14:$AB$516,22,FALSE)</f>
        <v>1742</v>
      </c>
      <c r="T219" s="70">
        <f>VLOOKUP(B219,'114+840'!$B$15:$AB$516,6,FALSE)</f>
        <v>77</v>
      </c>
      <c r="U219" s="69">
        <f t="shared" si="43"/>
        <v>2352</v>
      </c>
      <c r="V219" s="68">
        <f>VLOOKUP(B219,'114+840'!$B$15:$AB$516,15,FALSE)</f>
        <v>-648</v>
      </c>
      <c r="W219" s="67">
        <f>'114+840'!S220</f>
        <v>0</v>
      </c>
      <c r="X219" s="66">
        <f t="shared" si="48"/>
        <v>258</v>
      </c>
      <c r="Y219" s="65">
        <f t="shared" si="49"/>
        <v>0</v>
      </c>
      <c r="Z219" s="64">
        <f t="shared" si="50"/>
        <v>0</v>
      </c>
      <c r="AA219" s="63">
        <f t="shared" si="51"/>
        <v>2.3239999999999998</v>
      </c>
      <c r="AB219" s="63">
        <f t="shared" si="52"/>
        <v>0.95399999999999996</v>
      </c>
    </row>
    <row r="220" spans="2:28">
      <c r="B220" s="104">
        <f>'114+840'!B221</f>
        <v>45477</v>
      </c>
      <c r="C220" s="75">
        <f t="shared" si="44"/>
        <v>1</v>
      </c>
      <c r="D220" s="74">
        <f t="shared" si="45"/>
        <v>842</v>
      </c>
      <c r="E220" s="73">
        <f>VLOOKUP(B220,'114+840'!B221:AB255,3,FALSE)</f>
        <v>1589</v>
      </c>
      <c r="F220" s="70">
        <f t="shared" si="40"/>
        <v>2431</v>
      </c>
      <c r="G220" s="72">
        <f>VLOOKUP(B220,'114+840'!$B$15:$AB$516,20,FALSE)</f>
        <v>1719</v>
      </c>
      <c r="H220" s="72">
        <f>VLOOKUP(B220,'114+840'!$B$15:$AB$516,4,FALSE)</f>
        <v>-208</v>
      </c>
      <c r="I220" s="69">
        <f t="shared" si="41"/>
        <v>2639</v>
      </c>
      <c r="J220" s="69">
        <f>VLOOKUP(B220,'114+840'!$B$15:$AB$516,13,FALSE)</f>
        <v>-361</v>
      </c>
      <c r="K220" s="67">
        <f>'114+840'!Q221</f>
        <v>0</v>
      </c>
      <c r="L220" s="66">
        <f t="shared" si="46"/>
        <v>281</v>
      </c>
      <c r="M220" s="71">
        <f>VLOOKUP(B220,'114+840'!$B$14:$AB$516,21,FALSE)</f>
        <v>1527</v>
      </c>
      <c r="N220" s="70">
        <f>VLOOKUP(B220,'114+840'!$B$15:$AB$516,5,FALSE)</f>
        <v>-196</v>
      </c>
      <c r="O220" s="69">
        <f t="shared" si="42"/>
        <v>2627</v>
      </c>
      <c r="P220" s="69">
        <f>VLOOKUP(B220,'114+840'!$B$15:$AB$516,14,FALSE)</f>
        <v>-373</v>
      </c>
      <c r="Q220" s="67">
        <f>'114+840'!R221</f>
        <v>0</v>
      </c>
      <c r="R220" s="66">
        <f t="shared" si="47"/>
        <v>473</v>
      </c>
      <c r="S220" s="71">
        <f>VLOOKUP(B220,'114+840'!$B$14:$AB$516,22,FALSE)</f>
        <v>1742</v>
      </c>
      <c r="T220" s="70">
        <f>VLOOKUP(B220,'114+840'!$B$15:$AB$516,6,FALSE)</f>
        <v>79</v>
      </c>
      <c r="U220" s="69">
        <f t="shared" si="43"/>
        <v>2352</v>
      </c>
      <c r="V220" s="68">
        <f>VLOOKUP(B220,'114+840'!$B$15:$AB$516,15,FALSE)</f>
        <v>-648</v>
      </c>
      <c r="W220" s="67">
        <f>'114+840'!S221</f>
        <v>0</v>
      </c>
      <c r="X220" s="66">
        <f t="shared" si="48"/>
        <v>258</v>
      </c>
      <c r="Y220" s="65">
        <f t="shared" si="49"/>
        <v>0</v>
      </c>
      <c r="Z220" s="64">
        <f t="shared" si="50"/>
        <v>0</v>
      </c>
      <c r="AA220" s="63">
        <f t="shared" si="51"/>
        <v>2.3239999999999998</v>
      </c>
      <c r="AB220" s="63">
        <f t="shared" si="52"/>
        <v>0.95399999999999996</v>
      </c>
    </row>
    <row r="221" spans="2:28">
      <c r="B221" s="104">
        <f>'114+840'!B222</f>
        <v>45478</v>
      </c>
      <c r="C221" s="75">
        <f t="shared" si="44"/>
        <v>1</v>
      </c>
      <c r="D221" s="74">
        <f t="shared" si="45"/>
        <v>842</v>
      </c>
      <c r="E221" s="73">
        <f>VLOOKUP(B221,'114+840'!B222:AB255,3,FALSE)</f>
        <v>1591</v>
      </c>
      <c r="F221" s="70">
        <f t="shared" si="40"/>
        <v>2433</v>
      </c>
      <c r="G221" s="72">
        <f>VLOOKUP(B221,'114+840'!$B$15:$AB$516,20,FALSE)</f>
        <v>1719</v>
      </c>
      <c r="H221" s="72">
        <f>VLOOKUP(B221,'114+840'!$B$15:$AB$516,4,FALSE)</f>
        <v>-206</v>
      </c>
      <c r="I221" s="69">
        <f t="shared" si="41"/>
        <v>2639</v>
      </c>
      <c r="J221" s="69">
        <f>VLOOKUP(B221,'114+840'!$B$15:$AB$516,13,FALSE)</f>
        <v>-361</v>
      </c>
      <c r="K221" s="67">
        <f>'114+840'!Q222</f>
        <v>0</v>
      </c>
      <c r="L221" s="66">
        <f t="shared" si="46"/>
        <v>281</v>
      </c>
      <c r="M221" s="71">
        <f>VLOOKUP(B221,'114+840'!$B$14:$AB$516,21,FALSE)</f>
        <v>1527</v>
      </c>
      <c r="N221" s="70">
        <f>VLOOKUP(B221,'114+840'!$B$15:$AB$516,5,FALSE)</f>
        <v>-194</v>
      </c>
      <c r="O221" s="69">
        <f t="shared" si="42"/>
        <v>2627</v>
      </c>
      <c r="P221" s="69">
        <f>VLOOKUP(B221,'114+840'!$B$15:$AB$516,14,FALSE)</f>
        <v>-373</v>
      </c>
      <c r="Q221" s="67">
        <f>'114+840'!R222</f>
        <v>0</v>
      </c>
      <c r="R221" s="66">
        <f t="shared" si="47"/>
        <v>473</v>
      </c>
      <c r="S221" s="71">
        <f>VLOOKUP(B221,'114+840'!$B$14:$AB$516,22,FALSE)</f>
        <v>1742</v>
      </c>
      <c r="T221" s="70">
        <f>VLOOKUP(B221,'114+840'!$B$15:$AB$516,6,FALSE)</f>
        <v>81</v>
      </c>
      <c r="U221" s="69">
        <f t="shared" si="43"/>
        <v>2352</v>
      </c>
      <c r="V221" s="68">
        <f>VLOOKUP(B221,'114+840'!$B$15:$AB$516,15,FALSE)</f>
        <v>-648</v>
      </c>
      <c r="W221" s="67">
        <f>'114+840'!S222</f>
        <v>0</v>
      </c>
      <c r="X221" s="66">
        <f t="shared" si="48"/>
        <v>258</v>
      </c>
      <c r="Y221" s="65">
        <f t="shared" si="49"/>
        <v>0</v>
      </c>
      <c r="Z221" s="64">
        <f t="shared" si="50"/>
        <v>0</v>
      </c>
      <c r="AA221" s="63">
        <f t="shared" si="51"/>
        <v>2.3239999999999998</v>
      </c>
      <c r="AB221" s="63">
        <f t="shared" si="52"/>
        <v>0.95399999999999996</v>
      </c>
    </row>
    <row r="222" spans="2:28">
      <c r="B222" s="104">
        <f>'114+840'!B223</f>
        <v>45479</v>
      </c>
      <c r="C222" s="75">
        <f t="shared" si="44"/>
        <v>1</v>
      </c>
      <c r="D222" s="74">
        <f t="shared" si="45"/>
        <v>842</v>
      </c>
      <c r="E222" s="73">
        <f>VLOOKUP(B222,'114+840'!B223:AB255,3,FALSE)</f>
        <v>1593</v>
      </c>
      <c r="F222" s="70">
        <f t="shared" si="40"/>
        <v>2435</v>
      </c>
      <c r="G222" s="72">
        <f>VLOOKUP(B222,'114+840'!$B$15:$AB$516,20,FALSE)</f>
        <v>1719</v>
      </c>
      <c r="H222" s="72">
        <f>VLOOKUP(B222,'114+840'!$B$15:$AB$516,4,FALSE)</f>
        <v>-204</v>
      </c>
      <c r="I222" s="69">
        <f t="shared" si="41"/>
        <v>2639</v>
      </c>
      <c r="J222" s="69">
        <f>VLOOKUP(B222,'114+840'!$B$15:$AB$516,13,FALSE)</f>
        <v>-361</v>
      </c>
      <c r="K222" s="67">
        <f>'114+840'!Q223</f>
        <v>0</v>
      </c>
      <c r="L222" s="66">
        <f t="shared" si="46"/>
        <v>281</v>
      </c>
      <c r="M222" s="71">
        <f>VLOOKUP(B222,'114+840'!$B$14:$AB$516,21,FALSE)</f>
        <v>1527</v>
      </c>
      <c r="N222" s="70">
        <f>VLOOKUP(B222,'114+840'!$B$15:$AB$516,5,FALSE)</f>
        <v>-192</v>
      </c>
      <c r="O222" s="69">
        <f t="shared" si="42"/>
        <v>2627</v>
      </c>
      <c r="P222" s="69">
        <f>VLOOKUP(B222,'114+840'!$B$15:$AB$516,14,FALSE)</f>
        <v>-373</v>
      </c>
      <c r="Q222" s="67">
        <f>'114+840'!R223</f>
        <v>0</v>
      </c>
      <c r="R222" s="66">
        <f t="shared" si="47"/>
        <v>473</v>
      </c>
      <c r="S222" s="71">
        <f>VLOOKUP(B222,'114+840'!$B$14:$AB$516,22,FALSE)</f>
        <v>1742</v>
      </c>
      <c r="T222" s="70">
        <f>VLOOKUP(B222,'114+840'!$B$15:$AB$516,6,FALSE)</f>
        <v>83</v>
      </c>
      <c r="U222" s="69">
        <f t="shared" si="43"/>
        <v>2352</v>
      </c>
      <c r="V222" s="68">
        <f>VLOOKUP(B222,'114+840'!$B$15:$AB$516,15,FALSE)</f>
        <v>-648</v>
      </c>
      <c r="W222" s="67">
        <f>'114+840'!S223</f>
        <v>0</v>
      </c>
      <c r="X222" s="66">
        <f t="shared" si="48"/>
        <v>258</v>
      </c>
      <c r="Y222" s="65">
        <f t="shared" si="49"/>
        <v>0</v>
      </c>
      <c r="Z222" s="64">
        <f t="shared" si="50"/>
        <v>0</v>
      </c>
      <c r="AA222" s="63">
        <f t="shared" si="51"/>
        <v>2.3239999999999998</v>
      </c>
      <c r="AB222" s="63">
        <f t="shared" si="52"/>
        <v>0.95399999999999996</v>
      </c>
    </row>
    <row r="223" spans="2:28">
      <c r="B223" s="104">
        <f>'114+840'!B224</f>
        <v>45480</v>
      </c>
      <c r="C223" s="75">
        <f t="shared" si="44"/>
        <v>1</v>
      </c>
      <c r="D223" s="74">
        <f t="shared" si="45"/>
        <v>842</v>
      </c>
      <c r="E223" s="73">
        <f>VLOOKUP(B223,'114+840'!B224:AB255,3,FALSE)</f>
        <v>1595</v>
      </c>
      <c r="F223" s="70">
        <f t="shared" si="40"/>
        <v>2437</v>
      </c>
      <c r="G223" s="72">
        <f>VLOOKUP(B223,'114+840'!$B$15:$AB$516,20,FALSE)</f>
        <v>1719</v>
      </c>
      <c r="H223" s="72">
        <f>VLOOKUP(B223,'114+840'!$B$15:$AB$516,4,FALSE)</f>
        <v>-202</v>
      </c>
      <c r="I223" s="69">
        <f t="shared" si="41"/>
        <v>2639</v>
      </c>
      <c r="J223" s="69">
        <f>VLOOKUP(B223,'114+840'!$B$15:$AB$516,13,FALSE)</f>
        <v>-361</v>
      </c>
      <c r="K223" s="67">
        <f>'114+840'!Q224</f>
        <v>0</v>
      </c>
      <c r="L223" s="66">
        <f t="shared" si="46"/>
        <v>281</v>
      </c>
      <c r="M223" s="71">
        <f>VLOOKUP(B223,'114+840'!$B$14:$AB$516,21,FALSE)</f>
        <v>1527</v>
      </c>
      <c r="N223" s="70">
        <f>VLOOKUP(B223,'114+840'!$B$15:$AB$516,5,FALSE)</f>
        <v>-190</v>
      </c>
      <c r="O223" s="69">
        <f t="shared" si="42"/>
        <v>2627</v>
      </c>
      <c r="P223" s="69">
        <f>VLOOKUP(B223,'114+840'!$B$15:$AB$516,14,FALSE)</f>
        <v>-373</v>
      </c>
      <c r="Q223" s="67">
        <f>'114+840'!R224</f>
        <v>0</v>
      </c>
      <c r="R223" s="66">
        <f t="shared" si="47"/>
        <v>473</v>
      </c>
      <c r="S223" s="71">
        <f>VLOOKUP(B223,'114+840'!$B$14:$AB$516,22,FALSE)</f>
        <v>1742</v>
      </c>
      <c r="T223" s="70">
        <f>VLOOKUP(B223,'114+840'!$B$15:$AB$516,6,FALSE)</f>
        <v>85</v>
      </c>
      <c r="U223" s="69">
        <f t="shared" si="43"/>
        <v>2352</v>
      </c>
      <c r="V223" s="68">
        <f>VLOOKUP(B223,'114+840'!$B$15:$AB$516,15,FALSE)</f>
        <v>-648</v>
      </c>
      <c r="W223" s="67">
        <f>'114+840'!S224</f>
        <v>0</v>
      </c>
      <c r="X223" s="66">
        <f t="shared" si="48"/>
        <v>258</v>
      </c>
      <c r="Y223" s="65">
        <f t="shared" si="49"/>
        <v>0</v>
      </c>
      <c r="Z223" s="64">
        <f t="shared" si="50"/>
        <v>0</v>
      </c>
      <c r="AA223" s="63">
        <f t="shared" si="51"/>
        <v>2.3239999999999998</v>
      </c>
      <c r="AB223" s="63">
        <f t="shared" si="52"/>
        <v>0.95399999999999996</v>
      </c>
    </row>
    <row r="224" spans="2:28">
      <c r="B224" s="104">
        <f>'114+840'!B225</f>
        <v>45481</v>
      </c>
      <c r="C224" s="75">
        <f t="shared" si="44"/>
        <v>1</v>
      </c>
      <c r="D224" s="74">
        <f t="shared" si="45"/>
        <v>842</v>
      </c>
      <c r="E224" s="73">
        <f>VLOOKUP(B224,'114+840'!B225:AB255,3,FALSE)</f>
        <v>1597</v>
      </c>
      <c r="F224" s="70">
        <f t="shared" si="40"/>
        <v>2439</v>
      </c>
      <c r="G224" s="72">
        <f>VLOOKUP(B224,'114+840'!$B$15:$AB$516,20,FALSE)</f>
        <v>1719</v>
      </c>
      <c r="H224" s="72">
        <f>VLOOKUP(B224,'114+840'!$B$15:$AB$516,4,FALSE)</f>
        <v>-200</v>
      </c>
      <c r="I224" s="69">
        <f t="shared" si="41"/>
        <v>2639</v>
      </c>
      <c r="J224" s="69">
        <f>VLOOKUP(B224,'114+840'!$B$15:$AB$516,13,FALSE)</f>
        <v>-361</v>
      </c>
      <c r="K224" s="67">
        <f>'114+840'!Q225</f>
        <v>0</v>
      </c>
      <c r="L224" s="66">
        <f t="shared" si="46"/>
        <v>281</v>
      </c>
      <c r="M224" s="71">
        <f>VLOOKUP(B224,'114+840'!$B$14:$AB$516,21,FALSE)</f>
        <v>1527</v>
      </c>
      <c r="N224" s="70">
        <f>VLOOKUP(B224,'114+840'!$B$15:$AB$516,5,FALSE)</f>
        <v>-188</v>
      </c>
      <c r="O224" s="69">
        <f t="shared" si="42"/>
        <v>2627</v>
      </c>
      <c r="P224" s="69">
        <f>VLOOKUP(B224,'114+840'!$B$15:$AB$516,14,FALSE)</f>
        <v>-373</v>
      </c>
      <c r="Q224" s="67">
        <f>'114+840'!R225</f>
        <v>0</v>
      </c>
      <c r="R224" s="66">
        <f t="shared" si="47"/>
        <v>473</v>
      </c>
      <c r="S224" s="71">
        <f>VLOOKUP(B224,'114+840'!$B$14:$AB$516,22,FALSE)</f>
        <v>1742</v>
      </c>
      <c r="T224" s="70">
        <f>VLOOKUP(B224,'114+840'!$B$15:$AB$516,6,FALSE)</f>
        <v>87</v>
      </c>
      <c r="U224" s="69">
        <f t="shared" si="43"/>
        <v>2352</v>
      </c>
      <c r="V224" s="68">
        <f>VLOOKUP(B224,'114+840'!$B$15:$AB$516,15,FALSE)</f>
        <v>-648</v>
      </c>
      <c r="W224" s="67">
        <f>'114+840'!S225</f>
        <v>0</v>
      </c>
      <c r="X224" s="66">
        <f t="shared" si="48"/>
        <v>258</v>
      </c>
      <c r="Y224" s="65">
        <f t="shared" si="49"/>
        <v>0</v>
      </c>
      <c r="Z224" s="64">
        <f t="shared" si="50"/>
        <v>0</v>
      </c>
      <c r="AA224" s="63">
        <f t="shared" si="51"/>
        <v>2.3239999999999998</v>
      </c>
      <c r="AB224" s="63">
        <f t="shared" si="52"/>
        <v>0.95399999999999996</v>
      </c>
    </row>
    <row r="225" spans="2:28">
      <c r="B225" s="104">
        <f>'114+840'!B226</f>
        <v>45482</v>
      </c>
      <c r="C225" s="75">
        <f t="shared" si="44"/>
        <v>1</v>
      </c>
      <c r="D225" s="74">
        <f t="shared" si="45"/>
        <v>842</v>
      </c>
      <c r="E225" s="73">
        <f>VLOOKUP(B225,'114+840'!B226:AB255,3,FALSE)</f>
        <v>1599</v>
      </c>
      <c r="F225" s="70">
        <f t="shared" si="40"/>
        <v>2441</v>
      </c>
      <c r="G225" s="72">
        <f>VLOOKUP(B225,'114+840'!$B$15:$AB$516,20,FALSE)</f>
        <v>1719</v>
      </c>
      <c r="H225" s="72">
        <f>VLOOKUP(B225,'114+840'!$B$15:$AB$516,4,FALSE)</f>
        <v>-198</v>
      </c>
      <c r="I225" s="69">
        <f t="shared" si="41"/>
        <v>2639</v>
      </c>
      <c r="J225" s="69">
        <f>VLOOKUP(B225,'114+840'!$B$15:$AB$516,13,FALSE)</f>
        <v>-361</v>
      </c>
      <c r="K225" s="67">
        <f>'114+840'!Q226</f>
        <v>0</v>
      </c>
      <c r="L225" s="66">
        <f t="shared" si="46"/>
        <v>281</v>
      </c>
      <c r="M225" s="71">
        <f>VLOOKUP(B225,'114+840'!$B$14:$AB$516,21,FALSE)</f>
        <v>1527</v>
      </c>
      <c r="N225" s="70">
        <f>VLOOKUP(B225,'114+840'!$B$15:$AB$516,5,FALSE)</f>
        <v>-186</v>
      </c>
      <c r="O225" s="69">
        <f t="shared" si="42"/>
        <v>2627</v>
      </c>
      <c r="P225" s="69">
        <f>VLOOKUP(B225,'114+840'!$B$15:$AB$516,14,FALSE)</f>
        <v>-373</v>
      </c>
      <c r="Q225" s="67">
        <f>'114+840'!R226</f>
        <v>0</v>
      </c>
      <c r="R225" s="66">
        <f t="shared" si="47"/>
        <v>473</v>
      </c>
      <c r="S225" s="71">
        <f>VLOOKUP(B225,'114+840'!$B$14:$AB$516,22,FALSE)</f>
        <v>1742</v>
      </c>
      <c r="T225" s="70">
        <f>VLOOKUP(B225,'114+840'!$B$15:$AB$516,6,FALSE)</f>
        <v>89</v>
      </c>
      <c r="U225" s="69">
        <f t="shared" si="43"/>
        <v>2352</v>
      </c>
      <c r="V225" s="68">
        <f>VLOOKUP(B225,'114+840'!$B$15:$AB$516,15,FALSE)</f>
        <v>-648</v>
      </c>
      <c r="W225" s="67">
        <f>'114+840'!S226</f>
        <v>0</v>
      </c>
      <c r="X225" s="66">
        <f t="shared" si="48"/>
        <v>258</v>
      </c>
      <c r="Y225" s="65">
        <f t="shared" si="49"/>
        <v>0</v>
      </c>
      <c r="Z225" s="64">
        <f t="shared" si="50"/>
        <v>0</v>
      </c>
      <c r="AA225" s="63">
        <f t="shared" si="51"/>
        <v>2.3239999999999998</v>
      </c>
      <c r="AB225" s="63">
        <f t="shared" si="52"/>
        <v>0.95399999999999996</v>
      </c>
    </row>
    <row r="226" spans="2:28">
      <c r="B226" s="104">
        <f>'114+840'!B227</f>
        <v>45483</v>
      </c>
      <c r="C226" s="75">
        <f t="shared" si="44"/>
        <v>1</v>
      </c>
      <c r="D226" s="74">
        <f t="shared" si="45"/>
        <v>842</v>
      </c>
      <c r="E226" s="73">
        <f>VLOOKUP(B226,'114+840'!B227:AB255,3,FALSE)</f>
        <v>1601</v>
      </c>
      <c r="F226" s="70">
        <f t="shared" si="40"/>
        <v>2443</v>
      </c>
      <c r="G226" s="72">
        <f>VLOOKUP(B226,'114+840'!$B$15:$AB$516,20,FALSE)</f>
        <v>1719</v>
      </c>
      <c r="H226" s="72">
        <f>VLOOKUP(B226,'114+840'!$B$15:$AB$516,4,FALSE)</f>
        <v>-196</v>
      </c>
      <c r="I226" s="69">
        <f t="shared" si="41"/>
        <v>2639</v>
      </c>
      <c r="J226" s="69">
        <f>VLOOKUP(B226,'114+840'!$B$15:$AB$516,13,FALSE)</f>
        <v>-361</v>
      </c>
      <c r="K226" s="67">
        <f>'114+840'!Q227</f>
        <v>0</v>
      </c>
      <c r="L226" s="66">
        <f t="shared" si="46"/>
        <v>281</v>
      </c>
      <c r="M226" s="71">
        <f>VLOOKUP(B226,'114+840'!$B$14:$AB$516,21,FALSE)</f>
        <v>1527</v>
      </c>
      <c r="N226" s="70">
        <f>VLOOKUP(B226,'114+840'!$B$15:$AB$516,5,FALSE)</f>
        <v>-184</v>
      </c>
      <c r="O226" s="69">
        <f t="shared" si="42"/>
        <v>2627</v>
      </c>
      <c r="P226" s="69">
        <f>VLOOKUP(B226,'114+840'!$B$15:$AB$516,14,FALSE)</f>
        <v>-373</v>
      </c>
      <c r="Q226" s="67">
        <f>'114+840'!R227</f>
        <v>0</v>
      </c>
      <c r="R226" s="66">
        <f t="shared" si="47"/>
        <v>473</v>
      </c>
      <c r="S226" s="71">
        <f>VLOOKUP(B226,'114+840'!$B$14:$AB$516,22,FALSE)</f>
        <v>1742</v>
      </c>
      <c r="T226" s="70">
        <f>VLOOKUP(B226,'114+840'!$B$15:$AB$516,6,FALSE)</f>
        <v>91</v>
      </c>
      <c r="U226" s="69">
        <f t="shared" si="43"/>
        <v>2352</v>
      </c>
      <c r="V226" s="68">
        <f>VLOOKUP(B226,'114+840'!$B$15:$AB$516,15,FALSE)</f>
        <v>-648</v>
      </c>
      <c r="W226" s="67">
        <f>'114+840'!S227</f>
        <v>0</v>
      </c>
      <c r="X226" s="66">
        <f t="shared" si="48"/>
        <v>258</v>
      </c>
      <c r="Y226" s="65">
        <f t="shared" si="49"/>
        <v>0</v>
      </c>
      <c r="Z226" s="64">
        <f t="shared" si="50"/>
        <v>0</v>
      </c>
      <c r="AA226" s="63">
        <f t="shared" si="51"/>
        <v>2.3239999999999998</v>
      </c>
      <c r="AB226" s="63">
        <f t="shared" si="52"/>
        <v>0.95399999999999996</v>
      </c>
    </row>
    <row r="227" spans="2:28">
      <c r="B227" s="104">
        <f>'114+840'!B228</f>
        <v>45484</v>
      </c>
      <c r="C227" s="75">
        <f t="shared" si="44"/>
        <v>1</v>
      </c>
      <c r="D227" s="74">
        <f t="shared" si="45"/>
        <v>842</v>
      </c>
      <c r="E227" s="73">
        <f>VLOOKUP(B227,'114+840'!B228:AB255,3,FALSE)</f>
        <v>1603</v>
      </c>
      <c r="F227" s="70">
        <f t="shared" si="40"/>
        <v>2445</v>
      </c>
      <c r="G227" s="72">
        <f>VLOOKUP(B227,'114+840'!$B$15:$AB$516,20,FALSE)</f>
        <v>1719</v>
      </c>
      <c r="H227" s="72">
        <f>VLOOKUP(B227,'114+840'!$B$15:$AB$516,4,FALSE)</f>
        <v>-194</v>
      </c>
      <c r="I227" s="69">
        <f t="shared" si="41"/>
        <v>2639</v>
      </c>
      <c r="J227" s="69">
        <f>VLOOKUP(B227,'114+840'!$B$15:$AB$516,13,FALSE)</f>
        <v>-361</v>
      </c>
      <c r="K227" s="67">
        <f>'114+840'!Q228</f>
        <v>0</v>
      </c>
      <c r="L227" s="66">
        <f t="shared" si="46"/>
        <v>281</v>
      </c>
      <c r="M227" s="71">
        <f>VLOOKUP(B227,'114+840'!$B$14:$AB$516,21,FALSE)</f>
        <v>1527</v>
      </c>
      <c r="N227" s="70">
        <f>VLOOKUP(B227,'114+840'!$B$15:$AB$516,5,FALSE)</f>
        <v>-182</v>
      </c>
      <c r="O227" s="69">
        <f t="shared" si="42"/>
        <v>2627</v>
      </c>
      <c r="P227" s="69">
        <f>VLOOKUP(B227,'114+840'!$B$15:$AB$516,14,FALSE)</f>
        <v>-373</v>
      </c>
      <c r="Q227" s="67">
        <f>'114+840'!R228</f>
        <v>0</v>
      </c>
      <c r="R227" s="66">
        <f t="shared" si="47"/>
        <v>473</v>
      </c>
      <c r="S227" s="71">
        <f>VLOOKUP(B227,'114+840'!$B$14:$AB$516,22,FALSE)</f>
        <v>1742</v>
      </c>
      <c r="T227" s="70">
        <f>VLOOKUP(B227,'114+840'!$B$15:$AB$516,6,FALSE)</f>
        <v>93</v>
      </c>
      <c r="U227" s="69">
        <f t="shared" si="43"/>
        <v>2352</v>
      </c>
      <c r="V227" s="68">
        <f>VLOOKUP(B227,'114+840'!$B$15:$AB$516,15,FALSE)</f>
        <v>-648</v>
      </c>
      <c r="W227" s="67">
        <f>'114+840'!S228</f>
        <v>0</v>
      </c>
      <c r="X227" s="66">
        <f t="shared" si="48"/>
        <v>258</v>
      </c>
      <c r="Y227" s="65">
        <f t="shared" si="49"/>
        <v>0</v>
      </c>
      <c r="Z227" s="64">
        <f t="shared" si="50"/>
        <v>0</v>
      </c>
      <c r="AA227" s="63">
        <f t="shared" si="51"/>
        <v>2.3239999999999998</v>
      </c>
      <c r="AB227" s="63">
        <f t="shared" si="52"/>
        <v>0.95399999999999996</v>
      </c>
    </row>
    <row r="228" spans="2:28">
      <c r="B228" s="104">
        <f>'114+840'!B229</f>
        <v>45485</v>
      </c>
      <c r="C228" s="75">
        <f t="shared" si="44"/>
        <v>1</v>
      </c>
      <c r="D228" s="74">
        <f t="shared" si="45"/>
        <v>842</v>
      </c>
      <c r="E228" s="73">
        <f>VLOOKUP(B228,'114+840'!B229:AB255,3,FALSE)</f>
        <v>1605</v>
      </c>
      <c r="F228" s="70">
        <f t="shared" si="40"/>
        <v>2447</v>
      </c>
      <c r="G228" s="72">
        <f>VLOOKUP(B228,'114+840'!$B$15:$AB$516,20,FALSE)</f>
        <v>1719</v>
      </c>
      <c r="H228" s="72">
        <f>VLOOKUP(B228,'114+840'!$B$15:$AB$516,4,FALSE)</f>
        <v>-192</v>
      </c>
      <c r="I228" s="69">
        <f t="shared" si="41"/>
        <v>2639</v>
      </c>
      <c r="J228" s="69">
        <f>VLOOKUP(B228,'114+840'!$B$15:$AB$516,13,FALSE)</f>
        <v>-361</v>
      </c>
      <c r="K228" s="67">
        <f>'114+840'!Q229</f>
        <v>0</v>
      </c>
      <c r="L228" s="66">
        <f t="shared" si="46"/>
        <v>281</v>
      </c>
      <c r="M228" s="71">
        <f>VLOOKUP(B228,'114+840'!$B$14:$AB$516,21,FALSE)</f>
        <v>1527</v>
      </c>
      <c r="N228" s="70">
        <f>VLOOKUP(B228,'114+840'!$B$15:$AB$516,5,FALSE)</f>
        <v>-180</v>
      </c>
      <c r="O228" s="69">
        <f t="shared" si="42"/>
        <v>2627</v>
      </c>
      <c r="P228" s="69">
        <f>VLOOKUP(B228,'114+840'!$B$15:$AB$516,14,FALSE)</f>
        <v>-373</v>
      </c>
      <c r="Q228" s="67">
        <f>'114+840'!R229</f>
        <v>0</v>
      </c>
      <c r="R228" s="66">
        <f t="shared" si="47"/>
        <v>473</v>
      </c>
      <c r="S228" s="71">
        <f>VLOOKUP(B228,'114+840'!$B$14:$AB$516,22,FALSE)</f>
        <v>1742</v>
      </c>
      <c r="T228" s="70">
        <f>VLOOKUP(B228,'114+840'!$B$15:$AB$516,6,FALSE)</f>
        <v>95</v>
      </c>
      <c r="U228" s="69">
        <f t="shared" si="43"/>
        <v>2352</v>
      </c>
      <c r="V228" s="68">
        <f>VLOOKUP(B228,'114+840'!$B$15:$AB$516,15,FALSE)</f>
        <v>-648</v>
      </c>
      <c r="W228" s="67">
        <f>'114+840'!S229</f>
        <v>0</v>
      </c>
      <c r="X228" s="66">
        <f t="shared" si="48"/>
        <v>258</v>
      </c>
      <c r="Y228" s="65">
        <f t="shared" si="49"/>
        <v>0</v>
      </c>
      <c r="Z228" s="64">
        <f t="shared" si="50"/>
        <v>0</v>
      </c>
      <c r="AA228" s="63">
        <f t="shared" si="51"/>
        <v>2.3239999999999998</v>
      </c>
      <c r="AB228" s="63">
        <f t="shared" si="52"/>
        <v>0.95399999999999996</v>
      </c>
    </row>
    <row r="229" spans="2:28">
      <c r="B229" s="104">
        <f>'114+840'!B230</f>
        <v>45486</v>
      </c>
      <c r="C229" s="75">
        <f t="shared" si="44"/>
        <v>1</v>
      </c>
      <c r="D229" s="74">
        <f t="shared" si="45"/>
        <v>842</v>
      </c>
      <c r="E229" s="73">
        <f>VLOOKUP(B229,'114+840'!B230:AB255,3,FALSE)</f>
        <v>1607</v>
      </c>
      <c r="F229" s="70">
        <f t="shared" si="40"/>
        <v>2449</v>
      </c>
      <c r="G229" s="72">
        <f>VLOOKUP(B229,'114+840'!$B$15:$AB$516,20,FALSE)</f>
        <v>1719</v>
      </c>
      <c r="H229" s="72">
        <f>VLOOKUP(B229,'114+840'!$B$15:$AB$516,4,FALSE)</f>
        <v>-190</v>
      </c>
      <c r="I229" s="69">
        <f t="shared" si="41"/>
        <v>2639</v>
      </c>
      <c r="J229" s="69">
        <f>VLOOKUP(B229,'114+840'!$B$15:$AB$516,13,FALSE)</f>
        <v>-361</v>
      </c>
      <c r="K229" s="67">
        <f>'114+840'!Q230</f>
        <v>0</v>
      </c>
      <c r="L229" s="66">
        <f t="shared" si="46"/>
        <v>281</v>
      </c>
      <c r="M229" s="71">
        <f>VLOOKUP(B229,'114+840'!$B$14:$AB$516,21,FALSE)</f>
        <v>1527</v>
      </c>
      <c r="N229" s="70">
        <f>VLOOKUP(B229,'114+840'!$B$15:$AB$516,5,FALSE)</f>
        <v>-178</v>
      </c>
      <c r="O229" s="69">
        <f t="shared" si="42"/>
        <v>2627</v>
      </c>
      <c r="P229" s="69">
        <f>VLOOKUP(B229,'114+840'!$B$15:$AB$516,14,FALSE)</f>
        <v>-373</v>
      </c>
      <c r="Q229" s="67">
        <f>'114+840'!R230</f>
        <v>0</v>
      </c>
      <c r="R229" s="66">
        <f t="shared" si="47"/>
        <v>473</v>
      </c>
      <c r="S229" s="71">
        <f>VLOOKUP(B229,'114+840'!$B$14:$AB$516,22,FALSE)</f>
        <v>1742</v>
      </c>
      <c r="T229" s="70">
        <f>VLOOKUP(B229,'114+840'!$B$15:$AB$516,6,FALSE)</f>
        <v>97</v>
      </c>
      <c r="U229" s="69">
        <f t="shared" si="43"/>
        <v>2352</v>
      </c>
      <c r="V229" s="68">
        <f>VLOOKUP(B229,'114+840'!$B$15:$AB$516,15,FALSE)</f>
        <v>-648</v>
      </c>
      <c r="W229" s="67">
        <f>'114+840'!S230</f>
        <v>0</v>
      </c>
      <c r="X229" s="66">
        <f t="shared" si="48"/>
        <v>258</v>
      </c>
      <c r="Y229" s="65">
        <f t="shared" si="49"/>
        <v>0</v>
      </c>
      <c r="Z229" s="64">
        <f t="shared" si="50"/>
        <v>0</v>
      </c>
      <c r="AA229" s="63">
        <f t="shared" si="51"/>
        <v>2.3239999999999998</v>
      </c>
      <c r="AB229" s="63">
        <f t="shared" si="52"/>
        <v>0.95399999999999996</v>
      </c>
    </row>
    <row r="230" spans="2:28">
      <c r="B230" s="104">
        <f>'114+840'!B231</f>
        <v>45487</v>
      </c>
      <c r="C230" s="75">
        <f t="shared" si="44"/>
        <v>1</v>
      </c>
      <c r="D230" s="74">
        <f t="shared" si="45"/>
        <v>842</v>
      </c>
      <c r="E230" s="73">
        <f>VLOOKUP(B230,'114+840'!B231:AB255,3,FALSE)</f>
        <v>1609</v>
      </c>
      <c r="F230" s="70">
        <f t="shared" si="40"/>
        <v>2451</v>
      </c>
      <c r="G230" s="72">
        <f>VLOOKUP(B230,'114+840'!$B$15:$AB$516,20,FALSE)</f>
        <v>1719</v>
      </c>
      <c r="H230" s="72">
        <f>VLOOKUP(B230,'114+840'!$B$15:$AB$516,4,FALSE)</f>
        <v>-188</v>
      </c>
      <c r="I230" s="69">
        <f t="shared" si="41"/>
        <v>2639</v>
      </c>
      <c r="J230" s="69">
        <f>VLOOKUP(B230,'114+840'!$B$15:$AB$516,13,FALSE)</f>
        <v>-361</v>
      </c>
      <c r="K230" s="67">
        <f>'114+840'!Q231</f>
        <v>0</v>
      </c>
      <c r="L230" s="66">
        <f t="shared" si="46"/>
        <v>281</v>
      </c>
      <c r="M230" s="71">
        <f>VLOOKUP(B230,'114+840'!$B$14:$AB$516,21,FALSE)</f>
        <v>1527</v>
      </c>
      <c r="N230" s="70">
        <f>VLOOKUP(B230,'114+840'!$B$15:$AB$516,5,FALSE)</f>
        <v>-176</v>
      </c>
      <c r="O230" s="69">
        <f t="shared" si="42"/>
        <v>2627</v>
      </c>
      <c r="P230" s="69">
        <f>VLOOKUP(B230,'114+840'!$B$15:$AB$516,14,FALSE)</f>
        <v>-373</v>
      </c>
      <c r="Q230" s="67">
        <f>'114+840'!R231</f>
        <v>0</v>
      </c>
      <c r="R230" s="66">
        <f t="shared" si="47"/>
        <v>473</v>
      </c>
      <c r="S230" s="71">
        <f>VLOOKUP(B230,'114+840'!$B$14:$AB$516,22,FALSE)</f>
        <v>1742</v>
      </c>
      <c r="T230" s="70">
        <f>VLOOKUP(B230,'114+840'!$B$15:$AB$516,6,FALSE)</f>
        <v>99</v>
      </c>
      <c r="U230" s="69">
        <f t="shared" si="43"/>
        <v>2352</v>
      </c>
      <c r="V230" s="68">
        <f>VLOOKUP(B230,'114+840'!$B$15:$AB$516,15,FALSE)</f>
        <v>-648</v>
      </c>
      <c r="W230" s="67">
        <f>'114+840'!S231</f>
        <v>0</v>
      </c>
      <c r="X230" s="66">
        <f t="shared" si="48"/>
        <v>258</v>
      </c>
      <c r="Y230" s="65">
        <f t="shared" si="49"/>
        <v>0</v>
      </c>
      <c r="Z230" s="64">
        <f t="shared" si="50"/>
        <v>0</v>
      </c>
      <c r="AA230" s="63">
        <f t="shared" si="51"/>
        <v>2.3239999999999998</v>
      </c>
      <c r="AB230" s="63">
        <f t="shared" si="52"/>
        <v>0.95399999999999996</v>
      </c>
    </row>
    <row r="231" spans="2:28">
      <c r="B231" s="104">
        <f>'114+840'!B232</f>
        <v>45488</v>
      </c>
      <c r="C231" s="75">
        <f t="shared" si="44"/>
        <v>1</v>
      </c>
      <c r="D231" s="74">
        <f t="shared" si="45"/>
        <v>842</v>
      </c>
      <c r="E231" s="73">
        <f>VLOOKUP(B231,'114+840'!B232:AB255,3,FALSE)</f>
        <v>1611</v>
      </c>
      <c r="F231" s="70">
        <f t="shared" si="40"/>
        <v>2453</v>
      </c>
      <c r="G231" s="72">
        <f>VLOOKUP(B231,'114+840'!$B$15:$AB$516,20,FALSE)</f>
        <v>1719</v>
      </c>
      <c r="H231" s="72">
        <f>VLOOKUP(B231,'114+840'!$B$15:$AB$516,4,FALSE)</f>
        <v>-186</v>
      </c>
      <c r="I231" s="69">
        <f t="shared" si="41"/>
        <v>2639</v>
      </c>
      <c r="J231" s="69">
        <f>VLOOKUP(B231,'114+840'!$B$15:$AB$516,13,FALSE)</f>
        <v>-361</v>
      </c>
      <c r="K231" s="67">
        <f>'114+840'!Q232</f>
        <v>0</v>
      </c>
      <c r="L231" s="66">
        <f t="shared" si="46"/>
        <v>281</v>
      </c>
      <c r="M231" s="71">
        <f>VLOOKUP(B231,'114+840'!$B$14:$AB$516,21,FALSE)</f>
        <v>1527</v>
      </c>
      <c r="N231" s="70">
        <f>VLOOKUP(B231,'114+840'!$B$15:$AB$516,5,FALSE)</f>
        <v>-174</v>
      </c>
      <c r="O231" s="69">
        <f t="shared" si="42"/>
        <v>2627</v>
      </c>
      <c r="P231" s="69">
        <f>VLOOKUP(B231,'114+840'!$B$15:$AB$516,14,FALSE)</f>
        <v>-373</v>
      </c>
      <c r="Q231" s="67">
        <f>'114+840'!R232</f>
        <v>0</v>
      </c>
      <c r="R231" s="66">
        <f t="shared" si="47"/>
        <v>473</v>
      </c>
      <c r="S231" s="71">
        <f>VLOOKUP(B231,'114+840'!$B$14:$AB$516,22,FALSE)</f>
        <v>1742</v>
      </c>
      <c r="T231" s="70">
        <f>VLOOKUP(B231,'114+840'!$B$15:$AB$516,6,FALSE)</f>
        <v>101</v>
      </c>
      <c r="U231" s="69">
        <f t="shared" si="43"/>
        <v>2352</v>
      </c>
      <c r="V231" s="68">
        <f>VLOOKUP(B231,'114+840'!$B$15:$AB$516,15,FALSE)</f>
        <v>-648</v>
      </c>
      <c r="W231" s="67">
        <f>'114+840'!S232</f>
        <v>0</v>
      </c>
      <c r="X231" s="66">
        <f t="shared" si="48"/>
        <v>258</v>
      </c>
      <c r="Y231" s="65">
        <f t="shared" si="49"/>
        <v>0</v>
      </c>
      <c r="Z231" s="64">
        <f t="shared" si="50"/>
        <v>0</v>
      </c>
      <c r="AA231" s="63">
        <f t="shared" si="51"/>
        <v>2.3239999999999998</v>
      </c>
      <c r="AB231" s="63">
        <f t="shared" si="52"/>
        <v>0.95399999999999996</v>
      </c>
    </row>
    <row r="232" spans="2:28">
      <c r="B232" s="104">
        <f>'114+840'!B233</f>
        <v>45489</v>
      </c>
      <c r="C232" s="75">
        <f t="shared" si="44"/>
        <v>1</v>
      </c>
      <c r="D232" s="74">
        <f t="shared" si="45"/>
        <v>842</v>
      </c>
      <c r="E232" s="73">
        <f>VLOOKUP(B232,'114+840'!B233:AB255,3,FALSE)</f>
        <v>1613</v>
      </c>
      <c r="F232" s="70">
        <f t="shared" si="40"/>
        <v>2455</v>
      </c>
      <c r="G232" s="72">
        <f>VLOOKUP(B232,'114+840'!$B$15:$AB$516,20,FALSE)</f>
        <v>1719</v>
      </c>
      <c r="H232" s="72">
        <f>VLOOKUP(B232,'114+840'!$B$15:$AB$516,4,FALSE)</f>
        <v>-184</v>
      </c>
      <c r="I232" s="69">
        <f t="shared" si="41"/>
        <v>2639</v>
      </c>
      <c r="J232" s="69">
        <f>VLOOKUP(B232,'114+840'!$B$15:$AB$516,13,FALSE)</f>
        <v>-361</v>
      </c>
      <c r="K232" s="67">
        <f>'114+840'!Q233</f>
        <v>0</v>
      </c>
      <c r="L232" s="66">
        <f t="shared" si="46"/>
        <v>281</v>
      </c>
      <c r="M232" s="71">
        <f>VLOOKUP(B232,'114+840'!$B$14:$AB$516,21,FALSE)</f>
        <v>1527</v>
      </c>
      <c r="N232" s="70">
        <f>VLOOKUP(B232,'114+840'!$B$15:$AB$516,5,FALSE)</f>
        <v>-172</v>
      </c>
      <c r="O232" s="69">
        <f t="shared" si="42"/>
        <v>2627</v>
      </c>
      <c r="P232" s="69">
        <f>VLOOKUP(B232,'114+840'!$B$15:$AB$516,14,FALSE)</f>
        <v>-373</v>
      </c>
      <c r="Q232" s="67">
        <f>'114+840'!R233</f>
        <v>0</v>
      </c>
      <c r="R232" s="66">
        <f t="shared" si="47"/>
        <v>473</v>
      </c>
      <c r="S232" s="71">
        <f>VLOOKUP(B232,'114+840'!$B$14:$AB$516,22,FALSE)</f>
        <v>1742</v>
      </c>
      <c r="T232" s="70">
        <f>VLOOKUP(B232,'114+840'!$B$15:$AB$516,6,FALSE)</f>
        <v>103</v>
      </c>
      <c r="U232" s="69">
        <f t="shared" si="43"/>
        <v>2352</v>
      </c>
      <c r="V232" s="68">
        <f>VLOOKUP(B232,'114+840'!$B$15:$AB$516,15,FALSE)</f>
        <v>-648</v>
      </c>
      <c r="W232" s="67">
        <f>'114+840'!S233</f>
        <v>0</v>
      </c>
      <c r="X232" s="66">
        <f t="shared" si="48"/>
        <v>258</v>
      </c>
      <c r="Y232" s="65">
        <f t="shared" si="49"/>
        <v>0</v>
      </c>
      <c r="Z232" s="64">
        <f t="shared" si="50"/>
        <v>0</v>
      </c>
      <c r="AA232" s="63">
        <f t="shared" si="51"/>
        <v>2.3239999999999998</v>
      </c>
      <c r="AB232" s="63">
        <f t="shared" si="52"/>
        <v>0.95399999999999996</v>
      </c>
    </row>
    <row r="233" spans="2:28">
      <c r="B233" s="104">
        <f>'114+840'!B234</f>
        <v>45490</v>
      </c>
      <c r="C233" s="75">
        <f t="shared" si="44"/>
        <v>1</v>
      </c>
      <c r="D233" s="74">
        <f t="shared" si="45"/>
        <v>842</v>
      </c>
      <c r="E233" s="73">
        <f>VLOOKUP(B233,'114+840'!B234:AB255,3,FALSE)</f>
        <v>1615</v>
      </c>
      <c r="F233" s="70">
        <f t="shared" si="40"/>
        <v>2457</v>
      </c>
      <c r="G233" s="72">
        <f>VLOOKUP(B233,'114+840'!$B$15:$AB$516,20,FALSE)</f>
        <v>1719</v>
      </c>
      <c r="H233" s="72">
        <f>VLOOKUP(B233,'114+840'!$B$15:$AB$516,4,FALSE)</f>
        <v>-182</v>
      </c>
      <c r="I233" s="69">
        <f t="shared" si="41"/>
        <v>2639</v>
      </c>
      <c r="J233" s="69">
        <f>VLOOKUP(B233,'114+840'!$B$15:$AB$516,13,FALSE)</f>
        <v>-361</v>
      </c>
      <c r="K233" s="67">
        <f>'114+840'!Q234</f>
        <v>0</v>
      </c>
      <c r="L233" s="66">
        <f t="shared" si="46"/>
        <v>281</v>
      </c>
      <c r="M233" s="71">
        <f>VLOOKUP(B233,'114+840'!$B$14:$AB$516,21,FALSE)</f>
        <v>1527</v>
      </c>
      <c r="N233" s="70">
        <f>VLOOKUP(B233,'114+840'!$B$15:$AB$516,5,FALSE)</f>
        <v>-170</v>
      </c>
      <c r="O233" s="69">
        <f t="shared" si="42"/>
        <v>2627</v>
      </c>
      <c r="P233" s="69">
        <f>VLOOKUP(B233,'114+840'!$B$15:$AB$516,14,FALSE)</f>
        <v>-373</v>
      </c>
      <c r="Q233" s="67">
        <f>'114+840'!R234</f>
        <v>0</v>
      </c>
      <c r="R233" s="66">
        <f t="shared" si="47"/>
        <v>473</v>
      </c>
      <c r="S233" s="71">
        <f>VLOOKUP(B233,'114+840'!$B$14:$AB$516,22,FALSE)</f>
        <v>1742</v>
      </c>
      <c r="T233" s="70">
        <f>VLOOKUP(B233,'114+840'!$B$15:$AB$516,6,FALSE)</f>
        <v>105</v>
      </c>
      <c r="U233" s="69">
        <f t="shared" si="43"/>
        <v>2352</v>
      </c>
      <c r="V233" s="68">
        <f>VLOOKUP(B233,'114+840'!$B$15:$AB$516,15,FALSE)</f>
        <v>-648</v>
      </c>
      <c r="W233" s="67">
        <f>'114+840'!S234</f>
        <v>0</v>
      </c>
      <c r="X233" s="66">
        <f t="shared" si="48"/>
        <v>258</v>
      </c>
      <c r="Y233" s="65">
        <f t="shared" si="49"/>
        <v>0</v>
      </c>
      <c r="Z233" s="64">
        <f t="shared" si="50"/>
        <v>0</v>
      </c>
      <c r="AA233" s="63">
        <f t="shared" si="51"/>
        <v>2.3239999999999998</v>
      </c>
      <c r="AB233" s="63">
        <f t="shared" si="52"/>
        <v>0.95399999999999996</v>
      </c>
    </row>
    <row r="234" spans="2:28">
      <c r="B234" s="104">
        <f>'114+840'!B235</f>
        <v>45491</v>
      </c>
      <c r="C234" s="75">
        <f t="shared" si="44"/>
        <v>1</v>
      </c>
      <c r="D234" s="74">
        <f t="shared" si="45"/>
        <v>842</v>
      </c>
      <c r="E234" s="73">
        <f>VLOOKUP(B234,'114+840'!B235:AB255,3,FALSE)</f>
        <v>1617</v>
      </c>
      <c r="F234" s="70">
        <f t="shared" si="40"/>
        <v>2459</v>
      </c>
      <c r="G234" s="72">
        <f>VLOOKUP(B234,'114+840'!$B$15:$AB$516,20,FALSE)</f>
        <v>1719</v>
      </c>
      <c r="H234" s="72">
        <f>VLOOKUP(B234,'114+840'!$B$15:$AB$516,4,FALSE)</f>
        <v>-180</v>
      </c>
      <c r="I234" s="69">
        <f t="shared" si="41"/>
        <v>2639</v>
      </c>
      <c r="J234" s="69">
        <f>VLOOKUP(B234,'114+840'!$B$15:$AB$516,13,FALSE)</f>
        <v>-361</v>
      </c>
      <c r="K234" s="67">
        <f>'114+840'!Q235</f>
        <v>0</v>
      </c>
      <c r="L234" s="66">
        <f t="shared" si="46"/>
        <v>281</v>
      </c>
      <c r="M234" s="71">
        <f>VLOOKUP(B234,'114+840'!$B$14:$AB$516,21,FALSE)</f>
        <v>1527</v>
      </c>
      <c r="N234" s="70">
        <f>VLOOKUP(B234,'114+840'!$B$15:$AB$516,5,FALSE)</f>
        <v>-168</v>
      </c>
      <c r="O234" s="69">
        <f t="shared" si="42"/>
        <v>2627</v>
      </c>
      <c r="P234" s="69">
        <f>VLOOKUP(B234,'114+840'!$B$15:$AB$516,14,FALSE)</f>
        <v>-373</v>
      </c>
      <c r="Q234" s="67">
        <f>'114+840'!R235</f>
        <v>0</v>
      </c>
      <c r="R234" s="66">
        <f t="shared" si="47"/>
        <v>473</v>
      </c>
      <c r="S234" s="71">
        <f>VLOOKUP(B234,'114+840'!$B$14:$AB$516,22,FALSE)</f>
        <v>1742</v>
      </c>
      <c r="T234" s="70">
        <f>VLOOKUP(B234,'114+840'!$B$15:$AB$516,6,FALSE)</f>
        <v>107</v>
      </c>
      <c r="U234" s="69">
        <f t="shared" si="43"/>
        <v>2352</v>
      </c>
      <c r="V234" s="68">
        <f>VLOOKUP(B234,'114+840'!$B$15:$AB$516,15,FALSE)</f>
        <v>-648</v>
      </c>
      <c r="W234" s="67">
        <f>'114+840'!S235</f>
        <v>0</v>
      </c>
      <c r="X234" s="66">
        <f t="shared" si="48"/>
        <v>258</v>
      </c>
      <c r="Y234" s="65">
        <f t="shared" si="49"/>
        <v>0</v>
      </c>
      <c r="Z234" s="64">
        <f t="shared" si="50"/>
        <v>0</v>
      </c>
      <c r="AA234" s="63">
        <f t="shared" si="51"/>
        <v>2.3239999999999998</v>
      </c>
      <c r="AB234" s="63">
        <f t="shared" si="52"/>
        <v>0.95399999999999996</v>
      </c>
    </row>
    <row r="235" spans="2:28">
      <c r="B235" s="104">
        <f>'114+840'!B236</f>
        <v>45492</v>
      </c>
      <c r="C235" s="75">
        <f t="shared" si="44"/>
        <v>1</v>
      </c>
      <c r="D235" s="74">
        <f t="shared" si="45"/>
        <v>842</v>
      </c>
      <c r="E235" s="73">
        <f>VLOOKUP(B235,'114+840'!B236:AB255,3,FALSE)</f>
        <v>1619</v>
      </c>
      <c r="F235" s="70">
        <f t="shared" si="40"/>
        <v>2461</v>
      </c>
      <c r="G235" s="72">
        <f>VLOOKUP(B235,'114+840'!$B$15:$AB$516,20,FALSE)</f>
        <v>1719</v>
      </c>
      <c r="H235" s="72">
        <f>VLOOKUP(B235,'114+840'!$B$15:$AB$516,4,FALSE)</f>
        <v>-178</v>
      </c>
      <c r="I235" s="69">
        <f t="shared" si="41"/>
        <v>2639</v>
      </c>
      <c r="J235" s="69">
        <f>VLOOKUP(B235,'114+840'!$B$15:$AB$516,13,FALSE)</f>
        <v>-361</v>
      </c>
      <c r="K235" s="67">
        <f>'114+840'!Q236</f>
        <v>0</v>
      </c>
      <c r="L235" s="66">
        <f t="shared" si="46"/>
        <v>281</v>
      </c>
      <c r="M235" s="71">
        <f>VLOOKUP(B235,'114+840'!$B$14:$AB$516,21,FALSE)</f>
        <v>1527</v>
      </c>
      <c r="N235" s="70">
        <f>VLOOKUP(B235,'114+840'!$B$15:$AB$516,5,FALSE)</f>
        <v>-166</v>
      </c>
      <c r="O235" s="69">
        <f t="shared" si="42"/>
        <v>2627</v>
      </c>
      <c r="P235" s="69">
        <f>VLOOKUP(B235,'114+840'!$B$15:$AB$516,14,FALSE)</f>
        <v>-373</v>
      </c>
      <c r="Q235" s="67">
        <f>'114+840'!R236</f>
        <v>0</v>
      </c>
      <c r="R235" s="66">
        <f t="shared" si="47"/>
        <v>473</v>
      </c>
      <c r="S235" s="71">
        <f>VLOOKUP(B235,'114+840'!$B$14:$AB$516,22,FALSE)</f>
        <v>1742</v>
      </c>
      <c r="T235" s="70">
        <f>VLOOKUP(B235,'114+840'!$B$15:$AB$516,6,FALSE)</f>
        <v>109</v>
      </c>
      <c r="U235" s="69">
        <f t="shared" si="43"/>
        <v>2352</v>
      </c>
      <c r="V235" s="68">
        <f>VLOOKUP(B235,'114+840'!$B$15:$AB$516,15,FALSE)</f>
        <v>-648</v>
      </c>
      <c r="W235" s="67">
        <f>'114+840'!S236</f>
        <v>0</v>
      </c>
      <c r="X235" s="66">
        <f t="shared" si="48"/>
        <v>258</v>
      </c>
      <c r="Y235" s="65">
        <f t="shared" si="49"/>
        <v>0</v>
      </c>
      <c r="Z235" s="64">
        <f t="shared" si="50"/>
        <v>0</v>
      </c>
      <c r="AA235" s="63">
        <f t="shared" si="51"/>
        <v>2.3239999999999998</v>
      </c>
      <c r="AB235" s="63">
        <f t="shared" si="52"/>
        <v>0.95399999999999996</v>
      </c>
    </row>
    <row r="236" spans="2:28">
      <c r="B236" s="104">
        <f>'114+840'!B237</f>
        <v>45493</v>
      </c>
      <c r="C236" s="75">
        <f t="shared" si="44"/>
        <v>1</v>
      </c>
      <c r="D236" s="74">
        <f t="shared" si="45"/>
        <v>842</v>
      </c>
      <c r="E236" s="73">
        <f>VLOOKUP(B236,'114+840'!B237:AB255,3,FALSE)</f>
        <v>1621</v>
      </c>
      <c r="F236" s="70">
        <f t="shared" si="40"/>
        <v>2463</v>
      </c>
      <c r="G236" s="72">
        <f>VLOOKUP(B236,'114+840'!$B$15:$AB$516,20,FALSE)</f>
        <v>1719</v>
      </c>
      <c r="H236" s="72">
        <f>VLOOKUP(B236,'114+840'!$B$15:$AB$516,4,FALSE)</f>
        <v>-176</v>
      </c>
      <c r="I236" s="69">
        <f t="shared" si="41"/>
        <v>2639</v>
      </c>
      <c r="J236" s="69">
        <f>VLOOKUP(B236,'114+840'!$B$15:$AB$516,13,FALSE)</f>
        <v>-361</v>
      </c>
      <c r="K236" s="67">
        <f>'114+840'!Q237</f>
        <v>0</v>
      </c>
      <c r="L236" s="66">
        <f t="shared" si="46"/>
        <v>281</v>
      </c>
      <c r="M236" s="71">
        <f>VLOOKUP(B236,'114+840'!$B$14:$AB$516,21,FALSE)</f>
        <v>1527</v>
      </c>
      <c r="N236" s="70">
        <f>VLOOKUP(B236,'114+840'!$B$15:$AB$516,5,FALSE)</f>
        <v>-164</v>
      </c>
      <c r="O236" s="69">
        <f t="shared" si="42"/>
        <v>2627</v>
      </c>
      <c r="P236" s="69">
        <f>VLOOKUP(B236,'114+840'!$B$15:$AB$516,14,FALSE)</f>
        <v>-373</v>
      </c>
      <c r="Q236" s="67">
        <f>'114+840'!R237</f>
        <v>0</v>
      </c>
      <c r="R236" s="66">
        <f t="shared" si="47"/>
        <v>473</v>
      </c>
      <c r="S236" s="71">
        <f>VLOOKUP(B236,'114+840'!$B$14:$AB$516,22,FALSE)</f>
        <v>1742</v>
      </c>
      <c r="T236" s="70">
        <f>VLOOKUP(B236,'114+840'!$B$15:$AB$516,6,FALSE)</f>
        <v>111</v>
      </c>
      <c r="U236" s="69">
        <f t="shared" si="43"/>
        <v>2352</v>
      </c>
      <c r="V236" s="68">
        <f>VLOOKUP(B236,'114+840'!$B$15:$AB$516,15,FALSE)</f>
        <v>-648</v>
      </c>
      <c r="W236" s="67">
        <f>'114+840'!S237</f>
        <v>0</v>
      </c>
      <c r="X236" s="66">
        <f t="shared" si="48"/>
        <v>258</v>
      </c>
      <c r="Y236" s="65">
        <f t="shared" si="49"/>
        <v>0</v>
      </c>
      <c r="Z236" s="64">
        <f t="shared" si="50"/>
        <v>0</v>
      </c>
      <c r="AA236" s="63">
        <f t="shared" si="51"/>
        <v>2.3239999999999998</v>
      </c>
      <c r="AB236" s="63">
        <f t="shared" si="52"/>
        <v>0.95399999999999996</v>
      </c>
    </row>
    <row r="237" spans="2:28">
      <c r="B237" s="104">
        <f>'114+840'!B238</f>
        <v>45494</v>
      </c>
      <c r="C237" s="75">
        <f t="shared" si="44"/>
        <v>1</v>
      </c>
      <c r="D237" s="74">
        <f t="shared" si="45"/>
        <v>842</v>
      </c>
      <c r="E237" s="73">
        <f>VLOOKUP(B237,'114+840'!B238:AB255,3,FALSE)</f>
        <v>1623</v>
      </c>
      <c r="F237" s="70">
        <f t="shared" si="40"/>
        <v>2465</v>
      </c>
      <c r="G237" s="72">
        <f>VLOOKUP(B237,'114+840'!$B$15:$AB$516,20,FALSE)</f>
        <v>1719</v>
      </c>
      <c r="H237" s="72">
        <f>VLOOKUP(B237,'114+840'!$B$15:$AB$516,4,FALSE)</f>
        <v>-174</v>
      </c>
      <c r="I237" s="69">
        <f t="shared" si="41"/>
        <v>2639</v>
      </c>
      <c r="J237" s="69">
        <f>VLOOKUP(B237,'114+840'!$B$15:$AB$516,13,FALSE)</f>
        <v>-361</v>
      </c>
      <c r="K237" s="67">
        <f>'114+840'!Q238</f>
        <v>0</v>
      </c>
      <c r="L237" s="66">
        <f t="shared" si="46"/>
        <v>281</v>
      </c>
      <c r="M237" s="71">
        <f>VLOOKUP(B237,'114+840'!$B$14:$AB$516,21,FALSE)</f>
        <v>1527</v>
      </c>
      <c r="N237" s="70">
        <f>VLOOKUP(B237,'114+840'!$B$15:$AB$516,5,FALSE)</f>
        <v>-162</v>
      </c>
      <c r="O237" s="69">
        <f t="shared" si="42"/>
        <v>2627</v>
      </c>
      <c r="P237" s="69">
        <f>VLOOKUP(B237,'114+840'!$B$15:$AB$516,14,FALSE)</f>
        <v>-373</v>
      </c>
      <c r="Q237" s="67">
        <f>'114+840'!R238</f>
        <v>0</v>
      </c>
      <c r="R237" s="66">
        <f t="shared" si="47"/>
        <v>473</v>
      </c>
      <c r="S237" s="71">
        <f>VLOOKUP(B237,'114+840'!$B$14:$AB$516,22,FALSE)</f>
        <v>1742</v>
      </c>
      <c r="T237" s="70">
        <f>VLOOKUP(B237,'114+840'!$B$15:$AB$516,6,FALSE)</f>
        <v>113</v>
      </c>
      <c r="U237" s="69">
        <f t="shared" si="43"/>
        <v>2352</v>
      </c>
      <c r="V237" s="68">
        <f>VLOOKUP(B237,'114+840'!$B$15:$AB$516,15,FALSE)</f>
        <v>-648</v>
      </c>
      <c r="W237" s="67">
        <f>'114+840'!S238</f>
        <v>0</v>
      </c>
      <c r="X237" s="66">
        <f t="shared" si="48"/>
        <v>258</v>
      </c>
      <c r="Y237" s="65">
        <f t="shared" si="49"/>
        <v>0</v>
      </c>
      <c r="Z237" s="64">
        <f t="shared" si="50"/>
        <v>0</v>
      </c>
      <c r="AA237" s="63">
        <f t="shared" si="51"/>
        <v>2.3239999999999998</v>
      </c>
      <c r="AB237" s="63">
        <f t="shared" si="52"/>
        <v>0.95399999999999996</v>
      </c>
    </row>
    <row r="238" spans="2:28">
      <c r="B238" s="104">
        <f>'114+840'!B239</f>
        <v>45495</v>
      </c>
      <c r="C238" s="75">
        <f t="shared" si="44"/>
        <v>1</v>
      </c>
      <c r="D238" s="74">
        <f t="shared" si="45"/>
        <v>842</v>
      </c>
      <c r="E238" s="73">
        <f>VLOOKUP(B238,'114+840'!B239:AB255,3,FALSE)</f>
        <v>1625</v>
      </c>
      <c r="F238" s="70">
        <f t="shared" si="40"/>
        <v>2467</v>
      </c>
      <c r="G238" s="72">
        <f>VLOOKUP(B238,'114+840'!$B$15:$AB$516,20,FALSE)</f>
        <v>1719</v>
      </c>
      <c r="H238" s="72">
        <f>VLOOKUP(B238,'114+840'!$B$15:$AB$516,4,FALSE)</f>
        <v>-172</v>
      </c>
      <c r="I238" s="69">
        <f t="shared" si="41"/>
        <v>2639</v>
      </c>
      <c r="J238" s="69">
        <f>VLOOKUP(B238,'114+840'!$B$15:$AB$516,13,FALSE)</f>
        <v>-361</v>
      </c>
      <c r="K238" s="67">
        <f>'114+840'!Q239</f>
        <v>0</v>
      </c>
      <c r="L238" s="66">
        <f t="shared" si="46"/>
        <v>281</v>
      </c>
      <c r="M238" s="71">
        <f>VLOOKUP(B238,'114+840'!$B$14:$AB$516,21,FALSE)</f>
        <v>1527</v>
      </c>
      <c r="N238" s="70">
        <f>VLOOKUP(B238,'114+840'!$B$15:$AB$516,5,FALSE)</f>
        <v>-160</v>
      </c>
      <c r="O238" s="69">
        <f t="shared" si="42"/>
        <v>2627</v>
      </c>
      <c r="P238" s="69">
        <f>VLOOKUP(B238,'114+840'!$B$15:$AB$516,14,FALSE)</f>
        <v>-373</v>
      </c>
      <c r="Q238" s="67">
        <f>'114+840'!R239</f>
        <v>0</v>
      </c>
      <c r="R238" s="66">
        <f t="shared" si="47"/>
        <v>473</v>
      </c>
      <c r="S238" s="71">
        <f>VLOOKUP(B238,'114+840'!$B$14:$AB$516,22,FALSE)</f>
        <v>1742</v>
      </c>
      <c r="T238" s="70">
        <f>VLOOKUP(B238,'114+840'!$B$15:$AB$516,6,FALSE)</f>
        <v>115</v>
      </c>
      <c r="U238" s="69">
        <f t="shared" si="43"/>
        <v>2352</v>
      </c>
      <c r="V238" s="68">
        <f>VLOOKUP(B238,'114+840'!$B$15:$AB$516,15,FALSE)</f>
        <v>-648</v>
      </c>
      <c r="W238" s="67">
        <f>'114+840'!S239</f>
        <v>0</v>
      </c>
      <c r="X238" s="66">
        <f t="shared" si="48"/>
        <v>258</v>
      </c>
      <c r="Y238" s="65">
        <f t="shared" si="49"/>
        <v>0</v>
      </c>
      <c r="Z238" s="64">
        <f t="shared" si="50"/>
        <v>0</v>
      </c>
      <c r="AA238" s="63">
        <f t="shared" si="51"/>
        <v>2.3239999999999998</v>
      </c>
      <c r="AB238" s="63">
        <f t="shared" si="52"/>
        <v>0.95399999999999996</v>
      </c>
    </row>
    <row r="239" spans="2:28">
      <c r="B239" s="104">
        <f>'114+840'!B240</f>
        <v>45496</v>
      </c>
      <c r="C239" s="75">
        <f t="shared" si="44"/>
        <v>1</v>
      </c>
      <c r="D239" s="74">
        <f t="shared" si="45"/>
        <v>842</v>
      </c>
      <c r="E239" s="73">
        <f>VLOOKUP(B239,'114+840'!B240:AB255,3,FALSE)</f>
        <v>1627</v>
      </c>
      <c r="F239" s="70">
        <f t="shared" si="40"/>
        <v>2469</v>
      </c>
      <c r="G239" s="72">
        <f>VLOOKUP(B239,'114+840'!$B$15:$AB$516,20,FALSE)</f>
        <v>1719</v>
      </c>
      <c r="H239" s="72">
        <f>VLOOKUP(B239,'114+840'!$B$15:$AB$516,4,FALSE)</f>
        <v>-170</v>
      </c>
      <c r="I239" s="69">
        <f t="shared" si="41"/>
        <v>2639</v>
      </c>
      <c r="J239" s="69">
        <f>VLOOKUP(B239,'114+840'!$B$15:$AB$516,13,FALSE)</f>
        <v>-361</v>
      </c>
      <c r="K239" s="67">
        <f>'114+840'!Q240</f>
        <v>0</v>
      </c>
      <c r="L239" s="66">
        <f t="shared" si="46"/>
        <v>281</v>
      </c>
      <c r="M239" s="71">
        <f>VLOOKUP(B239,'114+840'!$B$14:$AB$516,21,FALSE)</f>
        <v>1527</v>
      </c>
      <c r="N239" s="70">
        <f>VLOOKUP(B239,'114+840'!$B$15:$AB$516,5,FALSE)</f>
        <v>-158</v>
      </c>
      <c r="O239" s="69">
        <f t="shared" si="42"/>
        <v>2627</v>
      </c>
      <c r="P239" s="69">
        <f>VLOOKUP(B239,'114+840'!$B$15:$AB$516,14,FALSE)</f>
        <v>-373</v>
      </c>
      <c r="Q239" s="67">
        <f>'114+840'!R240</f>
        <v>0</v>
      </c>
      <c r="R239" s="66">
        <f t="shared" si="47"/>
        <v>473</v>
      </c>
      <c r="S239" s="71">
        <f>VLOOKUP(B239,'114+840'!$B$14:$AB$516,22,FALSE)</f>
        <v>1742</v>
      </c>
      <c r="T239" s="70">
        <f>VLOOKUP(B239,'114+840'!$B$15:$AB$516,6,FALSE)</f>
        <v>117</v>
      </c>
      <c r="U239" s="69">
        <f t="shared" si="43"/>
        <v>2352</v>
      </c>
      <c r="V239" s="68">
        <f>VLOOKUP(B239,'114+840'!$B$15:$AB$516,15,FALSE)</f>
        <v>-648</v>
      </c>
      <c r="W239" s="67">
        <f>'114+840'!S240</f>
        <v>0</v>
      </c>
      <c r="X239" s="66">
        <f t="shared" si="48"/>
        <v>258</v>
      </c>
      <c r="Y239" s="65">
        <f t="shared" si="49"/>
        <v>0</v>
      </c>
      <c r="Z239" s="64">
        <f t="shared" si="50"/>
        <v>0</v>
      </c>
      <c r="AA239" s="63">
        <f t="shared" si="51"/>
        <v>2.3239999999999998</v>
      </c>
      <c r="AB239" s="63">
        <f t="shared" si="52"/>
        <v>0.95399999999999996</v>
      </c>
    </row>
    <row r="240" spans="2:28">
      <c r="B240" s="104">
        <f>'114+840'!B241</f>
        <v>45497</v>
      </c>
      <c r="C240" s="75">
        <f t="shared" si="44"/>
        <v>1</v>
      </c>
      <c r="D240" s="74">
        <f t="shared" si="45"/>
        <v>842</v>
      </c>
      <c r="E240" s="73">
        <f>VLOOKUP(B240,'114+840'!B241:AB255,3,FALSE)</f>
        <v>1629</v>
      </c>
      <c r="F240" s="70">
        <f t="shared" si="40"/>
        <v>2471</v>
      </c>
      <c r="G240" s="72">
        <f>VLOOKUP(B240,'114+840'!$B$15:$AB$516,20,FALSE)</f>
        <v>1719</v>
      </c>
      <c r="H240" s="72">
        <f>VLOOKUP(B240,'114+840'!$B$15:$AB$516,4,FALSE)</f>
        <v>-168</v>
      </c>
      <c r="I240" s="69">
        <f t="shared" si="41"/>
        <v>2639</v>
      </c>
      <c r="J240" s="69">
        <f>VLOOKUP(B240,'114+840'!$B$15:$AB$516,13,FALSE)</f>
        <v>-361</v>
      </c>
      <c r="K240" s="67">
        <f>'114+840'!Q241</f>
        <v>0</v>
      </c>
      <c r="L240" s="66">
        <f t="shared" si="46"/>
        <v>281</v>
      </c>
      <c r="M240" s="71">
        <f>VLOOKUP(B240,'114+840'!$B$14:$AB$516,21,FALSE)</f>
        <v>1527</v>
      </c>
      <c r="N240" s="70">
        <f>VLOOKUP(B240,'114+840'!$B$15:$AB$516,5,FALSE)</f>
        <v>-156</v>
      </c>
      <c r="O240" s="69">
        <f t="shared" si="42"/>
        <v>2627</v>
      </c>
      <c r="P240" s="69">
        <f>VLOOKUP(B240,'114+840'!$B$15:$AB$516,14,FALSE)</f>
        <v>-373</v>
      </c>
      <c r="Q240" s="67">
        <f>'114+840'!R241</f>
        <v>0</v>
      </c>
      <c r="R240" s="66">
        <f t="shared" si="47"/>
        <v>473</v>
      </c>
      <c r="S240" s="71">
        <f>VLOOKUP(B240,'114+840'!$B$14:$AB$516,22,FALSE)</f>
        <v>1742</v>
      </c>
      <c r="T240" s="70">
        <f>VLOOKUP(B240,'114+840'!$B$15:$AB$516,6,FALSE)</f>
        <v>119</v>
      </c>
      <c r="U240" s="69">
        <f t="shared" si="43"/>
        <v>2352</v>
      </c>
      <c r="V240" s="68">
        <f>VLOOKUP(B240,'114+840'!$B$15:$AB$516,15,FALSE)</f>
        <v>-648</v>
      </c>
      <c r="W240" s="67">
        <f>'114+840'!S241</f>
        <v>0</v>
      </c>
      <c r="X240" s="66">
        <f t="shared" si="48"/>
        <v>258</v>
      </c>
      <c r="Y240" s="65">
        <f t="shared" si="49"/>
        <v>0</v>
      </c>
      <c r="Z240" s="64">
        <f t="shared" si="50"/>
        <v>0</v>
      </c>
      <c r="AA240" s="63">
        <f t="shared" si="51"/>
        <v>2.3239999999999998</v>
      </c>
      <c r="AB240" s="63">
        <f t="shared" si="52"/>
        <v>0.95399999999999996</v>
      </c>
    </row>
    <row r="241" spans="2:28">
      <c r="B241" s="104">
        <f>'114+840'!B242</f>
        <v>45498</v>
      </c>
      <c r="C241" s="75">
        <f t="shared" si="44"/>
        <v>1</v>
      </c>
      <c r="D241" s="74">
        <f t="shared" si="45"/>
        <v>842</v>
      </c>
      <c r="E241" s="73">
        <f>VLOOKUP(B241,'114+840'!B242:AB255,3,FALSE)</f>
        <v>1631</v>
      </c>
      <c r="F241" s="70">
        <f t="shared" si="40"/>
        <v>2473</v>
      </c>
      <c r="G241" s="72">
        <f>VLOOKUP(B241,'114+840'!$B$15:$AB$516,20,FALSE)</f>
        <v>1719</v>
      </c>
      <c r="H241" s="72">
        <f>VLOOKUP(B241,'114+840'!$B$15:$AB$516,4,FALSE)</f>
        <v>-166</v>
      </c>
      <c r="I241" s="69">
        <f t="shared" si="41"/>
        <v>2639</v>
      </c>
      <c r="J241" s="69">
        <f>VLOOKUP(B241,'114+840'!$B$15:$AB$516,13,FALSE)</f>
        <v>-361</v>
      </c>
      <c r="K241" s="67">
        <f>'114+840'!Q242</f>
        <v>0</v>
      </c>
      <c r="L241" s="66">
        <f t="shared" si="46"/>
        <v>281</v>
      </c>
      <c r="M241" s="71">
        <f>VLOOKUP(B241,'114+840'!$B$14:$AB$516,21,FALSE)</f>
        <v>1527</v>
      </c>
      <c r="N241" s="70">
        <f>VLOOKUP(B241,'114+840'!$B$15:$AB$516,5,FALSE)</f>
        <v>-154</v>
      </c>
      <c r="O241" s="69">
        <f t="shared" si="42"/>
        <v>2627</v>
      </c>
      <c r="P241" s="69">
        <f>VLOOKUP(B241,'114+840'!$B$15:$AB$516,14,FALSE)</f>
        <v>-373</v>
      </c>
      <c r="Q241" s="67">
        <f>'114+840'!R242</f>
        <v>0</v>
      </c>
      <c r="R241" s="66">
        <f t="shared" si="47"/>
        <v>473</v>
      </c>
      <c r="S241" s="71">
        <f>VLOOKUP(B241,'114+840'!$B$14:$AB$516,22,FALSE)</f>
        <v>1742</v>
      </c>
      <c r="T241" s="70">
        <f>VLOOKUP(B241,'114+840'!$B$15:$AB$516,6,FALSE)</f>
        <v>121</v>
      </c>
      <c r="U241" s="69">
        <f t="shared" si="43"/>
        <v>2352</v>
      </c>
      <c r="V241" s="68">
        <f>VLOOKUP(B241,'114+840'!$B$15:$AB$516,15,FALSE)</f>
        <v>-648</v>
      </c>
      <c r="W241" s="67">
        <f>'114+840'!S242</f>
        <v>0</v>
      </c>
      <c r="X241" s="66">
        <f t="shared" si="48"/>
        <v>258</v>
      </c>
      <c r="Y241" s="65">
        <f t="shared" si="49"/>
        <v>0</v>
      </c>
      <c r="Z241" s="64">
        <f t="shared" si="50"/>
        <v>0</v>
      </c>
      <c r="AA241" s="63">
        <f t="shared" si="51"/>
        <v>2.3239999999999998</v>
      </c>
      <c r="AB241" s="63">
        <f t="shared" si="52"/>
        <v>0.95399999999999996</v>
      </c>
    </row>
    <row r="242" spans="2:28">
      <c r="B242" s="104">
        <f>'114+840'!B243</f>
        <v>45499</v>
      </c>
      <c r="C242" s="75">
        <f t="shared" si="44"/>
        <v>1</v>
      </c>
      <c r="D242" s="74">
        <f t="shared" si="45"/>
        <v>842</v>
      </c>
      <c r="E242" s="73">
        <f>VLOOKUP(B242,'114+840'!B243:AB255,3,FALSE)</f>
        <v>1633</v>
      </c>
      <c r="F242" s="70">
        <f t="shared" si="40"/>
        <v>2475</v>
      </c>
      <c r="G242" s="72">
        <f>VLOOKUP(B242,'114+840'!$B$15:$AB$516,20,FALSE)</f>
        <v>1719</v>
      </c>
      <c r="H242" s="72">
        <f>VLOOKUP(B242,'114+840'!$B$15:$AB$516,4,FALSE)</f>
        <v>-164</v>
      </c>
      <c r="I242" s="69">
        <f t="shared" si="41"/>
        <v>2639</v>
      </c>
      <c r="J242" s="69">
        <f>VLOOKUP(B242,'114+840'!$B$15:$AB$516,13,FALSE)</f>
        <v>-361</v>
      </c>
      <c r="K242" s="67">
        <f>'114+840'!Q243</f>
        <v>0</v>
      </c>
      <c r="L242" s="66">
        <f t="shared" si="46"/>
        <v>281</v>
      </c>
      <c r="M242" s="71">
        <f>VLOOKUP(B242,'114+840'!$B$14:$AB$516,21,FALSE)</f>
        <v>1527</v>
      </c>
      <c r="N242" s="70">
        <f>VLOOKUP(B242,'114+840'!$B$15:$AB$516,5,FALSE)</f>
        <v>-152</v>
      </c>
      <c r="O242" s="69">
        <f t="shared" si="42"/>
        <v>2627</v>
      </c>
      <c r="P242" s="69">
        <f>VLOOKUP(B242,'114+840'!$B$15:$AB$516,14,FALSE)</f>
        <v>-373</v>
      </c>
      <c r="Q242" s="67">
        <f>'114+840'!R243</f>
        <v>0</v>
      </c>
      <c r="R242" s="66">
        <f t="shared" si="47"/>
        <v>473</v>
      </c>
      <c r="S242" s="71">
        <f>VLOOKUP(B242,'114+840'!$B$14:$AB$516,22,FALSE)</f>
        <v>1742</v>
      </c>
      <c r="T242" s="70">
        <f>VLOOKUP(B242,'114+840'!$B$15:$AB$516,6,FALSE)</f>
        <v>123</v>
      </c>
      <c r="U242" s="69">
        <f t="shared" si="43"/>
        <v>2352</v>
      </c>
      <c r="V242" s="68">
        <f>VLOOKUP(B242,'114+840'!$B$15:$AB$516,15,FALSE)</f>
        <v>-648</v>
      </c>
      <c r="W242" s="67">
        <f>'114+840'!S243</f>
        <v>0</v>
      </c>
      <c r="X242" s="66">
        <f t="shared" si="48"/>
        <v>258</v>
      </c>
      <c r="Y242" s="65">
        <f t="shared" si="49"/>
        <v>0</v>
      </c>
      <c r="Z242" s="64">
        <f t="shared" si="50"/>
        <v>0</v>
      </c>
      <c r="AA242" s="63">
        <f t="shared" si="51"/>
        <v>2.3239999999999998</v>
      </c>
      <c r="AB242" s="63">
        <f t="shared" si="52"/>
        <v>0.95399999999999996</v>
      </c>
    </row>
    <row r="243" spans="2:28">
      <c r="B243" s="104">
        <f>'114+840'!B244</f>
        <v>45500</v>
      </c>
      <c r="C243" s="75">
        <f t="shared" si="44"/>
        <v>1</v>
      </c>
      <c r="D243" s="74">
        <f t="shared" si="45"/>
        <v>842</v>
      </c>
      <c r="E243" s="73">
        <f>VLOOKUP(B243,'114+840'!B244:AB255,3,FALSE)</f>
        <v>1635</v>
      </c>
      <c r="F243" s="70">
        <f t="shared" si="40"/>
        <v>2477</v>
      </c>
      <c r="G243" s="72">
        <f>VLOOKUP(B243,'114+840'!$B$15:$AB$516,20,FALSE)</f>
        <v>1719</v>
      </c>
      <c r="H243" s="72">
        <f>VLOOKUP(B243,'114+840'!$B$15:$AB$516,4,FALSE)</f>
        <v>-162</v>
      </c>
      <c r="I243" s="69">
        <f t="shared" si="41"/>
        <v>2639</v>
      </c>
      <c r="J243" s="69">
        <f>VLOOKUP(B243,'114+840'!$B$15:$AB$516,13,FALSE)</f>
        <v>-361</v>
      </c>
      <c r="K243" s="67">
        <f>'114+840'!Q244</f>
        <v>0</v>
      </c>
      <c r="L243" s="66">
        <f t="shared" si="46"/>
        <v>281</v>
      </c>
      <c r="M243" s="71">
        <f>VLOOKUP(B243,'114+840'!$B$14:$AB$516,21,FALSE)</f>
        <v>1527</v>
      </c>
      <c r="N243" s="70">
        <f>VLOOKUP(B243,'114+840'!$B$15:$AB$516,5,FALSE)</f>
        <v>-150</v>
      </c>
      <c r="O243" s="69">
        <f t="shared" si="42"/>
        <v>2627</v>
      </c>
      <c r="P243" s="69">
        <f>VLOOKUP(B243,'114+840'!$B$15:$AB$516,14,FALSE)</f>
        <v>-373</v>
      </c>
      <c r="Q243" s="67">
        <f>'114+840'!R244</f>
        <v>0</v>
      </c>
      <c r="R243" s="66">
        <f t="shared" si="47"/>
        <v>473</v>
      </c>
      <c r="S243" s="71">
        <f>VLOOKUP(B243,'114+840'!$B$14:$AB$516,22,FALSE)</f>
        <v>1742</v>
      </c>
      <c r="T243" s="70">
        <f>VLOOKUP(B243,'114+840'!$B$15:$AB$516,6,FALSE)</f>
        <v>125</v>
      </c>
      <c r="U243" s="69">
        <f t="shared" si="43"/>
        <v>2352</v>
      </c>
      <c r="V243" s="68">
        <f>VLOOKUP(B243,'114+840'!$B$15:$AB$516,15,FALSE)</f>
        <v>-648</v>
      </c>
      <c r="W243" s="67">
        <f>'114+840'!S244</f>
        <v>0</v>
      </c>
      <c r="X243" s="66">
        <f t="shared" si="48"/>
        <v>258</v>
      </c>
      <c r="Y243" s="65">
        <f t="shared" si="49"/>
        <v>0</v>
      </c>
      <c r="Z243" s="64">
        <f t="shared" si="50"/>
        <v>0</v>
      </c>
      <c r="AA243" s="63">
        <f t="shared" si="51"/>
        <v>2.3239999999999998</v>
      </c>
      <c r="AB243" s="63">
        <f t="shared" si="52"/>
        <v>0.95399999999999996</v>
      </c>
    </row>
    <row r="244" spans="2:28">
      <c r="B244" s="104">
        <f>'114+840'!B245</f>
        <v>45501</v>
      </c>
      <c r="C244" s="75">
        <f t="shared" si="44"/>
        <v>1</v>
      </c>
      <c r="D244" s="74">
        <f t="shared" si="45"/>
        <v>842</v>
      </c>
      <c r="E244" s="73">
        <f>VLOOKUP(B244,'114+840'!B245:AB255,3,FALSE)</f>
        <v>1637</v>
      </c>
      <c r="F244" s="70">
        <f t="shared" si="40"/>
        <v>2479</v>
      </c>
      <c r="G244" s="72">
        <f>VLOOKUP(B244,'114+840'!$B$15:$AB$516,20,FALSE)</f>
        <v>1719</v>
      </c>
      <c r="H244" s="72">
        <f>VLOOKUP(B244,'114+840'!$B$15:$AB$516,4,FALSE)</f>
        <v>-160</v>
      </c>
      <c r="I244" s="69">
        <f t="shared" si="41"/>
        <v>2639</v>
      </c>
      <c r="J244" s="69">
        <f>VLOOKUP(B244,'114+840'!$B$15:$AB$516,13,FALSE)</f>
        <v>-361</v>
      </c>
      <c r="K244" s="67">
        <f>'114+840'!Q245</f>
        <v>0</v>
      </c>
      <c r="L244" s="66">
        <f t="shared" si="46"/>
        <v>281</v>
      </c>
      <c r="M244" s="71">
        <f>VLOOKUP(B244,'114+840'!$B$14:$AB$516,21,FALSE)</f>
        <v>1527</v>
      </c>
      <c r="N244" s="70">
        <f>VLOOKUP(B244,'114+840'!$B$15:$AB$516,5,FALSE)</f>
        <v>-148</v>
      </c>
      <c r="O244" s="69">
        <f t="shared" si="42"/>
        <v>2627</v>
      </c>
      <c r="P244" s="69">
        <f>VLOOKUP(B244,'114+840'!$B$15:$AB$516,14,FALSE)</f>
        <v>-373</v>
      </c>
      <c r="Q244" s="67">
        <f>'114+840'!R245</f>
        <v>0</v>
      </c>
      <c r="R244" s="66">
        <f t="shared" si="47"/>
        <v>473</v>
      </c>
      <c r="S244" s="71">
        <f>VLOOKUP(B244,'114+840'!$B$14:$AB$516,22,FALSE)</f>
        <v>1742</v>
      </c>
      <c r="T244" s="70">
        <f>VLOOKUP(B244,'114+840'!$B$15:$AB$516,6,FALSE)</f>
        <v>127</v>
      </c>
      <c r="U244" s="69">
        <f t="shared" si="43"/>
        <v>2352</v>
      </c>
      <c r="V244" s="68">
        <f>VLOOKUP(B244,'114+840'!$B$15:$AB$516,15,FALSE)</f>
        <v>-648</v>
      </c>
      <c r="W244" s="67">
        <f>'114+840'!S245</f>
        <v>0</v>
      </c>
      <c r="X244" s="66">
        <f t="shared" si="48"/>
        <v>258</v>
      </c>
      <c r="Y244" s="65">
        <f t="shared" si="49"/>
        <v>0</v>
      </c>
      <c r="Z244" s="64">
        <f t="shared" si="50"/>
        <v>0</v>
      </c>
      <c r="AA244" s="63">
        <f t="shared" si="51"/>
        <v>2.3239999999999998</v>
      </c>
      <c r="AB244" s="63">
        <f t="shared" si="52"/>
        <v>0.95399999999999996</v>
      </c>
    </row>
    <row r="245" spans="2:28">
      <c r="B245" s="104">
        <f>'114+840'!B246</f>
        <v>45502</v>
      </c>
      <c r="C245" s="75">
        <f t="shared" si="44"/>
        <v>1</v>
      </c>
      <c r="D245" s="74">
        <f t="shared" si="45"/>
        <v>842</v>
      </c>
      <c r="E245" s="73">
        <f>VLOOKUP(B245,'114+840'!B246:AB255,3,FALSE)</f>
        <v>1639</v>
      </c>
      <c r="F245" s="70">
        <f t="shared" si="40"/>
        <v>2481</v>
      </c>
      <c r="G245" s="72">
        <f>VLOOKUP(B245,'114+840'!$B$15:$AB$516,20,FALSE)</f>
        <v>1719</v>
      </c>
      <c r="H245" s="72">
        <f>VLOOKUP(B245,'114+840'!$B$15:$AB$516,4,FALSE)</f>
        <v>-158</v>
      </c>
      <c r="I245" s="69">
        <f t="shared" si="41"/>
        <v>2639</v>
      </c>
      <c r="J245" s="69">
        <f>VLOOKUP(B245,'114+840'!$B$15:$AB$516,13,FALSE)</f>
        <v>-361</v>
      </c>
      <c r="K245" s="67">
        <f>'114+840'!Q246</f>
        <v>0</v>
      </c>
      <c r="L245" s="66">
        <f t="shared" si="46"/>
        <v>281</v>
      </c>
      <c r="M245" s="71">
        <f>VLOOKUP(B245,'114+840'!$B$14:$AB$516,21,FALSE)</f>
        <v>1527</v>
      </c>
      <c r="N245" s="70">
        <f>VLOOKUP(B245,'114+840'!$B$15:$AB$516,5,FALSE)</f>
        <v>-146</v>
      </c>
      <c r="O245" s="69">
        <f t="shared" si="42"/>
        <v>2627</v>
      </c>
      <c r="P245" s="69">
        <f>VLOOKUP(B245,'114+840'!$B$15:$AB$516,14,FALSE)</f>
        <v>-373</v>
      </c>
      <c r="Q245" s="67">
        <f>'114+840'!R246</f>
        <v>0</v>
      </c>
      <c r="R245" s="66">
        <f t="shared" si="47"/>
        <v>473</v>
      </c>
      <c r="S245" s="71">
        <f>VLOOKUP(B245,'114+840'!$B$14:$AB$516,22,FALSE)</f>
        <v>1742</v>
      </c>
      <c r="T245" s="70">
        <f>VLOOKUP(B245,'114+840'!$B$15:$AB$516,6,FALSE)</f>
        <v>129</v>
      </c>
      <c r="U245" s="69">
        <f t="shared" si="43"/>
        <v>2352</v>
      </c>
      <c r="V245" s="68">
        <f>VLOOKUP(B245,'114+840'!$B$15:$AB$516,15,FALSE)</f>
        <v>-648</v>
      </c>
      <c r="W245" s="67">
        <f>'114+840'!S246</f>
        <v>0</v>
      </c>
      <c r="X245" s="66">
        <f t="shared" si="48"/>
        <v>258</v>
      </c>
      <c r="Y245" s="65">
        <f t="shared" si="49"/>
        <v>0</v>
      </c>
      <c r="Z245" s="64">
        <f t="shared" si="50"/>
        <v>0</v>
      </c>
      <c r="AA245" s="63">
        <f t="shared" si="51"/>
        <v>2.3239999999999998</v>
      </c>
      <c r="AB245" s="63">
        <f t="shared" si="52"/>
        <v>0.95399999999999996</v>
      </c>
    </row>
    <row r="246" spans="2:28">
      <c r="B246" s="104">
        <f>'114+840'!B247</f>
        <v>45503</v>
      </c>
      <c r="C246" s="75">
        <f t="shared" si="44"/>
        <v>1</v>
      </c>
      <c r="D246" s="74">
        <f t="shared" si="45"/>
        <v>842</v>
      </c>
      <c r="E246" s="73">
        <f>VLOOKUP(B246,'114+840'!B247:AB255,3,FALSE)</f>
        <v>1641</v>
      </c>
      <c r="F246" s="70">
        <f t="shared" si="40"/>
        <v>2483</v>
      </c>
      <c r="G246" s="72">
        <f>VLOOKUP(B246,'114+840'!$B$15:$AB$516,20,FALSE)</f>
        <v>1719</v>
      </c>
      <c r="H246" s="72">
        <f>VLOOKUP(B246,'114+840'!$B$15:$AB$516,4,FALSE)</f>
        <v>-156</v>
      </c>
      <c r="I246" s="69">
        <f t="shared" si="41"/>
        <v>2639</v>
      </c>
      <c r="J246" s="69">
        <f>VLOOKUP(B246,'114+840'!$B$15:$AB$516,13,FALSE)</f>
        <v>-361</v>
      </c>
      <c r="K246" s="67">
        <f>'114+840'!Q247</f>
        <v>0</v>
      </c>
      <c r="L246" s="66">
        <f t="shared" si="46"/>
        <v>281</v>
      </c>
      <c r="M246" s="71">
        <f>VLOOKUP(B246,'114+840'!$B$14:$AB$516,21,FALSE)</f>
        <v>1527</v>
      </c>
      <c r="N246" s="70">
        <f>VLOOKUP(B246,'114+840'!$B$15:$AB$516,5,FALSE)</f>
        <v>-144</v>
      </c>
      <c r="O246" s="69">
        <f t="shared" si="42"/>
        <v>2627</v>
      </c>
      <c r="P246" s="69">
        <f>VLOOKUP(B246,'114+840'!$B$15:$AB$516,14,FALSE)</f>
        <v>-373</v>
      </c>
      <c r="Q246" s="67">
        <f>'114+840'!R247</f>
        <v>0</v>
      </c>
      <c r="R246" s="66">
        <f t="shared" si="47"/>
        <v>473</v>
      </c>
      <c r="S246" s="71">
        <f>VLOOKUP(B246,'114+840'!$B$14:$AB$516,22,FALSE)</f>
        <v>1742</v>
      </c>
      <c r="T246" s="70">
        <f>VLOOKUP(B246,'114+840'!$B$15:$AB$516,6,FALSE)</f>
        <v>131</v>
      </c>
      <c r="U246" s="69">
        <f t="shared" si="43"/>
        <v>2352</v>
      </c>
      <c r="V246" s="68">
        <f>VLOOKUP(B246,'114+840'!$B$15:$AB$516,15,FALSE)</f>
        <v>-648</v>
      </c>
      <c r="W246" s="67">
        <f>'114+840'!S247</f>
        <v>0</v>
      </c>
      <c r="X246" s="66">
        <f t="shared" si="48"/>
        <v>258</v>
      </c>
      <c r="Y246" s="65">
        <f t="shared" si="49"/>
        <v>0</v>
      </c>
      <c r="Z246" s="64">
        <f t="shared" si="50"/>
        <v>0</v>
      </c>
      <c r="AA246" s="63">
        <f t="shared" si="51"/>
        <v>2.3239999999999998</v>
      </c>
      <c r="AB246" s="63">
        <f t="shared" si="52"/>
        <v>0.95399999999999996</v>
      </c>
    </row>
    <row r="247" spans="2:28">
      <c r="B247" s="104">
        <f>'114+840'!B248</f>
        <v>45504</v>
      </c>
      <c r="C247" s="75">
        <f t="shared" si="44"/>
        <v>1</v>
      </c>
      <c r="D247" s="74">
        <f t="shared" si="45"/>
        <v>842</v>
      </c>
      <c r="E247" s="73">
        <f>VLOOKUP(B247,'114+840'!B248:AB255,3,FALSE)</f>
        <v>1643</v>
      </c>
      <c r="F247" s="70">
        <f t="shared" si="40"/>
        <v>2485</v>
      </c>
      <c r="G247" s="72">
        <f>VLOOKUP(B247,'114+840'!$B$15:$AB$516,20,FALSE)</f>
        <v>1719</v>
      </c>
      <c r="H247" s="72">
        <f>VLOOKUP(B247,'114+840'!$B$15:$AB$516,4,FALSE)</f>
        <v>-154</v>
      </c>
      <c r="I247" s="69">
        <f t="shared" si="41"/>
        <v>2639</v>
      </c>
      <c r="J247" s="69">
        <f>VLOOKUP(B247,'114+840'!$B$15:$AB$516,13,FALSE)</f>
        <v>-361</v>
      </c>
      <c r="K247" s="67">
        <f>'114+840'!Q248</f>
        <v>0</v>
      </c>
      <c r="L247" s="66">
        <f t="shared" si="46"/>
        <v>281</v>
      </c>
      <c r="M247" s="71">
        <f>VLOOKUP(B247,'114+840'!$B$14:$AB$516,21,FALSE)</f>
        <v>1527</v>
      </c>
      <c r="N247" s="70">
        <f>VLOOKUP(B247,'114+840'!$B$15:$AB$516,5,FALSE)</f>
        <v>-142</v>
      </c>
      <c r="O247" s="69">
        <f t="shared" si="42"/>
        <v>2627</v>
      </c>
      <c r="P247" s="69">
        <f>VLOOKUP(B247,'114+840'!$B$15:$AB$516,14,FALSE)</f>
        <v>-373</v>
      </c>
      <c r="Q247" s="67">
        <f>'114+840'!R248</f>
        <v>0</v>
      </c>
      <c r="R247" s="66">
        <f t="shared" si="47"/>
        <v>473</v>
      </c>
      <c r="S247" s="71">
        <f>VLOOKUP(B247,'114+840'!$B$14:$AB$516,22,FALSE)</f>
        <v>1742</v>
      </c>
      <c r="T247" s="70">
        <f>VLOOKUP(B247,'114+840'!$B$15:$AB$516,6,FALSE)</f>
        <v>133</v>
      </c>
      <c r="U247" s="69">
        <f t="shared" si="43"/>
        <v>2352</v>
      </c>
      <c r="V247" s="68">
        <f>VLOOKUP(B247,'114+840'!$B$15:$AB$516,15,FALSE)</f>
        <v>-648</v>
      </c>
      <c r="W247" s="67">
        <f>'114+840'!S248</f>
        <v>0</v>
      </c>
      <c r="X247" s="66">
        <f t="shared" si="48"/>
        <v>258</v>
      </c>
      <c r="Y247" s="65">
        <f t="shared" si="49"/>
        <v>0</v>
      </c>
      <c r="Z247" s="64">
        <f t="shared" si="50"/>
        <v>0</v>
      </c>
      <c r="AA247" s="63">
        <f t="shared" si="51"/>
        <v>2.3239999999999998</v>
      </c>
      <c r="AB247" s="63">
        <f t="shared" si="52"/>
        <v>0.95399999999999996</v>
      </c>
    </row>
    <row r="248" spans="2:28">
      <c r="B248" s="104">
        <f>'114+840'!B249</f>
        <v>45505</v>
      </c>
      <c r="C248" s="75">
        <f t="shared" si="44"/>
        <v>1</v>
      </c>
      <c r="D248" s="74">
        <f t="shared" si="45"/>
        <v>842</v>
      </c>
      <c r="E248" s="73">
        <f>VLOOKUP(B248,'114+840'!B249:AB255,3,FALSE)</f>
        <v>1645</v>
      </c>
      <c r="F248" s="70">
        <f t="shared" si="40"/>
        <v>2487</v>
      </c>
      <c r="G248" s="72">
        <f>VLOOKUP(B248,'114+840'!$B$15:$AB$516,20,FALSE)</f>
        <v>1719</v>
      </c>
      <c r="H248" s="72">
        <f>VLOOKUP(B248,'114+840'!$B$15:$AB$516,4,FALSE)</f>
        <v>-152</v>
      </c>
      <c r="I248" s="69">
        <f t="shared" si="41"/>
        <v>2639</v>
      </c>
      <c r="J248" s="69">
        <f>VLOOKUP(B248,'114+840'!$B$15:$AB$516,13,FALSE)</f>
        <v>-361</v>
      </c>
      <c r="K248" s="67">
        <f>'114+840'!Q249</f>
        <v>0</v>
      </c>
      <c r="L248" s="66">
        <f t="shared" si="46"/>
        <v>281</v>
      </c>
      <c r="M248" s="71">
        <f>VLOOKUP(B248,'114+840'!$B$14:$AB$516,21,FALSE)</f>
        <v>1527</v>
      </c>
      <c r="N248" s="70">
        <f>VLOOKUP(B248,'114+840'!$B$15:$AB$516,5,FALSE)</f>
        <v>-140</v>
      </c>
      <c r="O248" s="69">
        <f t="shared" si="42"/>
        <v>2627</v>
      </c>
      <c r="P248" s="69">
        <f>VLOOKUP(B248,'114+840'!$B$15:$AB$516,14,FALSE)</f>
        <v>-373</v>
      </c>
      <c r="Q248" s="67">
        <f>'114+840'!R249</f>
        <v>0</v>
      </c>
      <c r="R248" s="66">
        <f t="shared" si="47"/>
        <v>473</v>
      </c>
      <c r="S248" s="71">
        <f>VLOOKUP(B248,'114+840'!$B$14:$AB$516,22,FALSE)</f>
        <v>1742</v>
      </c>
      <c r="T248" s="70">
        <f>VLOOKUP(B248,'114+840'!$B$15:$AB$516,6,FALSE)</f>
        <v>135</v>
      </c>
      <c r="U248" s="69">
        <f t="shared" si="43"/>
        <v>2352</v>
      </c>
      <c r="V248" s="68">
        <f>VLOOKUP(B248,'114+840'!$B$15:$AB$516,15,FALSE)</f>
        <v>-648</v>
      </c>
      <c r="W248" s="67">
        <f>'114+840'!S249</f>
        <v>0</v>
      </c>
      <c r="X248" s="66">
        <f t="shared" si="48"/>
        <v>258</v>
      </c>
      <c r="Y248" s="65">
        <f t="shared" si="49"/>
        <v>0</v>
      </c>
      <c r="Z248" s="64">
        <f t="shared" si="50"/>
        <v>0</v>
      </c>
      <c r="AA248" s="63">
        <f t="shared" si="51"/>
        <v>2.3239999999999998</v>
      </c>
      <c r="AB248" s="63">
        <f t="shared" si="52"/>
        <v>0.95399999999999996</v>
      </c>
    </row>
    <row r="249" spans="2:28">
      <c r="B249" s="104">
        <f>'114+840'!B250</f>
        <v>45506</v>
      </c>
      <c r="C249" s="75">
        <f t="shared" si="44"/>
        <v>1</v>
      </c>
      <c r="D249" s="74">
        <f t="shared" si="45"/>
        <v>842</v>
      </c>
      <c r="E249" s="73">
        <f>VLOOKUP(B249,'114+840'!B250:AB255,3,FALSE)</f>
        <v>1647</v>
      </c>
      <c r="F249" s="70">
        <f t="shared" si="40"/>
        <v>2489</v>
      </c>
      <c r="G249" s="72">
        <f>VLOOKUP(B249,'114+840'!$B$15:$AB$516,20,FALSE)</f>
        <v>1719</v>
      </c>
      <c r="H249" s="72">
        <f>VLOOKUP(B249,'114+840'!$B$15:$AB$516,4,FALSE)</f>
        <v>-150</v>
      </c>
      <c r="I249" s="69">
        <f t="shared" si="41"/>
        <v>2639</v>
      </c>
      <c r="J249" s="69">
        <f>VLOOKUP(B249,'114+840'!$B$15:$AB$516,13,FALSE)</f>
        <v>-361</v>
      </c>
      <c r="K249" s="67">
        <f>'114+840'!Q250</f>
        <v>0</v>
      </c>
      <c r="L249" s="66">
        <f t="shared" si="46"/>
        <v>281</v>
      </c>
      <c r="M249" s="71">
        <f>VLOOKUP(B249,'114+840'!$B$14:$AB$516,21,FALSE)</f>
        <v>1527</v>
      </c>
      <c r="N249" s="70">
        <f>VLOOKUP(B249,'114+840'!$B$15:$AB$516,5,FALSE)</f>
        <v>-138</v>
      </c>
      <c r="O249" s="69">
        <f t="shared" si="42"/>
        <v>2627</v>
      </c>
      <c r="P249" s="69">
        <f>VLOOKUP(B249,'114+840'!$B$15:$AB$516,14,FALSE)</f>
        <v>-373</v>
      </c>
      <c r="Q249" s="67">
        <f>'114+840'!R250</f>
        <v>0</v>
      </c>
      <c r="R249" s="66">
        <f t="shared" si="47"/>
        <v>473</v>
      </c>
      <c r="S249" s="71">
        <f>VLOOKUP(B249,'114+840'!$B$14:$AB$516,22,FALSE)</f>
        <v>1742</v>
      </c>
      <c r="T249" s="70">
        <f>VLOOKUP(B249,'114+840'!$B$15:$AB$516,6,FALSE)</f>
        <v>137</v>
      </c>
      <c r="U249" s="69">
        <f t="shared" si="43"/>
        <v>2352</v>
      </c>
      <c r="V249" s="68">
        <f>VLOOKUP(B249,'114+840'!$B$15:$AB$516,15,FALSE)</f>
        <v>-648</v>
      </c>
      <c r="W249" s="67">
        <f>'114+840'!S250</f>
        <v>0</v>
      </c>
      <c r="X249" s="66">
        <f t="shared" si="48"/>
        <v>258</v>
      </c>
      <c r="Y249" s="65">
        <f t="shared" si="49"/>
        <v>0</v>
      </c>
      <c r="Z249" s="64">
        <f t="shared" si="50"/>
        <v>0</v>
      </c>
      <c r="AA249" s="63">
        <f t="shared" si="51"/>
        <v>2.3239999999999998</v>
      </c>
      <c r="AB249" s="63">
        <f t="shared" si="52"/>
        <v>0.95399999999999996</v>
      </c>
    </row>
    <row r="250" spans="2:28">
      <c r="B250" s="104">
        <f>'114+840'!B251</f>
        <v>45507</v>
      </c>
      <c r="C250" s="75">
        <f t="shared" si="44"/>
        <v>1</v>
      </c>
      <c r="D250" s="74">
        <f t="shared" si="45"/>
        <v>842</v>
      </c>
      <c r="E250" s="73">
        <f>VLOOKUP(B250,'114+840'!B251:AB255,3,FALSE)</f>
        <v>1649</v>
      </c>
      <c r="F250" s="70">
        <f t="shared" si="40"/>
        <v>2491</v>
      </c>
      <c r="G250" s="72">
        <f>VLOOKUP(B250,'114+840'!$B$15:$AB$516,20,FALSE)</f>
        <v>1719</v>
      </c>
      <c r="H250" s="72">
        <f>VLOOKUP(B250,'114+840'!$B$15:$AB$516,4,FALSE)</f>
        <v>-148</v>
      </c>
      <c r="I250" s="69">
        <f t="shared" si="41"/>
        <v>2639</v>
      </c>
      <c r="J250" s="69">
        <f>VLOOKUP(B250,'114+840'!$B$15:$AB$516,13,FALSE)</f>
        <v>-361</v>
      </c>
      <c r="K250" s="67">
        <f>'114+840'!Q251</f>
        <v>0</v>
      </c>
      <c r="L250" s="66">
        <f t="shared" si="46"/>
        <v>281</v>
      </c>
      <c r="M250" s="71">
        <f>VLOOKUP(B250,'114+840'!$B$14:$AB$516,21,FALSE)</f>
        <v>1527</v>
      </c>
      <c r="N250" s="70">
        <f>VLOOKUP(B250,'114+840'!$B$15:$AB$516,5,FALSE)</f>
        <v>-136</v>
      </c>
      <c r="O250" s="69">
        <f t="shared" si="42"/>
        <v>2627</v>
      </c>
      <c r="P250" s="69">
        <f>VLOOKUP(B250,'114+840'!$B$15:$AB$516,14,FALSE)</f>
        <v>-373</v>
      </c>
      <c r="Q250" s="67">
        <f>'114+840'!R251</f>
        <v>0</v>
      </c>
      <c r="R250" s="66">
        <f t="shared" si="47"/>
        <v>473</v>
      </c>
      <c r="S250" s="71">
        <f>VLOOKUP(B250,'114+840'!$B$14:$AB$516,22,FALSE)</f>
        <v>1742</v>
      </c>
      <c r="T250" s="70">
        <f>VLOOKUP(B250,'114+840'!$B$15:$AB$516,6,FALSE)</f>
        <v>139</v>
      </c>
      <c r="U250" s="69">
        <f t="shared" si="43"/>
        <v>2352</v>
      </c>
      <c r="V250" s="68">
        <f>VLOOKUP(B250,'114+840'!$B$15:$AB$516,15,FALSE)</f>
        <v>-648</v>
      </c>
      <c r="W250" s="67">
        <f>'114+840'!S251</f>
        <v>0</v>
      </c>
      <c r="X250" s="66">
        <f t="shared" si="48"/>
        <v>258</v>
      </c>
      <c r="Y250" s="65">
        <f t="shared" si="49"/>
        <v>0</v>
      </c>
      <c r="Z250" s="64">
        <f t="shared" si="50"/>
        <v>0</v>
      </c>
      <c r="AA250" s="63">
        <f t="shared" si="51"/>
        <v>2.3239999999999998</v>
      </c>
      <c r="AB250" s="63">
        <f t="shared" si="52"/>
        <v>0.95399999999999996</v>
      </c>
    </row>
    <row r="251" spans="2:28">
      <c r="B251" s="104">
        <f>'114+840'!B252</f>
        <v>45508</v>
      </c>
      <c r="C251" s="75">
        <f t="shared" si="44"/>
        <v>1</v>
      </c>
      <c r="D251" s="74">
        <f t="shared" si="45"/>
        <v>842</v>
      </c>
      <c r="E251" s="73">
        <f>VLOOKUP(B251,'114+840'!B252:AB255,3,FALSE)</f>
        <v>1651</v>
      </c>
      <c r="F251" s="70">
        <f t="shared" si="40"/>
        <v>2493</v>
      </c>
      <c r="G251" s="72">
        <f>VLOOKUP(B251,'114+840'!$B$15:$AB$516,20,FALSE)</f>
        <v>1719</v>
      </c>
      <c r="H251" s="72">
        <f>VLOOKUP(B251,'114+840'!$B$15:$AB$516,4,FALSE)</f>
        <v>-146</v>
      </c>
      <c r="I251" s="69">
        <f t="shared" si="41"/>
        <v>2639</v>
      </c>
      <c r="J251" s="69">
        <f>VLOOKUP(B251,'114+840'!$B$15:$AB$516,13,FALSE)</f>
        <v>-361</v>
      </c>
      <c r="K251" s="67">
        <f>'114+840'!Q252</f>
        <v>0</v>
      </c>
      <c r="L251" s="66">
        <f t="shared" si="46"/>
        <v>281</v>
      </c>
      <c r="M251" s="71">
        <f>VLOOKUP(B251,'114+840'!$B$14:$AB$516,21,FALSE)</f>
        <v>1527</v>
      </c>
      <c r="N251" s="70">
        <f>VLOOKUP(B251,'114+840'!$B$15:$AB$516,5,FALSE)</f>
        <v>-134</v>
      </c>
      <c r="O251" s="69">
        <f t="shared" si="42"/>
        <v>2627</v>
      </c>
      <c r="P251" s="69">
        <f>VLOOKUP(B251,'114+840'!$B$15:$AB$516,14,FALSE)</f>
        <v>-373</v>
      </c>
      <c r="Q251" s="67">
        <f>'114+840'!R252</f>
        <v>0</v>
      </c>
      <c r="R251" s="66">
        <f t="shared" si="47"/>
        <v>473</v>
      </c>
      <c r="S251" s="71">
        <f>VLOOKUP(B251,'114+840'!$B$14:$AB$516,22,FALSE)</f>
        <v>1742</v>
      </c>
      <c r="T251" s="70">
        <f>VLOOKUP(B251,'114+840'!$B$15:$AB$516,6,FALSE)</f>
        <v>141</v>
      </c>
      <c r="U251" s="69">
        <f t="shared" si="43"/>
        <v>2352</v>
      </c>
      <c r="V251" s="68">
        <f>VLOOKUP(B251,'114+840'!$B$15:$AB$516,15,FALSE)</f>
        <v>-648</v>
      </c>
      <c r="W251" s="67">
        <f>'114+840'!S252</f>
        <v>0</v>
      </c>
      <c r="X251" s="66">
        <f t="shared" si="48"/>
        <v>258</v>
      </c>
      <c r="Y251" s="65">
        <f t="shared" si="49"/>
        <v>0</v>
      </c>
      <c r="Z251" s="64">
        <f t="shared" si="50"/>
        <v>0</v>
      </c>
      <c r="AA251" s="63">
        <f t="shared" si="51"/>
        <v>2.3239999999999998</v>
      </c>
      <c r="AB251" s="63">
        <f t="shared" si="52"/>
        <v>0.95399999999999996</v>
      </c>
    </row>
    <row r="252" spans="2:28">
      <c r="B252" s="104">
        <f>'114+840'!B253</f>
        <v>45509</v>
      </c>
      <c r="C252" s="75">
        <f t="shared" si="44"/>
        <v>1</v>
      </c>
      <c r="D252" s="74">
        <f t="shared" si="45"/>
        <v>842</v>
      </c>
      <c r="E252" s="73">
        <f>VLOOKUP(B252,'114+840'!B253:AB255,3,FALSE)</f>
        <v>1653</v>
      </c>
      <c r="F252" s="70">
        <f t="shared" si="40"/>
        <v>2495</v>
      </c>
      <c r="G252" s="72">
        <f>VLOOKUP(B252,'114+840'!$B$15:$AB$516,20,FALSE)</f>
        <v>1719</v>
      </c>
      <c r="H252" s="72">
        <f>VLOOKUP(B252,'114+840'!$B$15:$AB$516,4,FALSE)</f>
        <v>-144</v>
      </c>
      <c r="I252" s="69">
        <f t="shared" si="41"/>
        <v>2639</v>
      </c>
      <c r="J252" s="69">
        <f>VLOOKUP(B252,'114+840'!$B$15:$AB$516,13,FALSE)</f>
        <v>-361</v>
      </c>
      <c r="K252" s="67">
        <f>'114+840'!Q253</f>
        <v>0</v>
      </c>
      <c r="L252" s="66">
        <f t="shared" si="46"/>
        <v>281</v>
      </c>
      <c r="M252" s="71">
        <f>VLOOKUP(B252,'114+840'!$B$14:$AB$516,21,FALSE)</f>
        <v>1527</v>
      </c>
      <c r="N252" s="70">
        <f>VLOOKUP(B252,'114+840'!$B$15:$AB$516,5,FALSE)</f>
        <v>-132</v>
      </c>
      <c r="O252" s="69">
        <f t="shared" si="42"/>
        <v>2627</v>
      </c>
      <c r="P252" s="69">
        <f>VLOOKUP(B252,'114+840'!$B$15:$AB$516,14,FALSE)</f>
        <v>-373</v>
      </c>
      <c r="Q252" s="67">
        <f>'114+840'!R253</f>
        <v>0</v>
      </c>
      <c r="R252" s="66">
        <f t="shared" si="47"/>
        <v>473</v>
      </c>
      <c r="S252" s="71">
        <f>VLOOKUP(B252,'114+840'!$B$14:$AB$516,22,FALSE)</f>
        <v>1742</v>
      </c>
      <c r="T252" s="70">
        <f>VLOOKUP(B252,'114+840'!$B$15:$AB$516,6,FALSE)</f>
        <v>143</v>
      </c>
      <c r="U252" s="69">
        <f t="shared" si="43"/>
        <v>2352</v>
      </c>
      <c r="V252" s="68">
        <f>VLOOKUP(B252,'114+840'!$B$15:$AB$516,15,FALSE)</f>
        <v>-648</v>
      </c>
      <c r="W252" s="67">
        <f>'114+840'!S253</f>
        <v>0</v>
      </c>
      <c r="X252" s="66">
        <f t="shared" si="48"/>
        <v>258</v>
      </c>
      <c r="Y252" s="65">
        <f t="shared" si="49"/>
        <v>0</v>
      </c>
      <c r="Z252" s="64">
        <f t="shared" si="50"/>
        <v>0</v>
      </c>
      <c r="AA252" s="63">
        <f t="shared" si="51"/>
        <v>2.3239999999999998</v>
      </c>
      <c r="AB252" s="63">
        <f t="shared" si="52"/>
        <v>0.95399999999999996</v>
      </c>
    </row>
    <row r="253" spans="2:28">
      <c r="B253" s="104">
        <f>'114+840'!B254</f>
        <v>45510</v>
      </c>
      <c r="C253" s="75">
        <f t="shared" si="44"/>
        <v>1</v>
      </c>
      <c r="D253" s="74">
        <f t="shared" si="45"/>
        <v>842</v>
      </c>
      <c r="E253" s="73">
        <f>VLOOKUP(B253,'114+840'!B254:AB255,3,FALSE)</f>
        <v>1655</v>
      </c>
      <c r="F253" s="70">
        <f t="shared" si="40"/>
        <v>2497</v>
      </c>
      <c r="G253" s="72">
        <f>VLOOKUP(B253,'114+840'!$B$15:$AB$516,20,FALSE)</f>
        <v>1719</v>
      </c>
      <c r="H253" s="72">
        <f>VLOOKUP(B253,'114+840'!$B$15:$AB$516,4,FALSE)</f>
        <v>-142</v>
      </c>
      <c r="I253" s="69">
        <f t="shared" si="41"/>
        <v>2639</v>
      </c>
      <c r="J253" s="69">
        <f>VLOOKUP(B253,'114+840'!$B$15:$AB$516,13,FALSE)</f>
        <v>-361</v>
      </c>
      <c r="K253" s="67">
        <f>'114+840'!Q254</f>
        <v>0</v>
      </c>
      <c r="L253" s="66">
        <f t="shared" si="46"/>
        <v>281</v>
      </c>
      <c r="M253" s="71">
        <f>VLOOKUP(B253,'114+840'!$B$14:$AB$516,21,FALSE)</f>
        <v>1527</v>
      </c>
      <c r="N253" s="70">
        <f>VLOOKUP(B253,'114+840'!$B$15:$AB$516,5,FALSE)</f>
        <v>-130</v>
      </c>
      <c r="O253" s="69">
        <f t="shared" si="42"/>
        <v>2627</v>
      </c>
      <c r="P253" s="69">
        <f>VLOOKUP(B253,'114+840'!$B$15:$AB$516,14,FALSE)</f>
        <v>-373</v>
      </c>
      <c r="Q253" s="67">
        <f>'114+840'!R254</f>
        <v>0</v>
      </c>
      <c r="R253" s="66">
        <f t="shared" si="47"/>
        <v>473</v>
      </c>
      <c r="S253" s="71">
        <f>VLOOKUP(B253,'114+840'!$B$14:$AB$516,22,FALSE)</f>
        <v>1742</v>
      </c>
      <c r="T253" s="70">
        <f>VLOOKUP(B253,'114+840'!$B$15:$AB$516,6,FALSE)</f>
        <v>145</v>
      </c>
      <c r="U253" s="69">
        <f t="shared" si="43"/>
        <v>2352</v>
      </c>
      <c r="V253" s="68">
        <f>VLOOKUP(B253,'114+840'!$B$15:$AB$516,15,FALSE)</f>
        <v>-648</v>
      </c>
      <c r="W253" s="67">
        <f>'114+840'!S254</f>
        <v>0</v>
      </c>
      <c r="X253" s="66">
        <f t="shared" si="48"/>
        <v>258</v>
      </c>
      <c r="Y253" s="65">
        <f t="shared" si="49"/>
        <v>0</v>
      </c>
      <c r="Z253" s="64">
        <f t="shared" si="50"/>
        <v>0</v>
      </c>
      <c r="AA253" s="63">
        <f t="shared" si="51"/>
        <v>2.3239999999999998</v>
      </c>
      <c r="AB253" s="63">
        <f t="shared" si="52"/>
        <v>0.95399999999999996</v>
      </c>
    </row>
    <row r="254" spans="2:28">
      <c r="B254" s="104">
        <f>'114+840'!B255</f>
        <v>45511</v>
      </c>
      <c r="C254" s="75">
        <f t="shared" si="44"/>
        <v>1</v>
      </c>
      <c r="D254" s="74">
        <f t="shared" si="45"/>
        <v>842</v>
      </c>
      <c r="E254" s="73">
        <f>VLOOKUP(B254,'114+840'!B255:AB255,3,FALSE)</f>
        <v>1657</v>
      </c>
      <c r="F254" s="70">
        <f t="shared" si="40"/>
        <v>2499</v>
      </c>
      <c r="G254" s="72">
        <f>VLOOKUP(B254,'114+840'!$B$15:$AB$516,20,FALSE)</f>
        <v>1719</v>
      </c>
      <c r="H254" s="72">
        <f>VLOOKUP(B254,'114+840'!$B$15:$AB$516,4,FALSE)</f>
        <v>-140</v>
      </c>
      <c r="I254" s="69">
        <f t="shared" si="41"/>
        <v>2639</v>
      </c>
      <c r="J254" s="69">
        <f>VLOOKUP(B254,'114+840'!$B$15:$AB$516,13,FALSE)</f>
        <v>-361</v>
      </c>
      <c r="K254" s="67">
        <f>'114+840'!Q255</f>
        <v>0</v>
      </c>
      <c r="L254" s="66">
        <f t="shared" si="46"/>
        <v>281</v>
      </c>
      <c r="M254" s="71">
        <f>VLOOKUP(B254,'114+840'!$B$14:$AB$516,21,FALSE)</f>
        <v>1527</v>
      </c>
      <c r="N254" s="70">
        <f>VLOOKUP(B254,'114+840'!$B$15:$AB$516,5,FALSE)</f>
        <v>-128</v>
      </c>
      <c r="O254" s="69">
        <f t="shared" si="42"/>
        <v>2627</v>
      </c>
      <c r="P254" s="69">
        <f>VLOOKUP(B254,'114+840'!$B$15:$AB$516,14,FALSE)</f>
        <v>-373</v>
      </c>
      <c r="Q254" s="67">
        <f>'114+840'!R255</f>
        <v>0</v>
      </c>
      <c r="R254" s="66">
        <f t="shared" si="47"/>
        <v>473</v>
      </c>
      <c r="S254" s="71">
        <f>VLOOKUP(B254,'114+840'!$B$14:$AB$516,22,FALSE)</f>
        <v>1742</v>
      </c>
      <c r="T254" s="70">
        <f>VLOOKUP(B254,'114+840'!$B$15:$AB$516,6,FALSE)</f>
        <v>147</v>
      </c>
      <c r="U254" s="69">
        <f t="shared" si="43"/>
        <v>2352</v>
      </c>
      <c r="V254" s="68">
        <f>VLOOKUP(B254,'114+840'!$B$15:$AB$516,15,FALSE)</f>
        <v>-648</v>
      </c>
      <c r="W254" s="67">
        <f>'114+840'!S255</f>
        <v>0</v>
      </c>
      <c r="X254" s="66">
        <f t="shared" si="48"/>
        <v>258</v>
      </c>
      <c r="Y254" s="65">
        <f t="shared" si="49"/>
        <v>0</v>
      </c>
      <c r="Z254" s="64">
        <f t="shared" si="50"/>
        <v>0</v>
      </c>
      <c r="AA254" s="63">
        <f t="shared" si="51"/>
        <v>2.3239999999999998</v>
      </c>
      <c r="AB254" s="63">
        <f t="shared" si="52"/>
        <v>0.95399999999999996</v>
      </c>
    </row>
    <row r="255" spans="2:28">
      <c r="B255" s="104">
        <f>'114+840'!B256</f>
        <v>45512</v>
      </c>
      <c r="C255" s="75">
        <f t="shared" si="44"/>
        <v>1</v>
      </c>
      <c r="D255" s="74">
        <f t="shared" si="45"/>
        <v>842</v>
      </c>
      <c r="E255" s="73">
        <f>VLOOKUP(B255,'114+840'!B256:AB256,3,FALSE)</f>
        <v>1659</v>
      </c>
      <c r="F255" s="70">
        <f t="shared" si="40"/>
        <v>2501</v>
      </c>
      <c r="G255" s="72">
        <f>VLOOKUP(B255,'114+840'!$B$15:$AB$516,20,FALSE)</f>
        <v>1719</v>
      </c>
      <c r="H255" s="72">
        <f>VLOOKUP(B255,'114+840'!$B$15:$AB$516,4,FALSE)</f>
        <v>-138</v>
      </c>
      <c r="I255" s="69">
        <f t="shared" si="41"/>
        <v>2639</v>
      </c>
      <c r="J255" s="69">
        <f>VLOOKUP(B255,'114+840'!$B$15:$AB$516,13,FALSE)</f>
        <v>-361</v>
      </c>
      <c r="K255" s="67">
        <f>'114+840'!Q256</f>
        <v>0</v>
      </c>
      <c r="L255" s="66">
        <f t="shared" si="46"/>
        <v>281</v>
      </c>
      <c r="M255" s="71">
        <f>VLOOKUP(B255,'114+840'!$B$14:$AB$516,21,FALSE)</f>
        <v>1527</v>
      </c>
      <c r="N255" s="70">
        <f>VLOOKUP(B255,'114+840'!$B$15:$AB$516,5,FALSE)</f>
        <v>-126</v>
      </c>
      <c r="O255" s="69">
        <f t="shared" si="42"/>
        <v>2627</v>
      </c>
      <c r="P255" s="69">
        <f>VLOOKUP(B255,'114+840'!$B$15:$AB$516,14,FALSE)</f>
        <v>-373</v>
      </c>
      <c r="Q255" s="67">
        <f>'114+840'!R256</f>
        <v>0</v>
      </c>
      <c r="R255" s="66">
        <f t="shared" si="47"/>
        <v>473</v>
      </c>
      <c r="S255" s="71">
        <f>VLOOKUP(B255,'114+840'!$B$14:$AB$516,22,FALSE)</f>
        <v>1742</v>
      </c>
      <c r="T255" s="70">
        <f>VLOOKUP(B255,'114+840'!$B$15:$AB$516,6,FALSE)</f>
        <v>149</v>
      </c>
      <c r="U255" s="69">
        <f t="shared" si="43"/>
        <v>2352</v>
      </c>
      <c r="V255" s="68">
        <f>VLOOKUP(B255,'114+840'!$B$15:$AB$516,15,FALSE)</f>
        <v>-648</v>
      </c>
      <c r="W255" s="67">
        <f>'114+840'!S256</f>
        <v>0</v>
      </c>
      <c r="X255" s="66">
        <f t="shared" si="48"/>
        <v>258</v>
      </c>
      <c r="Y255" s="65">
        <f t="shared" si="49"/>
        <v>0</v>
      </c>
      <c r="Z255" s="64">
        <f t="shared" si="50"/>
        <v>0</v>
      </c>
      <c r="AA255" s="63">
        <f t="shared" si="51"/>
        <v>2.3239999999999998</v>
      </c>
      <c r="AB255" s="63">
        <f t="shared" si="52"/>
        <v>0.95399999999999996</v>
      </c>
    </row>
    <row r="256" spans="2:28">
      <c r="B256" s="104">
        <f>'114+840'!B257</f>
        <v>45513</v>
      </c>
      <c r="C256" s="75">
        <f t="shared" si="44"/>
        <v>1</v>
      </c>
      <c r="D256" s="74">
        <f t="shared" si="45"/>
        <v>842</v>
      </c>
      <c r="E256" s="73">
        <f>VLOOKUP(B256,'114+840'!B257:AB257,3,FALSE)</f>
        <v>1661</v>
      </c>
      <c r="F256" s="70">
        <f t="shared" si="40"/>
        <v>2503</v>
      </c>
      <c r="G256" s="72">
        <f>VLOOKUP(B256,'114+840'!$B$15:$AB$516,20,FALSE)</f>
        <v>1719</v>
      </c>
      <c r="H256" s="72">
        <f>VLOOKUP(B256,'114+840'!$B$15:$AB$516,4,FALSE)</f>
        <v>-136</v>
      </c>
      <c r="I256" s="69">
        <f t="shared" si="41"/>
        <v>2639</v>
      </c>
      <c r="J256" s="69">
        <f>VLOOKUP(B256,'114+840'!$B$15:$AB$516,13,FALSE)</f>
        <v>-361</v>
      </c>
      <c r="K256" s="67">
        <f>'114+840'!Q257</f>
        <v>0</v>
      </c>
      <c r="L256" s="66">
        <f t="shared" si="46"/>
        <v>281</v>
      </c>
      <c r="M256" s="71">
        <f>VLOOKUP(B256,'114+840'!$B$14:$AB$516,21,FALSE)</f>
        <v>1527</v>
      </c>
      <c r="N256" s="70">
        <f>VLOOKUP(B256,'114+840'!$B$15:$AB$516,5,FALSE)</f>
        <v>-124</v>
      </c>
      <c r="O256" s="69">
        <f t="shared" si="42"/>
        <v>2627</v>
      </c>
      <c r="P256" s="69">
        <f>VLOOKUP(B256,'114+840'!$B$15:$AB$516,14,FALSE)</f>
        <v>-373</v>
      </c>
      <c r="Q256" s="67">
        <f>'114+840'!R257</f>
        <v>0</v>
      </c>
      <c r="R256" s="66">
        <f t="shared" si="47"/>
        <v>473</v>
      </c>
      <c r="S256" s="71">
        <f>VLOOKUP(B256,'114+840'!$B$14:$AB$516,22,FALSE)</f>
        <v>1742</v>
      </c>
      <c r="T256" s="70">
        <f>VLOOKUP(B256,'114+840'!$B$15:$AB$516,6,FALSE)</f>
        <v>151</v>
      </c>
      <c r="U256" s="69">
        <f t="shared" si="43"/>
        <v>2352</v>
      </c>
      <c r="V256" s="68">
        <f>VLOOKUP(B256,'114+840'!$B$15:$AB$516,15,FALSE)</f>
        <v>-648</v>
      </c>
      <c r="W256" s="67">
        <f>'114+840'!S257</f>
        <v>0</v>
      </c>
      <c r="X256" s="66">
        <f t="shared" si="48"/>
        <v>258</v>
      </c>
      <c r="Y256" s="65">
        <f t="shared" si="49"/>
        <v>0</v>
      </c>
      <c r="Z256" s="64">
        <f t="shared" si="50"/>
        <v>0</v>
      </c>
      <c r="AA256" s="63">
        <f t="shared" si="51"/>
        <v>2.3239999999999998</v>
      </c>
      <c r="AB256" s="63">
        <f t="shared" si="52"/>
        <v>0.95399999999999996</v>
      </c>
    </row>
    <row r="257" spans="2:28">
      <c r="B257" s="104">
        <f>'114+840'!B258</f>
        <v>45514</v>
      </c>
      <c r="C257" s="75">
        <f t="shared" si="44"/>
        <v>1</v>
      </c>
      <c r="D257" s="74">
        <f t="shared" si="45"/>
        <v>842</v>
      </c>
      <c r="E257" s="73">
        <f>VLOOKUP(B257,'114+840'!B258:AB258,3,FALSE)</f>
        <v>1663</v>
      </c>
      <c r="F257" s="70">
        <f t="shared" si="40"/>
        <v>2505</v>
      </c>
      <c r="G257" s="72">
        <f>VLOOKUP(B257,'114+840'!$B$15:$AB$516,20,FALSE)</f>
        <v>1719</v>
      </c>
      <c r="H257" s="72">
        <f>VLOOKUP(B257,'114+840'!$B$15:$AB$516,4,FALSE)</f>
        <v>-134</v>
      </c>
      <c r="I257" s="69">
        <f t="shared" si="41"/>
        <v>2639</v>
      </c>
      <c r="J257" s="69">
        <f>VLOOKUP(B257,'114+840'!$B$15:$AB$516,13,FALSE)</f>
        <v>-361</v>
      </c>
      <c r="K257" s="67">
        <f>'114+840'!Q258</f>
        <v>0</v>
      </c>
      <c r="L257" s="66">
        <f t="shared" si="46"/>
        <v>281</v>
      </c>
      <c r="M257" s="71">
        <f>VLOOKUP(B257,'114+840'!$B$14:$AB$516,21,FALSE)</f>
        <v>1527</v>
      </c>
      <c r="N257" s="70">
        <f>VLOOKUP(B257,'114+840'!$B$15:$AB$516,5,FALSE)</f>
        <v>-122</v>
      </c>
      <c r="O257" s="69">
        <f t="shared" si="42"/>
        <v>2627</v>
      </c>
      <c r="P257" s="69">
        <f>VLOOKUP(B257,'114+840'!$B$15:$AB$516,14,FALSE)</f>
        <v>-373</v>
      </c>
      <c r="Q257" s="67">
        <f>'114+840'!R258</f>
        <v>0</v>
      </c>
      <c r="R257" s="66">
        <f t="shared" si="47"/>
        <v>473</v>
      </c>
      <c r="S257" s="71">
        <f>VLOOKUP(B257,'114+840'!$B$14:$AB$516,22,FALSE)</f>
        <v>1742</v>
      </c>
      <c r="T257" s="70">
        <f>VLOOKUP(B257,'114+840'!$B$15:$AB$516,6,FALSE)</f>
        <v>153</v>
      </c>
      <c r="U257" s="69">
        <f t="shared" si="43"/>
        <v>2352</v>
      </c>
      <c r="V257" s="68">
        <f>VLOOKUP(B257,'114+840'!$B$15:$AB$516,15,FALSE)</f>
        <v>-648</v>
      </c>
      <c r="W257" s="67">
        <f>'114+840'!S258</f>
        <v>0</v>
      </c>
      <c r="X257" s="66">
        <f t="shared" si="48"/>
        <v>258</v>
      </c>
      <c r="Y257" s="65">
        <f t="shared" si="49"/>
        <v>0</v>
      </c>
      <c r="Z257" s="64">
        <f t="shared" si="50"/>
        <v>0</v>
      </c>
      <c r="AA257" s="63">
        <f t="shared" si="51"/>
        <v>2.3239999999999998</v>
      </c>
      <c r="AB257" s="63">
        <f t="shared" si="52"/>
        <v>0.95399999999999996</v>
      </c>
    </row>
    <row r="258" spans="2:28">
      <c r="B258" s="104">
        <f>'114+840'!B259</f>
        <v>45515</v>
      </c>
      <c r="C258" s="75">
        <f t="shared" si="44"/>
        <v>1</v>
      </c>
      <c r="D258" s="74">
        <f t="shared" si="45"/>
        <v>842</v>
      </c>
      <c r="E258" s="73">
        <f>VLOOKUP(B258,'114+840'!B259:AB259,3,FALSE)</f>
        <v>1665</v>
      </c>
      <c r="F258" s="70">
        <f t="shared" si="40"/>
        <v>2507</v>
      </c>
      <c r="G258" s="72">
        <f>VLOOKUP(B258,'114+840'!$B$15:$AB$516,20,FALSE)</f>
        <v>1719</v>
      </c>
      <c r="H258" s="72">
        <f>VLOOKUP(B258,'114+840'!$B$15:$AB$516,4,FALSE)</f>
        <v>-132</v>
      </c>
      <c r="I258" s="69">
        <f t="shared" si="41"/>
        <v>2639</v>
      </c>
      <c r="J258" s="69">
        <f>VLOOKUP(B258,'114+840'!$B$15:$AB$516,13,FALSE)</f>
        <v>-361</v>
      </c>
      <c r="K258" s="67">
        <f>'114+840'!Q259</f>
        <v>0</v>
      </c>
      <c r="L258" s="66">
        <f t="shared" si="46"/>
        <v>281</v>
      </c>
      <c r="M258" s="71">
        <f>VLOOKUP(B258,'114+840'!$B$14:$AB$516,21,FALSE)</f>
        <v>1527</v>
      </c>
      <c r="N258" s="70">
        <f>VLOOKUP(B258,'114+840'!$B$15:$AB$516,5,FALSE)</f>
        <v>-120</v>
      </c>
      <c r="O258" s="69">
        <f t="shared" si="42"/>
        <v>2627</v>
      </c>
      <c r="P258" s="69">
        <f>VLOOKUP(B258,'114+840'!$B$15:$AB$516,14,FALSE)</f>
        <v>-373</v>
      </c>
      <c r="Q258" s="67">
        <f>'114+840'!R259</f>
        <v>0</v>
      </c>
      <c r="R258" s="66">
        <f t="shared" si="47"/>
        <v>473</v>
      </c>
      <c r="S258" s="71">
        <f>VLOOKUP(B258,'114+840'!$B$14:$AB$516,22,FALSE)</f>
        <v>1742</v>
      </c>
      <c r="T258" s="70">
        <f>VLOOKUP(B258,'114+840'!$B$15:$AB$516,6,FALSE)</f>
        <v>155</v>
      </c>
      <c r="U258" s="69">
        <f t="shared" si="43"/>
        <v>2352</v>
      </c>
      <c r="V258" s="68">
        <f>VLOOKUP(B258,'114+840'!$B$15:$AB$516,15,FALSE)</f>
        <v>-648</v>
      </c>
      <c r="W258" s="67">
        <f>'114+840'!S259</f>
        <v>0</v>
      </c>
      <c r="X258" s="66">
        <f t="shared" si="48"/>
        <v>258</v>
      </c>
      <c r="Y258" s="65">
        <f t="shared" si="49"/>
        <v>0</v>
      </c>
      <c r="Z258" s="64">
        <f t="shared" si="50"/>
        <v>0</v>
      </c>
      <c r="AA258" s="63">
        <f t="shared" si="51"/>
        <v>2.3239999999999998</v>
      </c>
      <c r="AB258" s="63">
        <f t="shared" si="52"/>
        <v>0.95399999999999996</v>
      </c>
    </row>
    <row r="259" spans="2:28">
      <c r="B259" s="104">
        <f>'114+840'!B260</f>
        <v>45516</v>
      </c>
      <c r="C259" s="75">
        <f t="shared" si="44"/>
        <v>1</v>
      </c>
      <c r="D259" s="74">
        <f t="shared" si="45"/>
        <v>842</v>
      </c>
      <c r="E259" s="73">
        <f>VLOOKUP(B259,'114+840'!B260:AB260,3,FALSE)</f>
        <v>1667</v>
      </c>
      <c r="F259" s="70">
        <f t="shared" si="40"/>
        <v>2509</v>
      </c>
      <c r="G259" s="72">
        <f>VLOOKUP(B259,'114+840'!$B$15:$AB$516,20,FALSE)</f>
        <v>1719</v>
      </c>
      <c r="H259" s="72">
        <f>VLOOKUP(B259,'114+840'!$B$15:$AB$516,4,FALSE)</f>
        <v>-130</v>
      </c>
      <c r="I259" s="69">
        <f t="shared" si="41"/>
        <v>2639</v>
      </c>
      <c r="J259" s="69">
        <f>VLOOKUP(B259,'114+840'!$B$15:$AB$516,13,FALSE)</f>
        <v>-361</v>
      </c>
      <c r="K259" s="67">
        <f>'114+840'!Q260</f>
        <v>0</v>
      </c>
      <c r="L259" s="66">
        <f t="shared" si="46"/>
        <v>281</v>
      </c>
      <c r="M259" s="71">
        <f>VLOOKUP(B259,'114+840'!$B$14:$AB$516,21,FALSE)</f>
        <v>1527</v>
      </c>
      <c r="N259" s="70">
        <f>VLOOKUP(B259,'114+840'!$B$15:$AB$516,5,FALSE)</f>
        <v>-118</v>
      </c>
      <c r="O259" s="69">
        <f t="shared" si="42"/>
        <v>2627</v>
      </c>
      <c r="P259" s="69">
        <f>VLOOKUP(B259,'114+840'!$B$15:$AB$516,14,FALSE)</f>
        <v>-373</v>
      </c>
      <c r="Q259" s="67">
        <f>'114+840'!R260</f>
        <v>0</v>
      </c>
      <c r="R259" s="66">
        <f t="shared" si="47"/>
        <v>473</v>
      </c>
      <c r="S259" s="71">
        <f>VLOOKUP(B259,'114+840'!$B$14:$AB$516,22,FALSE)</f>
        <v>1742</v>
      </c>
      <c r="T259" s="70">
        <f>VLOOKUP(B259,'114+840'!$B$15:$AB$516,6,FALSE)</f>
        <v>157</v>
      </c>
      <c r="U259" s="69">
        <f t="shared" si="43"/>
        <v>2352</v>
      </c>
      <c r="V259" s="68">
        <f>VLOOKUP(B259,'114+840'!$B$15:$AB$516,15,FALSE)</f>
        <v>-648</v>
      </c>
      <c r="W259" s="67">
        <f>'114+840'!S260</f>
        <v>0</v>
      </c>
      <c r="X259" s="66">
        <f t="shared" si="48"/>
        <v>258</v>
      </c>
      <c r="Y259" s="65">
        <f t="shared" si="49"/>
        <v>0</v>
      </c>
      <c r="Z259" s="64">
        <f t="shared" si="50"/>
        <v>0</v>
      </c>
      <c r="AA259" s="63">
        <f t="shared" si="51"/>
        <v>2.3239999999999998</v>
      </c>
      <c r="AB259" s="63">
        <f t="shared" si="52"/>
        <v>0.95399999999999996</v>
      </c>
    </row>
    <row r="260" spans="2:28">
      <c r="B260" s="104">
        <f>'114+840'!B261</f>
        <v>45517</v>
      </c>
      <c r="C260" s="75">
        <f t="shared" si="44"/>
        <v>1</v>
      </c>
      <c r="D260" s="74">
        <f t="shared" si="45"/>
        <v>842</v>
      </c>
      <c r="E260" s="73">
        <f>VLOOKUP(B260,'114+840'!B261:AB261,3,FALSE)</f>
        <v>1669</v>
      </c>
      <c r="F260" s="70">
        <f t="shared" si="40"/>
        <v>2511</v>
      </c>
      <c r="G260" s="72">
        <f>VLOOKUP(B260,'114+840'!$B$15:$AB$516,20,FALSE)</f>
        <v>1719</v>
      </c>
      <c r="H260" s="72">
        <f>VLOOKUP(B260,'114+840'!$B$15:$AB$516,4,FALSE)</f>
        <v>-128</v>
      </c>
      <c r="I260" s="69">
        <f t="shared" si="41"/>
        <v>2639</v>
      </c>
      <c r="J260" s="69">
        <f>VLOOKUP(B260,'114+840'!$B$15:$AB$516,13,FALSE)</f>
        <v>-361</v>
      </c>
      <c r="K260" s="67">
        <f>'114+840'!Q261</f>
        <v>0</v>
      </c>
      <c r="L260" s="66">
        <f t="shared" si="46"/>
        <v>281</v>
      </c>
      <c r="M260" s="71">
        <f>VLOOKUP(B260,'114+840'!$B$14:$AB$516,21,FALSE)</f>
        <v>1527</v>
      </c>
      <c r="N260" s="70">
        <f>VLOOKUP(B260,'114+840'!$B$15:$AB$516,5,FALSE)</f>
        <v>-116</v>
      </c>
      <c r="O260" s="69">
        <f t="shared" si="42"/>
        <v>2627</v>
      </c>
      <c r="P260" s="69">
        <f>VLOOKUP(B260,'114+840'!$B$15:$AB$516,14,FALSE)</f>
        <v>-373</v>
      </c>
      <c r="Q260" s="67">
        <f>'114+840'!R261</f>
        <v>0</v>
      </c>
      <c r="R260" s="66">
        <f t="shared" si="47"/>
        <v>473</v>
      </c>
      <c r="S260" s="71">
        <f>VLOOKUP(B260,'114+840'!$B$14:$AB$516,22,FALSE)</f>
        <v>1742</v>
      </c>
      <c r="T260" s="70">
        <f>VLOOKUP(B260,'114+840'!$B$15:$AB$516,6,FALSE)</f>
        <v>159</v>
      </c>
      <c r="U260" s="69">
        <f t="shared" si="43"/>
        <v>2352</v>
      </c>
      <c r="V260" s="68">
        <f>VLOOKUP(B260,'114+840'!$B$15:$AB$516,15,FALSE)</f>
        <v>-648</v>
      </c>
      <c r="W260" s="67">
        <f>'114+840'!S261</f>
        <v>0</v>
      </c>
      <c r="X260" s="66">
        <f t="shared" si="48"/>
        <v>258</v>
      </c>
      <c r="Y260" s="65">
        <f t="shared" si="49"/>
        <v>0</v>
      </c>
      <c r="Z260" s="64">
        <f t="shared" si="50"/>
        <v>0</v>
      </c>
      <c r="AA260" s="63">
        <f t="shared" si="51"/>
        <v>2.3239999999999998</v>
      </c>
      <c r="AB260" s="63">
        <f t="shared" si="52"/>
        <v>0.95399999999999996</v>
      </c>
    </row>
    <row r="261" spans="2:28">
      <c r="B261" s="104">
        <f>'114+840'!B262</f>
        <v>45518</v>
      </c>
      <c r="C261" s="75">
        <f t="shared" si="44"/>
        <v>1</v>
      </c>
      <c r="D261" s="74">
        <f t="shared" si="45"/>
        <v>842</v>
      </c>
      <c r="E261" s="73">
        <f>VLOOKUP(B261,'114+840'!B262:AB262,3,FALSE)</f>
        <v>1671</v>
      </c>
      <c r="F261" s="70">
        <f t="shared" si="40"/>
        <v>2513</v>
      </c>
      <c r="G261" s="72">
        <f>VLOOKUP(B261,'114+840'!$B$15:$AB$516,20,FALSE)</f>
        <v>1719</v>
      </c>
      <c r="H261" s="72">
        <f>VLOOKUP(B261,'114+840'!$B$15:$AB$516,4,FALSE)</f>
        <v>-126</v>
      </c>
      <c r="I261" s="69">
        <f t="shared" si="41"/>
        <v>2639</v>
      </c>
      <c r="J261" s="69">
        <f>VLOOKUP(B261,'114+840'!$B$15:$AB$516,13,FALSE)</f>
        <v>-361</v>
      </c>
      <c r="K261" s="67">
        <f>'114+840'!Q262</f>
        <v>0</v>
      </c>
      <c r="L261" s="66">
        <f t="shared" si="46"/>
        <v>281</v>
      </c>
      <c r="M261" s="71">
        <f>VLOOKUP(B261,'114+840'!$B$14:$AB$516,21,FALSE)</f>
        <v>1527</v>
      </c>
      <c r="N261" s="70">
        <f>VLOOKUP(B261,'114+840'!$B$15:$AB$516,5,FALSE)</f>
        <v>-114</v>
      </c>
      <c r="O261" s="69">
        <f t="shared" si="42"/>
        <v>2627</v>
      </c>
      <c r="P261" s="69">
        <f>VLOOKUP(B261,'114+840'!$B$15:$AB$516,14,FALSE)</f>
        <v>-373</v>
      </c>
      <c r="Q261" s="67">
        <f>'114+840'!R262</f>
        <v>0</v>
      </c>
      <c r="R261" s="66">
        <f t="shared" si="47"/>
        <v>473</v>
      </c>
      <c r="S261" s="71">
        <f>VLOOKUP(B261,'114+840'!$B$14:$AB$516,22,FALSE)</f>
        <v>1742</v>
      </c>
      <c r="T261" s="70">
        <f>VLOOKUP(B261,'114+840'!$B$15:$AB$516,6,FALSE)</f>
        <v>161</v>
      </c>
      <c r="U261" s="69">
        <f t="shared" si="43"/>
        <v>2352</v>
      </c>
      <c r="V261" s="68">
        <f>VLOOKUP(B261,'114+840'!$B$15:$AB$516,15,FALSE)</f>
        <v>-648</v>
      </c>
      <c r="W261" s="67">
        <f>'114+840'!S262</f>
        <v>0</v>
      </c>
      <c r="X261" s="66">
        <f t="shared" si="48"/>
        <v>258</v>
      </c>
      <c r="Y261" s="65">
        <f t="shared" si="49"/>
        <v>0</v>
      </c>
      <c r="Z261" s="64">
        <f t="shared" si="50"/>
        <v>0</v>
      </c>
      <c r="AA261" s="63">
        <f t="shared" si="51"/>
        <v>2.3239999999999998</v>
      </c>
      <c r="AB261" s="63">
        <f t="shared" si="52"/>
        <v>0.95399999999999996</v>
      </c>
    </row>
    <row r="262" spans="2:28">
      <c r="B262" s="104">
        <f>'114+840'!B263</f>
        <v>45519</v>
      </c>
      <c r="C262" s="75">
        <f t="shared" si="44"/>
        <v>1</v>
      </c>
      <c r="D262" s="74">
        <f t="shared" si="45"/>
        <v>842</v>
      </c>
      <c r="E262" s="73">
        <f>VLOOKUP(B262,'114+840'!B263:AB263,3,FALSE)</f>
        <v>1673</v>
      </c>
      <c r="F262" s="70">
        <f t="shared" si="40"/>
        <v>2515</v>
      </c>
      <c r="G262" s="72">
        <f>VLOOKUP(B262,'114+840'!$B$15:$AB$516,20,FALSE)</f>
        <v>1719</v>
      </c>
      <c r="H262" s="72">
        <f>VLOOKUP(B262,'114+840'!$B$15:$AB$516,4,FALSE)</f>
        <v>-124</v>
      </c>
      <c r="I262" s="69">
        <f t="shared" si="41"/>
        <v>2639</v>
      </c>
      <c r="J262" s="69">
        <f>VLOOKUP(B262,'114+840'!$B$15:$AB$516,13,FALSE)</f>
        <v>-361</v>
      </c>
      <c r="K262" s="67">
        <f>'114+840'!Q263</f>
        <v>0</v>
      </c>
      <c r="L262" s="66">
        <f t="shared" si="46"/>
        <v>281</v>
      </c>
      <c r="M262" s="71">
        <f>VLOOKUP(B262,'114+840'!$B$14:$AB$516,21,FALSE)</f>
        <v>1527</v>
      </c>
      <c r="N262" s="70">
        <f>VLOOKUP(B262,'114+840'!$B$15:$AB$516,5,FALSE)</f>
        <v>-112</v>
      </c>
      <c r="O262" s="69">
        <f t="shared" si="42"/>
        <v>2627</v>
      </c>
      <c r="P262" s="69">
        <f>VLOOKUP(B262,'114+840'!$B$15:$AB$516,14,FALSE)</f>
        <v>-373</v>
      </c>
      <c r="Q262" s="67">
        <f>'114+840'!R263</f>
        <v>0</v>
      </c>
      <c r="R262" s="66">
        <f t="shared" si="47"/>
        <v>473</v>
      </c>
      <c r="S262" s="71">
        <f>VLOOKUP(B262,'114+840'!$B$14:$AB$516,22,FALSE)</f>
        <v>1742</v>
      </c>
      <c r="T262" s="70">
        <f>VLOOKUP(B262,'114+840'!$B$15:$AB$516,6,FALSE)</f>
        <v>163</v>
      </c>
      <c r="U262" s="69">
        <f t="shared" si="43"/>
        <v>2352</v>
      </c>
      <c r="V262" s="68">
        <f>VLOOKUP(B262,'114+840'!$B$15:$AB$516,15,FALSE)</f>
        <v>-648</v>
      </c>
      <c r="W262" s="67">
        <f>'114+840'!S263</f>
        <v>0</v>
      </c>
      <c r="X262" s="66">
        <f t="shared" si="48"/>
        <v>258</v>
      </c>
      <c r="Y262" s="65">
        <f t="shared" si="49"/>
        <v>0</v>
      </c>
      <c r="Z262" s="64">
        <f t="shared" si="50"/>
        <v>0</v>
      </c>
      <c r="AA262" s="63">
        <f t="shared" si="51"/>
        <v>2.3239999999999998</v>
      </c>
      <c r="AB262" s="63">
        <f t="shared" si="52"/>
        <v>0.95399999999999996</v>
      </c>
    </row>
    <row r="263" spans="2:28">
      <c r="B263" s="104">
        <f>'114+840'!B264</f>
        <v>45520</v>
      </c>
      <c r="C263" s="75">
        <f t="shared" si="44"/>
        <v>1</v>
      </c>
      <c r="D263" s="74">
        <f t="shared" si="45"/>
        <v>842</v>
      </c>
      <c r="E263" s="73">
        <f>VLOOKUP(B263,'114+840'!B264:AB264,3,FALSE)</f>
        <v>1675</v>
      </c>
      <c r="F263" s="70">
        <f t="shared" si="40"/>
        <v>2517</v>
      </c>
      <c r="G263" s="72">
        <f>VLOOKUP(B263,'114+840'!$B$15:$AB$516,20,FALSE)</f>
        <v>1719</v>
      </c>
      <c r="H263" s="72">
        <f>VLOOKUP(B263,'114+840'!$B$15:$AB$516,4,FALSE)</f>
        <v>-122</v>
      </c>
      <c r="I263" s="69">
        <f t="shared" si="41"/>
        <v>2639</v>
      </c>
      <c r="J263" s="69">
        <f>VLOOKUP(B263,'114+840'!$B$15:$AB$516,13,FALSE)</f>
        <v>-361</v>
      </c>
      <c r="K263" s="67">
        <f>'114+840'!Q264</f>
        <v>0</v>
      </c>
      <c r="L263" s="66">
        <f t="shared" si="46"/>
        <v>281</v>
      </c>
      <c r="M263" s="71">
        <f>VLOOKUP(B263,'114+840'!$B$14:$AB$516,21,FALSE)</f>
        <v>1527</v>
      </c>
      <c r="N263" s="70">
        <f>VLOOKUP(B263,'114+840'!$B$15:$AB$516,5,FALSE)</f>
        <v>-110</v>
      </c>
      <c r="O263" s="69">
        <f t="shared" si="42"/>
        <v>2627</v>
      </c>
      <c r="P263" s="69">
        <f>VLOOKUP(B263,'114+840'!$B$15:$AB$516,14,FALSE)</f>
        <v>-373</v>
      </c>
      <c r="Q263" s="67">
        <f>'114+840'!R264</f>
        <v>0</v>
      </c>
      <c r="R263" s="66">
        <f t="shared" si="47"/>
        <v>473</v>
      </c>
      <c r="S263" s="71">
        <f>VLOOKUP(B263,'114+840'!$B$14:$AB$516,22,FALSE)</f>
        <v>1742</v>
      </c>
      <c r="T263" s="70">
        <f>VLOOKUP(B263,'114+840'!$B$15:$AB$516,6,FALSE)</f>
        <v>165</v>
      </c>
      <c r="U263" s="69">
        <f t="shared" si="43"/>
        <v>2352</v>
      </c>
      <c r="V263" s="68">
        <f>VLOOKUP(B263,'114+840'!$B$15:$AB$516,15,FALSE)</f>
        <v>-648</v>
      </c>
      <c r="W263" s="67">
        <f>'114+840'!S264</f>
        <v>0</v>
      </c>
      <c r="X263" s="66">
        <f t="shared" si="48"/>
        <v>258</v>
      </c>
      <c r="Y263" s="65">
        <f t="shared" si="49"/>
        <v>0</v>
      </c>
      <c r="Z263" s="64">
        <f t="shared" si="50"/>
        <v>0</v>
      </c>
      <c r="AA263" s="63">
        <f t="shared" si="51"/>
        <v>2.3239999999999998</v>
      </c>
      <c r="AB263" s="63">
        <f t="shared" si="52"/>
        <v>0.95399999999999996</v>
      </c>
    </row>
    <row r="264" spans="2:28">
      <c r="B264" s="104">
        <f>'114+840'!B265</f>
        <v>45521</v>
      </c>
      <c r="C264" s="75">
        <f t="shared" si="44"/>
        <v>1</v>
      </c>
      <c r="D264" s="74">
        <f t="shared" si="45"/>
        <v>842</v>
      </c>
      <c r="E264" s="73">
        <f>VLOOKUP(B264,'114+840'!B265:AB265,3,FALSE)</f>
        <v>1677</v>
      </c>
      <c r="F264" s="70">
        <f t="shared" si="40"/>
        <v>2519</v>
      </c>
      <c r="G264" s="72">
        <f>VLOOKUP(B264,'114+840'!$B$15:$AB$516,20,FALSE)</f>
        <v>1719</v>
      </c>
      <c r="H264" s="72">
        <f>VLOOKUP(B264,'114+840'!$B$15:$AB$516,4,FALSE)</f>
        <v>-120</v>
      </c>
      <c r="I264" s="69">
        <f t="shared" si="41"/>
        <v>2639</v>
      </c>
      <c r="J264" s="69">
        <f>VLOOKUP(B264,'114+840'!$B$15:$AB$516,13,FALSE)</f>
        <v>-361</v>
      </c>
      <c r="K264" s="67">
        <f>'114+840'!Q265</f>
        <v>0</v>
      </c>
      <c r="L264" s="66">
        <f t="shared" si="46"/>
        <v>281</v>
      </c>
      <c r="M264" s="71">
        <f>VLOOKUP(B264,'114+840'!$B$14:$AB$516,21,FALSE)</f>
        <v>1527</v>
      </c>
      <c r="N264" s="70">
        <f>VLOOKUP(B264,'114+840'!$B$15:$AB$516,5,FALSE)</f>
        <v>-108</v>
      </c>
      <c r="O264" s="69">
        <f t="shared" si="42"/>
        <v>2627</v>
      </c>
      <c r="P264" s="69">
        <f>VLOOKUP(B264,'114+840'!$B$15:$AB$516,14,FALSE)</f>
        <v>-373</v>
      </c>
      <c r="Q264" s="67">
        <f>'114+840'!R265</f>
        <v>0</v>
      </c>
      <c r="R264" s="66">
        <f t="shared" si="47"/>
        <v>473</v>
      </c>
      <c r="S264" s="71">
        <f>VLOOKUP(B264,'114+840'!$B$14:$AB$516,22,FALSE)</f>
        <v>1742</v>
      </c>
      <c r="T264" s="70">
        <f>VLOOKUP(B264,'114+840'!$B$15:$AB$516,6,FALSE)</f>
        <v>167</v>
      </c>
      <c r="U264" s="69">
        <f t="shared" si="43"/>
        <v>2352</v>
      </c>
      <c r="V264" s="68">
        <f>VLOOKUP(B264,'114+840'!$B$15:$AB$516,15,FALSE)</f>
        <v>-648</v>
      </c>
      <c r="W264" s="67">
        <f>'114+840'!S265</f>
        <v>0</v>
      </c>
      <c r="X264" s="66">
        <f t="shared" si="48"/>
        <v>258</v>
      </c>
      <c r="Y264" s="65">
        <f t="shared" si="49"/>
        <v>0</v>
      </c>
      <c r="Z264" s="64">
        <f t="shared" si="50"/>
        <v>0</v>
      </c>
      <c r="AA264" s="63">
        <f t="shared" si="51"/>
        <v>2.3239999999999998</v>
      </c>
      <c r="AB264" s="63">
        <f t="shared" si="52"/>
        <v>0.95399999999999996</v>
      </c>
    </row>
    <row r="265" spans="2:28">
      <c r="B265" s="104">
        <f>'114+840'!B266</f>
        <v>45522</v>
      </c>
      <c r="C265" s="75">
        <f t="shared" si="44"/>
        <v>1</v>
      </c>
      <c r="D265" s="74">
        <f t="shared" si="45"/>
        <v>842</v>
      </c>
      <c r="E265" s="73">
        <f>VLOOKUP(B265,'114+840'!B266:AB266,3,FALSE)</f>
        <v>1679</v>
      </c>
      <c r="F265" s="70">
        <f t="shared" si="40"/>
        <v>2521</v>
      </c>
      <c r="G265" s="72">
        <f>VLOOKUP(B265,'114+840'!$B$15:$AB$516,20,FALSE)</f>
        <v>1719</v>
      </c>
      <c r="H265" s="72">
        <f>VLOOKUP(B265,'114+840'!$B$15:$AB$516,4,FALSE)</f>
        <v>-118</v>
      </c>
      <c r="I265" s="69">
        <f t="shared" si="41"/>
        <v>2639</v>
      </c>
      <c r="J265" s="69">
        <f>VLOOKUP(B265,'114+840'!$B$15:$AB$516,13,FALSE)</f>
        <v>-361</v>
      </c>
      <c r="K265" s="67">
        <f>'114+840'!Q266</f>
        <v>0</v>
      </c>
      <c r="L265" s="66">
        <f t="shared" si="46"/>
        <v>281</v>
      </c>
      <c r="M265" s="71">
        <f>VLOOKUP(B265,'114+840'!$B$14:$AB$516,21,FALSE)</f>
        <v>1527</v>
      </c>
      <c r="N265" s="70">
        <f>VLOOKUP(B265,'114+840'!$B$15:$AB$516,5,FALSE)</f>
        <v>-106</v>
      </c>
      <c r="O265" s="69">
        <f t="shared" si="42"/>
        <v>2627</v>
      </c>
      <c r="P265" s="69">
        <f>VLOOKUP(B265,'114+840'!$B$15:$AB$516,14,FALSE)</f>
        <v>-373</v>
      </c>
      <c r="Q265" s="67">
        <f>'114+840'!R266</f>
        <v>0</v>
      </c>
      <c r="R265" s="66">
        <f t="shared" si="47"/>
        <v>473</v>
      </c>
      <c r="S265" s="71">
        <f>VLOOKUP(B265,'114+840'!$B$14:$AB$516,22,FALSE)</f>
        <v>1742</v>
      </c>
      <c r="T265" s="70">
        <f>VLOOKUP(B265,'114+840'!$B$15:$AB$516,6,FALSE)</f>
        <v>169</v>
      </c>
      <c r="U265" s="69">
        <f t="shared" si="43"/>
        <v>2352</v>
      </c>
      <c r="V265" s="68">
        <f>VLOOKUP(B265,'114+840'!$B$15:$AB$516,15,FALSE)</f>
        <v>-648</v>
      </c>
      <c r="W265" s="67">
        <f>'114+840'!S266</f>
        <v>0</v>
      </c>
      <c r="X265" s="66">
        <f t="shared" si="48"/>
        <v>258</v>
      </c>
      <c r="Y265" s="65">
        <f t="shared" si="49"/>
        <v>0</v>
      </c>
      <c r="Z265" s="64">
        <f t="shared" si="50"/>
        <v>0</v>
      </c>
      <c r="AA265" s="63">
        <f t="shared" si="51"/>
        <v>2.3239999999999998</v>
      </c>
      <c r="AB265" s="63">
        <f t="shared" si="52"/>
        <v>0.95399999999999996</v>
      </c>
    </row>
    <row r="266" spans="2:28">
      <c r="B266" s="104">
        <f>'114+840'!B267</f>
        <v>45523</v>
      </c>
      <c r="C266" s="75">
        <f t="shared" si="44"/>
        <v>1</v>
      </c>
      <c r="D266" s="74">
        <f t="shared" si="45"/>
        <v>842</v>
      </c>
      <c r="E266" s="73">
        <f>VLOOKUP(B266,'114+840'!B267:AB267,3,FALSE)</f>
        <v>1681</v>
      </c>
      <c r="F266" s="70">
        <f t="shared" si="40"/>
        <v>2523</v>
      </c>
      <c r="G266" s="72">
        <f>VLOOKUP(B266,'114+840'!$B$15:$AB$516,20,FALSE)</f>
        <v>1719</v>
      </c>
      <c r="H266" s="72">
        <f>VLOOKUP(B266,'114+840'!$B$15:$AB$516,4,FALSE)</f>
        <v>-116</v>
      </c>
      <c r="I266" s="69">
        <f t="shared" si="41"/>
        <v>2639</v>
      </c>
      <c r="J266" s="69">
        <f>VLOOKUP(B266,'114+840'!$B$15:$AB$516,13,FALSE)</f>
        <v>-361</v>
      </c>
      <c r="K266" s="67">
        <f>'114+840'!Q267</f>
        <v>0</v>
      </c>
      <c r="L266" s="66">
        <f t="shared" si="46"/>
        <v>281</v>
      </c>
      <c r="M266" s="71">
        <f>VLOOKUP(B266,'114+840'!$B$14:$AB$516,21,FALSE)</f>
        <v>1527</v>
      </c>
      <c r="N266" s="70">
        <f>VLOOKUP(B266,'114+840'!$B$15:$AB$516,5,FALSE)</f>
        <v>-104</v>
      </c>
      <c r="O266" s="69">
        <f t="shared" si="42"/>
        <v>2627</v>
      </c>
      <c r="P266" s="69">
        <f>VLOOKUP(B266,'114+840'!$B$15:$AB$516,14,FALSE)</f>
        <v>-373</v>
      </c>
      <c r="Q266" s="67">
        <f>'114+840'!R267</f>
        <v>0</v>
      </c>
      <c r="R266" s="66">
        <f t="shared" si="47"/>
        <v>473</v>
      </c>
      <c r="S266" s="71">
        <f>VLOOKUP(B266,'114+840'!$B$14:$AB$516,22,FALSE)</f>
        <v>1742</v>
      </c>
      <c r="T266" s="70">
        <f>VLOOKUP(B266,'114+840'!$B$15:$AB$516,6,FALSE)</f>
        <v>171</v>
      </c>
      <c r="U266" s="69">
        <f t="shared" si="43"/>
        <v>2352</v>
      </c>
      <c r="V266" s="68">
        <f>VLOOKUP(B266,'114+840'!$B$15:$AB$516,15,FALSE)</f>
        <v>-648</v>
      </c>
      <c r="W266" s="67">
        <f>'114+840'!S267</f>
        <v>0</v>
      </c>
      <c r="X266" s="66">
        <f t="shared" si="48"/>
        <v>258</v>
      </c>
      <c r="Y266" s="65">
        <f t="shared" si="49"/>
        <v>0</v>
      </c>
      <c r="Z266" s="64">
        <f t="shared" si="50"/>
        <v>0</v>
      </c>
      <c r="AA266" s="63">
        <f t="shared" si="51"/>
        <v>2.3239999999999998</v>
      </c>
      <c r="AB266" s="63">
        <f t="shared" si="52"/>
        <v>0.95399999999999996</v>
      </c>
    </row>
    <row r="267" spans="2:28">
      <c r="B267" s="104">
        <f>'114+840'!B268</f>
        <v>45524</v>
      </c>
      <c r="C267" s="75">
        <f t="shared" si="44"/>
        <v>1</v>
      </c>
      <c r="D267" s="74">
        <f t="shared" si="45"/>
        <v>842</v>
      </c>
      <c r="E267" s="73">
        <f>VLOOKUP(B267,'114+840'!B268:AB268,3,FALSE)</f>
        <v>1683</v>
      </c>
      <c r="F267" s="70">
        <f t="shared" si="40"/>
        <v>2525</v>
      </c>
      <c r="G267" s="72">
        <f>VLOOKUP(B267,'114+840'!$B$15:$AB$516,20,FALSE)</f>
        <v>1719</v>
      </c>
      <c r="H267" s="72">
        <f>VLOOKUP(B267,'114+840'!$B$15:$AB$516,4,FALSE)</f>
        <v>-114</v>
      </c>
      <c r="I267" s="69">
        <f t="shared" si="41"/>
        <v>2639</v>
      </c>
      <c r="J267" s="69">
        <f>VLOOKUP(B267,'114+840'!$B$15:$AB$516,13,FALSE)</f>
        <v>-361</v>
      </c>
      <c r="K267" s="67">
        <f>'114+840'!Q268</f>
        <v>0</v>
      </c>
      <c r="L267" s="66">
        <f t="shared" si="46"/>
        <v>281</v>
      </c>
      <c r="M267" s="71">
        <f>VLOOKUP(B267,'114+840'!$B$14:$AB$516,21,FALSE)</f>
        <v>1527</v>
      </c>
      <c r="N267" s="70">
        <f>VLOOKUP(B267,'114+840'!$B$15:$AB$516,5,FALSE)</f>
        <v>-102</v>
      </c>
      <c r="O267" s="69">
        <f t="shared" si="42"/>
        <v>2627</v>
      </c>
      <c r="P267" s="69">
        <f>VLOOKUP(B267,'114+840'!$B$15:$AB$516,14,FALSE)</f>
        <v>-373</v>
      </c>
      <c r="Q267" s="67">
        <f>'114+840'!R268</f>
        <v>0</v>
      </c>
      <c r="R267" s="66">
        <f t="shared" si="47"/>
        <v>473</v>
      </c>
      <c r="S267" s="71">
        <f>VLOOKUP(B267,'114+840'!$B$14:$AB$516,22,FALSE)</f>
        <v>1742</v>
      </c>
      <c r="T267" s="70">
        <f>VLOOKUP(B267,'114+840'!$B$15:$AB$516,6,FALSE)</f>
        <v>173</v>
      </c>
      <c r="U267" s="69">
        <f t="shared" si="43"/>
        <v>2352</v>
      </c>
      <c r="V267" s="68">
        <f>VLOOKUP(B267,'114+840'!$B$15:$AB$516,15,FALSE)</f>
        <v>-648</v>
      </c>
      <c r="W267" s="67">
        <f>'114+840'!S268</f>
        <v>0</v>
      </c>
      <c r="X267" s="66">
        <f t="shared" si="48"/>
        <v>258</v>
      </c>
      <c r="Y267" s="65">
        <f t="shared" si="49"/>
        <v>0</v>
      </c>
      <c r="Z267" s="64">
        <f t="shared" si="50"/>
        <v>0</v>
      </c>
      <c r="AA267" s="63">
        <f t="shared" si="51"/>
        <v>2.3239999999999998</v>
      </c>
      <c r="AB267" s="63">
        <f t="shared" si="52"/>
        <v>0.95399999999999996</v>
      </c>
    </row>
    <row r="268" spans="2:28">
      <c r="B268" s="104">
        <f>'114+840'!B269</f>
        <v>45525</v>
      </c>
      <c r="C268" s="75">
        <f t="shared" si="44"/>
        <v>1</v>
      </c>
      <c r="D268" s="74">
        <f t="shared" si="45"/>
        <v>842</v>
      </c>
      <c r="E268" s="73">
        <f>VLOOKUP(B268,'114+840'!B269:AB269,3,FALSE)</f>
        <v>1685</v>
      </c>
      <c r="F268" s="70">
        <f t="shared" si="40"/>
        <v>2527</v>
      </c>
      <c r="G268" s="72">
        <f>VLOOKUP(B268,'114+840'!$B$15:$AB$516,20,FALSE)</f>
        <v>1719</v>
      </c>
      <c r="H268" s="72">
        <f>VLOOKUP(B268,'114+840'!$B$15:$AB$516,4,FALSE)</f>
        <v>-112</v>
      </c>
      <c r="I268" s="69">
        <f t="shared" si="41"/>
        <v>2639</v>
      </c>
      <c r="J268" s="69">
        <f>VLOOKUP(B268,'114+840'!$B$15:$AB$516,13,FALSE)</f>
        <v>-361</v>
      </c>
      <c r="K268" s="67">
        <f>'114+840'!Q269</f>
        <v>0</v>
      </c>
      <c r="L268" s="66">
        <f t="shared" si="46"/>
        <v>281</v>
      </c>
      <c r="M268" s="71">
        <f>VLOOKUP(B268,'114+840'!$B$14:$AB$516,21,FALSE)</f>
        <v>1527</v>
      </c>
      <c r="N268" s="70">
        <f>VLOOKUP(B268,'114+840'!$B$15:$AB$516,5,FALSE)</f>
        <v>-100</v>
      </c>
      <c r="O268" s="69">
        <f t="shared" si="42"/>
        <v>2627</v>
      </c>
      <c r="P268" s="69">
        <f>VLOOKUP(B268,'114+840'!$B$15:$AB$516,14,FALSE)</f>
        <v>-373</v>
      </c>
      <c r="Q268" s="67">
        <f>'114+840'!R269</f>
        <v>0</v>
      </c>
      <c r="R268" s="66">
        <f t="shared" si="47"/>
        <v>473</v>
      </c>
      <c r="S268" s="71">
        <f>VLOOKUP(B268,'114+840'!$B$14:$AB$516,22,FALSE)</f>
        <v>1742</v>
      </c>
      <c r="T268" s="70">
        <f>VLOOKUP(B268,'114+840'!$B$15:$AB$516,6,FALSE)</f>
        <v>175</v>
      </c>
      <c r="U268" s="69">
        <f t="shared" si="43"/>
        <v>2352</v>
      </c>
      <c r="V268" s="68">
        <f>VLOOKUP(B268,'114+840'!$B$15:$AB$516,15,FALSE)</f>
        <v>-648</v>
      </c>
      <c r="W268" s="67">
        <f>'114+840'!S269</f>
        <v>0</v>
      </c>
      <c r="X268" s="66">
        <f t="shared" si="48"/>
        <v>258</v>
      </c>
      <c r="Y268" s="65">
        <f t="shared" si="49"/>
        <v>0</v>
      </c>
      <c r="Z268" s="64">
        <f t="shared" si="50"/>
        <v>0</v>
      </c>
      <c r="AA268" s="63">
        <f t="shared" si="51"/>
        <v>2.3239999999999998</v>
      </c>
      <c r="AB268" s="63">
        <f t="shared" si="52"/>
        <v>0.95399999999999996</v>
      </c>
    </row>
    <row r="269" spans="2:28">
      <c r="B269" s="104">
        <f>'114+840'!B270</f>
        <v>45526</v>
      </c>
      <c r="C269" s="75">
        <f t="shared" si="44"/>
        <v>1</v>
      </c>
      <c r="D269" s="74">
        <f t="shared" si="45"/>
        <v>842</v>
      </c>
      <c r="E269" s="73">
        <f>VLOOKUP(B269,'114+840'!B270:AB270,3,FALSE)</f>
        <v>1687</v>
      </c>
      <c r="F269" s="70">
        <f t="shared" ref="F269:F332" si="53">D269+E269</f>
        <v>2529</v>
      </c>
      <c r="G269" s="72">
        <f>VLOOKUP(B269,'114+840'!$B$15:$AB$516,20,FALSE)</f>
        <v>1719</v>
      </c>
      <c r="H269" s="72">
        <f>VLOOKUP(B269,'114+840'!$B$15:$AB$516,4,FALSE)</f>
        <v>-110</v>
      </c>
      <c r="I269" s="69">
        <f t="shared" ref="I269:I332" si="54">F269-H269</f>
        <v>2639</v>
      </c>
      <c r="J269" s="69">
        <f>VLOOKUP(B269,'114+840'!$B$15:$AB$516,13,FALSE)</f>
        <v>-361</v>
      </c>
      <c r="K269" s="67">
        <f>'114+840'!Q270</f>
        <v>0</v>
      </c>
      <c r="L269" s="66">
        <f t="shared" si="46"/>
        <v>281</v>
      </c>
      <c r="M269" s="71">
        <f>VLOOKUP(B269,'114+840'!$B$14:$AB$516,21,FALSE)</f>
        <v>1527</v>
      </c>
      <c r="N269" s="70">
        <f>VLOOKUP(B269,'114+840'!$B$15:$AB$516,5,FALSE)</f>
        <v>-98</v>
      </c>
      <c r="O269" s="69">
        <f t="shared" ref="O269:O332" si="55">F269-N269</f>
        <v>2627</v>
      </c>
      <c r="P269" s="69">
        <f>VLOOKUP(B269,'114+840'!$B$15:$AB$516,14,FALSE)</f>
        <v>-373</v>
      </c>
      <c r="Q269" s="67">
        <f>'114+840'!R270</f>
        <v>0</v>
      </c>
      <c r="R269" s="66">
        <f t="shared" si="47"/>
        <v>473</v>
      </c>
      <c r="S269" s="71">
        <f>VLOOKUP(B269,'114+840'!$B$14:$AB$516,22,FALSE)</f>
        <v>1742</v>
      </c>
      <c r="T269" s="70">
        <f>VLOOKUP(B269,'114+840'!$B$15:$AB$516,6,FALSE)</f>
        <v>177</v>
      </c>
      <c r="U269" s="69">
        <f t="shared" ref="U269:U332" si="56">F269-T269</f>
        <v>2352</v>
      </c>
      <c r="V269" s="68">
        <f>VLOOKUP(B269,'114+840'!$B$15:$AB$516,15,FALSE)</f>
        <v>-648</v>
      </c>
      <c r="W269" s="67">
        <f>'114+840'!S270</f>
        <v>0</v>
      </c>
      <c r="X269" s="66">
        <f t="shared" si="48"/>
        <v>258</v>
      </c>
      <c r="Y269" s="65">
        <f t="shared" si="49"/>
        <v>0</v>
      </c>
      <c r="Z269" s="64">
        <f t="shared" si="50"/>
        <v>0</v>
      </c>
      <c r="AA269" s="63">
        <f t="shared" si="51"/>
        <v>2.3239999999999998</v>
      </c>
      <c r="AB269" s="63">
        <f t="shared" si="52"/>
        <v>0.95399999999999996</v>
      </c>
    </row>
    <row r="270" spans="2:28">
      <c r="B270" s="104">
        <f>'114+840'!B271</f>
        <v>45527</v>
      </c>
      <c r="C270" s="75">
        <f t="shared" ref="C270:C333" si="57">B270-B269</f>
        <v>1</v>
      </c>
      <c r="D270" s="74">
        <f t="shared" ref="D270:D333" si="58">D269</f>
        <v>842</v>
      </c>
      <c r="E270" s="73">
        <f>VLOOKUP(B270,'114+840'!B271:AB271,3,FALSE)</f>
        <v>1689</v>
      </c>
      <c r="F270" s="70">
        <f t="shared" si="53"/>
        <v>2531</v>
      </c>
      <c r="G270" s="72">
        <f>VLOOKUP(B270,'114+840'!$B$15:$AB$516,20,FALSE)</f>
        <v>1719</v>
      </c>
      <c r="H270" s="72">
        <f>VLOOKUP(B270,'114+840'!$B$15:$AB$516,4,FALSE)</f>
        <v>-108</v>
      </c>
      <c r="I270" s="69">
        <f t="shared" si="54"/>
        <v>2639</v>
      </c>
      <c r="J270" s="69">
        <f>VLOOKUP(B270,'114+840'!$B$15:$AB$516,13,FALSE)</f>
        <v>-361</v>
      </c>
      <c r="K270" s="67">
        <f>'114+840'!Q271</f>
        <v>0</v>
      </c>
      <c r="L270" s="66">
        <f t="shared" ref="L270:L333" si="59">+K270+L269</f>
        <v>281</v>
      </c>
      <c r="M270" s="71">
        <f>VLOOKUP(B270,'114+840'!$B$14:$AB$516,21,FALSE)</f>
        <v>1527</v>
      </c>
      <c r="N270" s="70">
        <f>VLOOKUP(B270,'114+840'!$B$15:$AB$516,5,FALSE)</f>
        <v>-96</v>
      </c>
      <c r="O270" s="69">
        <f t="shared" si="55"/>
        <v>2627</v>
      </c>
      <c r="P270" s="69">
        <f>VLOOKUP(B270,'114+840'!$B$15:$AB$516,14,FALSE)</f>
        <v>-373</v>
      </c>
      <c r="Q270" s="67">
        <f>'114+840'!R271</f>
        <v>0</v>
      </c>
      <c r="R270" s="66">
        <f t="shared" ref="R270:R333" si="60">+Q270+R269</f>
        <v>473</v>
      </c>
      <c r="S270" s="71">
        <f>VLOOKUP(B270,'114+840'!$B$14:$AB$516,22,FALSE)</f>
        <v>1742</v>
      </c>
      <c r="T270" s="70">
        <f>VLOOKUP(B270,'114+840'!$B$15:$AB$516,6,FALSE)</f>
        <v>179</v>
      </c>
      <c r="U270" s="69">
        <f t="shared" si="56"/>
        <v>2352</v>
      </c>
      <c r="V270" s="68">
        <f>VLOOKUP(B270,'114+840'!$B$15:$AB$516,15,FALSE)</f>
        <v>-648</v>
      </c>
      <c r="W270" s="67">
        <f>'114+840'!S271</f>
        <v>0</v>
      </c>
      <c r="X270" s="66">
        <f t="shared" ref="X270:X333" si="61">+W270+X269</f>
        <v>258</v>
      </c>
      <c r="Y270" s="65">
        <f t="shared" ref="Y270:Y333" si="62">S270-S269</f>
        <v>0</v>
      </c>
      <c r="Z270" s="64">
        <f t="shared" ref="Z270:Z333" si="63">IF(Y270&gt;0,Y270,0)/1000</f>
        <v>0</v>
      </c>
      <c r="AA270" s="63">
        <f t="shared" ref="AA270:AA333" si="64">AA269+Z270</f>
        <v>2.3239999999999998</v>
      </c>
      <c r="AB270" s="63">
        <f t="shared" ref="AB270:AB333" si="65">(M270-$M$13-R270)/1000</f>
        <v>0.95399999999999996</v>
      </c>
    </row>
    <row r="271" spans="2:28">
      <c r="B271" s="104">
        <f>'114+840'!B272</f>
        <v>45528</v>
      </c>
      <c r="C271" s="75">
        <f t="shared" si="57"/>
        <v>1</v>
      </c>
      <c r="D271" s="74">
        <f t="shared" si="58"/>
        <v>842</v>
      </c>
      <c r="E271" s="73">
        <f>VLOOKUP(B271,'114+840'!B272:AB272,3,FALSE)</f>
        <v>1691</v>
      </c>
      <c r="F271" s="70">
        <f t="shared" si="53"/>
        <v>2533</v>
      </c>
      <c r="G271" s="72">
        <f>VLOOKUP(B271,'114+840'!$B$15:$AB$516,20,FALSE)</f>
        <v>1719</v>
      </c>
      <c r="H271" s="72">
        <f>VLOOKUP(B271,'114+840'!$B$15:$AB$516,4,FALSE)</f>
        <v>-106</v>
      </c>
      <c r="I271" s="69">
        <f t="shared" si="54"/>
        <v>2639</v>
      </c>
      <c r="J271" s="69">
        <f>VLOOKUP(B271,'114+840'!$B$15:$AB$516,13,FALSE)</f>
        <v>-361</v>
      </c>
      <c r="K271" s="67">
        <f>'114+840'!Q272</f>
        <v>0</v>
      </c>
      <c r="L271" s="66">
        <f t="shared" si="59"/>
        <v>281</v>
      </c>
      <c r="M271" s="71">
        <f>VLOOKUP(B271,'114+840'!$B$14:$AB$516,21,FALSE)</f>
        <v>1527</v>
      </c>
      <c r="N271" s="70">
        <f>VLOOKUP(B271,'114+840'!$B$15:$AB$516,5,FALSE)</f>
        <v>-94</v>
      </c>
      <c r="O271" s="69">
        <f t="shared" si="55"/>
        <v>2627</v>
      </c>
      <c r="P271" s="69">
        <f>VLOOKUP(B271,'114+840'!$B$15:$AB$516,14,FALSE)</f>
        <v>-373</v>
      </c>
      <c r="Q271" s="67">
        <f>'114+840'!R272</f>
        <v>0</v>
      </c>
      <c r="R271" s="66">
        <f t="shared" si="60"/>
        <v>473</v>
      </c>
      <c r="S271" s="71">
        <f>VLOOKUP(B271,'114+840'!$B$14:$AB$516,22,FALSE)</f>
        <v>1742</v>
      </c>
      <c r="T271" s="70">
        <f>VLOOKUP(B271,'114+840'!$B$15:$AB$516,6,FALSE)</f>
        <v>181</v>
      </c>
      <c r="U271" s="69">
        <f t="shared" si="56"/>
        <v>2352</v>
      </c>
      <c r="V271" s="68">
        <f>VLOOKUP(B271,'114+840'!$B$15:$AB$516,15,FALSE)</f>
        <v>-648</v>
      </c>
      <c r="W271" s="67">
        <f>'114+840'!S272</f>
        <v>0</v>
      </c>
      <c r="X271" s="66">
        <f t="shared" si="61"/>
        <v>258</v>
      </c>
      <c r="Y271" s="65">
        <f t="shared" si="62"/>
        <v>0</v>
      </c>
      <c r="Z271" s="64">
        <f t="shared" si="63"/>
        <v>0</v>
      </c>
      <c r="AA271" s="63">
        <f t="shared" si="64"/>
        <v>2.3239999999999998</v>
      </c>
      <c r="AB271" s="63">
        <f t="shared" si="65"/>
        <v>0.95399999999999996</v>
      </c>
    </row>
    <row r="272" spans="2:28">
      <c r="B272" s="104">
        <f>'114+840'!B273</f>
        <v>45529</v>
      </c>
      <c r="C272" s="75">
        <f t="shared" si="57"/>
        <v>1</v>
      </c>
      <c r="D272" s="74">
        <f t="shared" si="58"/>
        <v>842</v>
      </c>
      <c r="E272" s="73">
        <f>VLOOKUP(B272,'114+840'!B273:AB273,3,FALSE)</f>
        <v>1693</v>
      </c>
      <c r="F272" s="70">
        <f t="shared" si="53"/>
        <v>2535</v>
      </c>
      <c r="G272" s="72">
        <f>VLOOKUP(B272,'114+840'!$B$15:$AB$516,20,FALSE)</f>
        <v>1719</v>
      </c>
      <c r="H272" s="72">
        <f>VLOOKUP(B272,'114+840'!$B$15:$AB$516,4,FALSE)</f>
        <v>-104</v>
      </c>
      <c r="I272" s="69">
        <f t="shared" si="54"/>
        <v>2639</v>
      </c>
      <c r="J272" s="69">
        <f>VLOOKUP(B272,'114+840'!$B$15:$AB$516,13,FALSE)</f>
        <v>-361</v>
      </c>
      <c r="K272" s="67">
        <f>'114+840'!Q273</f>
        <v>0</v>
      </c>
      <c r="L272" s="66">
        <f t="shared" si="59"/>
        <v>281</v>
      </c>
      <c r="M272" s="71">
        <f>VLOOKUP(B272,'114+840'!$B$14:$AB$516,21,FALSE)</f>
        <v>1527</v>
      </c>
      <c r="N272" s="70">
        <f>VLOOKUP(B272,'114+840'!$B$15:$AB$516,5,FALSE)</f>
        <v>-92</v>
      </c>
      <c r="O272" s="69">
        <f t="shared" si="55"/>
        <v>2627</v>
      </c>
      <c r="P272" s="69">
        <f>VLOOKUP(B272,'114+840'!$B$15:$AB$516,14,FALSE)</f>
        <v>-373</v>
      </c>
      <c r="Q272" s="67">
        <f>'114+840'!R273</f>
        <v>0</v>
      </c>
      <c r="R272" s="66">
        <f t="shared" si="60"/>
        <v>473</v>
      </c>
      <c r="S272" s="71">
        <f>VLOOKUP(B272,'114+840'!$B$14:$AB$516,22,FALSE)</f>
        <v>1742</v>
      </c>
      <c r="T272" s="70">
        <f>VLOOKUP(B272,'114+840'!$B$15:$AB$516,6,FALSE)</f>
        <v>183</v>
      </c>
      <c r="U272" s="69">
        <f t="shared" si="56"/>
        <v>2352</v>
      </c>
      <c r="V272" s="68">
        <f>VLOOKUP(B272,'114+840'!$B$15:$AB$516,15,FALSE)</f>
        <v>-648</v>
      </c>
      <c r="W272" s="67">
        <f>'114+840'!S273</f>
        <v>0</v>
      </c>
      <c r="X272" s="66">
        <f t="shared" si="61"/>
        <v>258</v>
      </c>
      <c r="Y272" s="65">
        <f t="shared" si="62"/>
        <v>0</v>
      </c>
      <c r="Z272" s="64">
        <f t="shared" si="63"/>
        <v>0</v>
      </c>
      <c r="AA272" s="63">
        <f t="shared" si="64"/>
        <v>2.3239999999999998</v>
      </c>
      <c r="AB272" s="63">
        <f t="shared" si="65"/>
        <v>0.95399999999999996</v>
      </c>
    </row>
    <row r="273" spans="2:28">
      <c r="B273" s="104">
        <f>'114+840'!B274</f>
        <v>45530</v>
      </c>
      <c r="C273" s="75">
        <f t="shared" si="57"/>
        <v>1</v>
      </c>
      <c r="D273" s="74">
        <f t="shared" si="58"/>
        <v>842</v>
      </c>
      <c r="E273" s="73">
        <f>VLOOKUP(B273,'114+840'!B274:AB274,3,FALSE)</f>
        <v>1695</v>
      </c>
      <c r="F273" s="70">
        <f t="shared" si="53"/>
        <v>2537</v>
      </c>
      <c r="G273" s="72">
        <f>VLOOKUP(B273,'114+840'!$B$15:$AB$516,20,FALSE)</f>
        <v>1719</v>
      </c>
      <c r="H273" s="72">
        <f>VLOOKUP(B273,'114+840'!$B$15:$AB$516,4,FALSE)</f>
        <v>-102</v>
      </c>
      <c r="I273" s="69">
        <f t="shared" si="54"/>
        <v>2639</v>
      </c>
      <c r="J273" s="69">
        <f>VLOOKUP(B273,'114+840'!$B$15:$AB$516,13,FALSE)</f>
        <v>-361</v>
      </c>
      <c r="K273" s="67">
        <f>'114+840'!Q274</f>
        <v>0</v>
      </c>
      <c r="L273" s="66">
        <f t="shared" si="59"/>
        <v>281</v>
      </c>
      <c r="M273" s="71">
        <f>VLOOKUP(B273,'114+840'!$B$14:$AB$516,21,FALSE)</f>
        <v>1527</v>
      </c>
      <c r="N273" s="70">
        <f>VLOOKUP(B273,'114+840'!$B$15:$AB$516,5,FALSE)</f>
        <v>-90</v>
      </c>
      <c r="O273" s="69">
        <f t="shared" si="55"/>
        <v>2627</v>
      </c>
      <c r="P273" s="69">
        <f>VLOOKUP(B273,'114+840'!$B$15:$AB$516,14,FALSE)</f>
        <v>-373</v>
      </c>
      <c r="Q273" s="67">
        <f>'114+840'!R274</f>
        <v>0</v>
      </c>
      <c r="R273" s="66">
        <f t="shared" si="60"/>
        <v>473</v>
      </c>
      <c r="S273" s="71">
        <f>VLOOKUP(B273,'114+840'!$B$14:$AB$516,22,FALSE)</f>
        <v>1742</v>
      </c>
      <c r="T273" s="70">
        <f>VLOOKUP(B273,'114+840'!$B$15:$AB$516,6,FALSE)</f>
        <v>185</v>
      </c>
      <c r="U273" s="69">
        <f t="shared" si="56"/>
        <v>2352</v>
      </c>
      <c r="V273" s="68">
        <f>VLOOKUP(B273,'114+840'!$B$15:$AB$516,15,FALSE)</f>
        <v>-648</v>
      </c>
      <c r="W273" s="67">
        <f>'114+840'!S274</f>
        <v>0</v>
      </c>
      <c r="X273" s="66">
        <f t="shared" si="61"/>
        <v>258</v>
      </c>
      <c r="Y273" s="65">
        <f t="shared" si="62"/>
        <v>0</v>
      </c>
      <c r="Z273" s="64">
        <f t="shared" si="63"/>
        <v>0</v>
      </c>
      <c r="AA273" s="63">
        <f t="shared" si="64"/>
        <v>2.3239999999999998</v>
      </c>
      <c r="AB273" s="63">
        <f t="shared" si="65"/>
        <v>0.95399999999999996</v>
      </c>
    </row>
    <row r="274" spans="2:28">
      <c r="B274" s="104">
        <f>'114+840'!B275</f>
        <v>45531</v>
      </c>
      <c r="C274" s="75">
        <f t="shared" si="57"/>
        <v>1</v>
      </c>
      <c r="D274" s="74">
        <f t="shared" si="58"/>
        <v>842</v>
      </c>
      <c r="E274" s="73">
        <f>VLOOKUP(B274,'114+840'!B275:AB275,3,FALSE)</f>
        <v>1697</v>
      </c>
      <c r="F274" s="70">
        <f t="shared" si="53"/>
        <v>2539</v>
      </c>
      <c r="G274" s="72">
        <f>VLOOKUP(B274,'114+840'!$B$15:$AB$516,20,FALSE)</f>
        <v>1719</v>
      </c>
      <c r="H274" s="72">
        <f>VLOOKUP(B274,'114+840'!$B$15:$AB$516,4,FALSE)</f>
        <v>-100</v>
      </c>
      <c r="I274" s="69">
        <f t="shared" si="54"/>
        <v>2639</v>
      </c>
      <c r="J274" s="69">
        <f>VLOOKUP(B274,'114+840'!$B$15:$AB$516,13,FALSE)</f>
        <v>-361</v>
      </c>
      <c r="K274" s="67">
        <f>'114+840'!Q275</f>
        <v>0</v>
      </c>
      <c r="L274" s="66">
        <f t="shared" si="59"/>
        <v>281</v>
      </c>
      <c r="M274" s="71">
        <f>VLOOKUP(B274,'114+840'!$B$14:$AB$516,21,FALSE)</f>
        <v>1527</v>
      </c>
      <c r="N274" s="70">
        <f>VLOOKUP(B274,'114+840'!$B$15:$AB$516,5,FALSE)</f>
        <v>-88</v>
      </c>
      <c r="O274" s="69">
        <f t="shared" si="55"/>
        <v>2627</v>
      </c>
      <c r="P274" s="69">
        <f>VLOOKUP(B274,'114+840'!$B$15:$AB$516,14,FALSE)</f>
        <v>-373</v>
      </c>
      <c r="Q274" s="67">
        <f>'114+840'!R275</f>
        <v>0</v>
      </c>
      <c r="R274" s="66">
        <f t="shared" si="60"/>
        <v>473</v>
      </c>
      <c r="S274" s="71">
        <f>VLOOKUP(B274,'114+840'!$B$14:$AB$516,22,FALSE)</f>
        <v>1742</v>
      </c>
      <c r="T274" s="70">
        <f>VLOOKUP(B274,'114+840'!$B$15:$AB$516,6,FALSE)</f>
        <v>187</v>
      </c>
      <c r="U274" s="69">
        <f t="shared" si="56"/>
        <v>2352</v>
      </c>
      <c r="V274" s="68">
        <f>VLOOKUP(B274,'114+840'!$B$15:$AB$516,15,FALSE)</f>
        <v>-648</v>
      </c>
      <c r="W274" s="67">
        <f>'114+840'!S275</f>
        <v>0</v>
      </c>
      <c r="X274" s="66">
        <f t="shared" si="61"/>
        <v>258</v>
      </c>
      <c r="Y274" s="65">
        <f t="shared" si="62"/>
        <v>0</v>
      </c>
      <c r="Z274" s="64">
        <f t="shared" si="63"/>
        <v>0</v>
      </c>
      <c r="AA274" s="63">
        <f t="shared" si="64"/>
        <v>2.3239999999999998</v>
      </c>
      <c r="AB274" s="63">
        <f t="shared" si="65"/>
        <v>0.95399999999999996</v>
      </c>
    </row>
    <row r="275" spans="2:28">
      <c r="B275" s="104">
        <f>'114+840'!B276</f>
        <v>45532</v>
      </c>
      <c r="C275" s="75">
        <f t="shared" si="57"/>
        <v>1</v>
      </c>
      <c r="D275" s="74">
        <f t="shared" si="58"/>
        <v>842</v>
      </c>
      <c r="E275" s="73">
        <f>VLOOKUP(B275,'114+840'!B276:AB276,3,FALSE)</f>
        <v>1699</v>
      </c>
      <c r="F275" s="70">
        <f t="shared" si="53"/>
        <v>2541</v>
      </c>
      <c r="G275" s="72">
        <f>VLOOKUP(B275,'114+840'!$B$15:$AB$516,20,FALSE)</f>
        <v>1719</v>
      </c>
      <c r="H275" s="72">
        <f>VLOOKUP(B275,'114+840'!$B$15:$AB$516,4,FALSE)</f>
        <v>-98</v>
      </c>
      <c r="I275" s="69">
        <f t="shared" si="54"/>
        <v>2639</v>
      </c>
      <c r="J275" s="69">
        <f>VLOOKUP(B275,'114+840'!$B$15:$AB$516,13,FALSE)</f>
        <v>-361</v>
      </c>
      <c r="K275" s="67">
        <f>'114+840'!Q276</f>
        <v>0</v>
      </c>
      <c r="L275" s="66">
        <f t="shared" si="59"/>
        <v>281</v>
      </c>
      <c r="M275" s="71">
        <f>VLOOKUP(B275,'114+840'!$B$14:$AB$516,21,FALSE)</f>
        <v>1527</v>
      </c>
      <c r="N275" s="70">
        <f>VLOOKUP(B275,'114+840'!$B$15:$AB$516,5,FALSE)</f>
        <v>-86</v>
      </c>
      <c r="O275" s="69">
        <f t="shared" si="55"/>
        <v>2627</v>
      </c>
      <c r="P275" s="69">
        <f>VLOOKUP(B275,'114+840'!$B$15:$AB$516,14,FALSE)</f>
        <v>-373</v>
      </c>
      <c r="Q275" s="67">
        <f>'114+840'!R276</f>
        <v>0</v>
      </c>
      <c r="R275" s="66">
        <f t="shared" si="60"/>
        <v>473</v>
      </c>
      <c r="S275" s="71">
        <f>VLOOKUP(B275,'114+840'!$B$14:$AB$516,22,FALSE)</f>
        <v>1742</v>
      </c>
      <c r="T275" s="70">
        <f>VLOOKUP(B275,'114+840'!$B$15:$AB$516,6,FALSE)</f>
        <v>189</v>
      </c>
      <c r="U275" s="69">
        <f t="shared" si="56"/>
        <v>2352</v>
      </c>
      <c r="V275" s="68">
        <f>VLOOKUP(B275,'114+840'!$B$15:$AB$516,15,FALSE)</f>
        <v>-648</v>
      </c>
      <c r="W275" s="67">
        <f>'114+840'!S276</f>
        <v>0</v>
      </c>
      <c r="X275" s="66">
        <f t="shared" si="61"/>
        <v>258</v>
      </c>
      <c r="Y275" s="65">
        <f t="shared" si="62"/>
        <v>0</v>
      </c>
      <c r="Z275" s="64">
        <f t="shared" si="63"/>
        <v>0</v>
      </c>
      <c r="AA275" s="63">
        <f t="shared" si="64"/>
        <v>2.3239999999999998</v>
      </c>
      <c r="AB275" s="63">
        <f t="shared" si="65"/>
        <v>0.95399999999999996</v>
      </c>
    </row>
    <row r="276" spans="2:28">
      <c r="B276" s="104">
        <f>'114+840'!B277</f>
        <v>45533</v>
      </c>
      <c r="C276" s="75">
        <f t="shared" si="57"/>
        <v>1</v>
      </c>
      <c r="D276" s="74">
        <f t="shared" si="58"/>
        <v>842</v>
      </c>
      <c r="E276" s="73">
        <f>VLOOKUP(B276,'114+840'!B277:AB277,3,FALSE)</f>
        <v>1701</v>
      </c>
      <c r="F276" s="70">
        <f t="shared" si="53"/>
        <v>2543</v>
      </c>
      <c r="G276" s="72">
        <f>VLOOKUP(B276,'114+840'!$B$15:$AB$516,20,FALSE)</f>
        <v>1719</v>
      </c>
      <c r="H276" s="72">
        <f>VLOOKUP(B276,'114+840'!$B$15:$AB$516,4,FALSE)</f>
        <v>-96</v>
      </c>
      <c r="I276" s="69">
        <f t="shared" si="54"/>
        <v>2639</v>
      </c>
      <c r="J276" s="69">
        <f>VLOOKUP(B276,'114+840'!$B$15:$AB$516,13,FALSE)</f>
        <v>-361</v>
      </c>
      <c r="K276" s="67">
        <f>'114+840'!Q277</f>
        <v>0</v>
      </c>
      <c r="L276" s="66">
        <f t="shared" si="59"/>
        <v>281</v>
      </c>
      <c r="M276" s="71">
        <f>VLOOKUP(B276,'114+840'!$B$14:$AB$516,21,FALSE)</f>
        <v>1527</v>
      </c>
      <c r="N276" s="70">
        <f>VLOOKUP(B276,'114+840'!$B$15:$AB$516,5,FALSE)</f>
        <v>-84</v>
      </c>
      <c r="O276" s="69">
        <f t="shared" si="55"/>
        <v>2627</v>
      </c>
      <c r="P276" s="69">
        <f>VLOOKUP(B276,'114+840'!$B$15:$AB$516,14,FALSE)</f>
        <v>-373</v>
      </c>
      <c r="Q276" s="67">
        <f>'114+840'!R277</f>
        <v>0</v>
      </c>
      <c r="R276" s="66">
        <f t="shared" si="60"/>
        <v>473</v>
      </c>
      <c r="S276" s="71">
        <f>VLOOKUP(B276,'114+840'!$B$14:$AB$516,22,FALSE)</f>
        <v>1742</v>
      </c>
      <c r="T276" s="70">
        <f>VLOOKUP(B276,'114+840'!$B$15:$AB$516,6,FALSE)</f>
        <v>191</v>
      </c>
      <c r="U276" s="69">
        <f t="shared" si="56"/>
        <v>2352</v>
      </c>
      <c r="V276" s="68">
        <f>VLOOKUP(B276,'114+840'!$B$15:$AB$516,15,FALSE)</f>
        <v>-648</v>
      </c>
      <c r="W276" s="67">
        <f>'114+840'!S277</f>
        <v>0</v>
      </c>
      <c r="X276" s="66">
        <f t="shared" si="61"/>
        <v>258</v>
      </c>
      <c r="Y276" s="65">
        <f t="shared" si="62"/>
        <v>0</v>
      </c>
      <c r="Z276" s="64">
        <f t="shared" si="63"/>
        <v>0</v>
      </c>
      <c r="AA276" s="63">
        <f t="shared" si="64"/>
        <v>2.3239999999999998</v>
      </c>
      <c r="AB276" s="63">
        <f t="shared" si="65"/>
        <v>0.95399999999999996</v>
      </c>
    </row>
    <row r="277" spans="2:28">
      <c r="B277" s="104">
        <f>'114+840'!B278</f>
        <v>45534</v>
      </c>
      <c r="C277" s="75">
        <f t="shared" si="57"/>
        <v>1</v>
      </c>
      <c r="D277" s="74">
        <f t="shared" si="58"/>
        <v>842</v>
      </c>
      <c r="E277" s="73">
        <f>VLOOKUP(B277,'114+840'!B278:AB278,3,FALSE)</f>
        <v>1703</v>
      </c>
      <c r="F277" s="70">
        <f t="shared" si="53"/>
        <v>2545</v>
      </c>
      <c r="G277" s="72">
        <f>VLOOKUP(B277,'114+840'!$B$15:$AB$516,20,FALSE)</f>
        <v>1719</v>
      </c>
      <c r="H277" s="72">
        <f>VLOOKUP(B277,'114+840'!$B$15:$AB$516,4,FALSE)</f>
        <v>-94</v>
      </c>
      <c r="I277" s="69">
        <f t="shared" si="54"/>
        <v>2639</v>
      </c>
      <c r="J277" s="69">
        <f>VLOOKUP(B277,'114+840'!$B$15:$AB$516,13,FALSE)</f>
        <v>-361</v>
      </c>
      <c r="K277" s="67">
        <f>'114+840'!Q278</f>
        <v>0</v>
      </c>
      <c r="L277" s="66">
        <f t="shared" si="59"/>
        <v>281</v>
      </c>
      <c r="M277" s="71">
        <f>VLOOKUP(B277,'114+840'!$B$14:$AB$516,21,FALSE)</f>
        <v>1527</v>
      </c>
      <c r="N277" s="70">
        <f>VLOOKUP(B277,'114+840'!$B$15:$AB$516,5,FALSE)</f>
        <v>-82</v>
      </c>
      <c r="O277" s="69">
        <f t="shared" si="55"/>
        <v>2627</v>
      </c>
      <c r="P277" s="69">
        <f>VLOOKUP(B277,'114+840'!$B$15:$AB$516,14,FALSE)</f>
        <v>-373</v>
      </c>
      <c r="Q277" s="67">
        <f>'114+840'!R278</f>
        <v>0</v>
      </c>
      <c r="R277" s="66">
        <f t="shared" si="60"/>
        <v>473</v>
      </c>
      <c r="S277" s="71">
        <f>VLOOKUP(B277,'114+840'!$B$14:$AB$516,22,FALSE)</f>
        <v>1742</v>
      </c>
      <c r="T277" s="70">
        <f>VLOOKUP(B277,'114+840'!$B$15:$AB$516,6,FALSE)</f>
        <v>193</v>
      </c>
      <c r="U277" s="69">
        <f t="shared" si="56"/>
        <v>2352</v>
      </c>
      <c r="V277" s="68">
        <f>VLOOKUP(B277,'114+840'!$B$15:$AB$516,15,FALSE)</f>
        <v>-648</v>
      </c>
      <c r="W277" s="67">
        <f>'114+840'!S278</f>
        <v>0</v>
      </c>
      <c r="X277" s="66">
        <f t="shared" si="61"/>
        <v>258</v>
      </c>
      <c r="Y277" s="65">
        <f t="shared" si="62"/>
        <v>0</v>
      </c>
      <c r="Z277" s="64">
        <f t="shared" si="63"/>
        <v>0</v>
      </c>
      <c r="AA277" s="63">
        <f t="shared" si="64"/>
        <v>2.3239999999999998</v>
      </c>
      <c r="AB277" s="63">
        <f t="shared" si="65"/>
        <v>0.95399999999999996</v>
      </c>
    </row>
    <row r="278" spans="2:28">
      <c r="B278" s="104">
        <f>'114+840'!B279</f>
        <v>45535</v>
      </c>
      <c r="C278" s="75">
        <f t="shared" si="57"/>
        <v>1</v>
      </c>
      <c r="D278" s="74">
        <f t="shared" si="58"/>
        <v>842</v>
      </c>
      <c r="E278" s="73">
        <f>VLOOKUP(B278,'114+840'!B279:AB279,3,FALSE)</f>
        <v>1705</v>
      </c>
      <c r="F278" s="70">
        <f t="shared" si="53"/>
        <v>2547</v>
      </c>
      <c r="G278" s="72">
        <f>VLOOKUP(B278,'114+840'!$B$15:$AB$516,20,FALSE)</f>
        <v>1719</v>
      </c>
      <c r="H278" s="72">
        <f>VLOOKUP(B278,'114+840'!$B$15:$AB$516,4,FALSE)</f>
        <v>-92</v>
      </c>
      <c r="I278" s="69">
        <f t="shared" si="54"/>
        <v>2639</v>
      </c>
      <c r="J278" s="69">
        <f>VLOOKUP(B278,'114+840'!$B$15:$AB$516,13,FALSE)</f>
        <v>-361</v>
      </c>
      <c r="K278" s="67">
        <f>'114+840'!Q279</f>
        <v>0</v>
      </c>
      <c r="L278" s="66">
        <f t="shared" si="59"/>
        <v>281</v>
      </c>
      <c r="M278" s="71">
        <f>VLOOKUP(B278,'114+840'!$B$14:$AB$516,21,FALSE)</f>
        <v>1527</v>
      </c>
      <c r="N278" s="70">
        <f>VLOOKUP(B278,'114+840'!$B$15:$AB$516,5,FALSE)</f>
        <v>-80</v>
      </c>
      <c r="O278" s="69">
        <f t="shared" si="55"/>
        <v>2627</v>
      </c>
      <c r="P278" s="69">
        <f>VLOOKUP(B278,'114+840'!$B$15:$AB$516,14,FALSE)</f>
        <v>-373</v>
      </c>
      <c r="Q278" s="67">
        <f>'114+840'!R279</f>
        <v>0</v>
      </c>
      <c r="R278" s="66">
        <f t="shared" si="60"/>
        <v>473</v>
      </c>
      <c r="S278" s="71">
        <f>VLOOKUP(B278,'114+840'!$B$14:$AB$516,22,FALSE)</f>
        <v>1742</v>
      </c>
      <c r="T278" s="70">
        <f>VLOOKUP(B278,'114+840'!$B$15:$AB$516,6,FALSE)</f>
        <v>195</v>
      </c>
      <c r="U278" s="69">
        <f t="shared" si="56"/>
        <v>2352</v>
      </c>
      <c r="V278" s="68">
        <f>VLOOKUP(B278,'114+840'!$B$15:$AB$516,15,FALSE)</f>
        <v>-648</v>
      </c>
      <c r="W278" s="67">
        <f>'114+840'!S279</f>
        <v>0</v>
      </c>
      <c r="X278" s="66">
        <f t="shared" si="61"/>
        <v>258</v>
      </c>
      <c r="Y278" s="65">
        <f t="shared" si="62"/>
        <v>0</v>
      </c>
      <c r="Z278" s="64">
        <f t="shared" si="63"/>
        <v>0</v>
      </c>
      <c r="AA278" s="63">
        <f t="shared" si="64"/>
        <v>2.3239999999999998</v>
      </c>
      <c r="AB278" s="63">
        <f t="shared" si="65"/>
        <v>0.95399999999999996</v>
      </c>
    </row>
    <row r="279" spans="2:28">
      <c r="B279" s="104">
        <f>'114+840'!B280</f>
        <v>45536</v>
      </c>
      <c r="C279" s="75">
        <f t="shared" si="57"/>
        <v>1</v>
      </c>
      <c r="D279" s="74">
        <f t="shared" si="58"/>
        <v>842</v>
      </c>
      <c r="E279" s="73">
        <f>VLOOKUP(B279,'114+840'!B280:AB280,3,FALSE)</f>
        <v>1707</v>
      </c>
      <c r="F279" s="70">
        <f t="shared" si="53"/>
        <v>2549</v>
      </c>
      <c r="G279" s="72">
        <f>VLOOKUP(B279,'114+840'!$B$15:$AB$516,20,FALSE)</f>
        <v>1719</v>
      </c>
      <c r="H279" s="72">
        <f>VLOOKUP(B279,'114+840'!$B$15:$AB$516,4,FALSE)</f>
        <v>-90</v>
      </c>
      <c r="I279" s="69">
        <f t="shared" si="54"/>
        <v>2639</v>
      </c>
      <c r="J279" s="69">
        <f>VLOOKUP(B279,'114+840'!$B$15:$AB$516,13,FALSE)</f>
        <v>-361</v>
      </c>
      <c r="K279" s="67">
        <f>'114+840'!Q280</f>
        <v>0</v>
      </c>
      <c r="L279" s="66">
        <f t="shared" si="59"/>
        <v>281</v>
      </c>
      <c r="M279" s="71">
        <f>VLOOKUP(B279,'114+840'!$B$14:$AB$516,21,FALSE)</f>
        <v>1527</v>
      </c>
      <c r="N279" s="70">
        <f>VLOOKUP(B279,'114+840'!$B$15:$AB$516,5,FALSE)</f>
        <v>-78</v>
      </c>
      <c r="O279" s="69">
        <f t="shared" si="55"/>
        <v>2627</v>
      </c>
      <c r="P279" s="69">
        <f>VLOOKUP(B279,'114+840'!$B$15:$AB$516,14,FALSE)</f>
        <v>-373</v>
      </c>
      <c r="Q279" s="67">
        <f>'114+840'!R280</f>
        <v>0</v>
      </c>
      <c r="R279" s="66">
        <f t="shared" si="60"/>
        <v>473</v>
      </c>
      <c r="S279" s="71">
        <f>VLOOKUP(B279,'114+840'!$B$14:$AB$516,22,FALSE)</f>
        <v>1742</v>
      </c>
      <c r="T279" s="70">
        <f>VLOOKUP(B279,'114+840'!$B$15:$AB$516,6,FALSE)</f>
        <v>197</v>
      </c>
      <c r="U279" s="69">
        <f t="shared" si="56"/>
        <v>2352</v>
      </c>
      <c r="V279" s="68">
        <f>VLOOKUP(B279,'114+840'!$B$15:$AB$516,15,FALSE)</f>
        <v>-648</v>
      </c>
      <c r="W279" s="67">
        <f>'114+840'!S280</f>
        <v>0</v>
      </c>
      <c r="X279" s="66">
        <f t="shared" si="61"/>
        <v>258</v>
      </c>
      <c r="Y279" s="65">
        <f t="shared" si="62"/>
        <v>0</v>
      </c>
      <c r="Z279" s="64">
        <f t="shared" si="63"/>
        <v>0</v>
      </c>
      <c r="AA279" s="63">
        <f t="shared" si="64"/>
        <v>2.3239999999999998</v>
      </c>
      <c r="AB279" s="63">
        <f t="shared" si="65"/>
        <v>0.95399999999999996</v>
      </c>
    </row>
    <row r="280" spans="2:28">
      <c r="B280" s="104">
        <f>'114+840'!B281</f>
        <v>45537</v>
      </c>
      <c r="C280" s="75">
        <f t="shared" si="57"/>
        <v>1</v>
      </c>
      <c r="D280" s="74">
        <f t="shared" si="58"/>
        <v>842</v>
      </c>
      <c r="E280" s="73">
        <f>VLOOKUP(B280,'114+840'!B281:AB281,3,FALSE)</f>
        <v>1709</v>
      </c>
      <c r="F280" s="70">
        <f t="shared" si="53"/>
        <v>2551</v>
      </c>
      <c r="G280" s="72">
        <f>VLOOKUP(B280,'114+840'!$B$15:$AB$516,20,FALSE)</f>
        <v>1719</v>
      </c>
      <c r="H280" s="72">
        <f>VLOOKUP(B280,'114+840'!$B$15:$AB$516,4,FALSE)</f>
        <v>-88</v>
      </c>
      <c r="I280" s="69">
        <f t="shared" si="54"/>
        <v>2639</v>
      </c>
      <c r="J280" s="69">
        <f>VLOOKUP(B280,'114+840'!$B$15:$AB$516,13,FALSE)</f>
        <v>-361</v>
      </c>
      <c r="K280" s="67">
        <f>'114+840'!Q281</f>
        <v>0</v>
      </c>
      <c r="L280" s="66">
        <f t="shared" si="59"/>
        <v>281</v>
      </c>
      <c r="M280" s="71">
        <f>VLOOKUP(B280,'114+840'!$B$14:$AB$516,21,FALSE)</f>
        <v>1527</v>
      </c>
      <c r="N280" s="70">
        <f>VLOOKUP(B280,'114+840'!$B$15:$AB$516,5,FALSE)</f>
        <v>-76</v>
      </c>
      <c r="O280" s="69">
        <f t="shared" si="55"/>
        <v>2627</v>
      </c>
      <c r="P280" s="69">
        <f>VLOOKUP(B280,'114+840'!$B$15:$AB$516,14,FALSE)</f>
        <v>-373</v>
      </c>
      <c r="Q280" s="67">
        <f>'114+840'!R281</f>
        <v>0</v>
      </c>
      <c r="R280" s="66">
        <f t="shared" si="60"/>
        <v>473</v>
      </c>
      <c r="S280" s="71">
        <f>VLOOKUP(B280,'114+840'!$B$14:$AB$516,22,FALSE)</f>
        <v>1742</v>
      </c>
      <c r="T280" s="70">
        <f>VLOOKUP(B280,'114+840'!$B$15:$AB$516,6,FALSE)</f>
        <v>199</v>
      </c>
      <c r="U280" s="69">
        <f t="shared" si="56"/>
        <v>2352</v>
      </c>
      <c r="V280" s="68">
        <f>VLOOKUP(B280,'114+840'!$B$15:$AB$516,15,FALSE)</f>
        <v>-648</v>
      </c>
      <c r="W280" s="67">
        <f>'114+840'!S281</f>
        <v>0</v>
      </c>
      <c r="X280" s="66">
        <f t="shared" si="61"/>
        <v>258</v>
      </c>
      <c r="Y280" s="65">
        <f t="shared" si="62"/>
        <v>0</v>
      </c>
      <c r="Z280" s="64">
        <f t="shared" si="63"/>
        <v>0</v>
      </c>
      <c r="AA280" s="63">
        <f t="shared" si="64"/>
        <v>2.3239999999999998</v>
      </c>
      <c r="AB280" s="63">
        <f t="shared" si="65"/>
        <v>0.95399999999999996</v>
      </c>
    </row>
    <row r="281" spans="2:28">
      <c r="B281" s="104">
        <f>'114+840'!B282</f>
        <v>45538</v>
      </c>
      <c r="C281" s="75">
        <f t="shared" si="57"/>
        <v>1</v>
      </c>
      <c r="D281" s="74">
        <f t="shared" si="58"/>
        <v>842</v>
      </c>
      <c r="E281" s="73">
        <f>VLOOKUP(B281,'114+840'!B282:AB282,3,FALSE)</f>
        <v>1711</v>
      </c>
      <c r="F281" s="70">
        <f t="shared" si="53"/>
        <v>2553</v>
      </c>
      <c r="G281" s="72">
        <f>VLOOKUP(B281,'114+840'!$B$15:$AB$516,20,FALSE)</f>
        <v>1719</v>
      </c>
      <c r="H281" s="72">
        <f>VLOOKUP(B281,'114+840'!$B$15:$AB$516,4,FALSE)</f>
        <v>-86</v>
      </c>
      <c r="I281" s="69">
        <f t="shared" si="54"/>
        <v>2639</v>
      </c>
      <c r="J281" s="69">
        <f>VLOOKUP(B281,'114+840'!$B$15:$AB$516,13,FALSE)</f>
        <v>-361</v>
      </c>
      <c r="K281" s="67">
        <f>'114+840'!Q282</f>
        <v>0</v>
      </c>
      <c r="L281" s="66">
        <f t="shared" si="59"/>
        <v>281</v>
      </c>
      <c r="M281" s="71">
        <f>VLOOKUP(B281,'114+840'!$B$14:$AB$516,21,FALSE)</f>
        <v>1527</v>
      </c>
      <c r="N281" s="70">
        <f>VLOOKUP(B281,'114+840'!$B$15:$AB$516,5,FALSE)</f>
        <v>-74</v>
      </c>
      <c r="O281" s="69">
        <f t="shared" si="55"/>
        <v>2627</v>
      </c>
      <c r="P281" s="69">
        <f>VLOOKUP(B281,'114+840'!$B$15:$AB$516,14,FALSE)</f>
        <v>-373</v>
      </c>
      <c r="Q281" s="67">
        <f>'114+840'!R282</f>
        <v>0</v>
      </c>
      <c r="R281" s="66">
        <f t="shared" si="60"/>
        <v>473</v>
      </c>
      <c r="S281" s="71">
        <f>VLOOKUP(B281,'114+840'!$B$14:$AB$516,22,FALSE)</f>
        <v>1742</v>
      </c>
      <c r="T281" s="70">
        <f>VLOOKUP(B281,'114+840'!$B$15:$AB$516,6,FALSE)</f>
        <v>201</v>
      </c>
      <c r="U281" s="69">
        <f t="shared" si="56"/>
        <v>2352</v>
      </c>
      <c r="V281" s="68">
        <f>VLOOKUP(B281,'114+840'!$B$15:$AB$516,15,FALSE)</f>
        <v>-648</v>
      </c>
      <c r="W281" s="67">
        <f>'114+840'!S282</f>
        <v>0</v>
      </c>
      <c r="X281" s="66">
        <f t="shared" si="61"/>
        <v>258</v>
      </c>
      <c r="Y281" s="65">
        <f t="shared" si="62"/>
        <v>0</v>
      </c>
      <c r="Z281" s="64">
        <f t="shared" si="63"/>
        <v>0</v>
      </c>
      <c r="AA281" s="63">
        <f t="shared" si="64"/>
        <v>2.3239999999999998</v>
      </c>
      <c r="AB281" s="63">
        <f t="shared" si="65"/>
        <v>0.95399999999999996</v>
      </c>
    </row>
    <row r="282" spans="2:28">
      <c r="B282" s="104">
        <f>'114+840'!B283</f>
        <v>45539</v>
      </c>
      <c r="C282" s="75">
        <f t="shared" si="57"/>
        <v>1</v>
      </c>
      <c r="D282" s="74">
        <f t="shared" si="58"/>
        <v>842</v>
      </c>
      <c r="E282" s="73">
        <f>VLOOKUP(B282,'114+840'!B283:AB283,3,FALSE)</f>
        <v>1713</v>
      </c>
      <c r="F282" s="70">
        <f t="shared" si="53"/>
        <v>2555</v>
      </c>
      <c r="G282" s="72">
        <f>VLOOKUP(B282,'114+840'!$B$15:$AB$516,20,FALSE)</f>
        <v>1719</v>
      </c>
      <c r="H282" s="72">
        <f>VLOOKUP(B282,'114+840'!$B$15:$AB$516,4,FALSE)</f>
        <v>-84</v>
      </c>
      <c r="I282" s="69">
        <f t="shared" si="54"/>
        <v>2639</v>
      </c>
      <c r="J282" s="69">
        <f>VLOOKUP(B282,'114+840'!$B$15:$AB$516,13,FALSE)</f>
        <v>-361</v>
      </c>
      <c r="K282" s="67">
        <f>'114+840'!Q283</f>
        <v>0</v>
      </c>
      <c r="L282" s="66">
        <f t="shared" si="59"/>
        <v>281</v>
      </c>
      <c r="M282" s="71">
        <f>VLOOKUP(B282,'114+840'!$B$14:$AB$516,21,FALSE)</f>
        <v>1527</v>
      </c>
      <c r="N282" s="70">
        <f>VLOOKUP(B282,'114+840'!$B$15:$AB$516,5,FALSE)</f>
        <v>-72</v>
      </c>
      <c r="O282" s="69">
        <f t="shared" si="55"/>
        <v>2627</v>
      </c>
      <c r="P282" s="69">
        <f>VLOOKUP(B282,'114+840'!$B$15:$AB$516,14,FALSE)</f>
        <v>-373</v>
      </c>
      <c r="Q282" s="67">
        <f>'114+840'!R283</f>
        <v>0</v>
      </c>
      <c r="R282" s="66">
        <f t="shared" si="60"/>
        <v>473</v>
      </c>
      <c r="S282" s="71">
        <f>VLOOKUP(B282,'114+840'!$B$14:$AB$516,22,FALSE)</f>
        <v>1742</v>
      </c>
      <c r="T282" s="70">
        <f>VLOOKUP(B282,'114+840'!$B$15:$AB$516,6,FALSE)</f>
        <v>203</v>
      </c>
      <c r="U282" s="69">
        <f t="shared" si="56"/>
        <v>2352</v>
      </c>
      <c r="V282" s="68">
        <f>VLOOKUP(B282,'114+840'!$B$15:$AB$516,15,FALSE)</f>
        <v>-648</v>
      </c>
      <c r="W282" s="67">
        <f>'114+840'!S283</f>
        <v>0</v>
      </c>
      <c r="X282" s="66">
        <f t="shared" si="61"/>
        <v>258</v>
      </c>
      <c r="Y282" s="65">
        <f t="shared" si="62"/>
        <v>0</v>
      </c>
      <c r="Z282" s="64">
        <f t="shared" si="63"/>
        <v>0</v>
      </c>
      <c r="AA282" s="63">
        <f t="shared" si="64"/>
        <v>2.3239999999999998</v>
      </c>
      <c r="AB282" s="63">
        <f t="shared" si="65"/>
        <v>0.95399999999999996</v>
      </c>
    </row>
    <row r="283" spans="2:28">
      <c r="B283" s="104">
        <f>'114+840'!B284</f>
        <v>45540</v>
      </c>
      <c r="C283" s="75">
        <f t="shared" si="57"/>
        <v>1</v>
      </c>
      <c r="D283" s="74">
        <f t="shared" si="58"/>
        <v>842</v>
      </c>
      <c r="E283" s="73">
        <f>VLOOKUP(B283,'114+840'!B284:AB284,3,FALSE)</f>
        <v>1715</v>
      </c>
      <c r="F283" s="70">
        <f t="shared" si="53"/>
        <v>2557</v>
      </c>
      <c r="G283" s="72">
        <f>VLOOKUP(B283,'114+840'!$B$15:$AB$516,20,FALSE)</f>
        <v>1719</v>
      </c>
      <c r="H283" s="72">
        <f>VLOOKUP(B283,'114+840'!$B$15:$AB$516,4,FALSE)</f>
        <v>-82</v>
      </c>
      <c r="I283" s="69">
        <f t="shared" si="54"/>
        <v>2639</v>
      </c>
      <c r="J283" s="69">
        <f>VLOOKUP(B283,'114+840'!$B$15:$AB$516,13,FALSE)</f>
        <v>-361</v>
      </c>
      <c r="K283" s="67">
        <f>'114+840'!Q284</f>
        <v>0</v>
      </c>
      <c r="L283" s="66">
        <f t="shared" si="59"/>
        <v>281</v>
      </c>
      <c r="M283" s="71">
        <f>VLOOKUP(B283,'114+840'!$B$14:$AB$516,21,FALSE)</f>
        <v>1527</v>
      </c>
      <c r="N283" s="70">
        <f>VLOOKUP(B283,'114+840'!$B$15:$AB$516,5,FALSE)</f>
        <v>-70</v>
      </c>
      <c r="O283" s="69">
        <f t="shared" si="55"/>
        <v>2627</v>
      </c>
      <c r="P283" s="69">
        <f>VLOOKUP(B283,'114+840'!$B$15:$AB$516,14,FALSE)</f>
        <v>-373</v>
      </c>
      <c r="Q283" s="67">
        <f>'114+840'!R284</f>
        <v>0</v>
      </c>
      <c r="R283" s="66">
        <f t="shared" si="60"/>
        <v>473</v>
      </c>
      <c r="S283" s="71">
        <f>VLOOKUP(B283,'114+840'!$B$14:$AB$516,22,FALSE)</f>
        <v>1742</v>
      </c>
      <c r="T283" s="70">
        <f>VLOOKUP(B283,'114+840'!$B$15:$AB$516,6,FALSE)</f>
        <v>205</v>
      </c>
      <c r="U283" s="69">
        <f t="shared" si="56"/>
        <v>2352</v>
      </c>
      <c r="V283" s="68">
        <f>VLOOKUP(B283,'114+840'!$B$15:$AB$516,15,FALSE)</f>
        <v>-648</v>
      </c>
      <c r="W283" s="67">
        <f>'114+840'!S284</f>
        <v>0</v>
      </c>
      <c r="X283" s="66">
        <f t="shared" si="61"/>
        <v>258</v>
      </c>
      <c r="Y283" s="65">
        <f t="shared" si="62"/>
        <v>0</v>
      </c>
      <c r="Z283" s="64">
        <f t="shared" si="63"/>
        <v>0</v>
      </c>
      <c r="AA283" s="63">
        <f t="shared" si="64"/>
        <v>2.3239999999999998</v>
      </c>
      <c r="AB283" s="63">
        <f t="shared" si="65"/>
        <v>0.95399999999999996</v>
      </c>
    </row>
    <row r="284" spans="2:28">
      <c r="B284" s="104">
        <f>'114+840'!B285</f>
        <v>45541</v>
      </c>
      <c r="C284" s="75">
        <f t="shared" si="57"/>
        <v>1</v>
      </c>
      <c r="D284" s="74">
        <f t="shared" si="58"/>
        <v>842</v>
      </c>
      <c r="E284" s="73">
        <f>VLOOKUP(B284,'114+840'!B285:AB285,3,FALSE)</f>
        <v>1717</v>
      </c>
      <c r="F284" s="70">
        <f t="shared" si="53"/>
        <v>2559</v>
      </c>
      <c r="G284" s="72">
        <f>VLOOKUP(B284,'114+840'!$B$15:$AB$516,20,FALSE)</f>
        <v>1719</v>
      </c>
      <c r="H284" s="72">
        <f>VLOOKUP(B284,'114+840'!$B$15:$AB$516,4,FALSE)</f>
        <v>-80</v>
      </c>
      <c r="I284" s="69">
        <f t="shared" si="54"/>
        <v>2639</v>
      </c>
      <c r="J284" s="69">
        <f>VLOOKUP(B284,'114+840'!$B$15:$AB$516,13,FALSE)</f>
        <v>-361</v>
      </c>
      <c r="K284" s="67">
        <f>'114+840'!Q285</f>
        <v>0</v>
      </c>
      <c r="L284" s="66">
        <f t="shared" si="59"/>
        <v>281</v>
      </c>
      <c r="M284" s="71">
        <f>VLOOKUP(B284,'114+840'!$B$14:$AB$516,21,FALSE)</f>
        <v>1527</v>
      </c>
      <c r="N284" s="70">
        <f>VLOOKUP(B284,'114+840'!$B$15:$AB$516,5,FALSE)</f>
        <v>-68</v>
      </c>
      <c r="O284" s="69">
        <f t="shared" si="55"/>
        <v>2627</v>
      </c>
      <c r="P284" s="69">
        <f>VLOOKUP(B284,'114+840'!$B$15:$AB$516,14,FALSE)</f>
        <v>-373</v>
      </c>
      <c r="Q284" s="67">
        <f>'114+840'!R285</f>
        <v>0</v>
      </c>
      <c r="R284" s="66">
        <f t="shared" si="60"/>
        <v>473</v>
      </c>
      <c r="S284" s="71">
        <f>VLOOKUP(B284,'114+840'!$B$14:$AB$516,22,FALSE)</f>
        <v>1742</v>
      </c>
      <c r="T284" s="70">
        <f>VLOOKUP(B284,'114+840'!$B$15:$AB$516,6,FALSE)</f>
        <v>207</v>
      </c>
      <c r="U284" s="69">
        <f t="shared" si="56"/>
        <v>2352</v>
      </c>
      <c r="V284" s="68">
        <f>VLOOKUP(B284,'114+840'!$B$15:$AB$516,15,FALSE)</f>
        <v>-648</v>
      </c>
      <c r="W284" s="67">
        <f>'114+840'!S285</f>
        <v>0</v>
      </c>
      <c r="X284" s="66">
        <f t="shared" si="61"/>
        <v>258</v>
      </c>
      <c r="Y284" s="65">
        <f t="shared" si="62"/>
        <v>0</v>
      </c>
      <c r="Z284" s="64">
        <f t="shared" si="63"/>
        <v>0</v>
      </c>
      <c r="AA284" s="63">
        <f t="shared" si="64"/>
        <v>2.3239999999999998</v>
      </c>
      <c r="AB284" s="63">
        <f t="shared" si="65"/>
        <v>0.95399999999999996</v>
      </c>
    </row>
    <row r="285" spans="2:28">
      <c r="B285" s="104">
        <f>'114+840'!B286</f>
        <v>45542</v>
      </c>
      <c r="C285" s="75">
        <f t="shared" si="57"/>
        <v>1</v>
      </c>
      <c r="D285" s="74">
        <f t="shared" si="58"/>
        <v>842</v>
      </c>
      <c r="E285" s="73">
        <f>VLOOKUP(B285,'114+840'!B286:AB286,3,FALSE)</f>
        <v>1719</v>
      </c>
      <c r="F285" s="70">
        <f t="shared" si="53"/>
        <v>2561</v>
      </c>
      <c r="G285" s="72">
        <f>VLOOKUP(B285,'114+840'!$B$15:$AB$516,20,FALSE)</f>
        <v>1719</v>
      </c>
      <c r="H285" s="72">
        <f>VLOOKUP(B285,'114+840'!$B$15:$AB$516,4,FALSE)</f>
        <v>-78</v>
      </c>
      <c r="I285" s="69">
        <f t="shared" si="54"/>
        <v>2639</v>
      </c>
      <c r="J285" s="69">
        <f>VLOOKUP(B285,'114+840'!$B$15:$AB$516,13,FALSE)</f>
        <v>-361</v>
      </c>
      <c r="K285" s="67">
        <f>'114+840'!Q286</f>
        <v>0</v>
      </c>
      <c r="L285" s="66">
        <f t="shared" si="59"/>
        <v>281</v>
      </c>
      <c r="M285" s="71">
        <f>VLOOKUP(B285,'114+840'!$B$14:$AB$516,21,FALSE)</f>
        <v>1527</v>
      </c>
      <c r="N285" s="70">
        <f>VLOOKUP(B285,'114+840'!$B$15:$AB$516,5,FALSE)</f>
        <v>-66</v>
      </c>
      <c r="O285" s="69">
        <f t="shared" si="55"/>
        <v>2627</v>
      </c>
      <c r="P285" s="69">
        <f>VLOOKUP(B285,'114+840'!$B$15:$AB$516,14,FALSE)</f>
        <v>-373</v>
      </c>
      <c r="Q285" s="67">
        <f>'114+840'!R286</f>
        <v>0</v>
      </c>
      <c r="R285" s="66">
        <f t="shared" si="60"/>
        <v>473</v>
      </c>
      <c r="S285" s="71">
        <f>VLOOKUP(B285,'114+840'!$B$14:$AB$516,22,FALSE)</f>
        <v>1742</v>
      </c>
      <c r="T285" s="70">
        <f>VLOOKUP(B285,'114+840'!$B$15:$AB$516,6,FALSE)</f>
        <v>209</v>
      </c>
      <c r="U285" s="69">
        <f t="shared" si="56"/>
        <v>2352</v>
      </c>
      <c r="V285" s="68">
        <f>VLOOKUP(B285,'114+840'!$B$15:$AB$516,15,FALSE)</f>
        <v>-648</v>
      </c>
      <c r="W285" s="67">
        <f>'114+840'!S286</f>
        <v>0</v>
      </c>
      <c r="X285" s="66">
        <f t="shared" si="61"/>
        <v>258</v>
      </c>
      <c r="Y285" s="65">
        <f t="shared" si="62"/>
        <v>0</v>
      </c>
      <c r="Z285" s="64">
        <f t="shared" si="63"/>
        <v>0</v>
      </c>
      <c r="AA285" s="63">
        <f t="shared" si="64"/>
        <v>2.3239999999999998</v>
      </c>
      <c r="AB285" s="63">
        <f t="shared" si="65"/>
        <v>0.95399999999999996</v>
      </c>
    </row>
    <row r="286" spans="2:28">
      <c r="B286" s="104">
        <f>'114+840'!B287</f>
        <v>45543</v>
      </c>
      <c r="C286" s="75">
        <f t="shared" si="57"/>
        <v>1</v>
      </c>
      <c r="D286" s="74">
        <f t="shared" si="58"/>
        <v>842</v>
      </c>
      <c r="E286" s="73">
        <f>VLOOKUP(B286,'114+840'!B287:AB287,3,FALSE)</f>
        <v>1721</v>
      </c>
      <c r="F286" s="70">
        <f t="shared" si="53"/>
        <v>2563</v>
      </c>
      <c r="G286" s="72">
        <f>VLOOKUP(B286,'114+840'!$B$15:$AB$516,20,FALSE)</f>
        <v>1719</v>
      </c>
      <c r="H286" s="72">
        <f>VLOOKUP(B286,'114+840'!$B$15:$AB$516,4,FALSE)</f>
        <v>-76</v>
      </c>
      <c r="I286" s="69">
        <f t="shared" si="54"/>
        <v>2639</v>
      </c>
      <c r="J286" s="69">
        <f>VLOOKUP(B286,'114+840'!$B$15:$AB$516,13,FALSE)</f>
        <v>-361</v>
      </c>
      <c r="K286" s="67">
        <f>'114+840'!Q287</f>
        <v>0</v>
      </c>
      <c r="L286" s="66">
        <f t="shared" si="59"/>
        <v>281</v>
      </c>
      <c r="M286" s="71">
        <f>VLOOKUP(B286,'114+840'!$B$14:$AB$516,21,FALSE)</f>
        <v>1527</v>
      </c>
      <c r="N286" s="70">
        <f>VLOOKUP(B286,'114+840'!$B$15:$AB$516,5,FALSE)</f>
        <v>-64</v>
      </c>
      <c r="O286" s="69">
        <f t="shared" si="55"/>
        <v>2627</v>
      </c>
      <c r="P286" s="69">
        <f>VLOOKUP(B286,'114+840'!$B$15:$AB$516,14,FALSE)</f>
        <v>-373</v>
      </c>
      <c r="Q286" s="67">
        <f>'114+840'!R287</f>
        <v>0</v>
      </c>
      <c r="R286" s="66">
        <f t="shared" si="60"/>
        <v>473</v>
      </c>
      <c r="S286" s="71">
        <f>VLOOKUP(B286,'114+840'!$B$14:$AB$516,22,FALSE)</f>
        <v>1742</v>
      </c>
      <c r="T286" s="70">
        <f>VLOOKUP(B286,'114+840'!$B$15:$AB$516,6,FALSE)</f>
        <v>211</v>
      </c>
      <c r="U286" s="69">
        <f t="shared" si="56"/>
        <v>2352</v>
      </c>
      <c r="V286" s="68">
        <f>VLOOKUP(B286,'114+840'!$B$15:$AB$516,15,FALSE)</f>
        <v>-648</v>
      </c>
      <c r="W286" s="67">
        <f>'114+840'!S287</f>
        <v>0</v>
      </c>
      <c r="X286" s="66">
        <f t="shared" si="61"/>
        <v>258</v>
      </c>
      <c r="Y286" s="65">
        <f t="shared" si="62"/>
        <v>0</v>
      </c>
      <c r="Z286" s="64">
        <f t="shared" si="63"/>
        <v>0</v>
      </c>
      <c r="AA286" s="63">
        <f t="shared" si="64"/>
        <v>2.3239999999999998</v>
      </c>
      <c r="AB286" s="63">
        <f t="shared" si="65"/>
        <v>0.95399999999999996</v>
      </c>
    </row>
    <row r="287" spans="2:28">
      <c r="B287" s="104">
        <f>'114+840'!B288</f>
        <v>45544</v>
      </c>
      <c r="C287" s="75">
        <f t="shared" si="57"/>
        <v>1</v>
      </c>
      <c r="D287" s="74">
        <f t="shared" si="58"/>
        <v>842</v>
      </c>
      <c r="E287" s="73">
        <f>VLOOKUP(B287,'114+840'!B288:AB288,3,FALSE)</f>
        <v>1723</v>
      </c>
      <c r="F287" s="70">
        <f t="shared" si="53"/>
        <v>2565</v>
      </c>
      <c r="G287" s="72">
        <f>VLOOKUP(B287,'114+840'!$B$15:$AB$516,20,FALSE)</f>
        <v>1719</v>
      </c>
      <c r="H287" s="72">
        <f>VLOOKUP(B287,'114+840'!$B$15:$AB$516,4,FALSE)</f>
        <v>-74</v>
      </c>
      <c r="I287" s="69">
        <f t="shared" si="54"/>
        <v>2639</v>
      </c>
      <c r="J287" s="69">
        <f>VLOOKUP(B287,'114+840'!$B$15:$AB$516,13,FALSE)</f>
        <v>-361</v>
      </c>
      <c r="K287" s="67">
        <f>'114+840'!Q288</f>
        <v>0</v>
      </c>
      <c r="L287" s="66">
        <f t="shared" si="59"/>
        <v>281</v>
      </c>
      <c r="M287" s="71">
        <f>VLOOKUP(B287,'114+840'!$B$14:$AB$516,21,FALSE)</f>
        <v>1527</v>
      </c>
      <c r="N287" s="70">
        <f>VLOOKUP(B287,'114+840'!$B$15:$AB$516,5,FALSE)</f>
        <v>-62</v>
      </c>
      <c r="O287" s="69">
        <f t="shared" si="55"/>
        <v>2627</v>
      </c>
      <c r="P287" s="69">
        <f>VLOOKUP(B287,'114+840'!$B$15:$AB$516,14,FALSE)</f>
        <v>-373</v>
      </c>
      <c r="Q287" s="67">
        <f>'114+840'!R288</f>
        <v>0</v>
      </c>
      <c r="R287" s="66">
        <f t="shared" si="60"/>
        <v>473</v>
      </c>
      <c r="S287" s="71">
        <f>VLOOKUP(B287,'114+840'!$B$14:$AB$516,22,FALSE)</f>
        <v>1742</v>
      </c>
      <c r="T287" s="70">
        <f>VLOOKUP(B287,'114+840'!$B$15:$AB$516,6,FALSE)</f>
        <v>213</v>
      </c>
      <c r="U287" s="69">
        <f t="shared" si="56"/>
        <v>2352</v>
      </c>
      <c r="V287" s="68">
        <f>VLOOKUP(B287,'114+840'!$B$15:$AB$516,15,FALSE)</f>
        <v>-648</v>
      </c>
      <c r="W287" s="67">
        <f>'114+840'!S288</f>
        <v>0</v>
      </c>
      <c r="X287" s="66">
        <f t="shared" si="61"/>
        <v>258</v>
      </c>
      <c r="Y287" s="65">
        <f t="shared" si="62"/>
        <v>0</v>
      </c>
      <c r="Z287" s="64">
        <f t="shared" si="63"/>
        <v>0</v>
      </c>
      <c r="AA287" s="63">
        <f t="shared" si="64"/>
        <v>2.3239999999999998</v>
      </c>
      <c r="AB287" s="63">
        <f t="shared" si="65"/>
        <v>0.95399999999999996</v>
      </c>
    </row>
    <row r="288" spans="2:28">
      <c r="B288" s="104">
        <f>'114+840'!B289</f>
        <v>45545</v>
      </c>
      <c r="C288" s="75">
        <f t="shared" si="57"/>
        <v>1</v>
      </c>
      <c r="D288" s="74">
        <f t="shared" si="58"/>
        <v>842</v>
      </c>
      <c r="E288" s="73">
        <f>VLOOKUP(B288,'114+840'!B289:AB289,3,FALSE)</f>
        <v>1725</v>
      </c>
      <c r="F288" s="70">
        <f t="shared" si="53"/>
        <v>2567</v>
      </c>
      <c r="G288" s="72">
        <f>VLOOKUP(B288,'114+840'!$B$15:$AB$516,20,FALSE)</f>
        <v>1719</v>
      </c>
      <c r="H288" s="72">
        <f>VLOOKUP(B288,'114+840'!$B$15:$AB$516,4,FALSE)</f>
        <v>-72</v>
      </c>
      <c r="I288" s="69">
        <f t="shared" si="54"/>
        <v>2639</v>
      </c>
      <c r="J288" s="69">
        <f>VLOOKUP(B288,'114+840'!$B$15:$AB$516,13,FALSE)</f>
        <v>-361</v>
      </c>
      <c r="K288" s="67">
        <f>'114+840'!Q289</f>
        <v>0</v>
      </c>
      <c r="L288" s="66">
        <f t="shared" si="59"/>
        <v>281</v>
      </c>
      <c r="M288" s="71">
        <f>VLOOKUP(B288,'114+840'!$B$14:$AB$516,21,FALSE)</f>
        <v>1527</v>
      </c>
      <c r="N288" s="70">
        <f>VLOOKUP(B288,'114+840'!$B$15:$AB$516,5,FALSE)</f>
        <v>-60</v>
      </c>
      <c r="O288" s="69">
        <f t="shared" si="55"/>
        <v>2627</v>
      </c>
      <c r="P288" s="69">
        <f>VLOOKUP(B288,'114+840'!$B$15:$AB$516,14,FALSE)</f>
        <v>-373</v>
      </c>
      <c r="Q288" s="67">
        <f>'114+840'!R289</f>
        <v>0</v>
      </c>
      <c r="R288" s="66">
        <f t="shared" si="60"/>
        <v>473</v>
      </c>
      <c r="S288" s="71">
        <f>VLOOKUP(B288,'114+840'!$B$14:$AB$516,22,FALSE)</f>
        <v>1742</v>
      </c>
      <c r="T288" s="70">
        <f>VLOOKUP(B288,'114+840'!$B$15:$AB$516,6,FALSE)</f>
        <v>215</v>
      </c>
      <c r="U288" s="69">
        <f t="shared" si="56"/>
        <v>2352</v>
      </c>
      <c r="V288" s="68">
        <f>VLOOKUP(B288,'114+840'!$B$15:$AB$516,15,FALSE)</f>
        <v>-648</v>
      </c>
      <c r="W288" s="67">
        <f>'114+840'!S289</f>
        <v>0</v>
      </c>
      <c r="X288" s="66">
        <f t="shared" si="61"/>
        <v>258</v>
      </c>
      <c r="Y288" s="65">
        <f t="shared" si="62"/>
        <v>0</v>
      </c>
      <c r="Z288" s="64">
        <f t="shared" si="63"/>
        <v>0</v>
      </c>
      <c r="AA288" s="63">
        <f t="shared" si="64"/>
        <v>2.3239999999999998</v>
      </c>
      <c r="AB288" s="63">
        <f t="shared" si="65"/>
        <v>0.95399999999999996</v>
      </c>
    </row>
    <row r="289" spans="2:28">
      <c r="B289" s="104">
        <f>'114+840'!B290</f>
        <v>45546</v>
      </c>
      <c r="C289" s="75">
        <f t="shared" si="57"/>
        <v>1</v>
      </c>
      <c r="D289" s="74">
        <f t="shared" si="58"/>
        <v>842</v>
      </c>
      <c r="E289" s="73">
        <f>VLOOKUP(B289,'114+840'!B290:AB290,3,FALSE)</f>
        <v>1727</v>
      </c>
      <c r="F289" s="70">
        <f t="shared" si="53"/>
        <v>2569</v>
      </c>
      <c r="G289" s="72">
        <f>VLOOKUP(B289,'114+840'!$B$15:$AB$516,20,FALSE)</f>
        <v>1719</v>
      </c>
      <c r="H289" s="72">
        <f>VLOOKUP(B289,'114+840'!$B$15:$AB$516,4,FALSE)</f>
        <v>-70</v>
      </c>
      <c r="I289" s="69">
        <f t="shared" si="54"/>
        <v>2639</v>
      </c>
      <c r="J289" s="69">
        <f>VLOOKUP(B289,'114+840'!$B$15:$AB$516,13,FALSE)</f>
        <v>-361</v>
      </c>
      <c r="K289" s="67">
        <f>'114+840'!Q290</f>
        <v>0</v>
      </c>
      <c r="L289" s="66">
        <f t="shared" si="59"/>
        <v>281</v>
      </c>
      <c r="M289" s="71">
        <f>VLOOKUP(B289,'114+840'!$B$14:$AB$516,21,FALSE)</f>
        <v>1527</v>
      </c>
      <c r="N289" s="70">
        <f>VLOOKUP(B289,'114+840'!$B$15:$AB$516,5,FALSE)</f>
        <v>-58</v>
      </c>
      <c r="O289" s="69">
        <f t="shared" si="55"/>
        <v>2627</v>
      </c>
      <c r="P289" s="69">
        <f>VLOOKUP(B289,'114+840'!$B$15:$AB$516,14,FALSE)</f>
        <v>-373</v>
      </c>
      <c r="Q289" s="67">
        <f>'114+840'!R290</f>
        <v>0</v>
      </c>
      <c r="R289" s="66">
        <f t="shared" si="60"/>
        <v>473</v>
      </c>
      <c r="S289" s="71">
        <f>VLOOKUP(B289,'114+840'!$B$14:$AB$516,22,FALSE)</f>
        <v>1742</v>
      </c>
      <c r="T289" s="70">
        <f>VLOOKUP(B289,'114+840'!$B$15:$AB$516,6,FALSE)</f>
        <v>217</v>
      </c>
      <c r="U289" s="69">
        <f t="shared" si="56"/>
        <v>2352</v>
      </c>
      <c r="V289" s="68">
        <f>VLOOKUP(B289,'114+840'!$B$15:$AB$516,15,FALSE)</f>
        <v>-648</v>
      </c>
      <c r="W289" s="67">
        <f>'114+840'!S290</f>
        <v>0</v>
      </c>
      <c r="X289" s="66">
        <f t="shared" si="61"/>
        <v>258</v>
      </c>
      <c r="Y289" s="65">
        <f t="shared" si="62"/>
        <v>0</v>
      </c>
      <c r="Z289" s="64">
        <f t="shared" si="63"/>
        <v>0</v>
      </c>
      <c r="AA289" s="63">
        <f t="shared" si="64"/>
        <v>2.3239999999999998</v>
      </c>
      <c r="AB289" s="63">
        <f t="shared" si="65"/>
        <v>0.95399999999999996</v>
      </c>
    </row>
    <row r="290" spans="2:28">
      <c r="B290" s="104">
        <f>'114+840'!B291</f>
        <v>45547</v>
      </c>
      <c r="C290" s="75">
        <f t="shared" si="57"/>
        <v>1</v>
      </c>
      <c r="D290" s="74">
        <f t="shared" si="58"/>
        <v>842</v>
      </c>
      <c r="E290" s="73">
        <f>VLOOKUP(B290,'114+840'!B291:AB291,3,FALSE)</f>
        <v>1729</v>
      </c>
      <c r="F290" s="70">
        <f t="shared" si="53"/>
        <v>2571</v>
      </c>
      <c r="G290" s="72">
        <f>VLOOKUP(B290,'114+840'!$B$15:$AB$516,20,FALSE)</f>
        <v>1719</v>
      </c>
      <c r="H290" s="72">
        <f>VLOOKUP(B290,'114+840'!$B$15:$AB$516,4,FALSE)</f>
        <v>-68</v>
      </c>
      <c r="I290" s="69">
        <f t="shared" si="54"/>
        <v>2639</v>
      </c>
      <c r="J290" s="69">
        <f>VLOOKUP(B290,'114+840'!$B$15:$AB$516,13,FALSE)</f>
        <v>-361</v>
      </c>
      <c r="K290" s="67">
        <f>'114+840'!Q291</f>
        <v>0</v>
      </c>
      <c r="L290" s="66">
        <f t="shared" si="59"/>
        <v>281</v>
      </c>
      <c r="M290" s="71">
        <f>VLOOKUP(B290,'114+840'!$B$14:$AB$516,21,FALSE)</f>
        <v>1527</v>
      </c>
      <c r="N290" s="70">
        <f>VLOOKUP(B290,'114+840'!$B$15:$AB$516,5,FALSE)</f>
        <v>-56</v>
      </c>
      <c r="O290" s="69">
        <f t="shared" si="55"/>
        <v>2627</v>
      </c>
      <c r="P290" s="69">
        <f>VLOOKUP(B290,'114+840'!$B$15:$AB$516,14,FALSE)</f>
        <v>-373</v>
      </c>
      <c r="Q290" s="67">
        <f>'114+840'!R291</f>
        <v>0</v>
      </c>
      <c r="R290" s="66">
        <f t="shared" si="60"/>
        <v>473</v>
      </c>
      <c r="S290" s="71">
        <f>VLOOKUP(B290,'114+840'!$B$14:$AB$516,22,FALSE)</f>
        <v>1742</v>
      </c>
      <c r="T290" s="70">
        <f>VLOOKUP(B290,'114+840'!$B$15:$AB$516,6,FALSE)</f>
        <v>219</v>
      </c>
      <c r="U290" s="69">
        <f t="shared" si="56"/>
        <v>2352</v>
      </c>
      <c r="V290" s="68">
        <f>VLOOKUP(B290,'114+840'!$B$15:$AB$516,15,FALSE)</f>
        <v>-648</v>
      </c>
      <c r="W290" s="67">
        <f>'114+840'!S291</f>
        <v>0</v>
      </c>
      <c r="X290" s="66">
        <f t="shared" si="61"/>
        <v>258</v>
      </c>
      <c r="Y290" s="65">
        <f t="shared" si="62"/>
        <v>0</v>
      </c>
      <c r="Z290" s="64">
        <f t="shared" si="63"/>
        <v>0</v>
      </c>
      <c r="AA290" s="63">
        <f t="shared" si="64"/>
        <v>2.3239999999999998</v>
      </c>
      <c r="AB290" s="63">
        <f t="shared" si="65"/>
        <v>0.95399999999999996</v>
      </c>
    </row>
    <row r="291" spans="2:28">
      <c r="B291" s="104">
        <f>'114+840'!B292</f>
        <v>45548</v>
      </c>
      <c r="C291" s="75">
        <f t="shared" si="57"/>
        <v>1</v>
      </c>
      <c r="D291" s="74">
        <f t="shared" si="58"/>
        <v>842</v>
      </c>
      <c r="E291" s="73">
        <f>VLOOKUP(B291,'114+840'!B292:AB292,3,FALSE)</f>
        <v>1731</v>
      </c>
      <c r="F291" s="70">
        <f t="shared" si="53"/>
        <v>2573</v>
      </c>
      <c r="G291" s="72">
        <f>VLOOKUP(B291,'114+840'!$B$15:$AB$516,20,FALSE)</f>
        <v>1719</v>
      </c>
      <c r="H291" s="72">
        <f>VLOOKUP(B291,'114+840'!$B$15:$AB$516,4,FALSE)</f>
        <v>-66</v>
      </c>
      <c r="I291" s="69">
        <f t="shared" si="54"/>
        <v>2639</v>
      </c>
      <c r="J291" s="69">
        <f>VLOOKUP(B291,'114+840'!$B$15:$AB$516,13,FALSE)</f>
        <v>-361</v>
      </c>
      <c r="K291" s="67">
        <f>'114+840'!Q292</f>
        <v>0</v>
      </c>
      <c r="L291" s="66">
        <f t="shared" si="59"/>
        <v>281</v>
      </c>
      <c r="M291" s="71">
        <f>VLOOKUP(B291,'114+840'!$B$14:$AB$516,21,FALSE)</f>
        <v>1527</v>
      </c>
      <c r="N291" s="70">
        <f>VLOOKUP(B291,'114+840'!$B$15:$AB$516,5,FALSE)</f>
        <v>-54</v>
      </c>
      <c r="O291" s="69">
        <f t="shared" si="55"/>
        <v>2627</v>
      </c>
      <c r="P291" s="69">
        <f>VLOOKUP(B291,'114+840'!$B$15:$AB$516,14,FALSE)</f>
        <v>-373</v>
      </c>
      <c r="Q291" s="67">
        <f>'114+840'!R292</f>
        <v>0</v>
      </c>
      <c r="R291" s="66">
        <f t="shared" si="60"/>
        <v>473</v>
      </c>
      <c r="S291" s="71">
        <f>VLOOKUP(B291,'114+840'!$B$14:$AB$516,22,FALSE)</f>
        <v>1742</v>
      </c>
      <c r="T291" s="70">
        <f>VLOOKUP(B291,'114+840'!$B$15:$AB$516,6,FALSE)</f>
        <v>221</v>
      </c>
      <c r="U291" s="69">
        <f t="shared" si="56"/>
        <v>2352</v>
      </c>
      <c r="V291" s="68">
        <f>VLOOKUP(B291,'114+840'!$B$15:$AB$516,15,FALSE)</f>
        <v>-648</v>
      </c>
      <c r="W291" s="67">
        <f>'114+840'!S292</f>
        <v>0</v>
      </c>
      <c r="X291" s="66">
        <f t="shared" si="61"/>
        <v>258</v>
      </c>
      <c r="Y291" s="65">
        <f t="shared" si="62"/>
        <v>0</v>
      </c>
      <c r="Z291" s="64">
        <f t="shared" si="63"/>
        <v>0</v>
      </c>
      <c r="AA291" s="63">
        <f t="shared" si="64"/>
        <v>2.3239999999999998</v>
      </c>
      <c r="AB291" s="63">
        <f t="shared" si="65"/>
        <v>0.95399999999999996</v>
      </c>
    </row>
    <row r="292" spans="2:28">
      <c r="B292" s="104">
        <f>'114+840'!B293</f>
        <v>45549</v>
      </c>
      <c r="C292" s="75">
        <f t="shared" si="57"/>
        <v>1</v>
      </c>
      <c r="D292" s="74">
        <f t="shared" si="58"/>
        <v>842</v>
      </c>
      <c r="E292" s="73">
        <f>VLOOKUP(B292,'114+840'!B293:AB293,3,FALSE)</f>
        <v>1733</v>
      </c>
      <c r="F292" s="70">
        <f t="shared" si="53"/>
        <v>2575</v>
      </c>
      <c r="G292" s="72">
        <f>VLOOKUP(B292,'114+840'!$B$15:$AB$516,20,FALSE)</f>
        <v>1719</v>
      </c>
      <c r="H292" s="72">
        <f>VLOOKUP(B292,'114+840'!$B$15:$AB$516,4,FALSE)</f>
        <v>-64</v>
      </c>
      <c r="I292" s="69">
        <f t="shared" si="54"/>
        <v>2639</v>
      </c>
      <c r="J292" s="69">
        <f>VLOOKUP(B292,'114+840'!$B$15:$AB$516,13,FALSE)</f>
        <v>-361</v>
      </c>
      <c r="K292" s="67">
        <f>'114+840'!Q293</f>
        <v>0</v>
      </c>
      <c r="L292" s="66">
        <f t="shared" si="59"/>
        <v>281</v>
      </c>
      <c r="M292" s="71">
        <f>VLOOKUP(B292,'114+840'!$B$14:$AB$516,21,FALSE)</f>
        <v>1527</v>
      </c>
      <c r="N292" s="70">
        <f>VLOOKUP(B292,'114+840'!$B$15:$AB$516,5,FALSE)</f>
        <v>-52</v>
      </c>
      <c r="O292" s="69">
        <f t="shared" si="55"/>
        <v>2627</v>
      </c>
      <c r="P292" s="69">
        <f>VLOOKUP(B292,'114+840'!$B$15:$AB$516,14,FALSE)</f>
        <v>-373</v>
      </c>
      <c r="Q292" s="67">
        <f>'114+840'!R293</f>
        <v>0</v>
      </c>
      <c r="R292" s="66">
        <f t="shared" si="60"/>
        <v>473</v>
      </c>
      <c r="S292" s="71">
        <f>VLOOKUP(B292,'114+840'!$B$14:$AB$516,22,FALSE)</f>
        <v>1742</v>
      </c>
      <c r="T292" s="70">
        <f>VLOOKUP(B292,'114+840'!$B$15:$AB$516,6,FALSE)</f>
        <v>223</v>
      </c>
      <c r="U292" s="69">
        <f t="shared" si="56"/>
        <v>2352</v>
      </c>
      <c r="V292" s="68">
        <f>VLOOKUP(B292,'114+840'!$B$15:$AB$516,15,FALSE)</f>
        <v>-648</v>
      </c>
      <c r="W292" s="67">
        <f>'114+840'!S293</f>
        <v>0</v>
      </c>
      <c r="X292" s="66">
        <f t="shared" si="61"/>
        <v>258</v>
      </c>
      <c r="Y292" s="65">
        <f t="shared" si="62"/>
        <v>0</v>
      </c>
      <c r="Z292" s="64">
        <f t="shared" si="63"/>
        <v>0</v>
      </c>
      <c r="AA292" s="63">
        <f t="shared" si="64"/>
        <v>2.3239999999999998</v>
      </c>
      <c r="AB292" s="63">
        <f t="shared" si="65"/>
        <v>0.95399999999999996</v>
      </c>
    </row>
    <row r="293" spans="2:28">
      <c r="B293" s="104">
        <f>'114+840'!B294</f>
        <v>45550</v>
      </c>
      <c r="C293" s="75">
        <f t="shared" si="57"/>
        <v>1</v>
      </c>
      <c r="D293" s="74">
        <f t="shared" si="58"/>
        <v>842</v>
      </c>
      <c r="E293" s="73">
        <f>VLOOKUP(B293,'114+840'!B294:AB294,3,FALSE)</f>
        <v>1735</v>
      </c>
      <c r="F293" s="70">
        <f t="shared" si="53"/>
        <v>2577</v>
      </c>
      <c r="G293" s="72">
        <f>VLOOKUP(B293,'114+840'!$B$15:$AB$516,20,FALSE)</f>
        <v>1719</v>
      </c>
      <c r="H293" s="72">
        <f>VLOOKUP(B293,'114+840'!$B$15:$AB$516,4,FALSE)</f>
        <v>-62</v>
      </c>
      <c r="I293" s="69">
        <f t="shared" si="54"/>
        <v>2639</v>
      </c>
      <c r="J293" s="69">
        <f>VLOOKUP(B293,'114+840'!$B$15:$AB$516,13,FALSE)</f>
        <v>-361</v>
      </c>
      <c r="K293" s="67">
        <f>'114+840'!Q294</f>
        <v>0</v>
      </c>
      <c r="L293" s="66">
        <f t="shared" si="59"/>
        <v>281</v>
      </c>
      <c r="M293" s="71">
        <f>VLOOKUP(B293,'114+840'!$B$14:$AB$516,21,FALSE)</f>
        <v>1527</v>
      </c>
      <c r="N293" s="70">
        <f>VLOOKUP(B293,'114+840'!$B$15:$AB$516,5,FALSE)</f>
        <v>-50</v>
      </c>
      <c r="O293" s="69">
        <f t="shared" si="55"/>
        <v>2627</v>
      </c>
      <c r="P293" s="69">
        <f>VLOOKUP(B293,'114+840'!$B$15:$AB$516,14,FALSE)</f>
        <v>-373</v>
      </c>
      <c r="Q293" s="67">
        <f>'114+840'!R294</f>
        <v>0</v>
      </c>
      <c r="R293" s="66">
        <f t="shared" si="60"/>
        <v>473</v>
      </c>
      <c r="S293" s="71">
        <f>VLOOKUP(B293,'114+840'!$B$14:$AB$516,22,FALSE)</f>
        <v>1742</v>
      </c>
      <c r="T293" s="70">
        <f>VLOOKUP(B293,'114+840'!$B$15:$AB$516,6,FALSE)</f>
        <v>225</v>
      </c>
      <c r="U293" s="69">
        <f t="shared" si="56"/>
        <v>2352</v>
      </c>
      <c r="V293" s="68">
        <f>VLOOKUP(B293,'114+840'!$B$15:$AB$516,15,FALSE)</f>
        <v>-648</v>
      </c>
      <c r="W293" s="67">
        <f>'114+840'!S294</f>
        <v>0</v>
      </c>
      <c r="X293" s="66">
        <f t="shared" si="61"/>
        <v>258</v>
      </c>
      <c r="Y293" s="65">
        <f t="shared" si="62"/>
        <v>0</v>
      </c>
      <c r="Z293" s="64">
        <f t="shared" si="63"/>
        <v>0</v>
      </c>
      <c r="AA293" s="63">
        <f t="shared" si="64"/>
        <v>2.3239999999999998</v>
      </c>
      <c r="AB293" s="63">
        <f t="shared" si="65"/>
        <v>0.95399999999999996</v>
      </c>
    </row>
    <row r="294" spans="2:28">
      <c r="B294" s="104">
        <f>'114+840'!B295</f>
        <v>45551</v>
      </c>
      <c r="C294" s="75">
        <f t="shared" si="57"/>
        <v>1</v>
      </c>
      <c r="D294" s="74">
        <f t="shared" si="58"/>
        <v>842</v>
      </c>
      <c r="E294" s="73">
        <f>VLOOKUP(B294,'114+840'!B295:AB295,3,FALSE)</f>
        <v>1737</v>
      </c>
      <c r="F294" s="70">
        <f t="shared" si="53"/>
        <v>2579</v>
      </c>
      <c r="G294" s="72">
        <f>VLOOKUP(B294,'114+840'!$B$15:$AB$516,20,FALSE)</f>
        <v>1719</v>
      </c>
      <c r="H294" s="72">
        <f>VLOOKUP(B294,'114+840'!$B$15:$AB$516,4,FALSE)</f>
        <v>-60</v>
      </c>
      <c r="I294" s="69">
        <f t="shared" si="54"/>
        <v>2639</v>
      </c>
      <c r="J294" s="69">
        <f>VLOOKUP(B294,'114+840'!$B$15:$AB$516,13,FALSE)</f>
        <v>-361</v>
      </c>
      <c r="K294" s="67">
        <f>'114+840'!Q295</f>
        <v>0</v>
      </c>
      <c r="L294" s="66">
        <f t="shared" si="59"/>
        <v>281</v>
      </c>
      <c r="M294" s="71">
        <f>VLOOKUP(B294,'114+840'!$B$14:$AB$516,21,FALSE)</f>
        <v>1527</v>
      </c>
      <c r="N294" s="70">
        <f>VLOOKUP(B294,'114+840'!$B$15:$AB$516,5,FALSE)</f>
        <v>-48</v>
      </c>
      <c r="O294" s="69">
        <f t="shared" si="55"/>
        <v>2627</v>
      </c>
      <c r="P294" s="69">
        <f>VLOOKUP(B294,'114+840'!$B$15:$AB$516,14,FALSE)</f>
        <v>-373</v>
      </c>
      <c r="Q294" s="67">
        <f>'114+840'!R295</f>
        <v>0</v>
      </c>
      <c r="R294" s="66">
        <f t="shared" si="60"/>
        <v>473</v>
      </c>
      <c r="S294" s="71">
        <f>VLOOKUP(B294,'114+840'!$B$14:$AB$516,22,FALSE)</f>
        <v>1742</v>
      </c>
      <c r="T294" s="70">
        <f>VLOOKUP(B294,'114+840'!$B$15:$AB$516,6,FALSE)</f>
        <v>227</v>
      </c>
      <c r="U294" s="69">
        <f t="shared" si="56"/>
        <v>2352</v>
      </c>
      <c r="V294" s="68">
        <f>VLOOKUP(B294,'114+840'!$B$15:$AB$516,15,FALSE)</f>
        <v>-648</v>
      </c>
      <c r="W294" s="67">
        <f>'114+840'!S295</f>
        <v>0</v>
      </c>
      <c r="X294" s="66">
        <f t="shared" si="61"/>
        <v>258</v>
      </c>
      <c r="Y294" s="65">
        <f t="shared" si="62"/>
        <v>0</v>
      </c>
      <c r="Z294" s="64">
        <f t="shared" si="63"/>
        <v>0</v>
      </c>
      <c r="AA294" s="63">
        <f t="shared" si="64"/>
        <v>2.3239999999999998</v>
      </c>
      <c r="AB294" s="63">
        <f t="shared" si="65"/>
        <v>0.95399999999999996</v>
      </c>
    </row>
    <row r="295" spans="2:28">
      <c r="B295" s="104">
        <f>'114+840'!B296</f>
        <v>45552</v>
      </c>
      <c r="C295" s="75">
        <f t="shared" si="57"/>
        <v>1</v>
      </c>
      <c r="D295" s="74">
        <f t="shared" si="58"/>
        <v>842</v>
      </c>
      <c r="E295" s="73">
        <f>VLOOKUP(B295,'114+840'!B296:AB296,3,FALSE)</f>
        <v>1739</v>
      </c>
      <c r="F295" s="70">
        <f t="shared" si="53"/>
        <v>2581</v>
      </c>
      <c r="G295" s="72">
        <f>VLOOKUP(B295,'114+840'!$B$15:$AB$516,20,FALSE)</f>
        <v>1719</v>
      </c>
      <c r="H295" s="72">
        <f>VLOOKUP(B295,'114+840'!$B$15:$AB$516,4,FALSE)</f>
        <v>-58</v>
      </c>
      <c r="I295" s="69">
        <f t="shared" si="54"/>
        <v>2639</v>
      </c>
      <c r="J295" s="69">
        <f>VLOOKUP(B295,'114+840'!$B$15:$AB$516,13,FALSE)</f>
        <v>-361</v>
      </c>
      <c r="K295" s="67">
        <f>'114+840'!Q296</f>
        <v>0</v>
      </c>
      <c r="L295" s="66">
        <f t="shared" si="59"/>
        <v>281</v>
      </c>
      <c r="M295" s="71">
        <f>VLOOKUP(B295,'114+840'!$B$14:$AB$516,21,FALSE)</f>
        <v>1527</v>
      </c>
      <c r="N295" s="70">
        <f>VLOOKUP(B295,'114+840'!$B$15:$AB$516,5,FALSE)</f>
        <v>-46</v>
      </c>
      <c r="O295" s="69">
        <f t="shared" si="55"/>
        <v>2627</v>
      </c>
      <c r="P295" s="69">
        <f>VLOOKUP(B295,'114+840'!$B$15:$AB$516,14,FALSE)</f>
        <v>-373</v>
      </c>
      <c r="Q295" s="67">
        <f>'114+840'!R296</f>
        <v>0</v>
      </c>
      <c r="R295" s="66">
        <f t="shared" si="60"/>
        <v>473</v>
      </c>
      <c r="S295" s="71">
        <f>VLOOKUP(B295,'114+840'!$B$14:$AB$516,22,FALSE)</f>
        <v>1742</v>
      </c>
      <c r="T295" s="70">
        <f>VLOOKUP(B295,'114+840'!$B$15:$AB$516,6,FALSE)</f>
        <v>229</v>
      </c>
      <c r="U295" s="69">
        <f t="shared" si="56"/>
        <v>2352</v>
      </c>
      <c r="V295" s="68">
        <f>VLOOKUP(B295,'114+840'!$B$15:$AB$516,15,FALSE)</f>
        <v>-648</v>
      </c>
      <c r="W295" s="67">
        <f>'114+840'!S296</f>
        <v>0</v>
      </c>
      <c r="X295" s="66">
        <f t="shared" si="61"/>
        <v>258</v>
      </c>
      <c r="Y295" s="65">
        <f t="shared" si="62"/>
        <v>0</v>
      </c>
      <c r="Z295" s="64">
        <f t="shared" si="63"/>
        <v>0</v>
      </c>
      <c r="AA295" s="63">
        <f t="shared" si="64"/>
        <v>2.3239999999999998</v>
      </c>
      <c r="AB295" s="63">
        <f t="shared" si="65"/>
        <v>0.95399999999999996</v>
      </c>
    </row>
    <row r="296" spans="2:28">
      <c r="B296" s="104">
        <f>'114+840'!B297</f>
        <v>45553</v>
      </c>
      <c r="C296" s="75">
        <f t="shared" si="57"/>
        <v>1</v>
      </c>
      <c r="D296" s="74">
        <f t="shared" si="58"/>
        <v>842</v>
      </c>
      <c r="E296" s="73">
        <f>VLOOKUP(B296,'114+840'!B297:AB297,3,FALSE)</f>
        <v>1741</v>
      </c>
      <c r="F296" s="70">
        <f t="shared" si="53"/>
        <v>2583</v>
      </c>
      <c r="G296" s="72">
        <f>VLOOKUP(B296,'114+840'!$B$15:$AB$516,20,FALSE)</f>
        <v>1719</v>
      </c>
      <c r="H296" s="72">
        <f>VLOOKUP(B296,'114+840'!$B$15:$AB$516,4,FALSE)</f>
        <v>-56</v>
      </c>
      <c r="I296" s="69">
        <f t="shared" si="54"/>
        <v>2639</v>
      </c>
      <c r="J296" s="69">
        <f>VLOOKUP(B296,'114+840'!$B$15:$AB$516,13,FALSE)</f>
        <v>-361</v>
      </c>
      <c r="K296" s="67">
        <f>'114+840'!Q297</f>
        <v>0</v>
      </c>
      <c r="L296" s="66">
        <f t="shared" si="59"/>
        <v>281</v>
      </c>
      <c r="M296" s="71">
        <f>VLOOKUP(B296,'114+840'!$B$14:$AB$516,21,FALSE)</f>
        <v>1527</v>
      </c>
      <c r="N296" s="70">
        <f>VLOOKUP(B296,'114+840'!$B$15:$AB$516,5,FALSE)</f>
        <v>-44</v>
      </c>
      <c r="O296" s="69">
        <f t="shared" si="55"/>
        <v>2627</v>
      </c>
      <c r="P296" s="69">
        <f>VLOOKUP(B296,'114+840'!$B$15:$AB$516,14,FALSE)</f>
        <v>-373</v>
      </c>
      <c r="Q296" s="67">
        <f>'114+840'!R297</f>
        <v>0</v>
      </c>
      <c r="R296" s="66">
        <f t="shared" si="60"/>
        <v>473</v>
      </c>
      <c r="S296" s="71">
        <f>VLOOKUP(B296,'114+840'!$B$14:$AB$516,22,FALSE)</f>
        <v>1742</v>
      </c>
      <c r="T296" s="70">
        <f>VLOOKUP(B296,'114+840'!$B$15:$AB$516,6,FALSE)</f>
        <v>231</v>
      </c>
      <c r="U296" s="69">
        <f t="shared" si="56"/>
        <v>2352</v>
      </c>
      <c r="V296" s="68">
        <f>VLOOKUP(B296,'114+840'!$B$15:$AB$516,15,FALSE)</f>
        <v>-648</v>
      </c>
      <c r="W296" s="67">
        <f>'114+840'!S297</f>
        <v>0</v>
      </c>
      <c r="X296" s="66">
        <f t="shared" si="61"/>
        <v>258</v>
      </c>
      <c r="Y296" s="65">
        <f t="shared" si="62"/>
        <v>0</v>
      </c>
      <c r="Z296" s="64">
        <f t="shared" si="63"/>
        <v>0</v>
      </c>
      <c r="AA296" s="63">
        <f t="shared" si="64"/>
        <v>2.3239999999999998</v>
      </c>
      <c r="AB296" s="63">
        <f t="shared" si="65"/>
        <v>0.95399999999999996</v>
      </c>
    </row>
    <row r="297" spans="2:28">
      <c r="B297" s="104">
        <f>'114+840'!B298</f>
        <v>45554</v>
      </c>
      <c r="C297" s="75">
        <f t="shared" si="57"/>
        <v>1</v>
      </c>
      <c r="D297" s="74">
        <f t="shared" si="58"/>
        <v>842</v>
      </c>
      <c r="E297" s="73">
        <f>VLOOKUP(B297,'114+840'!B298:AB298,3,FALSE)</f>
        <v>1743</v>
      </c>
      <c r="F297" s="70">
        <f t="shared" si="53"/>
        <v>2585</v>
      </c>
      <c r="G297" s="72">
        <f>VLOOKUP(B297,'114+840'!$B$15:$AB$516,20,FALSE)</f>
        <v>1719</v>
      </c>
      <c r="H297" s="72">
        <f>VLOOKUP(B297,'114+840'!$B$15:$AB$516,4,FALSE)</f>
        <v>-54</v>
      </c>
      <c r="I297" s="69">
        <f t="shared" si="54"/>
        <v>2639</v>
      </c>
      <c r="J297" s="69">
        <f>VLOOKUP(B297,'114+840'!$B$15:$AB$516,13,FALSE)</f>
        <v>-361</v>
      </c>
      <c r="K297" s="67">
        <f>'114+840'!Q298</f>
        <v>0</v>
      </c>
      <c r="L297" s="66">
        <f t="shared" si="59"/>
        <v>281</v>
      </c>
      <c r="M297" s="71">
        <f>VLOOKUP(B297,'114+840'!$B$14:$AB$516,21,FALSE)</f>
        <v>1527</v>
      </c>
      <c r="N297" s="70">
        <f>VLOOKUP(B297,'114+840'!$B$15:$AB$516,5,FALSE)</f>
        <v>-42</v>
      </c>
      <c r="O297" s="69">
        <f t="shared" si="55"/>
        <v>2627</v>
      </c>
      <c r="P297" s="69">
        <f>VLOOKUP(B297,'114+840'!$B$15:$AB$516,14,FALSE)</f>
        <v>-373</v>
      </c>
      <c r="Q297" s="67">
        <f>'114+840'!R298</f>
        <v>0</v>
      </c>
      <c r="R297" s="66">
        <f t="shared" si="60"/>
        <v>473</v>
      </c>
      <c r="S297" s="71">
        <f>VLOOKUP(B297,'114+840'!$B$14:$AB$516,22,FALSE)</f>
        <v>1742</v>
      </c>
      <c r="T297" s="70">
        <f>VLOOKUP(B297,'114+840'!$B$15:$AB$516,6,FALSE)</f>
        <v>233</v>
      </c>
      <c r="U297" s="69">
        <f t="shared" si="56"/>
        <v>2352</v>
      </c>
      <c r="V297" s="68">
        <f>VLOOKUP(B297,'114+840'!$B$15:$AB$516,15,FALSE)</f>
        <v>-648</v>
      </c>
      <c r="W297" s="67">
        <f>'114+840'!S298</f>
        <v>0</v>
      </c>
      <c r="X297" s="66">
        <f t="shared" si="61"/>
        <v>258</v>
      </c>
      <c r="Y297" s="65">
        <f t="shared" si="62"/>
        <v>0</v>
      </c>
      <c r="Z297" s="64">
        <f t="shared" si="63"/>
        <v>0</v>
      </c>
      <c r="AA297" s="63">
        <f t="shared" si="64"/>
        <v>2.3239999999999998</v>
      </c>
      <c r="AB297" s="63">
        <f t="shared" si="65"/>
        <v>0.95399999999999996</v>
      </c>
    </row>
    <row r="298" spans="2:28">
      <c r="B298" s="104">
        <f>'114+840'!B299</f>
        <v>45555</v>
      </c>
      <c r="C298" s="75">
        <f t="shared" si="57"/>
        <v>1</v>
      </c>
      <c r="D298" s="74">
        <f t="shared" si="58"/>
        <v>842</v>
      </c>
      <c r="E298" s="73">
        <f>VLOOKUP(B298,'114+840'!B299:AB299,3,FALSE)</f>
        <v>1745</v>
      </c>
      <c r="F298" s="70">
        <f t="shared" si="53"/>
        <v>2587</v>
      </c>
      <c r="G298" s="72">
        <f>VLOOKUP(B298,'114+840'!$B$15:$AB$516,20,FALSE)</f>
        <v>1719</v>
      </c>
      <c r="H298" s="72">
        <f>VLOOKUP(B298,'114+840'!$B$15:$AB$516,4,FALSE)</f>
        <v>-52</v>
      </c>
      <c r="I298" s="69">
        <f t="shared" si="54"/>
        <v>2639</v>
      </c>
      <c r="J298" s="69">
        <f>VLOOKUP(B298,'114+840'!$B$15:$AB$516,13,FALSE)</f>
        <v>-361</v>
      </c>
      <c r="K298" s="67">
        <f>'114+840'!Q299</f>
        <v>0</v>
      </c>
      <c r="L298" s="66">
        <f t="shared" si="59"/>
        <v>281</v>
      </c>
      <c r="M298" s="71">
        <f>VLOOKUP(B298,'114+840'!$B$14:$AB$516,21,FALSE)</f>
        <v>1527</v>
      </c>
      <c r="N298" s="70">
        <f>VLOOKUP(B298,'114+840'!$B$15:$AB$516,5,FALSE)</f>
        <v>-40</v>
      </c>
      <c r="O298" s="69">
        <f t="shared" si="55"/>
        <v>2627</v>
      </c>
      <c r="P298" s="69">
        <f>VLOOKUP(B298,'114+840'!$B$15:$AB$516,14,FALSE)</f>
        <v>-373</v>
      </c>
      <c r="Q298" s="67">
        <f>'114+840'!R299</f>
        <v>0</v>
      </c>
      <c r="R298" s="66">
        <f t="shared" si="60"/>
        <v>473</v>
      </c>
      <c r="S298" s="71">
        <f>VLOOKUP(B298,'114+840'!$B$14:$AB$516,22,FALSE)</f>
        <v>1742</v>
      </c>
      <c r="T298" s="70">
        <f>VLOOKUP(B298,'114+840'!$B$15:$AB$516,6,FALSE)</f>
        <v>235</v>
      </c>
      <c r="U298" s="69">
        <f t="shared" si="56"/>
        <v>2352</v>
      </c>
      <c r="V298" s="68">
        <f>VLOOKUP(B298,'114+840'!$B$15:$AB$516,15,FALSE)</f>
        <v>-648</v>
      </c>
      <c r="W298" s="67">
        <f>'114+840'!S299</f>
        <v>0</v>
      </c>
      <c r="X298" s="66">
        <f t="shared" si="61"/>
        <v>258</v>
      </c>
      <c r="Y298" s="65">
        <f t="shared" si="62"/>
        <v>0</v>
      </c>
      <c r="Z298" s="64">
        <f t="shared" si="63"/>
        <v>0</v>
      </c>
      <c r="AA298" s="63">
        <f t="shared" si="64"/>
        <v>2.3239999999999998</v>
      </c>
      <c r="AB298" s="63">
        <f t="shared" si="65"/>
        <v>0.95399999999999996</v>
      </c>
    </row>
    <row r="299" spans="2:28">
      <c r="B299" s="104">
        <f>'114+840'!B300</f>
        <v>45556</v>
      </c>
      <c r="C299" s="75">
        <f t="shared" si="57"/>
        <v>1</v>
      </c>
      <c r="D299" s="74">
        <f t="shared" si="58"/>
        <v>842</v>
      </c>
      <c r="E299" s="73">
        <f>VLOOKUP(B299,'114+840'!B300:AB300,3,FALSE)</f>
        <v>1747</v>
      </c>
      <c r="F299" s="70">
        <f t="shared" si="53"/>
        <v>2589</v>
      </c>
      <c r="G299" s="72">
        <f>VLOOKUP(B299,'114+840'!$B$15:$AB$516,20,FALSE)</f>
        <v>1719</v>
      </c>
      <c r="H299" s="72">
        <f>VLOOKUP(B299,'114+840'!$B$15:$AB$516,4,FALSE)</f>
        <v>-50</v>
      </c>
      <c r="I299" s="69">
        <f t="shared" si="54"/>
        <v>2639</v>
      </c>
      <c r="J299" s="69">
        <f>VLOOKUP(B299,'114+840'!$B$15:$AB$516,13,FALSE)</f>
        <v>-361</v>
      </c>
      <c r="K299" s="67">
        <f>'114+840'!Q300</f>
        <v>0</v>
      </c>
      <c r="L299" s="66">
        <f t="shared" si="59"/>
        <v>281</v>
      </c>
      <c r="M299" s="71">
        <f>VLOOKUP(B299,'114+840'!$B$14:$AB$516,21,FALSE)</f>
        <v>1527</v>
      </c>
      <c r="N299" s="70">
        <f>VLOOKUP(B299,'114+840'!$B$15:$AB$516,5,FALSE)</f>
        <v>-38</v>
      </c>
      <c r="O299" s="69">
        <f t="shared" si="55"/>
        <v>2627</v>
      </c>
      <c r="P299" s="69">
        <f>VLOOKUP(B299,'114+840'!$B$15:$AB$516,14,FALSE)</f>
        <v>-373</v>
      </c>
      <c r="Q299" s="67">
        <f>'114+840'!R300</f>
        <v>0</v>
      </c>
      <c r="R299" s="66">
        <f t="shared" si="60"/>
        <v>473</v>
      </c>
      <c r="S299" s="71">
        <f>VLOOKUP(B299,'114+840'!$B$14:$AB$516,22,FALSE)</f>
        <v>1742</v>
      </c>
      <c r="T299" s="70">
        <f>VLOOKUP(B299,'114+840'!$B$15:$AB$516,6,FALSE)</f>
        <v>237</v>
      </c>
      <c r="U299" s="69">
        <f t="shared" si="56"/>
        <v>2352</v>
      </c>
      <c r="V299" s="68">
        <f>VLOOKUP(B299,'114+840'!$B$15:$AB$516,15,FALSE)</f>
        <v>-648</v>
      </c>
      <c r="W299" s="67">
        <f>'114+840'!S300</f>
        <v>0</v>
      </c>
      <c r="X299" s="66">
        <f t="shared" si="61"/>
        <v>258</v>
      </c>
      <c r="Y299" s="65">
        <f t="shared" si="62"/>
        <v>0</v>
      </c>
      <c r="Z299" s="64">
        <f t="shared" si="63"/>
        <v>0</v>
      </c>
      <c r="AA299" s="63">
        <f t="shared" si="64"/>
        <v>2.3239999999999998</v>
      </c>
      <c r="AB299" s="63">
        <f t="shared" si="65"/>
        <v>0.95399999999999996</v>
      </c>
    </row>
    <row r="300" spans="2:28">
      <c r="B300" s="104">
        <f>'114+840'!B301</f>
        <v>45557</v>
      </c>
      <c r="C300" s="75">
        <f t="shared" si="57"/>
        <v>1</v>
      </c>
      <c r="D300" s="74">
        <f t="shared" si="58"/>
        <v>842</v>
      </c>
      <c r="E300" s="73">
        <f>VLOOKUP(B300,'114+840'!B301:AB301,3,FALSE)</f>
        <v>1749</v>
      </c>
      <c r="F300" s="70">
        <f t="shared" si="53"/>
        <v>2591</v>
      </c>
      <c r="G300" s="72">
        <f>VLOOKUP(B300,'114+840'!$B$15:$AB$516,20,FALSE)</f>
        <v>1719</v>
      </c>
      <c r="H300" s="72">
        <f>VLOOKUP(B300,'114+840'!$B$15:$AB$516,4,FALSE)</f>
        <v>-48</v>
      </c>
      <c r="I300" s="69">
        <f t="shared" si="54"/>
        <v>2639</v>
      </c>
      <c r="J300" s="69">
        <f>VLOOKUP(B300,'114+840'!$B$15:$AB$516,13,FALSE)</f>
        <v>-361</v>
      </c>
      <c r="K300" s="67">
        <f>'114+840'!Q301</f>
        <v>0</v>
      </c>
      <c r="L300" s="66">
        <f t="shared" si="59"/>
        <v>281</v>
      </c>
      <c r="M300" s="71">
        <f>VLOOKUP(B300,'114+840'!$B$14:$AB$516,21,FALSE)</f>
        <v>1527</v>
      </c>
      <c r="N300" s="70">
        <f>VLOOKUP(B300,'114+840'!$B$15:$AB$516,5,FALSE)</f>
        <v>-36</v>
      </c>
      <c r="O300" s="69">
        <f t="shared" si="55"/>
        <v>2627</v>
      </c>
      <c r="P300" s="69">
        <f>VLOOKUP(B300,'114+840'!$B$15:$AB$516,14,FALSE)</f>
        <v>-373</v>
      </c>
      <c r="Q300" s="67">
        <f>'114+840'!R301</f>
        <v>0</v>
      </c>
      <c r="R300" s="66">
        <f t="shared" si="60"/>
        <v>473</v>
      </c>
      <c r="S300" s="71">
        <f>VLOOKUP(B300,'114+840'!$B$14:$AB$516,22,FALSE)</f>
        <v>1742</v>
      </c>
      <c r="T300" s="70">
        <f>VLOOKUP(B300,'114+840'!$B$15:$AB$516,6,FALSE)</f>
        <v>239</v>
      </c>
      <c r="U300" s="69">
        <f t="shared" si="56"/>
        <v>2352</v>
      </c>
      <c r="V300" s="68">
        <f>VLOOKUP(B300,'114+840'!$B$15:$AB$516,15,FALSE)</f>
        <v>-648</v>
      </c>
      <c r="W300" s="67">
        <f>'114+840'!S301</f>
        <v>0</v>
      </c>
      <c r="X300" s="66">
        <f t="shared" si="61"/>
        <v>258</v>
      </c>
      <c r="Y300" s="65">
        <f t="shared" si="62"/>
        <v>0</v>
      </c>
      <c r="Z300" s="64">
        <f t="shared" si="63"/>
        <v>0</v>
      </c>
      <c r="AA300" s="63">
        <f t="shared" si="64"/>
        <v>2.3239999999999998</v>
      </c>
      <c r="AB300" s="63">
        <f t="shared" si="65"/>
        <v>0.95399999999999996</v>
      </c>
    </row>
    <row r="301" spans="2:28">
      <c r="B301" s="104">
        <f>'114+840'!B302</f>
        <v>45558</v>
      </c>
      <c r="C301" s="75">
        <f t="shared" si="57"/>
        <v>1</v>
      </c>
      <c r="D301" s="74">
        <f t="shared" si="58"/>
        <v>842</v>
      </c>
      <c r="E301" s="73">
        <f>VLOOKUP(B301,'114+840'!B302:AB302,3,FALSE)</f>
        <v>1751</v>
      </c>
      <c r="F301" s="70">
        <f t="shared" si="53"/>
        <v>2593</v>
      </c>
      <c r="G301" s="72">
        <f>VLOOKUP(B301,'114+840'!$B$15:$AB$516,20,FALSE)</f>
        <v>1719</v>
      </c>
      <c r="H301" s="72">
        <f>VLOOKUP(B301,'114+840'!$B$15:$AB$516,4,FALSE)</f>
        <v>-46</v>
      </c>
      <c r="I301" s="69">
        <f t="shared" si="54"/>
        <v>2639</v>
      </c>
      <c r="J301" s="69">
        <f>VLOOKUP(B301,'114+840'!$B$15:$AB$516,13,FALSE)</f>
        <v>-361</v>
      </c>
      <c r="K301" s="67">
        <f>'114+840'!Q302</f>
        <v>0</v>
      </c>
      <c r="L301" s="66">
        <f t="shared" si="59"/>
        <v>281</v>
      </c>
      <c r="M301" s="71">
        <f>VLOOKUP(B301,'114+840'!$B$14:$AB$516,21,FALSE)</f>
        <v>1527</v>
      </c>
      <c r="N301" s="70">
        <f>VLOOKUP(B301,'114+840'!$B$15:$AB$516,5,FALSE)</f>
        <v>-34</v>
      </c>
      <c r="O301" s="69">
        <f t="shared" si="55"/>
        <v>2627</v>
      </c>
      <c r="P301" s="69">
        <f>VLOOKUP(B301,'114+840'!$B$15:$AB$516,14,FALSE)</f>
        <v>-373</v>
      </c>
      <c r="Q301" s="67">
        <f>'114+840'!R302</f>
        <v>0</v>
      </c>
      <c r="R301" s="66">
        <f t="shared" si="60"/>
        <v>473</v>
      </c>
      <c r="S301" s="71">
        <f>VLOOKUP(B301,'114+840'!$B$14:$AB$516,22,FALSE)</f>
        <v>1742</v>
      </c>
      <c r="T301" s="70">
        <f>VLOOKUP(B301,'114+840'!$B$15:$AB$516,6,FALSE)</f>
        <v>241</v>
      </c>
      <c r="U301" s="69">
        <f t="shared" si="56"/>
        <v>2352</v>
      </c>
      <c r="V301" s="68">
        <f>VLOOKUP(B301,'114+840'!$B$15:$AB$516,15,FALSE)</f>
        <v>-648</v>
      </c>
      <c r="W301" s="67">
        <f>'114+840'!S302</f>
        <v>0</v>
      </c>
      <c r="X301" s="66">
        <f t="shared" si="61"/>
        <v>258</v>
      </c>
      <c r="Y301" s="65">
        <f t="shared" si="62"/>
        <v>0</v>
      </c>
      <c r="Z301" s="64">
        <f t="shared" si="63"/>
        <v>0</v>
      </c>
      <c r="AA301" s="63">
        <f t="shared" si="64"/>
        <v>2.3239999999999998</v>
      </c>
      <c r="AB301" s="63">
        <f t="shared" si="65"/>
        <v>0.95399999999999996</v>
      </c>
    </row>
    <row r="302" spans="2:28">
      <c r="B302" s="104">
        <f>'114+840'!B303</f>
        <v>45559</v>
      </c>
      <c r="C302" s="75">
        <f t="shared" si="57"/>
        <v>1</v>
      </c>
      <c r="D302" s="74">
        <f t="shared" si="58"/>
        <v>842</v>
      </c>
      <c r="E302" s="73">
        <f>VLOOKUP(B302,'114+840'!B303:AB303,3,FALSE)</f>
        <v>1753</v>
      </c>
      <c r="F302" s="70">
        <f t="shared" si="53"/>
        <v>2595</v>
      </c>
      <c r="G302" s="72">
        <f>VLOOKUP(B302,'114+840'!$B$15:$AB$516,20,FALSE)</f>
        <v>1719</v>
      </c>
      <c r="H302" s="72">
        <f>VLOOKUP(B302,'114+840'!$B$15:$AB$516,4,FALSE)</f>
        <v>-44</v>
      </c>
      <c r="I302" s="69">
        <f t="shared" si="54"/>
        <v>2639</v>
      </c>
      <c r="J302" s="69">
        <f>VLOOKUP(B302,'114+840'!$B$15:$AB$516,13,FALSE)</f>
        <v>-361</v>
      </c>
      <c r="K302" s="67">
        <f>'114+840'!Q303</f>
        <v>0</v>
      </c>
      <c r="L302" s="66">
        <f t="shared" si="59"/>
        <v>281</v>
      </c>
      <c r="M302" s="71">
        <f>VLOOKUP(B302,'114+840'!$B$14:$AB$516,21,FALSE)</f>
        <v>1527</v>
      </c>
      <c r="N302" s="70">
        <f>VLOOKUP(B302,'114+840'!$B$15:$AB$516,5,FALSE)</f>
        <v>-32</v>
      </c>
      <c r="O302" s="69">
        <f t="shared" si="55"/>
        <v>2627</v>
      </c>
      <c r="P302" s="69">
        <f>VLOOKUP(B302,'114+840'!$B$15:$AB$516,14,FALSE)</f>
        <v>-373</v>
      </c>
      <c r="Q302" s="67">
        <f>'114+840'!R303</f>
        <v>0</v>
      </c>
      <c r="R302" s="66">
        <f t="shared" si="60"/>
        <v>473</v>
      </c>
      <c r="S302" s="71">
        <f>VLOOKUP(B302,'114+840'!$B$14:$AB$516,22,FALSE)</f>
        <v>1742</v>
      </c>
      <c r="T302" s="70">
        <f>VLOOKUP(B302,'114+840'!$B$15:$AB$516,6,FALSE)</f>
        <v>243</v>
      </c>
      <c r="U302" s="69">
        <f t="shared" si="56"/>
        <v>2352</v>
      </c>
      <c r="V302" s="68">
        <f>VLOOKUP(B302,'114+840'!$B$15:$AB$516,15,FALSE)</f>
        <v>-648</v>
      </c>
      <c r="W302" s="67">
        <f>'114+840'!S303</f>
        <v>0</v>
      </c>
      <c r="X302" s="66">
        <f t="shared" si="61"/>
        <v>258</v>
      </c>
      <c r="Y302" s="65">
        <f t="shared" si="62"/>
        <v>0</v>
      </c>
      <c r="Z302" s="64">
        <f t="shared" si="63"/>
        <v>0</v>
      </c>
      <c r="AA302" s="63">
        <f t="shared" si="64"/>
        <v>2.3239999999999998</v>
      </c>
      <c r="AB302" s="63">
        <f t="shared" si="65"/>
        <v>0.95399999999999996</v>
      </c>
    </row>
    <row r="303" spans="2:28">
      <c r="B303" s="104">
        <f>'114+840'!B304</f>
        <v>45560</v>
      </c>
      <c r="C303" s="75">
        <f t="shared" si="57"/>
        <v>1</v>
      </c>
      <c r="D303" s="74">
        <f t="shared" si="58"/>
        <v>842</v>
      </c>
      <c r="E303" s="73">
        <f>VLOOKUP(B303,'114+840'!B304:AB304,3,FALSE)</f>
        <v>1755</v>
      </c>
      <c r="F303" s="70">
        <f t="shared" si="53"/>
        <v>2597</v>
      </c>
      <c r="G303" s="72">
        <f>VLOOKUP(B303,'114+840'!$B$15:$AB$516,20,FALSE)</f>
        <v>1719</v>
      </c>
      <c r="H303" s="72">
        <f>VLOOKUP(B303,'114+840'!$B$15:$AB$516,4,FALSE)</f>
        <v>-42</v>
      </c>
      <c r="I303" s="69">
        <f t="shared" si="54"/>
        <v>2639</v>
      </c>
      <c r="J303" s="69">
        <f>VLOOKUP(B303,'114+840'!$B$15:$AB$516,13,FALSE)</f>
        <v>-361</v>
      </c>
      <c r="K303" s="67">
        <f>'114+840'!Q304</f>
        <v>0</v>
      </c>
      <c r="L303" s="66">
        <f t="shared" si="59"/>
        <v>281</v>
      </c>
      <c r="M303" s="71">
        <f>VLOOKUP(B303,'114+840'!$B$14:$AB$516,21,FALSE)</f>
        <v>1527</v>
      </c>
      <c r="N303" s="70">
        <f>VLOOKUP(B303,'114+840'!$B$15:$AB$516,5,FALSE)</f>
        <v>-30</v>
      </c>
      <c r="O303" s="69">
        <f t="shared" si="55"/>
        <v>2627</v>
      </c>
      <c r="P303" s="69">
        <f>VLOOKUP(B303,'114+840'!$B$15:$AB$516,14,FALSE)</f>
        <v>-373</v>
      </c>
      <c r="Q303" s="67">
        <f>'114+840'!R304</f>
        <v>0</v>
      </c>
      <c r="R303" s="66">
        <f t="shared" si="60"/>
        <v>473</v>
      </c>
      <c r="S303" s="71">
        <f>VLOOKUP(B303,'114+840'!$B$14:$AB$516,22,FALSE)</f>
        <v>1742</v>
      </c>
      <c r="T303" s="70">
        <f>VLOOKUP(B303,'114+840'!$B$15:$AB$516,6,FALSE)</f>
        <v>245</v>
      </c>
      <c r="U303" s="69">
        <f t="shared" si="56"/>
        <v>2352</v>
      </c>
      <c r="V303" s="68">
        <f>VLOOKUP(B303,'114+840'!$B$15:$AB$516,15,FALSE)</f>
        <v>-648</v>
      </c>
      <c r="W303" s="67">
        <f>'114+840'!S304</f>
        <v>0</v>
      </c>
      <c r="X303" s="66">
        <f t="shared" si="61"/>
        <v>258</v>
      </c>
      <c r="Y303" s="65">
        <f t="shared" si="62"/>
        <v>0</v>
      </c>
      <c r="Z303" s="64">
        <f t="shared" si="63"/>
        <v>0</v>
      </c>
      <c r="AA303" s="63">
        <f t="shared" si="64"/>
        <v>2.3239999999999998</v>
      </c>
      <c r="AB303" s="63">
        <f t="shared" si="65"/>
        <v>0.95399999999999996</v>
      </c>
    </row>
    <row r="304" spans="2:28">
      <c r="B304" s="104">
        <f>'114+840'!B305</f>
        <v>45561</v>
      </c>
      <c r="C304" s="75">
        <f t="shared" si="57"/>
        <v>1</v>
      </c>
      <c r="D304" s="74">
        <f t="shared" si="58"/>
        <v>842</v>
      </c>
      <c r="E304" s="73">
        <f>VLOOKUP(B304,'114+840'!B305:AB305,3,FALSE)</f>
        <v>1757</v>
      </c>
      <c r="F304" s="70">
        <f t="shared" si="53"/>
        <v>2599</v>
      </c>
      <c r="G304" s="72">
        <f>VLOOKUP(B304,'114+840'!$B$15:$AB$516,20,FALSE)</f>
        <v>1719</v>
      </c>
      <c r="H304" s="72">
        <f>VLOOKUP(B304,'114+840'!$B$15:$AB$516,4,FALSE)</f>
        <v>-40</v>
      </c>
      <c r="I304" s="69">
        <f t="shared" si="54"/>
        <v>2639</v>
      </c>
      <c r="J304" s="69">
        <f>VLOOKUP(B304,'114+840'!$B$15:$AB$516,13,FALSE)</f>
        <v>-361</v>
      </c>
      <c r="K304" s="67">
        <f>'114+840'!Q305</f>
        <v>0</v>
      </c>
      <c r="L304" s="66">
        <f t="shared" si="59"/>
        <v>281</v>
      </c>
      <c r="M304" s="71">
        <f>VLOOKUP(B304,'114+840'!$B$14:$AB$516,21,FALSE)</f>
        <v>1527</v>
      </c>
      <c r="N304" s="70">
        <f>VLOOKUP(B304,'114+840'!$B$15:$AB$516,5,FALSE)</f>
        <v>-28</v>
      </c>
      <c r="O304" s="69">
        <f t="shared" si="55"/>
        <v>2627</v>
      </c>
      <c r="P304" s="69">
        <f>VLOOKUP(B304,'114+840'!$B$15:$AB$516,14,FALSE)</f>
        <v>-373</v>
      </c>
      <c r="Q304" s="67">
        <f>'114+840'!R305</f>
        <v>0</v>
      </c>
      <c r="R304" s="66">
        <f t="shared" si="60"/>
        <v>473</v>
      </c>
      <c r="S304" s="71">
        <f>VLOOKUP(B304,'114+840'!$B$14:$AB$516,22,FALSE)</f>
        <v>1742</v>
      </c>
      <c r="T304" s="70">
        <f>VLOOKUP(B304,'114+840'!$B$15:$AB$516,6,FALSE)</f>
        <v>247</v>
      </c>
      <c r="U304" s="69">
        <f t="shared" si="56"/>
        <v>2352</v>
      </c>
      <c r="V304" s="68">
        <f>VLOOKUP(B304,'114+840'!$B$15:$AB$516,15,FALSE)</f>
        <v>-648</v>
      </c>
      <c r="W304" s="67">
        <f>'114+840'!S305</f>
        <v>0</v>
      </c>
      <c r="X304" s="66">
        <f t="shared" si="61"/>
        <v>258</v>
      </c>
      <c r="Y304" s="65">
        <f t="shared" si="62"/>
        <v>0</v>
      </c>
      <c r="Z304" s="64">
        <f t="shared" si="63"/>
        <v>0</v>
      </c>
      <c r="AA304" s="63">
        <f t="shared" si="64"/>
        <v>2.3239999999999998</v>
      </c>
      <c r="AB304" s="63">
        <f t="shared" si="65"/>
        <v>0.95399999999999996</v>
      </c>
    </row>
    <row r="305" spans="2:28">
      <c r="B305" s="104">
        <f>'114+840'!B306</f>
        <v>45562</v>
      </c>
      <c r="C305" s="75">
        <f t="shared" si="57"/>
        <v>1</v>
      </c>
      <c r="D305" s="74">
        <f t="shared" si="58"/>
        <v>842</v>
      </c>
      <c r="E305" s="73">
        <f>VLOOKUP(B305,'114+840'!B306:AB306,3,FALSE)</f>
        <v>1759</v>
      </c>
      <c r="F305" s="70">
        <f t="shared" si="53"/>
        <v>2601</v>
      </c>
      <c r="G305" s="72">
        <f>VLOOKUP(B305,'114+840'!$B$15:$AB$516,20,FALSE)</f>
        <v>1719</v>
      </c>
      <c r="H305" s="72">
        <f>VLOOKUP(B305,'114+840'!$B$15:$AB$516,4,FALSE)</f>
        <v>-38</v>
      </c>
      <c r="I305" s="69">
        <f t="shared" si="54"/>
        <v>2639</v>
      </c>
      <c r="J305" s="69">
        <f>VLOOKUP(B305,'114+840'!$B$15:$AB$516,13,FALSE)</f>
        <v>-361</v>
      </c>
      <c r="K305" s="67">
        <f>'114+840'!Q306</f>
        <v>0</v>
      </c>
      <c r="L305" s="66">
        <f t="shared" si="59"/>
        <v>281</v>
      </c>
      <c r="M305" s="71">
        <f>VLOOKUP(B305,'114+840'!$B$14:$AB$516,21,FALSE)</f>
        <v>1527</v>
      </c>
      <c r="N305" s="70">
        <f>VLOOKUP(B305,'114+840'!$B$15:$AB$516,5,FALSE)</f>
        <v>-26</v>
      </c>
      <c r="O305" s="69">
        <f t="shared" si="55"/>
        <v>2627</v>
      </c>
      <c r="P305" s="69">
        <f>VLOOKUP(B305,'114+840'!$B$15:$AB$516,14,FALSE)</f>
        <v>-373</v>
      </c>
      <c r="Q305" s="67">
        <f>'114+840'!R306</f>
        <v>0</v>
      </c>
      <c r="R305" s="66">
        <f t="shared" si="60"/>
        <v>473</v>
      </c>
      <c r="S305" s="71">
        <f>VLOOKUP(B305,'114+840'!$B$14:$AB$516,22,FALSE)</f>
        <v>1742</v>
      </c>
      <c r="T305" s="70">
        <f>VLOOKUP(B305,'114+840'!$B$15:$AB$516,6,FALSE)</f>
        <v>249</v>
      </c>
      <c r="U305" s="69">
        <f t="shared" si="56"/>
        <v>2352</v>
      </c>
      <c r="V305" s="68">
        <f>VLOOKUP(B305,'114+840'!$B$15:$AB$516,15,FALSE)</f>
        <v>-648</v>
      </c>
      <c r="W305" s="67">
        <f>'114+840'!S306</f>
        <v>0</v>
      </c>
      <c r="X305" s="66">
        <f t="shared" si="61"/>
        <v>258</v>
      </c>
      <c r="Y305" s="65">
        <f t="shared" si="62"/>
        <v>0</v>
      </c>
      <c r="Z305" s="64">
        <f t="shared" si="63"/>
        <v>0</v>
      </c>
      <c r="AA305" s="63">
        <f t="shared" si="64"/>
        <v>2.3239999999999998</v>
      </c>
      <c r="AB305" s="63">
        <f t="shared" si="65"/>
        <v>0.95399999999999996</v>
      </c>
    </row>
    <row r="306" spans="2:28">
      <c r="B306" s="104">
        <f>'114+840'!B307</f>
        <v>45563</v>
      </c>
      <c r="C306" s="75">
        <f t="shared" si="57"/>
        <v>1</v>
      </c>
      <c r="D306" s="74">
        <f t="shared" si="58"/>
        <v>842</v>
      </c>
      <c r="E306" s="73">
        <f>VLOOKUP(B306,'114+840'!B307:AB307,3,FALSE)</f>
        <v>1761</v>
      </c>
      <c r="F306" s="70">
        <f t="shared" si="53"/>
        <v>2603</v>
      </c>
      <c r="G306" s="72">
        <f>VLOOKUP(B306,'114+840'!$B$15:$AB$516,20,FALSE)</f>
        <v>1719</v>
      </c>
      <c r="H306" s="72">
        <f>VLOOKUP(B306,'114+840'!$B$15:$AB$516,4,FALSE)</f>
        <v>-36</v>
      </c>
      <c r="I306" s="69">
        <f t="shared" si="54"/>
        <v>2639</v>
      </c>
      <c r="J306" s="69">
        <f>VLOOKUP(B306,'114+840'!$B$15:$AB$516,13,FALSE)</f>
        <v>-361</v>
      </c>
      <c r="K306" s="67">
        <f>'114+840'!Q307</f>
        <v>0</v>
      </c>
      <c r="L306" s="66">
        <f t="shared" si="59"/>
        <v>281</v>
      </c>
      <c r="M306" s="71">
        <f>VLOOKUP(B306,'114+840'!$B$14:$AB$516,21,FALSE)</f>
        <v>1527</v>
      </c>
      <c r="N306" s="70">
        <f>VLOOKUP(B306,'114+840'!$B$15:$AB$516,5,FALSE)</f>
        <v>-24</v>
      </c>
      <c r="O306" s="69">
        <f t="shared" si="55"/>
        <v>2627</v>
      </c>
      <c r="P306" s="69">
        <f>VLOOKUP(B306,'114+840'!$B$15:$AB$516,14,FALSE)</f>
        <v>-373</v>
      </c>
      <c r="Q306" s="67">
        <f>'114+840'!R307</f>
        <v>0</v>
      </c>
      <c r="R306" s="66">
        <f t="shared" si="60"/>
        <v>473</v>
      </c>
      <c r="S306" s="71">
        <f>VLOOKUP(B306,'114+840'!$B$14:$AB$516,22,FALSE)</f>
        <v>1742</v>
      </c>
      <c r="T306" s="70">
        <f>VLOOKUP(B306,'114+840'!$B$15:$AB$516,6,FALSE)</f>
        <v>251</v>
      </c>
      <c r="U306" s="69">
        <f t="shared" si="56"/>
        <v>2352</v>
      </c>
      <c r="V306" s="68">
        <f>VLOOKUP(B306,'114+840'!$B$15:$AB$516,15,FALSE)</f>
        <v>-648</v>
      </c>
      <c r="W306" s="67">
        <f>'114+840'!S307</f>
        <v>0</v>
      </c>
      <c r="X306" s="66">
        <f t="shared" si="61"/>
        <v>258</v>
      </c>
      <c r="Y306" s="65">
        <f t="shared" si="62"/>
        <v>0</v>
      </c>
      <c r="Z306" s="64">
        <f t="shared" si="63"/>
        <v>0</v>
      </c>
      <c r="AA306" s="63">
        <f t="shared" si="64"/>
        <v>2.3239999999999998</v>
      </c>
      <c r="AB306" s="63">
        <f t="shared" si="65"/>
        <v>0.95399999999999996</v>
      </c>
    </row>
    <row r="307" spans="2:28">
      <c r="B307" s="104">
        <f>'114+840'!B308</f>
        <v>45564</v>
      </c>
      <c r="C307" s="75">
        <f t="shared" si="57"/>
        <v>1</v>
      </c>
      <c r="D307" s="74">
        <f t="shared" si="58"/>
        <v>842</v>
      </c>
      <c r="E307" s="73">
        <f>VLOOKUP(B307,'114+840'!B308:AB308,3,FALSE)</f>
        <v>1763</v>
      </c>
      <c r="F307" s="70">
        <f t="shared" si="53"/>
        <v>2605</v>
      </c>
      <c r="G307" s="72">
        <f>VLOOKUP(B307,'114+840'!$B$15:$AB$516,20,FALSE)</f>
        <v>1719</v>
      </c>
      <c r="H307" s="72">
        <f>VLOOKUP(B307,'114+840'!$B$15:$AB$516,4,FALSE)</f>
        <v>-34</v>
      </c>
      <c r="I307" s="69">
        <f t="shared" si="54"/>
        <v>2639</v>
      </c>
      <c r="J307" s="69">
        <f>VLOOKUP(B307,'114+840'!$B$15:$AB$516,13,FALSE)</f>
        <v>-361</v>
      </c>
      <c r="K307" s="67">
        <f>'114+840'!Q308</f>
        <v>0</v>
      </c>
      <c r="L307" s="66">
        <f t="shared" si="59"/>
        <v>281</v>
      </c>
      <c r="M307" s="71">
        <f>VLOOKUP(B307,'114+840'!$B$14:$AB$516,21,FALSE)</f>
        <v>1527</v>
      </c>
      <c r="N307" s="70">
        <f>VLOOKUP(B307,'114+840'!$B$15:$AB$516,5,FALSE)</f>
        <v>-22</v>
      </c>
      <c r="O307" s="69">
        <f t="shared" si="55"/>
        <v>2627</v>
      </c>
      <c r="P307" s="69">
        <f>VLOOKUP(B307,'114+840'!$B$15:$AB$516,14,FALSE)</f>
        <v>-373</v>
      </c>
      <c r="Q307" s="67">
        <f>'114+840'!R308</f>
        <v>0</v>
      </c>
      <c r="R307" s="66">
        <f t="shared" si="60"/>
        <v>473</v>
      </c>
      <c r="S307" s="71">
        <f>VLOOKUP(B307,'114+840'!$B$14:$AB$516,22,FALSE)</f>
        <v>1742</v>
      </c>
      <c r="T307" s="70">
        <f>VLOOKUP(B307,'114+840'!$B$15:$AB$516,6,FALSE)</f>
        <v>253</v>
      </c>
      <c r="U307" s="69">
        <f t="shared" si="56"/>
        <v>2352</v>
      </c>
      <c r="V307" s="68">
        <f>VLOOKUP(B307,'114+840'!$B$15:$AB$516,15,FALSE)</f>
        <v>-648</v>
      </c>
      <c r="W307" s="67">
        <f>'114+840'!S308</f>
        <v>0</v>
      </c>
      <c r="X307" s="66">
        <f t="shared" si="61"/>
        <v>258</v>
      </c>
      <c r="Y307" s="65">
        <f t="shared" si="62"/>
        <v>0</v>
      </c>
      <c r="Z307" s="64">
        <f t="shared" si="63"/>
        <v>0</v>
      </c>
      <c r="AA307" s="63">
        <f t="shared" si="64"/>
        <v>2.3239999999999998</v>
      </c>
      <c r="AB307" s="63">
        <f t="shared" si="65"/>
        <v>0.95399999999999996</v>
      </c>
    </row>
    <row r="308" spans="2:28">
      <c r="B308" s="104">
        <f>'114+840'!B309</f>
        <v>45565</v>
      </c>
      <c r="C308" s="75">
        <f t="shared" si="57"/>
        <v>1</v>
      </c>
      <c r="D308" s="74">
        <f t="shared" si="58"/>
        <v>842</v>
      </c>
      <c r="E308" s="73">
        <f>VLOOKUP(B308,'114+840'!B309:AB309,3,FALSE)</f>
        <v>1765</v>
      </c>
      <c r="F308" s="70">
        <f t="shared" si="53"/>
        <v>2607</v>
      </c>
      <c r="G308" s="72">
        <f>VLOOKUP(B308,'114+840'!$B$15:$AB$516,20,FALSE)</f>
        <v>1719</v>
      </c>
      <c r="H308" s="72">
        <f>VLOOKUP(B308,'114+840'!$B$15:$AB$516,4,FALSE)</f>
        <v>-32</v>
      </c>
      <c r="I308" s="69">
        <f t="shared" si="54"/>
        <v>2639</v>
      </c>
      <c r="J308" s="69">
        <f>VLOOKUP(B308,'114+840'!$B$15:$AB$516,13,FALSE)</f>
        <v>-361</v>
      </c>
      <c r="K308" s="67">
        <f>'114+840'!Q309</f>
        <v>0</v>
      </c>
      <c r="L308" s="66">
        <f t="shared" si="59"/>
        <v>281</v>
      </c>
      <c r="M308" s="71">
        <f>VLOOKUP(B308,'114+840'!$B$14:$AB$516,21,FALSE)</f>
        <v>1527</v>
      </c>
      <c r="N308" s="70">
        <f>VLOOKUP(B308,'114+840'!$B$15:$AB$516,5,FALSE)</f>
        <v>-20</v>
      </c>
      <c r="O308" s="69">
        <f t="shared" si="55"/>
        <v>2627</v>
      </c>
      <c r="P308" s="69">
        <f>VLOOKUP(B308,'114+840'!$B$15:$AB$516,14,FALSE)</f>
        <v>-373</v>
      </c>
      <c r="Q308" s="67">
        <f>'114+840'!R309</f>
        <v>0</v>
      </c>
      <c r="R308" s="66">
        <f t="shared" si="60"/>
        <v>473</v>
      </c>
      <c r="S308" s="71">
        <f>VLOOKUP(B308,'114+840'!$B$14:$AB$516,22,FALSE)</f>
        <v>1742</v>
      </c>
      <c r="T308" s="70">
        <f>VLOOKUP(B308,'114+840'!$B$15:$AB$516,6,FALSE)</f>
        <v>255</v>
      </c>
      <c r="U308" s="69">
        <f t="shared" si="56"/>
        <v>2352</v>
      </c>
      <c r="V308" s="68">
        <f>VLOOKUP(B308,'114+840'!$B$15:$AB$516,15,FALSE)</f>
        <v>-648</v>
      </c>
      <c r="W308" s="67">
        <f>'114+840'!S309</f>
        <v>0</v>
      </c>
      <c r="X308" s="66">
        <f t="shared" si="61"/>
        <v>258</v>
      </c>
      <c r="Y308" s="65">
        <f t="shared" si="62"/>
        <v>0</v>
      </c>
      <c r="Z308" s="64">
        <f t="shared" si="63"/>
        <v>0</v>
      </c>
      <c r="AA308" s="63">
        <f t="shared" si="64"/>
        <v>2.3239999999999998</v>
      </c>
      <c r="AB308" s="63">
        <f t="shared" si="65"/>
        <v>0.95399999999999996</v>
      </c>
    </row>
    <row r="309" spans="2:28">
      <c r="B309" s="104">
        <f>'114+840'!B310</f>
        <v>45566</v>
      </c>
      <c r="C309" s="75">
        <f t="shared" si="57"/>
        <v>1</v>
      </c>
      <c r="D309" s="74">
        <f t="shared" si="58"/>
        <v>842</v>
      </c>
      <c r="E309" s="73">
        <f>VLOOKUP(B309,'114+840'!B310:AB310,3,FALSE)</f>
        <v>1767</v>
      </c>
      <c r="F309" s="70">
        <f t="shared" si="53"/>
        <v>2609</v>
      </c>
      <c r="G309" s="72">
        <f>VLOOKUP(B309,'114+840'!$B$15:$AB$516,20,FALSE)</f>
        <v>1719</v>
      </c>
      <c r="H309" s="72">
        <f>VLOOKUP(B309,'114+840'!$B$15:$AB$516,4,FALSE)</f>
        <v>-30</v>
      </c>
      <c r="I309" s="69">
        <f t="shared" si="54"/>
        <v>2639</v>
      </c>
      <c r="J309" s="69">
        <f>VLOOKUP(B309,'114+840'!$B$15:$AB$516,13,FALSE)</f>
        <v>-361</v>
      </c>
      <c r="K309" s="67">
        <f>'114+840'!Q310</f>
        <v>0</v>
      </c>
      <c r="L309" s="66">
        <f t="shared" si="59"/>
        <v>281</v>
      </c>
      <c r="M309" s="71">
        <f>VLOOKUP(B309,'114+840'!$B$14:$AB$516,21,FALSE)</f>
        <v>1527</v>
      </c>
      <c r="N309" s="70">
        <f>VLOOKUP(B309,'114+840'!$B$15:$AB$516,5,FALSE)</f>
        <v>-18</v>
      </c>
      <c r="O309" s="69">
        <f t="shared" si="55"/>
        <v>2627</v>
      </c>
      <c r="P309" s="69">
        <f>VLOOKUP(B309,'114+840'!$B$15:$AB$516,14,FALSE)</f>
        <v>-373</v>
      </c>
      <c r="Q309" s="67">
        <f>'114+840'!R310</f>
        <v>0</v>
      </c>
      <c r="R309" s="66">
        <f t="shared" si="60"/>
        <v>473</v>
      </c>
      <c r="S309" s="71">
        <f>VLOOKUP(B309,'114+840'!$B$14:$AB$516,22,FALSE)</f>
        <v>1742</v>
      </c>
      <c r="T309" s="70">
        <f>VLOOKUP(B309,'114+840'!$B$15:$AB$516,6,FALSE)</f>
        <v>257</v>
      </c>
      <c r="U309" s="69">
        <f t="shared" si="56"/>
        <v>2352</v>
      </c>
      <c r="V309" s="68">
        <f>VLOOKUP(B309,'114+840'!$B$15:$AB$516,15,FALSE)</f>
        <v>-648</v>
      </c>
      <c r="W309" s="67">
        <f>'114+840'!S310</f>
        <v>0</v>
      </c>
      <c r="X309" s="66">
        <f t="shared" si="61"/>
        <v>258</v>
      </c>
      <c r="Y309" s="65">
        <f t="shared" si="62"/>
        <v>0</v>
      </c>
      <c r="Z309" s="64">
        <f t="shared" si="63"/>
        <v>0</v>
      </c>
      <c r="AA309" s="63">
        <f t="shared" si="64"/>
        <v>2.3239999999999998</v>
      </c>
      <c r="AB309" s="63">
        <f t="shared" si="65"/>
        <v>0.95399999999999996</v>
      </c>
    </row>
    <row r="310" spans="2:28">
      <c r="B310" s="104">
        <f>'114+840'!B311</f>
        <v>45567</v>
      </c>
      <c r="C310" s="75">
        <f t="shared" si="57"/>
        <v>1</v>
      </c>
      <c r="D310" s="74">
        <f t="shared" si="58"/>
        <v>842</v>
      </c>
      <c r="E310" s="73">
        <f>VLOOKUP(B310,'114+840'!B311:AB311,3,FALSE)</f>
        <v>1769</v>
      </c>
      <c r="F310" s="70">
        <f t="shared" si="53"/>
        <v>2611</v>
      </c>
      <c r="G310" s="72">
        <f>VLOOKUP(B310,'114+840'!$B$15:$AB$516,20,FALSE)</f>
        <v>1719</v>
      </c>
      <c r="H310" s="72">
        <f>VLOOKUP(B310,'114+840'!$B$15:$AB$516,4,FALSE)</f>
        <v>-28</v>
      </c>
      <c r="I310" s="69">
        <f t="shared" si="54"/>
        <v>2639</v>
      </c>
      <c r="J310" s="69">
        <f>VLOOKUP(B310,'114+840'!$B$15:$AB$516,13,FALSE)</f>
        <v>-361</v>
      </c>
      <c r="K310" s="67">
        <f>'114+840'!Q311</f>
        <v>0</v>
      </c>
      <c r="L310" s="66">
        <f t="shared" si="59"/>
        <v>281</v>
      </c>
      <c r="M310" s="71">
        <f>VLOOKUP(B310,'114+840'!$B$14:$AB$516,21,FALSE)</f>
        <v>1527</v>
      </c>
      <c r="N310" s="70">
        <f>VLOOKUP(B310,'114+840'!$B$15:$AB$516,5,FALSE)</f>
        <v>-16</v>
      </c>
      <c r="O310" s="69">
        <f t="shared" si="55"/>
        <v>2627</v>
      </c>
      <c r="P310" s="69">
        <f>VLOOKUP(B310,'114+840'!$B$15:$AB$516,14,FALSE)</f>
        <v>-373</v>
      </c>
      <c r="Q310" s="67">
        <f>'114+840'!R311</f>
        <v>0</v>
      </c>
      <c r="R310" s="66">
        <f t="shared" si="60"/>
        <v>473</v>
      </c>
      <c r="S310" s="71">
        <f>VLOOKUP(B310,'114+840'!$B$14:$AB$516,22,FALSE)</f>
        <v>1742</v>
      </c>
      <c r="T310" s="70">
        <f>VLOOKUP(B310,'114+840'!$B$15:$AB$516,6,FALSE)</f>
        <v>259</v>
      </c>
      <c r="U310" s="69">
        <f t="shared" si="56"/>
        <v>2352</v>
      </c>
      <c r="V310" s="68">
        <f>VLOOKUP(B310,'114+840'!$B$15:$AB$516,15,FALSE)</f>
        <v>-648</v>
      </c>
      <c r="W310" s="67">
        <f>'114+840'!S311</f>
        <v>0</v>
      </c>
      <c r="X310" s="66">
        <f t="shared" si="61"/>
        <v>258</v>
      </c>
      <c r="Y310" s="65">
        <f t="shared" si="62"/>
        <v>0</v>
      </c>
      <c r="Z310" s="64">
        <f t="shared" si="63"/>
        <v>0</v>
      </c>
      <c r="AA310" s="63">
        <f t="shared" si="64"/>
        <v>2.3239999999999998</v>
      </c>
      <c r="AB310" s="63">
        <f t="shared" si="65"/>
        <v>0.95399999999999996</v>
      </c>
    </row>
    <row r="311" spans="2:28">
      <c r="B311" s="104">
        <f>'114+840'!B312</f>
        <v>45568</v>
      </c>
      <c r="C311" s="75">
        <f t="shared" si="57"/>
        <v>1</v>
      </c>
      <c r="D311" s="74">
        <f t="shared" si="58"/>
        <v>842</v>
      </c>
      <c r="E311" s="73">
        <f>VLOOKUP(B311,'114+840'!B312:AB312,3,FALSE)</f>
        <v>1771</v>
      </c>
      <c r="F311" s="70">
        <f t="shared" si="53"/>
        <v>2613</v>
      </c>
      <c r="G311" s="72">
        <f>VLOOKUP(B311,'114+840'!$B$15:$AB$516,20,FALSE)</f>
        <v>1719</v>
      </c>
      <c r="H311" s="72">
        <f>VLOOKUP(B311,'114+840'!$B$15:$AB$516,4,FALSE)</f>
        <v>-26</v>
      </c>
      <c r="I311" s="69">
        <f t="shared" si="54"/>
        <v>2639</v>
      </c>
      <c r="J311" s="69">
        <f>VLOOKUP(B311,'114+840'!$B$15:$AB$516,13,FALSE)</f>
        <v>-361</v>
      </c>
      <c r="K311" s="67">
        <f>'114+840'!Q312</f>
        <v>0</v>
      </c>
      <c r="L311" s="66">
        <f t="shared" si="59"/>
        <v>281</v>
      </c>
      <c r="M311" s="71">
        <f>VLOOKUP(B311,'114+840'!$B$14:$AB$516,21,FALSE)</f>
        <v>1527</v>
      </c>
      <c r="N311" s="70">
        <f>VLOOKUP(B311,'114+840'!$B$15:$AB$516,5,FALSE)</f>
        <v>-14</v>
      </c>
      <c r="O311" s="69">
        <f t="shared" si="55"/>
        <v>2627</v>
      </c>
      <c r="P311" s="69">
        <f>VLOOKUP(B311,'114+840'!$B$15:$AB$516,14,FALSE)</f>
        <v>-373</v>
      </c>
      <c r="Q311" s="67">
        <f>'114+840'!R312</f>
        <v>0</v>
      </c>
      <c r="R311" s="66">
        <f t="shared" si="60"/>
        <v>473</v>
      </c>
      <c r="S311" s="71">
        <f>VLOOKUP(B311,'114+840'!$B$14:$AB$516,22,FALSE)</f>
        <v>1742</v>
      </c>
      <c r="T311" s="70">
        <f>VLOOKUP(B311,'114+840'!$B$15:$AB$516,6,FALSE)</f>
        <v>261</v>
      </c>
      <c r="U311" s="69">
        <f t="shared" si="56"/>
        <v>2352</v>
      </c>
      <c r="V311" s="68">
        <f>VLOOKUP(B311,'114+840'!$B$15:$AB$516,15,FALSE)</f>
        <v>-648</v>
      </c>
      <c r="W311" s="67">
        <f>'114+840'!S312</f>
        <v>0</v>
      </c>
      <c r="X311" s="66">
        <f t="shared" si="61"/>
        <v>258</v>
      </c>
      <c r="Y311" s="65">
        <f t="shared" si="62"/>
        <v>0</v>
      </c>
      <c r="Z311" s="64">
        <f t="shared" si="63"/>
        <v>0</v>
      </c>
      <c r="AA311" s="63">
        <f t="shared" si="64"/>
        <v>2.3239999999999998</v>
      </c>
      <c r="AB311" s="63">
        <f t="shared" si="65"/>
        <v>0.95399999999999996</v>
      </c>
    </row>
    <row r="312" spans="2:28">
      <c r="B312" s="104">
        <f>'114+840'!B313</f>
        <v>45569</v>
      </c>
      <c r="C312" s="75">
        <f t="shared" si="57"/>
        <v>1</v>
      </c>
      <c r="D312" s="74">
        <f t="shared" si="58"/>
        <v>842</v>
      </c>
      <c r="E312" s="73">
        <f>VLOOKUP(B312,'114+840'!B313:AB313,3,FALSE)</f>
        <v>1773</v>
      </c>
      <c r="F312" s="70">
        <f t="shared" si="53"/>
        <v>2615</v>
      </c>
      <c r="G312" s="72">
        <f>VLOOKUP(B312,'114+840'!$B$15:$AB$516,20,FALSE)</f>
        <v>1719</v>
      </c>
      <c r="H312" s="72">
        <f>VLOOKUP(B312,'114+840'!$B$15:$AB$516,4,FALSE)</f>
        <v>-24</v>
      </c>
      <c r="I312" s="69">
        <f t="shared" si="54"/>
        <v>2639</v>
      </c>
      <c r="J312" s="69">
        <f>VLOOKUP(B312,'114+840'!$B$15:$AB$516,13,FALSE)</f>
        <v>-361</v>
      </c>
      <c r="K312" s="67">
        <f>'114+840'!Q313</f>
        <v>0</v>
      </c>
      <c r="L312" s="66">
        <f t="shared" si="59"/>
        <v>281</v>
      </c>
      <c r="M312" s="71">
        <f>VLOOKUP(B312,'114+840'!$B$14:$AB$516,21,FALSE)</f>
        <v>1527</v>
      </c>
      <c r="N312" s="70">
        <f>VLOOKUP(B312,'114+840'!$B$15:$AB$516,5,FALSE)</f>
        <v>-12</v>
      </c>
      <c r="O312" s="69">
        <f t="shared" si="55"/>
        <v>2627</v>
      </c>
      <c r="P312" s="69">
        <f>VLOOKUP(B312,'114+840'!$B$15:$AB$516,14,FALSE)</f>
        <v>-373</v>
      </c>
      <c r="Q312" s="67">
        <f>'114+840'!R313</f>
        <v>0</v>
      </c>
      <c r="R312" s="66">
        <f t="shared" si="60"/>
        <v>473</v>
      </c>
      <c r="S312" s="71">
        <f>VLOOKUP(B312,'114+840'!$B$14:$AB$516,22,FALSE)</f>
        <v>1742</v>
      </c>
      <c r="T312" s="70">
        <f>VLOOKUP(B312,'114+840'!$B$15:$AB$516,6,FALSE)</f>
        <v>263</v>
      </c>
      <c r="U312" s="69">
        <f t="shared" si="56"/>
        <v>2352</v>
      </c>
      <c r="V312" s="68">
        <f>VLOOKUP(B312,'114+840'!$B$15:$AB$516,15,FALSE)</f>
        <v>-648</v>
      </c>
      <c r="W312" s="67">
        <f>'114+840'!S313</f>
        <v>0</v>
      </c>
      <c r="X312" s="66">
        <f t="shared" si="61"/>
        <v>258</v>
      </c>
      <c r="Y312" s="65">
        <f t="shared" si="62"/>
        <v>0</v>
      </c>
      <c r="Z312" s="64">
        <f t="shared" si="63"/>
        <v>0</v>
      </c>
      <c r="AA312" s="63">
        <f t="shared" si="64"/>
        <v>2.3239999999999998</v>
      </c>
      <c r="AB312" s="63">
        <f t="shared" si="65"/>
        <v>0.95399999999999996</v>
      </c>
    </row>
    <row r="313" spans="2:28">
      <c r="B313" s="104">
        <f>'114+840'!B314</f>
        <v>45570</v>
      </c>
      <c r="C313" s="75">
        <f t="shared" si="57"/>
        <v>1</v>
      </c>
      <c r="D313" s="74">
        <f t="shared" si="58"/>
        <v>842</v>
      </c>
      <c r="E313" s="73">
        <f>VLOOKUP(B313,'114+840'!B314:AB314,3,FALSE)</f>
        <v>1775</v>
      </c>
      <c r="F313" s="70">
        <f t="shared" si="53"/>
        <v>2617</v>
      </c>
      <c r="G313" s="72">
        <f>VLOOKUP(B313,'114+840'!$B$15:$AB$516,20,FALSE)</f>
        <v>1719</v>
      </c>
      <c r="H313" s="72">
        <f>VLOOKUP(B313,'114+840'!$B$15:$AB$516,4,FALSE)</f>
        <v>-22</v>
      </c>
      <c r="I313" s="69">
        <f t="shared" si="54"/>
        <v>2639</v>
      </c>
      <c r="J313" s="69">
        <f>VLOOKUP(B313,'114+840'!$B$15:$AB$516,13,FALSE)</f>
        <v>-361</v>
      </c>
      <c r="K313" s="67">
        <f>'114+840'!Q314</f>
        <v>0</v>
      </c>
      <c r="L313" s="66">
        <f t="shared" si="59"/>
        <v>281</v>
      </c>
      <c r="M313" s="71">
        <f>VLOOKUP(B313,'114+840'!$B$14:$AB$516,21,FALSE)</f>
        <v>1527</v>
      </c>
      <c r="N313" s="70">
        <f>VLOOKUP(B313,'114+840'!$B$15:$AB$516,5,FALSE)</f>
        <v>-10</v>
      </c>
      <c r="O313" s="69">
        <f t="shared" si="55"/>
        <v>2627</v>
      </c>
      <c r="P313" s="69">
        <f>VLOOKUP(B313,'114+840'!$B$15:$AB$516,14,FALSE)</f>
        <v>-373</v>
      </c>
      <c r="Q313" s="67">
        <f>'114+840'!R314</f>
        <v>0</v>
      </c>
      <c r="R313" s="66">
        <f t="shared" si="60"/>
        <v>473</v>
      </c>
      <c r="S313" s="71">
        <f>VLOOKUP(B313,'114+840'!$B$14:$AB$516,22,FALSE)</f>
        <v>1742</v>
      </c>
      <c r="T313" s="70">
        <f>VLOOKUP(B313,'114+840'!$B$15:$AB$516,6,FALSE)</f>
        <v>265</v>
      </c>
      <c r="U313" s="69">
        <f t="shared" si="56"/>
        <v>2352</v>
      </c>
      <c r="V313" s="68">
        <f>VLOOKUP(B313,'114+840'!$B$15:$AB$516,15,FALSE)</f>
        <v>-648</v>
      </c>
      <c r="W313" s="67">
        <f>'114+840'!S314</f>
        <v>0</v>
      </c>
      <c r="X313" s="66">
        <f t="shared" si="61"/>
        <v>258</v>
      </c>
      <c r="Y313" s="65">
        <f t="shared" si="62"/>
        <v>0</v>
      </c>
      <c r="Z313" s="64">
        <f t="shared" si="63"/>
        <v>0</v>
      </c>
      <c r="AA313" s="63">
        <f t="shared" si="64"/>
        <v>2.3239999999999998</v>
      </c>
      <c r="AB313" s="63">
        <f t="shared" si="65"/>
        <v>0.95399999999999996</v>
      </c>
    </row>
    <row r="314" spans="2:28">
      <c r="B314" s="104">
        <f>'114+840'!B315</f>
        <v>45571</v>
      </c>
      <c r="C314" s="75">
        <f t="shared" si="57"/>
        <v>1</v>
      </c>
      <c r="D314" s="74">
        <f t="shared" si="58"/>
        <v>842</v>
      </c>
      <c r="E314" s="73">
        <f>VLOOKUP(B314,'114+840'!B315:AB315,3,FALSE)</f>
        <v>1777</v>
      </c>
      <c r="F314" s="70">
        <f t="shared" si="53"/>
        <v>2619</v>
      </c>
      <c r="G314" s="72">
        <f>VLOOKUP(B314,'114+840'!$B$15:$AB$516,20,FALSE)</f>
        <v>1719</v>
      </c>
      <c r="H314" s="72">
        <f>VLOOKUP(B314,'114+840'!$B$15:$AB$516,4,FALSE)</f>
        <v>-20</v>
      </c>
      <c r="I314" s="69">
        <f t="shared" si="54"/>
        <v>2639</v>
      </c>
      <c r="J314" s="69">
        <f>VLOOKUP(B314,'114+840'!$B$15:$AB$516,13,FALSE)</f>
        <v>-361</v>
      </c>
      <c r="K314" s="67">
        <f>'114+840'!Q315</f>
        <v>0</v>
      </c>
      <c r="L314" s="66">
        <f t="shared" si="59"/>
        <v>281</v>
      </c>
      <c r="M314" s="71">
        <f>VLOOKUP(B314,'114+840'!$B$14:$AB$516,21,FALSE)</f>
        <v>1527</v>
      </c>
      <c r="N314" s="70">
        <f>VLOOKUP(B314,'114+840'!$B$15:$AB$516,5,FALSE)</f>
        <v>-8</v>
      </c>
      <c r="O314" s="69">
        <f t="shared" si="55"/>
        <v>2627</v>
      </c>
      <c r="P314" s="69">
        <f>VLOOKUP(B314,'114+840'!$B$15:$AB$516,14,FALSE)</f>
        <v>-373</v>
      </c>
      <c r="Q314" s="67">
        <f>'114+840'!R315</f>
        <v>0</v>
      </c>
      <c r="R314" s="66">
        <f t="shared" si="60"/>
        <v>473</v>
      </c>
      <c r="S314" s="71">
        <f>VLOOKUP(B314,'114+840'!$B$14:$AB$516,22,FALSE)</f>
        <v>1742</v>
      </c>
      <c r="T314" s="70">
        <f>VLOOKUP(B314,'114+840'!$B$15:$AB$516,6,FALSE)</f>
        <v>267</v>
      </c>
      <c r="U314" s="69">
        <f t="shared" si="56"/>
        <v>2352</v>
      </c>
      <c r="V314" s="68">
        <f>VLOOKUP(B314,'114+840'!$B$15:$AB$516,15,FALSE)</f>
        <v>-648</v>
      </c>
      <c r="W314" s="67">
        <f>'114+840'!S315</f>
        <v>0</v>
      </c>
      <c r="X314" s="66">
        <f t="shared" si="61"/>
        <v>258</v>
      </c>
      <c r="Y314" s="65">
        <f t="shared" si="62"/>
        <v>0</v>
      </c>
      <c r="Z314" s="64">
        <f t="shared" si="63"/>
        <v>0</v>
      </c>
      <c r="AA314" s="63">
        <f t="shared" si="64"/>
        <v>2.3239999999999998</v>
      </c>
      <c r="AB314" s="63">
        <f t="shared" si="65"/>
        <v>0.95399999999999996</v>
      </c>
    </row>
    <row r="315" spans="2:28">
      <c r="B315" s="104">
        <f>'114+840'!B316</f>
        <v>45572</v>
      </c>
      <c r="C315" s="75">
        <f t="shared" si="57"/>
        <v>1</v>
      </c>
      <c r="D315" s="74">
        <f t="shared" si="58"/>
        <v>842</v>
      </c>
      <c r="E315" s="73">
        <f>VLOOKUP(B315,'114+840'!B316:AB316,3,FALSE)</f>
        <v>1779</v>
      </c>
      <c r="F315" s="70">
        <f t="shared" si="53"/>
        <v>2621</v>
      </c>
      <c r="G315" s="72">
        <f>VLOOKUP(B315,'114+840'!$B$15:$AB$516,20,FALSE)</f>
        <v>1719</v>
      </c>
      <c r="H315" s="72">
        <f>VLOOKUP(B315,'114+840'!$B$15:$AB$516,4,FALSE)</f>
        <v>-18</v>
      </c>
      <c r="I315" s="69">
        <f t="shared" si="54"/>
        <v>2639</v>
      </c>
      <c r="J315" s="69">
        <f>VLOOKUP(B315,'114+840'!$B$15:$AB$516,13,FALSE)</f>
        <v>-361</v>
      </c>
      <c r="K315" s="67">
        <f>'114+840'!Q316</f>
        <v>0</v>
      </c>
      <c r="L315" s="66">
        <f t="shared" si="59"/>
        <v>281</v>
      </c>
      <c r="M315" s="71">
        <f>VLOOKUP(B315,'114+840'!$B$14:$AB$516,21,FALSE)</f>
        <v>1527</v>
      </c>
      <c r="N315" s="70">
        <f>VLOOKUP(B315,'114+840'!$B$15:$AB$516,5,FALSE)</f>
        <v>-6</v>
      </c>
      <c r="O315" s="69">
        <f t="shared" si="55"/>
        <v>2627</v>
      </c>
      <c r="P315" s="69">
        <f>VLOOKUP(B315,'114+840'!$B$15:$AB$516,14,FALSE)</f>
        <v>-373</v>
      </c>
      <c r="Q315" s="67">
        <f>'114+840'!R316</f>
        <v>0</v>
      </c>
      <c r="R315" s="66">
        <f t="shared" si="60"/>
        <v>473</v>
      </c>
      <c r="S315" s="71">
        <f>VLOOKUP(B315,'114+840'!$B$14:$AB$516,22,FALSE)</f>
        <v>1742</v>
      </c>
      <c r="T315" s="70">
        <f>VLOOKUP(B315,'114+840'!$B$15:$AB$516,6,FALSE)</f>
        <v>269</v>
      </c>
      <c r="U315" s="69">
        <f t="shared" si="56"/>
        <v>2352</v>
      </c>
      <c r="V315" s="68">
        <f>VLOOKUP(B315,'114+840'!$B$15:$AB$516,15,FALSE)</f>
        <v>-648</v>
      </c>
      <c r="W315" s="67">
        <f>'114+840'!S316</f>
        <v>0</v>
      </c>
      <c r="X315" s="66">
        <f t="shared" si="61"/>
        <v>258</v>
      </c>
      <c r="Y315" s="65">
        <f t="shared" si="62"/>
        <v>0</v>
      </c>
      <c r="Z315" s="64">
        <f t="shared" si="63"/>
        <v>0</v>
      </c>
      <c r="AA315" s="63">
        <f t="shared" si="64"/>
        <v>2.3239999999999998</v>
      </c>
      <c r="AB315" s="63">
        <f t="shared" si="65"/>
        <v>0.95399999999999996</v>
      </c>
    </row>
    <row r="316" spans="2:28">
      <c r="B316" s="104">
        <f>'114+840'!B317</f>
        <v>45573</v>
      </c>
      <c r="C316" s="75">
        <f t="shared" si="57"/>
        <v>1</v>
      </c>
      <c r="D316" s="74">
        <f t="shared" si="58"/>
        <v>842</v>
      </c>
      <c r="E316" s="73">
        <f>VLOOKUP(B316,'114+840'!B317:AB317,3,FALSE)</f>
        <v>1781</v>
      </c>
      <c r="F316" s="70">
        <f t="shared" si="53"/>
        <v>2623</v>
      </c>
      <c r="G316" s="72">
        <f>VLOOKUP(B316,'114+840'!$B$15:$AB$516,20,FALSE)</f>
        <v>1719</v>
      </c>
      <c r="H316" s="72">
        <f>VLOOKUP(B316,'114+840'!$B$15:$AB$516,4,FALSE)</f>
        <v>-16</v>
      </c>
      <c r="I316" s="69">
        <f t="shared" si="54"/>
        <v>2639</v>
      </c>
      <c r="J316" s="69">
        <f>VLOOKUP(B316,'114+840'!$B$15:$AB$516,13,FALSE)</f>
        <v>-361</v>
      </c>
      <c r="K316" s="67">
        <f>'114+840'!Q317</f>
        <v>0</v>
      </c>
      <c r="L316" s="66">
        <f t="shared" si="59"/>
        <v>281</v>
      </c>
      <c r="M316" s="71">
        <f>VLOOKUP(B316,'114+840'!$B$14:$AB$516,21,FALSE)</f>
        <v>1527</v>
      </c>
      <c r="N316" s="70">
        <f>VLOOKUP(B316,'114+840'!$B$15:$AB$516,5,FALSE)</f>
        <v>-4</v>
      </c>
      <c r="O316" s="69">
        <f t="shared" si="55"/>
        <v>2627</v>
      </c>
      <c r="P316" s="69">
        <f>VLOOKUP(B316,'114+840'!$B$15:$AB$516,14,FALSE)</f>
        <v>-373</v>
      </c>
      <c r="Q316" s="67">
        <f>'114+840'!R317</f>
        <v>0</v>
      </c>
      <c r="R316" s="66">
        <f t="shared" si="60"/>
        <v>473</v>
      </c>
      <c r="S316" s="71">
        <f>VLOOKUP(B316,'114+840'!$B$14:$AB$516,22,FALSE)</f>
        <v>1742</v>
      </c>
      <c r="T316" s="70">
        <f>VLOOKUP(B316,'114+840'!$B$15:$AB$516,6,FALSE)</f>
        <v>271</v>
      </c>
      <c r="U316" s="69">
        <f t="shared" si="56"/>
        <v>2352</v>
      </c>
      <c r="V316" s="68">
        <f>VLOOKUP(B316,'114+840'!$B$15:$AB$516,15,FALSE)</f>
        <v>-648</v>
      </c>
      <c r="W316" s="67">
        <f>'114+840'!S317</f>
        <v>0</v>
      </c>
      <c r="X316" s="66">
        <f t="shared" si="61"/>
        <v>258</v>
      </c>
      <c r="Y316" s="65">
        <f t="shared" si="62"/>
        <v>0</v>
      </c>
      <c r="Z316" s="64">
        <f t="shared" si="63"/>
        <v>0</v>
      </c>
      <c r="AA316" s="63">
        <f t="shared" si="64"/>
        <v>2.3239999999999998</v>
      </c>
      <c r="AB316" s="63">
        <f t="shared" si="65"/>
        <v>0.95399999999999996</v>
      </c>
    </row>
    <row r="317" spans="2:28">
      <c r="B317" s="104">
        <f>'114+840'!B318</f>
        <v>45574</v>
      </c>
      <c r="C317" s="75">
        <f t="shared" si="57"/>
        <v>1</v>
      </c>
      <c r="D317" s="74">
        <f t="shared" si="58"/>
        <v>842</v>
      </c>
      <c r="E317" s="73">
        <f>VLOOKUP(B317,'114+840'!B318:AB318,3,FALSE)</f>
        <v>1783</v>
      </c>
      <c r="F317" s="70">
        <f t="shared" si="53"/>
        <v>2625</v>
      </c>
      <c r="G317" s="72">
        <f>VLOOKUP(B317,'114+840'!$B$15:$AB$516,20,FALSE)</f>
        <v>1719</v>
      </c>
      <c r="H317" s="72">
        <f>VLOOKUP(B317,'114+840'!$B$15:$AB$516,4,FALSE)</f>
        <v>-14</v>
      </c>
      <c r="I317" s="69">
        <f t="shared" si="54"/>
        <v>2639</v>
      </c>
      <c r="J317" s="69">
        <f>VLOOKUP(B317,'114+840'!$B$15:$AB$516,13,FALSE)</f>
        <v>-361</v>
      </c>
      <c r="K317" s="67">
        <f>'114+840'!Q318</f>
        <v>0</v>
      </c>
      <c r="L317" s="66">
        <f t="shared" si="59"/>
        <v>281</v>
      </c>
      <c r="M317" s="71">
        <f>VLOOKUP(B317,'114+840'!$B$14:$AB$516,21,FALSE)</f>
        <v>1527</v>
      </c>
      <c r="N317" s="70">
        <f>VLOOKUP(B317,'114+840'!$B$15:$AB$516,5,FALSE)</f>
        <v>-2</v>
      </c>
      <c r="O317" s="69">
        <f t="shared" si="55"/>
        <v>2627</v>
      </c>
      <c r="P317" s="69">
        <f>VLOOKUP(B317,'114+840'!$B$15:$AB$516,14,FALSE)</f>
        <v>-373</v>
      </c>
      <c r="Q317" s="67">
        <f>'114+840'!R318</f>
        <v>0</v>
      </c>
      <c r="R317" s="66">
        <f t="shared" si="60"/>
        <v>473</v>
      </c>
      <c r="S317" s="71">
        <f>VLOOKUP(B317,'114+840'!$B$14:$AB$516,22,FALSE)</f>
        <v>1742</v>
      </c>
      <c r="T317" s="70">
        <f>VLOOKUP(B317,'114+840'!$B$15:$AB$516,6,FALSE)</f>
        <v>273</v>
      </c>
      <c r="U317" s="69">
        <f t="shared" si="56"/>
        <v>2352</v>
      </c>
      <c r="V317" s="68">
        <f>VLOOKUP(B317,'114+840'!$B$15:$AB$516,15,FALSE)</f>
        <v>-648</v>
      </c>
      <c r="W317" s="67">
        <f>'114+840'!S318</f>
        <v>0</v>
      </c>
      <c r="X317" s="66">
        <f t="shared" si="61"/>
        <v>258</v>
      </c>
      <c r="Y317" s="65">
        <f t="shared" si="62"/>
        <v>0</v>
      </c>
      <c r="Z317" s="64">
        <f t="shared" si="63"/>
        <v>0</v>
      </c>
      <c r="AA317" s="63">
        <f t="shared" si="64"/>
        <v>2.3239999999999998</v>
      </c>
      <c r="AB317" s="63">
        <f t="shared" si="65"/>
        <v>0.95399999999999996</v>
      </c>
    </row>
    <row r="318" spans="2:28">
      <c r="B318" s="104">
        <f>'114+840'!B319</f>
        <v>45575</v>
      </c>
      <c r="C318" s="75">
        <f t="shared" si="57"/>
        <v>1</v>
      </c>
      <c r="D318" s="74">
        <f t="shared" si="58"/>
        <v>842</v>
      </c>
      <c r="E318" s="73">
        <f>VLOOKUP(B318,'114+840'!B319:AB319,3,FALSE)</f>
        <v>1785</v>
      </c>
      <c r="F318" s="70">
        <f t="shared" si="53"/>
        <v>2627</v>
      </c>
      <c r="G318" s="72">
        <f>VLOOKUP(B318,'114+840'!$B$15:$AB$516,20,FALSE)</f>
        <v>1719</v>
      </c>
      <c r="H318" s="72">
        <f>VLOOKUP(B318,'114+840'!$B$15:$AB$516,4,FALSE)</f>
        <v>-12</v>
      </c>
      <c r="I318" s="69">
        <f t="shared" si="54"/>
        <v>2639</v>
      </c>
      <c r="J318" s="69">
        <f>VLOOKUP(B318,'114+840'!$B$15:$AB$516,13,FALSE)</f>
        <v>-361</v>
      </c>
      <c r="K318" s="67">
        <f>'114+840'!Q319</f>
        <v>0</v>
      </c>
      <c r="L318" s="66">
        <f t="shared" si="59"/>
        <v>281</v>
      </c>
      <c r="M318" s="71">
        <f>VLOOKUP(B318,'114+840'!$B$14:$AB$516,21,FALSE)</f>
        <v>1527</v>
      </c>
      <c r="N318" s="70">
        <f>VLOOKUP(B318,'114+840'!$B$15:$AB$516,5,FALSE)</f>
        <v>0</v>
      </c>
      <c r="O318" s="69">
        <f t="shared" si="55"/>
        <v>2627</v>
      </c>
      <c r="P318" s="69">
        <f>VLOOKUP(B318,'114+840'!$B$15:$AB$516,14,FALSE)</f>
        <v>-373</v>
      </c>
      <c r="Q318" s="67">
        <f>'114+840'!R319</f>
        <v>0</v>
      </c>
      <c r="R318" s="66">
        <f t="shared" si="60"/>
        <v>473</v>
      </c>
      <c r="S318" s="71">
        <f>VLOOKUP(B318,'114+840'!$B$14:$AB$516,22,FALSE)</f>
        <v>1742</v>
      </c>
      <c r="T318" s="70">
        <f>VLOOKUP(B318,'114+840'!$B$15:$AB$516,6,FALSE)</f>
        <v>275</v>
      </c>
      <c r="U318" s="69">
        <f t="shared" si="56"/>
        <v>2352</v>
      </c>
      <c r="V318" s="68">
        <f>VLOOKUP(B318,'114+840'!$B$15:$AB$516,15,FALSE)</f>
        <v>-648</v>
      </c>
      <c r="W318" s="67">
        <f>'114+840'!S319</f>
        <v>0</v>
      </c>
      <c r="X318" s="66">
        <f t="shared" si="61"/>
        <v>258</v>
      </c>
      <c r="Y318" s="65">
        <f t="shared" si="62"/>
        <v>0</v>
      </c>
      <c r="Z318" s="64">
        <f t="shared" si="63"/>
        <v>0</v>
      </c>
      <c r="AA318" s="63">
        <f t="shared" si="64"/>
        <v>2.3239999999999998</v>
      </c>
      <c r="AB318" s="63">
        <f t="shared" si="65"/>
        <v>0.95399999999999996</v>
      </c>
    </row>
    <row r="319" spans="2:28">
      <c r="B319" s="104">
        <f>'114+840'!B320</f>
        <v>45576</v>
      </c>
      <c r="C319" s="75">
        <f t="shared" si="57"/>
        <v>1</v>
      </c>
      <c r="D319" s="74">
        <f t="shared" si="58"/>
        <v>842</v>
      </c>
      <c r="E319" s="73">
        <f>VLOOKUP(B319,'114+840'!B320:AB320,3,FALSE)</f>
        <v>1787</v>
      </c>
      <c r="F319" s="70">
        <f t="shared" si="53"/>
        <v>2629</v>
      </c>
      <c r="G319" s="72">
        <f>VLOOKUP(B319,'114+840'!$B$15:$AB$516,20,FALSE)</f>
        <v>1719</v>
      </c>
      <c r="H319" s="72">
        <f>VLOOKUP(B319,'114+840'!$B$15:$AB$516,4,FALSE)</f>
        <v>-10</v>
      </c>
      <c r="I319" s="69">
        <f t="shared" si="54"/>
        <v>2639</v>
      </c>
      <c r="J319" s="69">
        <f>VLOOKUP(B319,'114+840'!$B$15:$AB$516,13,FALSE)</f>
        <v>-361</v>
      </c>
      <c r="K319" s="67">
        <f>'114+840'!Q320</f>
        <v>0</v>
      </c>
      <c r="L319" s="66">
        <f t="shared" si="59"/>
        <v>281</v>
      </c>
      <c r="M319" s="71">
        <f>VLOOKUP(B319,'114+840'!$B$14:$AB$516,21,FALSE)</f>
        <v>1527</v>
      </c>
      <c r="N319" s="70">
        <f>VLOOKUP(B319,'114+840'!$B$15:$AB$516,5,FALSE)</f>
        <v>2</v>
      </c>
      <c r="O319" s="69">
        <f t="shared" si="55"/>
        <v>2627</v>
      </c>
      <c r="P319" s="69">
        <f>VLOOKUP(B319,'114+840'!$B$15:$AB$516,14,FALSE)</f>
        <v>-373</v>
      </c>
      <c r="Q319" s="67">
        <f>'114+840'!R320</f>
        <v>0</v>
      </c>
      <c r="R319" s="66">
        <f t="shared" si="60"/>
        <v>473</v>
      </c>
      <c r="S319" s="71">
        <f>VLOOKUP(B319,'114+840'!$B$14:$AB$516,22,FALSE)</f>
        <v>1742</v>
      </c>
      <c r="T319" s="70">
        <f>VLOOKUP(B319,'114+840'!$B$15:$AB$516,6,FALSE)</f>
        <v>277</v>
      </c>
      <c r="U319" s="69">
        <f t="shared" si="56"/>
        <v>2352</v>
      </c>
      <c r="V319" s="68">
        <f>VLOOKUP(B319,'114+840'!$B$15:$AB$516,15,FALSE)</f>
        <v>-648</v>
      </c>
      <c r="W319" s="67">
        <f>'114+840'!S320</f>
        <v>0</v>
      </c>
      <c r="X319" s="66">
        <f t="shared" si="61"/>
        <v>258</v>
      </c>
      <c r="Y319" s="65">
        <f t="shared" si="62"/>
        <v>0</v>
      </c>
      <c r="Z319" s="64">
        <f t="shared" si="63"/>
        <v>0</v>
      </c>
      <c r="AA319" s="63">
        <f t="shared" si="64"/>
        <v>2.3239999999999998</v>
      </c>
      <c r="AB319" s="63">
        <f t="shared" si="65"/>
        <v>0.95399999999999996</v>
      </c>
    </row>
    <row r="320" spans="2:28">
      <c r="B320" s="104">
        <f>'114+840'!B321</f>
        <v>45577</v>
      </c>
      <c r="C320" s="75">
        <f t="shared" si="57"/>
        <v>1</v>
      </c>
      <c r="D320" s="74">
        <f t="shared" si="58"/>
        <v>842</v>
      </c>
      <c r="E320" s="73">
        <f>VLOOKUP(B320,'114+840'!B321:AB321,3,FALSE)</f>
        <v>1789</v>
      </c>
      <c r="F320" s="70">
        <f t="shared" si="53"/>
        <v>2631</v>
      </c>
      <c r="G320" s="72">
        <f>VLOOKUP(B320,'114+840'!$B$15:$AB$516,20,FALSE)</f>
        <v>1719</v>
      </c>
      <c r="H320" s="72">
        <f>VLOOKUP(B320,'114+840'!$B$15:$AB$516,4,FALSE)</f>
        <v>-8</v>
      </c>
      <c r="I320" s="69">
        <f t="shared" si="54"/>
        <v>2639</v>
      </c>
      <c r="J320" s="69">
        <f>VLOOKUP(B320,'114+840'!$B$15:$AB$516,13,FALSE)</f>
        <v>-361</v>
      </c>
      <c r="K320" s="67">
        <f>'114+840'!Q321</f>
        <v>0</v>
      </c>
      <c r="L320" s="66">
        <f t="shared" si="59"/>
        <v>281</v>
      </c>
      <c r="M320" s="71">
        <f>VLOOKUP(B320,'114+840'!$B$14:$AB$516,21,FALSE)</f>
        <v>1527</v>
      </c>
      <c r="N320" s="70">
        <f>VLOOKUP(B320,'114+840'!$B$15:$AB$516,5,FALSE)</f>
        <v>4</v>
      </c>
      <c r="O320" s="69">
        <f t="shared" si="55"/>
        <v>2627</v>
      </c>
      <c r="P320" s="69">
        <f>VLOOKUP(B320,'114+840'!$B$15:$AB$516,14,FALSE)</f>
        <v>-373</v>
      </c>
      <c r="Q320" s="67">
        <f>'114+840'!R321</f>
        <v>0</v>
      </c>
      <c r="R320" s="66">
        <f t="shared" si="60"/>
        <v>473</v>
      </c>
      <c r="S320" s="71">
        <f>VLOOKUP(B320,'114+840'!$B$14:$AB$516,22,FALSE)</f>
        <v>1742</v>
      </c>
      <c r="T320" s="70">
        <f>VLOOKUP(B320,'114+840'!$B$15:$AB$516,6,FALSE)</f>
        <v>279</v>
      </c>
      <c r="U320" s="69">
        <f t="shared" si="56"/>
        <v>2352</v>
      </c>
      <c r="V320" s="68">
        <f>VLOOKUP(B320,'114+840'!$B$15:$AB$516,15,FALSE)</f>
        <v>-648</v>
      </c>
      <c r="W320" s="67">
        <f>'114+840'!S321</f>
        <v>0</v>
      </c>
      <c r="X320" s="66">
        <f t="shared" si="61"/>
        <v>258</v>
      </c>
      <c r="Y320" s="65">
        <f t="shared" si="62"/>
        <v>0</v>
      </c>
      <c r="Z320" s="64">
        <f t="shared" si="63"/>
        <v>0</v>
      </c>
      <c r="AA320" s="63">
        <f t="shared" si="64"/>
        <v>2.3239999999999998</v>
      </c>
      <c r="AB320" s="63">
        <f t="shared" si="65"/>
        <v>0.95399999999999996</v>
      </c>
    </row>
    <row r="321" spans="2:28">
      <c r="B321" s="104">
        <f>'114+840'!B322</f>
        <v>45578</v>
      </c>
      <c r="C321" s="75">
        <f t="shared" si="57"/>
        <v>1</v>
      </c>
      <c r="D321" s="74">
        <f t="shared" si="58"/>
        <v>842</v>
      </c>
      <c r="E321" s="73">
        <f>VLOOKUP(B321,'114+840'!B322:AB322,3,FALSE)</f>
        <v>1791</v>
      </c>
      <c r="F321" s="70">
        <f t="shared" si="53"/>
        <v>2633</v>
      </c>
      <c r="G321" s="72">
        <f>VLOOKUP(B321,'114+840'!$B$15:$AB$516,20,FALSE)</f>
        <v>1719</v>
      </c>
      <c r="H321" s="72">
        <f>VLOOKUP(B321,'114+840'!$B$15:$AB$516,4,FALSE)</f>
        <v>-6</v>
      </c>
      <c r="I321" s="69">
        <f t="shared" si="54"/>
        <v>2639</v>
      </c>
      <c r="J321" s="69">
        <f>VLOOKUP(B321,'114+840'!$B$15:$AB$516,13,FALSE)</f>
        <v>-361</v>
      </c>
      <c r="K321" s="67">
        <f>'114+840'!Q322</f>
        <v>0</v>
      </c>
      <c r="L321" s="66">
        <f t="shared" si="59"/>
        <v>281</v>
      </c>
      <c r="M321" s="71">
        <f>VLOOKUP(B321,'114+840'!$B$14:$AB$516,21,FALSE)</f>
        <v>1527</v>
      </c>
      <c r="N321" s="70">
        <f>VLOOKUP(B321,'114+840'!$B$15:$AB$516,5,FALSE)</f>
        <v>6</v>
      </c>
      <c r="O321" s="69">
        <f t="shared" si="55"/>
        <v>2627</v>
      </c>
      <c r="P321" s="69">
        <f>VLOOKUP(B321,'114+840'!$B$15:$AB$516,14,FALSE)</f>
        <v>-373</v>
      </c>
      <c r="Q321" s="67">
        <f>'114+840'!R322</f>
        <v>0</v>
      </c>
      <c r="R321" s="66">
        <f t="shared" si="60"/>
        <v>473</v>
      </c>
      <c r="S321" s="71">
        <f>VLOOKUP(B321,'114+840'!$B$14:$AB$516,22,FALSE)</f>
        <v>1742</v>
      </c>
      <c r="T321" s="70">
        <f>VLOOKUP(B321,'114+840'!$B$15:$AB$516,6,FALSE)</f>
        <v>281</v>
      </c>
      <c r="U321" s="69">
        <f t="shared" si="56"/>
        <v>2352</v>
      </c>
      <c r="V321" s="68">
        <f>VLOOKUP(B321,'114+840'!$B$15:$AB$516,15,FALSE)</f>
        <v>-648</v>
      </c>
      <c r="W321" s="67">
        <f>'114+840'!S322</f>
        <v>0</v>
      </c>
      <c r="X321" s="66">
        <f t="shared" si="61"/>
        <v>258</v>
      </c>
      <c r="Y321" s="65">
        <f t="shared" si="62"/>
        <v>0</v>
      </c>
      <c r="Z321" s="64">
        <f t="shared" si="63"/>
        <v>0</v>
      </c>
      <c r="AA321" s="63">
        <f t="shared" si="64"/>
        <v>2.3239999999999998</v>
      </c>
      <c r="AB321" s="63">
        <f t="shared" si="65"/>
        <v>0.95399999999999996</v>
      </c>
    </row>
    <row r="322" spans="2:28">
      <c r="B322" s="104">
        <f>'114+840'!B323</f>
        <v>45579</v>
      </c>
      <c r="C322" s="75">
        <f t="shared" si="57"/>
        <v>1</v>
      </c>
      <c r="D322" s="74">
        <f t="shared" si="58"/>
        <v>842</v>
      </c>
      <c r="E322" s="73">
        <f>VLOOKUP(B322,'114+840'!B323:AB323,3,FALSE)</f>
        <v>1793</v>
      </c>
      <c r="F322" s="70">
        <f t="shared" si="53"/>
        <v>2635</v>
      </c>
      <c r="G322" s="72">
        <f>VLOOKUP(B322,'114+840'!$B$15:$AB$516,20,FALSE)</f>
        <v>1719</v>
      </c>
      <c r="H322" s="72">
        <f>VLOOKUP(B322,'114+840'!$B$15:$AB$516,4,FALSE)</f>
        <v>-4</v>
      </c>
      <c r="I322" s="69">
        <f t="shared" si="54"/>
        <v>2639</v>
      </c>
      <c r="J322" s="69">
        <f>VLOOKUP(B322,'114+840'!$B$15:$AB$516,13,FALSE)</f>
        <v>-361</v>
      </c>
      <c r="K322" s="67">
        <f>'114+840'!Q323</f>
        <v>0</v>
      </c>
      <c r="L322" s="66">
        <f t="shared" si="59"/>
        <v>281</v>
      </c>
      <c r="M322" s="71">
        <f>VLOOKUP(B322,'114+840'!$B$14:$AB$516,21,FALSE)</f>
        <v>1527</v>
      </c>
      <c r="N322" s="70">
        <f>VLOOKUP(B322,'114+840'!$B$15:$AB$516,5,FALSE)</f>
        <v>8</v>
      </c>
      <c r="O322" s="69">
        <f t="shared" si="55"/>
        <v>2627</v>
      </c>
      <c r="P322" s="69">
        <f>VLOOKUP(B322,'114+840'!$B$15:$AB$516,14,FALSE)</f>
        <v>-373</v>
      </c>
      <c r="Q322" s="67">
        <f>'114+840'!R323</f>
        <v>0</v>
      </c>
      <c r="R322" s="66">
        <f t="shared" si="60"/>
        <v>473</v>
      </c>
      <c r="S322" s="71">
        <f>VLOOKUP(B322,'114+840'!$B$14:$AB$516,22,FALSE)</f>
        <v>1742</v>
      </c>
      <c r="T322" s="70">
        <f>VLOOKUP(B322,'114+840'!$B$15:$AB$516,6,FALSE)</f>
        <v>283</v>
      </c>
      <c r="U322" s="69">
        <f t="shared" si="56"/>
        <v>2352</v>
      </c>
      <c r="V322" s="68">
        <f>VLOOKUP(B322,'114+840'!$B$15:$AB$516,15,FALSE)</f>
        <v>-648</v>
      </c>
      <c r="W322" s="67">
        <f>'114+840'!S323</f>
        <v>0</v>
      </c>
      <c r="X322" s="66">
        <f t="shared" si="61"/>
        <v>258</v>
      </c>
      <c r="Y322" s="65">
        <f t="shared" si="62"/>
        <v>0</v>
      </c>
      <c r="Z322" s="64">
        <f t="shared" si="63"/>
        <v>0</v>
      </c>
      <c r="AA322" s="63">
        <f t="shared" si="64"/>
        <v>2.3239999999999998</v>
      </c>
      <c r="AB322" s="63">
        <f t="shared" si="65"/>
        <v>0.95399999999999996</v>
      </c>
    </row>
    <row r="323" spans="2:28">
      <c r="B323" s="104">
        <f>'114+840'!B324</f>
        <v>45580</v>
      </c>
      <c r="C323" s="75">
        <f t="shared" si="57"/>
        <v>1</v>
      </c>
      <c r="D323" s="74">
        <f t="shared" si="58"/>
        <v>842</v>
      </c>
      <c r="E323" s="73">
        <f>VLOOKUP(B323,'114+840'!B324:AB324,3,FALSE)</f>
        <v>1795</v>
      </c>
      <c r="F323" s="70">
        <f t="shared" si="53"/>
        <v>2637</v>
      </c>
      <c r="G323" s="72">
        <f>VLOOKUP(B323,'114+840'!$B$15:$AB$516,20,FALSE)</f>
        <v>1719</v>
      </c>
      <c r="H323" s="72">
        <f>VLOOKUP(B323,'114+840'!$B$15:$AB$516,4,FALSE)</f>
        <v>-2</v>
      </c>
      <c r="I323" s="69">
        <f t="shared" si="54"/>
        <v>2639</v>
      </c>
      <c r="J323" s="69">
        <f>VLOOKUP(B323,'114+840'!$B$15:$AB$516,13,FALSE)</f>
        <v>-361</v>
      </c>
      <c r="K323" s="67">
        <f>'114+840'!Q324</f>
        <v>0</v>
      </c>
      <c r="L323" s="66">
        <f t="shared" si="59"/>
        <v>281</v>
      </c>
      <c r="M323" s="71">
        <f>VLOOKUP(B323,'114+840'!$B$14:$AB$516,21,FALSE)</f>
        <v>1527</v>
      </c>
      <c r="N323" s="70">
        <f>VLOOKUP(B323,'114+840'!$B$15:$AB$516,5,FALSE)</f>
        <v>10</v>
      </c>
      <c r="O323" s="69">
        <f t="shared" si="55"/>
        <v>2627</v>
      </c>
      <c r="P323" s="69">
        <f>VLOOKUP(B323,'114+840'!$B$15:$AB$516,14,FALSE)</f>
        <v>-373</v>
      </c>
      <c r="Q323" s="67">
        <f>'114+840'!R324</f>
        <v>0</v>
      </c>
      <c r="R323" s="66">
        <f t="shared" si="60"/>
        <v>473</v>
      </c>
      <c r="S323" s="71">
        <f>VLOOKUP(B323,'114+840'!$B$14:$AB$516,22,FALSE)</f>
        <v>1742</v>
      </c>
      <c r="T323" s="70">
        <f>VLOOKUP(B323,'114+840'!$B$15:$AB$516,6,FALSE)</f>
        <v>285</v>
      </c>
      <c r="U323" s="69">
        <f t="shared" si="56"/>
        <v>2352</v>
      </c>
      <c r="V323" s="68">
        <f>VLOOKUP(B323,'114+840'!$B$15:$AB$516,15,FALSE)</f>
        <v>-648</v>
      </c>
      <c r="W323" s="67">
        <f>'114+840'!S324</f>
        <v>0</v>
      </c>
      <c r="X323" s="66">
        <f t="shared" si="61"/>
        <v>258</v>
      </c>
      <c r="Y323" s="65">
        <f t="shared" si="62"/>
        <v>0</v>
      </c>
      <c r="Z323" s="64">
        <f t="shared" si="63"/>
        <v>0</v>
      </c>
      <c r="AA323" s="63">
        <f t="shared" si="64"/>
        <v>2.3239999999999998</v>
      </c>
      <c r="AB323" s="63">
        <f t="shared" si="65"/>
        <v>0.95399999999999996</v>
      </c>
    </row>
    <row r="324" spans="2:28">
      <c r="B324" s="104">
        <f>'114+840'!B325</f>
        <v>45581</v>
      </c>
      <c r="C324" s="75">
        <f t="shared" si="57"/>
        <v>1</v>
      </c>
      <c r="D324" s="74">
        <f t="shared" si="58"/>
        <v>842</v>
      </c>
      <c r="E324" s="73">
        <f>VLOOKUP(B324,'114+840'!B325:AB325,3,FALSE)</f>
        <v>1797</v>
      </c>
      <c r="F324" s="70">
        <f t="shared" si="53"/>
        <v>2639</v>
      </c>
      <c r="G324" s="72">
        <f>VLOOKUP(B324,'114+840'!$B$15:$AB$516,20,FALSE)</f>
        <v>1719</v>
      </c>
      <c r="H324" s="72">
        <f>VLOOKUP(B324,'114+840'!$B$15:$AB$516,4,FALSE)</f>
        <v>0</v>
      </c>
      <c r="I324" s="69">
        <f t="shared" si="54"/>
        <v>2639</v>
      </c>
      <c r="J324" s="69">
        <f>VLOOKUP(B324,'114+840'!$B$15:$AB$516,13,FALSE)</f>
        <v>-361</v>
      </c>
      <c r="K324" s="67">
        <f>'114+840'!Q325</f>
        <v>0</v>
      </c>
      <c r="L324" s="66">
        <f t="shared" si="59"/>
        <v>281</v>
      </c>
      <c r="M324" s="71">
        <f>VLOOKUP(B324,'114+840'!$B$14:$AB$516,21,FALSE)</f>
        <v>1527</v>
      </c>
      <c r="N324" s="70">
        <f>VLOOKUP(B324,'114+840'!$B$15:$AB$516,5,FALSE)</f>
        <v>12</v>
      </c>
      <c r="O324" s="69">
        <f t="shared" si="55"/>
        <v>2627</v>
      </c>
      <c r="P324" s="69">
        <f>VLOOKUP(B324,'114+840'!$B$15:$AB$516,14,FALSE)</f>
        <v>-373</v>
      </c>
      <c r="Q324" s="67">
        <f>'114+840'!R325</f>
        <v>0</v>
      </c>
      <c r="R324" s="66">
        <f t="shared" si="60"/>
        <v>473</v>
      </c>
      <c r="S324" s="71">
        <f>VLOOKUP(B324,'114+840'!$B$14:$AB$516,22,FALSE)</f>
        <v>1742</v>
      </c>
      <c r="T324" s="70">
        <f>VLOOKUP(B324,'114+840'!$B$15:$AB$516,6,FALSE)</f>
        <v>287</v>
      </c>
      <c r="U324" s="69">
        <f t="shared" si="56"/>
        <v>2352</v>
      </c>
      <c r="V324" s="68">
        <f>VLOOKUP(B324,'114+840'!$B$15:$AB$516,15,FALSE)</f>
        <v>-648</v>
      </c>
      <c r="W324" s="67">
        <f>'114+840'!S325</f>
        <v>0</v>
      </c>
      <c r="X324" s="66">
        <f t="shared" si="61"/>
        <v>258</v>
      </c>
      <c r="Y324" s="65">
        <f t="shared" si="62"/>
        <v>0</v>
      </c>
      <c r="Z324" s="64">
        <f t="shared" si="63"/>
        <v>0</v>
      </c>
      <c r="AA324" s="63">
        <f t="shared" si="64"/>
        <v>2.3239999999999998</v>
      </c>
      <c r="AB324" s="63">
        <f t="shared" si="65"/>
        <v>0.95399999999999996</v>
      </c>
    </row>
    <row r="325" spans="2:28">
      <c r="B325" s="104">
        <f>'114+840'!B326</f>
        <v>45582</v>
      </c>
      <c r="C325" s="75">
        <f t="shared" si="57"/>
        <v>1</v>
      </c>
      <c r="D325" s="74">
        <f t="shared" si="58"/>
        <v>842</v>
      </c>
      <c r="E325" s="73">
        <f>VLOOKUP(B325,'114+840'!B326:AB326,3,FALSE)</f>
        <v>1799</v>
      </c>
      <c r="F325" s="70">
        <f t="shared" si="53"/>
        <v>2641</v>
      </c>
      <c r="G325" s="72">
        <f>VLOOKUP(B325,'114+840'!$B$15:$AB$516,20,FALSE)</f>
        <v>1719</v>
      </c>
      <c r="H325" s="72">
        <f>VLOOKUP(B325,'114+840'!$B$15:$AB$516,4,FALSE)</f>
        <v>2</v>
      </c>
      <c r="I325" s="69">
        <f t="shared" si="54"/>
        <v>2639</v>
      </c>
      <c r="J325" s="69">
        <f>VLOOKUP(B325,'114+840'!$B$15:$AB$516,13,FALSE)</f>
        <v>-361</v>
      </c>
      <c r="K325" s="67">
        <f>'114+840'!Q326</f>
        <v>0</v>
      </c>
      <c r="L325" s="66">
        <f t="shared" si="59"/>
        <v>281</v>
      </c>
      <c r="M325" s="71">
        <f>VLOOKUP(B325,'114+840'!$B$14:$AB$516,21,FALSE)</f>
        <v>1527</v>
      </c>
      <c r="N325" s="70">
        <f>VLOOKUP(B325,'114+840'!$B$15:$AB$516,5,FALSE)</f>
        <v>14</v>
      </c>
      <c r="O325" s="69">
        <f t="shared" si="55"/>
        <v>2627</v>
      </c>
      <c r="P325" s="69">
        <f>VLOOKUP(B325,'114+840'!$B$15:$AB$516,14,FALSE)</f>
        <v>-373</v>
      </c>
      <c r="Q325" s="67">
        <f>'114+840'!R326</f>
        <v>0</v>
      </c>
      <c r="R325" s="66">
        <f t="shared" si="60"/>
        <v>473</v>
      </c>
      <c r="S325" s="71">
        <f>VLOOKUP(B325,'114+840'!$B$14:$AB$516,22,FALSE)</f>
        <v>1742</v>
      </c>
      <c r="T325" s="70">
        <f>VLOOKUP(B325,'114+840'!$B$15:$AB$516,6,FALSE)</f>
        <v>289</v>
      </c>
      <c r="U325" s="69">
        <f t="shared" si="56"/>
        <v>2352</v>
      </c>
      <c r="V325" s="68">
        <f>VLOOKUP(B325,'114+840'!$B$15:$AB$516,15,FALSE)</f>
        <v>-648</v>
      </c>
      <c r="W325" s="67">
        <f>'114+840'!S326</f>
        <v>0</v>
      </c>
      <c r="X325" s="66">
        <f t="shared" si="61"/>
        <v>258</v>
      </c>
      <c r="Y325" s="65">
        <f t="shared" si="62"/>
        <v>0</v>
      </c>
      <c r="Z325" s="64">
        <f t="shared" si="63"/>
        <v>0</v>
      </c>
      <c r="AA325" s="63">
        <f t="shared" si="64"/>
        <v>2.3239999999999998</v>
      </c>
      <c r="AB325" s="63">
        <f t="shared" si="65"/>
        <v>0.95399999999999996</v>
      </c>
    </row>
    <row r="326" spans="2:28">
      <c r="B326" s="104">
        <f>'114+840'!B327</f>
        <v>45583</v>
      </c>
      <c r="C326" s="75">
        <f t="shared" si="57"/>
        <v>1</v>
      </c>
      <c r="D326" s="74">
        <f t="shared" si="58"/>
        <v>842</v>
      </c>
      <c r="E326" s="73">
        <f>VLOOKUP(B326,'114+840'!B327:AB327,3,FALSE)</f>
        <v>1801</v>
      </c>
      <c r="F326" s="70">
        <f t="shared" si="53"/>
        <v>2643</v>
      </c>
      <c r="G326" s="72">
        <f>VLOOKUP(B326,'114+840'!$B$15:$AB$516,20,FALSE)</f>
        <v>1719</v>
      </c>
      <c r="H326" s="72">
        <f>VLOOKUP(B326,'114+840'!$B$15:$AB$516,4,FALSE)</f>
        <v>4</v>
      </c>
      <c r="I326" s="69">
        <f t="shared" si="54"/>
        <v>2639</v>
      </c>
      <c r="J326" s="69">
        <f>VLOOKUP(B326,'114+840'!$B$15:$AB$516,13,FALSE)</f>
        <v>-361</v>
      </c>
      <c r="K326" s="67">
        <f>'114+840'!Q327</f>
        <v>0</v>
      </c>
      <c r="L326" s="66">
        <f t="shared" si="59"/>
        <v>281</v>
      </c>
      <c r="M326" s="71">
        <f>VLOOKUP(B326,'114+840'!$B$14:$AB$516,21,FALSE)</f>
        <v>1527</v>
      </c>
      <c r="N326" s="70">
        <f>VLOOKUP(B326,'114+840'!$B$15:$AB$516,5,FALSE)</f>
        <v>16</v>
      </c>
      <c r="O326" s="69">
        <f t="shared" si="55"/>
        <v>2627</v>
      </c>
      <c r="P326" s="69">
        <f>VLOOKUP(B326,'114+840'!$B$15:$AB$516,14,FALSE)</f>
        <v>-373</v>
      </c>
      <c r="Q326" s="67">
        <f>'114+840'!R327</f>
        <v>0</v>
      </c>
      <c r="R326" s="66">
        <f t="shared" si="60"/>
        <v>473</v>
      </c>
      <c r="S326" s="71">
        <f>VLOOKUP(B326,'114+840'!$B$14:$AB$516,22,FALSE)</f>
        <v>1742</v>
      </c>
      <c r="T326" s="70">
        <f>VLOOKUP(B326,'114+840'!$B$15:$AB$516,6,FALSE)</f>
        <v>291</v>
      </c>
      <c r="U326" s="69">
        <f t="shared" si="56"/>
        <v>2352</v>
      </c>
      <c r="V326" s="68">
        <f>VLOOKUP(B326,'114+840'!$B$15:$AB$516,15,FALSE)</f>
        <v>-648</v>
      </c>
      <c r="W326" s="67">
        <f>'114+840'!S327</f>
        <v>0</v>
      </c>
      <c r="X326" s="66">
        <f t="shared" si="61"/>
        <v>258</v>
      </c>
      <c r="Y326" s="65">
        <f t="shared" si="62"/>
        <v>0</v>
      </c>
      <c r="Z326" s="64">
        <f t="shared" si="63"/>
        <v>0</v>
      </c>
      <c r="AA326" s="63">
        <f t="shared" si="64"/>
        <v>2.3239999999999998</v>
      </c>
      <c r="AB326" s="63">
        <f t="shared" si="65"/>
        <v>0.95399999999999996</v>
      </c>
    </row>
    <row r="327" spans="2:28">
      <c r="B327" s="104">
        <f>'114+840'!B328</f>
        <v>45584</v>
      </c>
      <c r="C327" s="75">
        <f t="shared" si="57"/>
        <v>1</v>
      </c>
      <c r="D327" s="74">
        <f t="shared" si="58"/>
        <v>842</v>
      </c>
      <c r="E327" s="73">
        <f>VLOOKUP(B327,'114+840'!B328:AB328,3,FALSE)</f>
        <v>1803</v>
      </c>
      <c r="F327" s="70">
        <f t="shared" si="53"/>
        <v>2645</v>
      </c>
      <c r="G327" s="72">
        <f>VLOOKUP(B327,'114+840'!$B$15:$AB$516,20,FALSE)</f>
        <v>1719</v>
      </c>
      <c r="H327" s="72">
        <f>VLOOKUP(B327,'114+840'!$B$15:$AB$516,4,FALSE)</f>
        <v>6</v>
      </c>
      <c r="I327" s="69">
        <f t="shared" si="54"/>
        <v>2639</v>
      </c>
      <c r="J327" s="69">
        <f>VLOOKUP(B327,'114+840'!$B$15:$AB$516,13,FALSE)</f>
        <v>-361</v>
      </c>
      <c r="K327" s="67">
        <f>'114+840'!Q328</f>
        <v>0</v>
      </c>
      <c r="L327" s="66">
        <f t="shared" si="59"/>
        <v>281</v>
      </c>
      <c r="M327" s="71">
        <f>VLOOKUP(B327,'114+840'!$B$14:$AB$516,21,FALSE)</f>
        <v>1527</v>
      </c>
      <c r="N327" s="70">
        <f>VLOOKUP(B327,'114+840'!$B$15:$AB$516,5,FALSE)</f>
        <v>18</v>
      </c>
      <c r="O327" s="69">
        <f t="shared" si="55"/>
        <v>2627</v>
      </c>
      <c r="P327" s="69">
        <f>VLOOKUP(B327,'114+840'!$B$15:$AB$516,14,FALSE)</f>
        <v>-373</v>
      </c>
      <c r="Q327" s="67">
        <f>'114+840'!R328</f>
        <v>0</v>
      </c>
      <c r="R327" s="66">
        <f t="shared" si="60"/>
        <v>473</v>
      </c>
      <c r="S327" s="71">
        <f>VLOOKUP(B327,'114+840'!$B$14:$AB$516,22,FALSE)</f>
        <v>1742</v>
      </c>
      <c r="T327" s="70">
        <f>VLOOKUP(B327,'114+840'!$B$15:$AB$516,6,FALSE)</f>
        <v>293</v>
      </c>
      <c r="U327" s="69">
        <f t="shared" si="56"/>
        <v>2352</v>
      </c>
      <c r="V327" s="68">
        <f>VLOOKUP(B327,'114+840'!$B$15:$AB$516,15,FALSE)</f>
        <v>-648</v>
      </c>
      <c r="W327" s="67">
        <f>'114+840'!S328</f>
        <v>0</v>
      </c>
      <c r="X327" s="66">
        <f t="shared" si="61"/>
        <v>258</v>
      </c>
      <c r="Y327" s="65">
        <f t="shared" si="62"/>
        <v>0</v>
      </c>
      <c r="Z327" s="64">
        <f t="shared" si="63"/>
        <v>0</v>
      </c>
      <c r="AA327" s="63">
        <f t="shared" si="64"/>
        <v>2.3239999999999998</v>
      </c>
      <c r="AB327" s="63">
        <f t="shared" si="65"/>
        <v>0.95399999999999996</v>
      </c>
    </row>
    <row r="328" spans="2:28">
      <c r="B328" s="104">
        <f>'114+840'!B329</f>
        <v>45585</v>
      </c>
      <c r="C328" s="75">
        <f t="shared" si="57"/>
        <v>1</v>
      </c>
      <c r="D328" s="74">
        <f t="shared" si="58"/>
        <v>842</v>
      </c>
      <c r="E328" s="73">
        <f>VLOOKUP(B328,'114+840'!B329:AB329,3,FALSE)</f>
        <v>1805</v>
      </c>
      <c r="F328" s="70">
        <f t="shared" si="53"/>
        <v>2647</v>
      </c>
      <c r="G328" s="72">
        <f>VLOOKUP(B328,'114+840'!$B$15:$AB$516,20,FALSE)</f>
        <v>1719</v>
      </c>
      <c r="H328" s="72">
        <f>VLOOKUP(B328,'114+840'!$B$15:$AB$516,4,FALSE)</f>
        <v>8</v>
      </c>
      <c r="I328" s="69">
        <f t="shared" si="54"/>
        <v>2639</v>
      </c>
      <c r="J328" s="69">
        <f>VLOOKUP(B328,'114+840'!$B$15:$AB$516,13,FALSE)</f>
        <v>-361</v>
      </c>
      <c r="K328" s="67">
        <f>'114+840'!Q329</f>
        <v>0</v>
      </c>
      <c r="L328" s="66">
        <f t="shared" si="59"/>
        <v>281</v>
      </c>
      <c r="M328" s="71">
        <f>VLOOKUP(B328,'114+840'!$B$14:$AB$516,21,FALSE)</f>
        <v>1527</v>
      </c>
      <c r="N328" s="70">
        <f>VLOOKUP(B328,'114+840'!$B$15:$AB$516,5,FALSE)</f>
        <v>20</v>
      </c>
      <c r="O328" s="69">
        <f t="shared" si="55"/>
        <v>2627</v>
      </c>
      <c r="P328" s="69">
        <f>VLOOKUP(B328,'114+840'!$B$15:$AB$516,14,FALSE)</f>
        <v>-373</v>
      </c>
      <c r="Q328" s="67">
        <f>'114+840'!R329</f>
        <v>0</v>
      </c>
      <c r="R328" s="66">
        <f t="shared" si="60"/>
        <v>473</v>
      </c>
      <c r="S328" s="71">
        <f>VLOOKUP(B328,'114+840'!$B$14:$AB$516,22,FALSE)</f>
        <v>1742</v>
      </c>
      <c r="T328" s="70">
        <f>VLOOKUP(B328,'114+840'!$B$15:$AB$516,6,FALSE)</f>
        <v>295</v>
      </c>
      <c r="U328" s="69">
        <f t="shared" si="56"/>
        <v>2352</v>
      </c>
      <c r="V328" s="68">
        <f>VLOOKUP(B328,'114+840'!$B$15:$AB$516,15,FALSE)</f>
        <v>-648</v>
      </c>
      <c r="W328" s="67">
        <f>'114+840'!S329</f>
        <v>0</v>
      </c>
      <c r="X328" s="66">
        <f t="shared" si="61"/>
        <v>258</v>
      </c>
      <c r="Y328" s="65">
        <f t="shared" si="62"/>
        <v>0</v>
      </c>
      <c r="Z328" s="64">
        <f t="shared" si="63"/>
        <v>0</v>
      </c>
      <c r="AA328" s="63">
        <f t="shared" si="64"/>
        <v>2.3239999999999998</v>
      </c>
      <c r="AB328" s="63">
        <f t="shared" si="65"/>
        <v>0.95399999999999996</v>
      </c>
    </row>
    <row r="329" spans="2:28">
      <c r="B329" s="104">
        <f>'114+840'!B330</f>
        <v>45586</v>
      </c>
      <c r="C329" s="75">
        <f t="shared" si="57"/>
        <v>1</v>
      </c>
      <c r="D329" s="74">
        <f t="shared" si="58"/>
        <v>842</v>
      </c>
      <c r="E329" s="73">
        <f>VLOOKUP(B329,'114+840'!B330:AB330,3,FALSE)</f>
        <v>1807</v>
      </c>
      <c r="F329" s="70">
        <f t="shared" si="53"/>
        <v>2649</v>
      </c>
      <c r="G329" s="72">
        <f>VLOOKUP(B329,'114+840'!$B$15:$AB$516,20,FALSE)</f>
        <v>1719</v>
      </c>
      <c r="H329" s="72">
        <f>VLOOKUP(B329,'114+840'!$B$15:$AB$516,4,FALSE)</f>
        <v>10</v>
      </c>
      <c r="I329" s="69">
        <f t="shared" si="54"/>
        <v>2639</v>
      </c>
      <c r="J329" s="69">
        <f>VLOOKUP(B329,'114+840'!$B$15:$AB$516,13,FALSE)</f>
        <v>-361</v>
      </c>
      <c r="K329" s="67">
        <f>'114+840'!Q330</f>
        <v>0</v>
      </c>
      <c r="L329" s="66">
        <f t="shared" si="59"/>
        <v>281</v>
      </c>
      <c r="M329" s="71">
        <f>VLOOKUP(B329,'114+840'!$B$14:$AB$516,21,FALSE)</f>
        <v>1527</v>
      </c>
      <c r="N329" s="70">
        <f>VLOOKUP(B329,'114+840'!$B$15:$AB$516,5,FALSE)</f>
        <v>22</v>
      </c>
      <c r="O329" s="69">
        <f t="shared" si="55"/>
        <v>2627</v>
      </c>
      <c r="P329" s="69">
        <f>VLOOKUP(B329,'114+840'!$B$15:$AB$516,14,FALSE)</f>
        <v>-373</v>
      </c>
      <c r="Q329" s="67">
        <f>'114+840'!R330</f>
        <v>0</v>
      </c>
      <c r="R329" s="66">
        <f t="shared" si="60"/>
        <v>473</v>
      </c>
      <c r="S329" s="71">
        <f>VLOOKUP(B329,'114+840'!$B$14:$AB$516,22,FALSE)</f>
        <v>1742</v>
      </c>
      <c r="T329" s="70">
        <f>VLOOKUP(B329,'114+840'!$B$15:$AB$516,6,FALSE)</f>
        <v>297</v>
      </c>
      <c r="U329" s="69">
        <f t="shared" si="56"/>
        <v>2352</v>
      </c>
      <c r="V329" s="68">
        <f>VLOOKUP(B329,'114+840'!$B$15:$AB$516,15,FALSE)</f>
        <v>-648</v>
      </c>
      <c r="W329" s="67">
        <f>'114+840'!S330</f>
        <v>0</v>
      </c>
      <c r="X329" s="66">
        <f t="shared" si="61"/>
        <v>258</v>
      </c>
      <c r="Y329" s="65">
        <f t="shared" si="62"/>
        <v>0</v>
      </c>
      <c r="Z329" s="64">
        <f t="shared" si="63"/>
        <v>0</v>
      </c>
      <c r="AA329" s="63">
        <f t="shared" si="64"/>
        <v>2.3239999999999998</v>
      </c>
      <c r="AB329" s="63">
        <f t="shared" si="65"/>
        <v>0.95399999999999996</v>
      </c>
    </row>
    <row r="330" spans="2:28">
      <c r="B330" s="104">
        <f>'114+840'!B331</f>
        <v>45587</v>
      </c>
      <c r="C330" s="75">
        <f t="shared" si="57"/>
        <v>1</v>
      </c>
      <c r="D330" s="74">
        <f t="shared" si="58"/>
        <v>842</v>
      </c>
      <c r="E330" s="73">
        <f>VLOOKUP(B330,'114+840'!B331:AB331,3,FALSE)</f>
        <v>1809</v>
      </c>
      <c r="F330" s="70">
        <f t="shared" si="53"/>
        <v>2651</v>
      </c>
      <c r="G330" s="72">
        <f>VLOOKUP(B330,'114+840'!$B$15:$AB$516,20,FALSE)</f>
        <v>1719</v>
      </c>
      <c r="H330" s="72">
        <f>VLOOKUP(B330,'114+840'!$B$15:$AB$516,4,FALSE)</f>
        <v>12</v>
      </c>
      <c r="I330" s="69">
        <f t="shared" si="54"/>
        <v>2639</v>
      </c>
      <c r="J330" s="69">
        <f>VLOOKUP(B330,'114+840'!$B$15:$AB$516,13,FALSE)</f>
        <v>-361</v>
      </c>
      <c r="K330" s="67">
        <f>'114+840'!Q331</f>
        <v>0</v>
      </c>
      <c r="L330" s="66">
        <f t="shared" si="59"/>
        <v>281</v>
      </c>
      <c r="M330" s="71">
        <f>VLOOKUP(B330,'114+840'!$B$14:$AB$516,21,FALSE)</f>
        <v>1527</v>
      </c>
      <c r="N330" s="70">
        <f>VLOOKUP(B330,'114+840'!$B$15:$AB$516,5,FALSE)</f>
        <v>24</v>
      </c>
      <c r="O330" s="69">
        <f t="shared" si="55"/>
        <v>2627</v>
      </c>
      <c r="P330" s="69">
        <f>VLOOKUP(B330,'114+840'!$B$15:$AB$516,14,FALSE)</f>
        <v>-373</v>
      </c>
      <c r="Q330" s="67">
        <f>'114+840'!R331</f>
        <v>0</v>
      </c>
      <c r="R330" s="66">
        <f t="shared" si="60"/>
        <v>473</v>
      </c>
      <c r="S330" s="71">
        <f>VLOOKUP(B330,'114+840'!$B$14:$AB$516,22,FALSE)</f>
        <v>1742</v>
      </c>
      <c r="T330" s="70">
        <f>VLOOKUP(B330,'114+840'!$B$15:$AB$516,6,FALSE)</f>
        <v>299</v>
      </c>
      <c r="U330" s="69">
        <f t="shared" si="56"/>
        <v>2352</v>
      </c>
      <c r="V330" s="68">
        <f>VLOOKUP(B330,'114+840'!$B$15:$AB$516,15,FALSE)</f>
        <v>-648</v>
      </c>
      <c r="W330" s="67">
        <f>'114+840'!S331</f>
        <v>0</v>
      </c>
      <c r="X330" s="66">
        <f t="shared" si="61"/>
        <v>258</v>
      </c>
      <c r="Y330" s="65">
        <f t="shared" si="62"/>
        <v>0</v>
      </c>
      <c r="Z330" s="64">
        <f t="shared" si="63"/>
        <v>0</v>
      </c>
      <c r="AA330" s="63">
        <f t="shared" si="64"/>
        <v>2.3239999999999998</v>
      </c>
      <c r="AB330" s="63">
        <f t="shared" si="65"/>
        <v>0.95399999999999996</v>
      </c>
    </row>
    <row r="331" spans="2:28">
      <c r="B331" s="104">
        <f>'114+840'!B332</f>
        <v>45588</v>
      </c>
      <c r="C331" s="75">
        <f t="shared" si="57"/>
        <v>1</v>
      </c>
      <c r="D331" s="74">
        <f t="shared" si="58"/>
        <v>842</v>
      </c>
      <c r="E331" s="73">
        <f>VLOOKUP(B331,'114+840'!B332:AB332,3,FALSE)</f>
        <v>1811</v>
      </c>
      <c r="F331" s="70">
        <f t="shared" si="53"/>
        <v>2653</v>
      </c>
      <c r="G331" s="72">
        <f>VLOOKUP(B331,'114+840'!$B$15:$AB$516,20,FALSE)</f>
        <v>1719</v>
      </c>
      <c r="H331" s="72">
        <f>VLOOKUP(B331,'114+840'!$B$15:$AB$516,4,FALSE)</f>
        <v>14</v>
      </c>
      <c r="I331" s="69">
        <f t="shared" si="54"/>
        <v>2639</v>
      </c>
      <c r="J331" s="69">
        <f>VLOOKUP(B331,'114+840'!$B$15:$AB$516,13,FALSE)</f>
        <v>-361</v>
      </c>
      <c r="K331" s="67">
        <f>'114+840'!Q332</f>
        <v>0</v>
      </c>
      <c r="L331" s="66">
        <f t="shared" si="59"/>
        <v>281</v>
      </c>
      <c r="M331" s="71">
        <f>VLOOKUP(B331,'114+840'!$B$14:$AB$516,21,FALSE)</f>
        <v>1527</v>
      </c>
      <c r="N331" s="70">
        <f>VLOOKUP(B331,'114+840'!$B$15:$AB$516,5,FALSE)</f>
        <v>26</v>
      </c>
      <c r="O331" s="69">
        <f t="shared" si="55"/>
        <v>2627</v>
      </c>
      <c r="P331" s="69">
        <f>VLOOKUP(B331,'114+840'!$B$15:$AB$516,14,FALSE)</f>
        <v>-373</v>
      </c>
      <c r="Q331" s="67">
        <f>'114+840'!R332</f>
        <v>0</v>
      </c>
      <c r="R331" s="66">
        <f t="shared" si="60"/>
        <v>473</v>
      </c>
      <c r="S331" s="71">
        <f>VLOOKUP(B331,'114+840'!$B$14:$AB$516,22,FALSE)</f>
        <v>1742</v>
      </c>
      <c r="T331" s="70">
        <f>VLOOKUP(B331,'114+840'!$B$15:$AB$516,6,FALSE)</f>
        <v>301</v>
      </c>
      <c r="U331" s="69">
        <f t="shared" si="56"/>
        <v>2352</v>
      </c>
      <c r="V331" s="68">
        <f>VLOOKUP(B331,'114+840'!$B$15:$AB$516,15,FALSE)</f>
        <v>-648</v>
      </c>
      <c r="W331" s="67">
        <f>'114+840'!S332</f>
        <v>0</v>
      </c>
      <c r="X331" s="66">
        <f t="shared" si="61"/>
        <v>258</v>
      </c>
      <c r="Y331" s="65">
        <f t="shared" si="62"/>
        <v>0</v>
      </c>
      <c r="Z331" s="64">
        <f t="shared" si="63"/>
        <v>0</v>
      </c>
      <c r="AA331" s="63">
        <f t="shared" si="64"/>
        <v>2.3239999999999998</v>
      </c>
      <c r="AB331" s="63">
        <f t="shared" si="65"/>
        <v>0.95399999999999996</v>
      </c>
    </row>
    <row r="332" spans="2:28">
      <c r="B332" s="104">
        <f>'114+840'!B333</f>
        <v>45589</v>
      </c>
      <c r="C332" s="75">
        <f t="shared" si="57"/>
        <v>1</v>
      </c>
      <c r="D332" s="74">
        <f t="shared" si="58"/>
        <v>842</v>
      </c>
      <c r="E332" s="73">
        <f>VLOOKUP(B332,'114+840'!B333:AB333,3,FALSE)</f>
        <v>1813</v>
      </c>
      <c r="F332" s="70">
        <f t="shared" si="53"/>
        <v>2655</v>
      </c>
      <c r="G332" s="72">
        <f>VLOOKUP(B332,'114+840'!$B$15:$AB$516,20,FALSE)</f>
        <v>1719</v>
      </c>
      <c r="H332" s="72">
        <f>VLOOKUP(B332,'114+840'!$B$15:$AB$516,4,FALSE)</f>
        <v>16</v>
      </c>
      <c r="I332" s="69">
        <f t="shared" si="54"/>
        <v>2639</v>
      </c>
      <c r="J332" s="69">
        <f>VLOOKUP(B332,'114+840'!$B$15:$AB$516,13,FALSE)</f>
        <v>-361</v>
      </c>
      <c r="K332" s="67">
        <f>'114+840'!Q333</f>
        <v>0</v>
      </c>
      <c r="L332" s="66">
        <f t="shared" si="59"/>
        <v>281</v>
      </c>
      <c r="M332" s="71">
        <f>VLOOKUP(B332,'114+840'!$B$14:$AB$516,21,FALSE)</f>
        <v>1527</v>
      </c>
      <c r="N332" s="70">
        <f>VLOOKUP(B332,'114+840'!$B$15:$AB$516,5,FALSE)</f>
        <v>28</v>
      </c>
      <c r="O332" s="69">
        <f t="shared" si="55"/>
        <v>2627</v>
      </c>
      <c r="P332" s="69">
        <f>VLOOKUP(B332,'114+840'!$B$15:$AB$516,14,FALSE)</f>
        <v>-373</v>
      </c>
      <c r="Q332" s="67">
        <f>'114+840'!R333</f>
        <v>0</v>
      </c>
      <c r="R332" s="66">
        <f t="shared" si="60"/>
        <v>473</v>
      </c>
      <c r="S332" s="71">
        <f>VLOOKUP(B332,'114+840'!$B$14:$AB$516,22,FALSE)</f>
        <v>1742</v>
      </c>
      <c r="T332" s="70">
        <f>VLOOKUP(B332,'114+840'!$B$15:$AB$516,6,FALSE)</f>
        <v>303</v>
      </c>
      <c r="U332" s="69">
        <f t="shared" si="56"/>
        <v>2352</v>
      </c>
      <c r="V332" s="68">
        <f>VLOOKUP(B332,'114+840'!$B$15:$AB$516,15,FALSE)</f>
        <v>-648</v>
      </c>
      <c r="W332" s="67">
        <f>'114+840'!S333</f>
        <v>0</v>
      </c>
      <c r="X332" s="66">
        <f t="shared" si="61"/>
        <v>258</v>
      </c>
      <c r="Y332" s="65">
        <f t="shared" si="62"/>
        <v>0</v>
      </c>
      <c r="Z332" s="64">
        <f t="shared" si="63"/>
        <v>0</v>
      </c>
      <c r="AA332" s="63">
        <f t="shared" si="64"/>
        <v>2.3239999999999998</v>
      </c>
      <c r="AB332" s="63">
        <f t="shared" si="65"/>
        <v>0.95399999999999996</v>
      </c>
    </row>
    <row r="333" spans="2:28">
      <c r="B333" s="104">
        <f>'114+840'!B334</f>
        <v>45590</v>
      </c>
      <c r="C333" s="75">
        <f t="shared" si="57"/>
        <v>1</v>
      </c>
      <c r="D333" s="74">
        <f t="shared" si="58"/>
        <v>842</v>
      </c>
      <c r="E333" s="73">
        <f>VLOOKUP(B333,'114+840'!B334:AB334,3,FALSE)</f>
        <v>1815</v>
      </c>
      <c r="F333" s="70">
        <f t="shared" ref="F333:F396" si="66">D333+E333</f>
        <v>2657</v>
      </c>
      <c r="G333" s="72">
        <f>VLOOKUP(B333,'114+840'!$B$15:$AB$516,20,FALSE)</f>
        <v>1719</v>
      </c>
      <c r="H333" s="72">
        <f>VLOOKUP(B333,'114+840'!$B$15:$AB$516,4,FALSE)</f>
        <v>18</v>
      </c>
      <c r="I333" s="69">
        <f t="shared" ref="I333:I396" si="67">F333-H333</f>
        <v>2639</v>
      </c>
      <c r="J333" s="69">
        <f>VLOOKUP(B333,'114+840'!$B$15:$AB$516,13,FALSE)</f>
        <v>-361</v>
      </c>
      <c r="K333" s="67">
        <f>'114+840'!Q334</f>
        <v>0</v>
      </c>
      <c r="L333" s="66">
        <f t="shared" si="59"/>
        <v>281</v>
      </c>
      <c r="M333" s="71">
        <f>VLOOKUP(B333,'114+840'!$B$14:$AB$516,21,FALSE)</f>
        <v>1527</v>
      </c>
      <c r="N333" s="70">
        <f>VLOOKUP(B333,'114+840'!$B$15:$AB$516,5,FALSE)</f>
        <v>30</v>
      </c>
      <c r="O333" s="69">
        <f t="shared" ref="O333:O396" si="68">F333-N333</f>
        <v>2627</v>
      </c>
      <c r="P333" s="69">
        <f>VLOOKUP(B333,'114+840'!$B$15:$AB$516,14,FALSE)</f>
        <v>-373</v>
      </c>
      <c r="Q333" s="67">
        <f>'114+840'!R334</f>
        <v>0</v>
      </c>
      <c r="R333" s="66">
        <f t="shared" si="60"/>
        <v>473</v>
      </c>
      <c r="S333" s="71">
        <f>VLOOKUP(B333,'114+840'!$B$14:$AB$516,22,FALSE)</f>
        <v>1742</v>
      </c>
      <c r="T333" s="70">
        <f>VLOOKUP(B333,'114+840'!$B$15:$AB$516,6,FALSE)</f>
        <v>305</v>
      </c>
      <c r="U333" s="69">
        <f t="shared" ref="U333:U396" si="69">F333-T333</f>
        <v>2352</v>
      </c>
      <c r="V333" s="68">
        <f>VLOOKUP(B333,'114+840'!$B$15:$AB$516,15,FALSE)</f>
        <v>-648</v>
      </c>
      <c r="W333" s="67">
        <f>'114+840'!S334</f>
        <v>0</v>
      </c>
      <c r="X333" s="66">
        <f t="shared" si="61"/>
        <v>258</v>
      </c>
      <c r="Y333" s="65">
        <f t="shared" si="62"/>
        <v>0</v>
      </c>
      <c r="Z333" s="64">
        <f t="shared" si="63"/>
        <v>0</v>
      </c>
      <c r="AA333" s="63">
        <f t="shared" si="64"/>
        <v>2.3239999999999998</v>
      </c>
      <c r="AB333" s="63">
        <f t="shared" si="65"/>
        <v>0.95399999999999996</v>
      </c>
    </row>
    <row r="334" spans="2:28">
      <c r="B334" s="104">
        <f>'114+840'!B335</f>
        <v>45591</v>
      </c>
      <c r="C334" s="75">
        <f t="shared" ref="C334:C397" si="70">B334-B333</f>
        <v>1</v>
      </c>
      <c r="D334" s="74">
        <f t="shared" ref="D334:D397" si="71">D333</f>
        <v>842</v>
      </c>
      <c r="E334" s="73">
        <f>VLOOKUP(B334,'114+840'!B335:AB335,3,FALSE)</f>
        <v>1817</v>
      </c>
      <c r="F334" s="70">
        <f t="shared" si="66"/>
        <v>2659</v>
      </c>
      <c r="G334" s="72">
        <f>VLOOKUP(B334,'114+840'!$B$15:$AB$516,20,FALSE)</f>
        <v>1719</v>
      </c>
      <c r="H334" s="72">
        <f>VLOOKUP(B334,'114+840'!$B$15:$AB$516,4,FALSE)</f>
        <v>20</v>
      </c>
      <c r="I334" s="69">
        <f t="shared" si="67"/>
        <v>2639</v>
      </c>
      <c r="J334" s="69">
        <f>VLOOKUP(B334,'114+840'!$B$15:$AB$516,13,FALSE)</f>
        <v>-361</v>
      </c>
      <c r="K334" s="67">
        <f>'114+840'!Q335</f>
        <v>0</v>
      </c>
      <c r="L334" s="66">
        <f t="shared" ref="L334:L397" si="72">+K334+L333</f>
        <v>281</v>
      </c>
      <c r="M334" s="71">
        <f>VLOOKUP(B334,'114+840'!$B$14:$AB$516,21,FALSE)</f>
        <v>1527</v>
      </c>
      <c r="N334" s="70">
        <f>VLOOKUP(B334,'114+840'!$B$15:$AB$516,5,FALSE)</f>
        <v>32</v>
      </c>
      <c r="O334" s="69">
        <f t="shared" si="68"/>
        <v>2627</v>
      </c>
      <c r="P334" s="69">
        <f>VLOOKUP(B334,'114+840'!$B$15:$AB$516,14,FALSE)</f>
        <v>-373</v>
      </c>
      <c r="Q334" s="67">
        <f>'114+840'!R335</f>
        <v>0</v>
      </c>
      <c r="R334" s="66">
        <f t="shared" ref="R334:R397" si="73">+Q334+R333</f>
        <v>473</v>
      </c>
      <c r="S334" s="71">
        <f>VLOOKUP(B334,'114+840'!$B$14:$AB$516,22,FALSE)</f>
        <v>1742</v>
      </c>
      <c r="T334" s="70">
        <f>VLOOKUP(B334,'114+840'!$B$15:$AB$516,6,FALSE)</f>
        <v>307</v>
      </c>
      <c r="U334" s="69">
        <f t="shared" si="69"/>
        <v>2352</v>
      </c>
      <c r="V334" s="68">
        <f>VLOOKUP(B334,'114+840'!$B$15:$AB$516,15,FALSE)</f>
        <v>-648</v>
      </c>
      <c r="W334" s="67">
        <f>'114+840'!S335</f>
        <v>0</v>
      </c>
      <c r="X334" s="66">
        <f t="shared" ref="X334:X397" si="74">+W334+X333</f>
        <v>258</v>
      </c>
      <c r="Y334" s="65">
        <f t="shared" ref="Y334:Y397" si="75">S334-S333</f>
        <v>0</v>
      </c>
      <c r="Z334" s="64">
        <f t="shared" ref="Z334:Z397" si="76">IF(Y334&gt;0,Y334,0)/1000</f>
        <v>0</v>
      </c>
      <c r="AA334" s="63">
        <f t="shared" ref="AA334:AA397" si="77">AA333+Z334</f>
        <v>2.3239999999999998</v>
      </c>
      <c r="AB334" s="63">
        <f t="shared" ref="AB334:AB397" si="78">(M334-$M$13-R334)/1000</f>
        <v>0.95399999999999996</v>
      </c>
    </row>
    <row r="335" spans="2:28">
      <c r="B335" s="104">
        <f>'114+840'!B336</f>
        <v>45592</v>
      </c>
      <c r="C335" s="75">
        <f t="shared" si="70"/>
        <v>1</v>
      </c>
      <c r="D335" s="74">
        <f t="shared" si="71"/>
        <v>842</v>
      </c>
      <c r="E335" s="73">
        <f>VLOOKUP(B335,'114+840'!B336:AB336,3,FALSE)</f>
        <v>1819</v>
      </c>
      <c r="F335" s="70">
        <f t="shared" si="66"/>
        <v>2661</v>
      </c>
      <c r="G335" s="72">
        <f>VLOOKUP(B335,'114+840'!$B$15:$AB$516,20,FALSE)</f>
        <v>1719</v>
      </c>
      <c r="H335" s="72">
        <f>VLOOKUP(B335,'114+840'!$B$15:$AB$516,4,FALSE)</f>
        <v>22</v>
      </c>
      <c r="I335" s="69">
        <f t="shared" si="67"/>
        <v>2639</v>
      </c>
      <c r="J335" s="69">
        <f>VLOOKUP(B335,'114+840'!$B$15:$AB$516,13,FALSE)</f>
        <v>-361</v>
      </c>
      <c r="K335" s="67">
        <f>'114+840'!Q336</f>
        <v>0</v>
      </c>
      <c r="L335" s="66">
        <f t="shared" si="72"/>
        <v>281</v>
      </c>
      <c r="M335" s="71">
        <f>VLOOKUP(B335,'114+840'!$B$14:$AB$516,21,FALSE)</f>
        <v>1527</v>
      </c>
      <c r="N335" s="70">
        <f>VLOOKUP(B335,'114+840'!$B$15:$AB$516,5,FALSE)</f>
        <v>34</v>
      </c>
      <c r="O335" s="69">
        <f t="shared" si="68"/>
        <v>2627</v>
      </c>
      <c r="P335" s="69">
        <f>VLOOKUP(B335,'114+840'!$B$15:$AB$516,14,FALSE)</f>
        <v>-373</v>
      </c>
      <c r="Q335" s="67">
        <f>'114+840'!R336</f>
        <v>0</v>
      </c>
      <c r="R335" s="66">
        <f t="shared" si="73"/>
        <v>473</v>
      </c>
      <c r="S335" s="71">
        <f>VLOOKUP(B335,'114+840'!$B$14:$AB$516,22,FALSE)</f>
        <v>1742</v>
      </c>
      <c r="T335" s="70">
        <f>VLOOKUP(B335,'114+840'!$B$15:$AB$516,6,FALSE)</f>
        <v>309</v>
      </c>
      <c r="U335" s="69">
        <f t="shared" si="69"/>
        <v>2352</v>
      </c>
      <c r="V335" s="68">
        <f>VLOOKUP(B335,'114+840'!$B$15:$AB$516,15,FALSE)</f>
        <v>-648</v>
      </c>
      <c r="W335" s="67">
        <f>'114+840'!S336</f>
        <v>0</v>
      </c>
      <c r="X335" s="66">
        <f t="shared" si="74"/>
        <v>258</v>
      </c>
      <c r="Y335" s="65">
        <f t="shared" si="75"/>
        <v>0</v>
      </c>
      <c r="Z335" s="64">
        <f t="shared" si="76"/>
        <v>0</v>
      </c>
      <c r="AA335" s="63">
        <f t="shared" si="77"/>
        <v>2.3239999999999998</v>
      </c>
      <c r="AB335" s="63">
        <f t="shared" si="78"/>
        <v>0.95399999999999996</v>
      </c>
    </row>
    <row r="336" spans="2:28">
      <c r="B336" s="104">
        <f>'114+840'!B337</f>
        <v>45593</v>
      </c>
      <c r="C336" s="75">
        <f t="shared" si="70"/>
        <v>1</v>
      </c>
      <c r="D336" s="74">
        <f t="shared" si="71"/>
        <v>842</v>
      </c>
      <c r="E336" s="73">
        <f>VLOOKUP(B336,'114+840'!B337:AB337,3,FALSE)</f>
        <v>1821</v>
      </c>
      <c r="F336" s="70">
        <f t="shared" si="66"/>
        <v>2663</v>
      </c>
      <c r="G336" s="72">
        <f>VLOOKUP(B336,'114+840'!$B$15:$AB$516,20,FALSE)</f>
        <v>1719</v>
      </c>
      <c r="H336" s="72">
        <f>VLOOKUP(B336,'114+840'!$B$15:$AB$516,4,FALSE)</f>
        <v>24</v>
      </c>
      <c r="I336" s="69">
        <f t="shared" si="67"/>
        <v>2639</v>
      </c>
      <c r="J336" s="69">
        <f>VLOOKUP(B336,'114+840'!$B$15:$AB$516,13,FALSE)</f>
        <v>-361</v>
      </c>
      <c r="K336" s="67">
        <f>'114+840'!Q337</f>
        <v>0</v>
      </c>
      <c r="L336" s="66">
        <f t="shared" si="72"/>
        <v>281</v>
      </c>
      <c r="M336" s="71">
        <f>VLOOKUP(B336,'114+840'!$B$14:$AB$516,21,FALSE)</f>
        <v>1527</v>
      </c>
      <c r="N336" s="70">
        <f>VLOOKUP(B336,'114+840'!$B$15:$AB$516,5,FALSE)</f>
        <v>36</v>
      </c>
      <c r="O336" s="69">
        <f t="shared" si="68"/>
        <v>2627</v>
      </c>
      <c r="P336" s="69">
        <f>VLOOKUP(B336,'114+840'!$B$15:$AB$516,14,FALSE)</f>
        <v>-373</v>
      </c>
      <c r="Q336" s="67">
        <f>'114+840'!R337</f>
        <v>0</v>
      </c>
      <c r="R336" s="66">
        <f t="shared" si="73"/>
        <v>473</v>
      </c>
      <c r="S336" s="71">
        <f>VLOOKUP(B336,'114+840'!$B$14:$AB$516,22,FALSE)</f>
        <v>1742</v>
      </c>
      <c r="T336" s="70">
        <f>VLOOKUP(B336,'114+840'!$B$15:$AB$516,6,FALSE)</f>
        <v>311</v>
      </c>
      <c r="U336" s="69">
        <f t="shared" si="69"/>
        <v>2352</v>
      </c>
      <c r="V336" s="68">
        <f>VLOOKUP(B336,'114+840'!$B$15:$AB$516,15,FALSE)</f>
        <v>-648</v>
      </c>
      <c r="W336" s="67">
        <f>'114+840'!S337</f>
        <v>0</v>
      </c>
      <c r="X336" s="66">
        <f t="shared" si="74"/>
        <v>258</v>
      </c>
      <c r="Y336" s="65">
        <f t="shared" si="75"/>
        <v>0</v>
      </c>
      <c r="Z336" s="64">
        <f t="shared" si="76"/>
        <v>0</v>
      </c>
      <c r="AA336" s="63">
        <f t="shared" si="77"/>
        <v>2.3239999999999998</v>
      </c>
      <c r="AB336" s="63">
        <f t="shared" si="78"/>
        <v>0.95399999999999996</v>
      </c>
    </row>
    <row r="337" spans="2:28">
      <c r="B337" s="104">
        <f>'114+840'!B338</f>
        <v>45594</v>
      </c>
      <c r="C337" s="75">
        <f t="shared" si="70"/>
        <v>1</v>
      </c>
      <c r="D337" s="74">
        <f t="shared" si="71"/>
        <v>842</v>
      </c>
      <c r="E337" s="73">
        <f>VLOOKUP(B337,'114+840'!B338:AB338,3,FALSE)</f>
        <v>1823</v>
      </c>
      <c r="F337" s="70">
        <f t="shared" si="66"/>
        <v>2665</v>
      </c>
      <c r="G337" s="72">
        <f>VLOOKUP(B337,'114+840'!$B$15:$AB$516,20,FALSE)</f>
        <v>1719</v>
      </c>
      <c r="H337" s="72">
        <f>VLOOKUP(B337,'114+840'!$B$15:$AB$516,4,FALSE)</f>
        <v>26</v>
      </c>
      <c r="I337" s="69">
        <f t="shared" si="67"/>
        <v>2639</v>
      </c>
      <c r="J337" s="69">
        <f>VLOOKUP(B337,'114+840'!$B$15:$AB$516,13,FALSE)</f>
        <v>-361</v>
      </c>
      <c r="K337" s="67">
        <f>'114+840'!Q338</f>
        <v>0</v>
      </c>
      <c r="L337" s="66">
        <f t="shared" si="72"/>
        <v>281</v>
      </c>
      <c r="M337" s="71">
        <f>VLOOKUP(B337,'114+840'!$B$14:$AB$516,21,FALSE)</f>
        <v>1527</v>
      </c>
      <c r="N337" s="70">
        <f>VLOOKUP(B337,'114+840'!$B$15:$AB$516,5,FALSE)</f>
        <v>38</v>
      </c>
      <c r="O337" s="69">
        <f t="shared" si="68"/>
        <v>2627</v>
      </c>
      <c r="P337" s="69">
        <f>VLOOKUP(B337,'114+840'!$B$15:$AB$516,14,FALSE)</f>
        <v>-373</v>
      </c>
      <c r="Q337" s="67">
        <f>'114+840'!R338</f>
        <v>0</v>
      </c>
      <c r="R337" s="66">
        <f t="shared" si="73"/>
        <v>473</v>
      </c>
      <c r="S337" s="71">
        <f>VLOOKUP(B337,'114+840'!$B$14:$AB$516,22,FALSE)</f>
        <v>1742</v>
      </c>
      <c r="T337" s="70">
        <f>VLOOKUP(B337,'114+840'!$B$15:$AB$516,6,FALSE)</f>
        <v>313</v>
      </c>
      <c r="U337" s="69">
        <f t="shared" si="69"/>
        <v>2352</v>
      </c>
      <c r="V337" s="68">
        <f>VLOOKUP(B337,'114+840'!$B$15:$AB$516,15,FALSE)</f>
        <v>-648</v>
      </c>
      <c r="W337" s="67">
        <f>'114+840'!S338</f>
        <v>0</v>
      </c>
      <c r="X337" s="66">
        <f t="shared" si="74"/>
        <v>258</v>
      </c>
      <c r="Y337" s="65">
        <f t="shared" si="75"/>
        <v>0</v>
      </c>
      <c r="Z337" s="64">
        <f t="shared" si="76"/>
        <v>0</v>
      </c>
      <c r="AA337" s="63">
        <f t="shared" si="77"/>
        <v>2.3239999999999998</v>
      </c>
      <c r="AB337" s="63">
        <f t="shared" si="78"/>
        <v>0.95399999999999996</v>
      </c>
    </row>
    <row r="338" spans="2:28">
      <c r="B338" s="104">
        <f>'114+840'!B339</f>
        <v>45595</v>
      </c>
      <c r="C338" s="75">
        <f t="shared" si="70"/>
        <v>1</v>
      </c>
      <c r="D338" s="74">
        <f t="shared" si="71"/>
        <v>842</v>
      </c>
      <c r="E338" s="73">
        <f>VLOOKUP(B338,'114+840'!B339:AB339,3,FALSE)</f>
        <v>1825</v>
      </c>
      <c r="F338" s="70">
        <f t="shared" si="66"/>
        <v>2667</v>
      </c>
      <c r="G338" s="72">
        <f>VLOOKUP(B338,'114+840'!$B$15:$AB$516,20,FALSE)</f>
        <v>1719</v>
      </c>
      <c r="H338" s="72">
        <f>VLOOKUP(B338,'114+840'!$B$15:$AB$516,4,FALSE)</f>
        <v>28</v>
      </c>
      <c r="I338" s="69">
        <f t="shared" si="67"/>
        <v>2639</v>
      </c>
      <c r="J338" s="69">
        <f>VLOOKUP(B338,'114+840'!$B$15:$AB$516,13,FALSE)</f>
        <v>-361</v>
      </c>
      <c r="K338" s="67">
        <f>'114+840'!Q339</f>
        <v>0</v>
      </c>
      <c r="L338" s="66">
        <f t="shared" si="72"/>
        <v>281</v>
      </c>
      <c r="M338" s="71">
        <f>VLOOKUP(B338,'114+840'!$B$14:$AB$516,21,FALSE)</f>
        <v>1527</v>
      </c>
      <c r="N338" s="70">
        <f>VLOOKUP(B338,'114+840'!$B$15:$AB$516,5,FALSE)</f>
        <v>40</v>
      </c>
      <c r="O338" s="69">
        <f t="shared" si="68"/>
        <v>2627</v>
      </c>
      <c r="P338" s="69">
        <f>VLOOKUP(B338,'114+840'!$B$15:$AB$516,14,FALSE)</f>
        <v>-373</v>
      </c>
      <c r="Q338" s="67">
        <f>'114+840'!R339</f>
        <v>0</v>
      </c>
      <c r="R338" s="66">
        <f t="shared" si="73"/>
        <v>473</v>
      </c>
      <c r="S338" s="71">
        <f>VLOOKUP(B338,'114+840'!$B$14:$AB$516,22,FALSE)</f>
        <v>1742</v>
      </c>
      <c r="T338" s="70">
        <f>VLOOKUP(B338,'114+840'!$B$15:$AB$516,6,FALSE)</f>
        <v>315</v>
      </c>
      <c r="U338" s="69">
        <f t="shared" si="69"/>
        <v>2352</v>
      </c>
      <c r="V338" s="68">
        <f>VLOOKUP(B338,'114+840'!$B$15:$AB$516,15,FALSE)</f>
        <v>-648</v>
      </c>
      <c r="W338" s="67">
        <f>'114+840'!S339</f>
        <v>0</v>
      </c>
      <c r="X338" s="66">
        <f t="shared" si="74"/>
        <v>258</v>
      </c>
      <c r="Y338" s="65">
        <f t="shared" si="75"/>
        <v>0</v>
      </c>
      <c r="Z338" s="64">
        <f t="shared" si="76"/>
        <v>0</v>
      </c>
      <c r="AA338" s="63">
        <f t="shared" si="77"/>
        <v>2.3239999999999998</v>
      </c>
      <c r="AB338" s="63">
        <f t="shared" si="78"/>
        <v>0.95399999999999996</v>
      </c>
    </row>
    <row r="339" spans="2:28">
      <c r="B339" s="104">
        <f>'114+840'!B340</f>
        <v>45596</v>
      </c>
      <c r="C339" s="75">
        <f t="shared" si="70"/>
        <v>1</v>
      </c>
      <c r="D339" s="74">
        <f t="shared" si="71"/>
        <v>842</v>
      </c>
      <c r="E339" s="73">
        <f>VLOOKUP(B339,'114+840'!B340:AB340,3,FALSE)</f>
        <v>1827</v>
      </c>
      <c r="F339" s="70">
        <f t="shared" si="66"/>
        <v>2669</v>
      </c>
      <c r="G339" s="72">
        <f>VLOOKUP(B339,'114+840'!$B$15:$AB$516,20,FALSE)</f>
        <v>1719</v>
      </c>
      <c r="H339" s="72">
        <f>VLOOKUP(B339,'114+840'!$B$15:$AB$516,4,FALSE)</f>
        <v>30</v>
      </c>
      <c r="I339" s="69">
        <f t="shared" si="67"/>
        <v>2639</v>
      </c>
      <c r="J339" s="69">
        <f>VLOOKUP(B339,'114+840'!$B$15:$AB$516,13,FALSE)</f>
        <v>-361</v>
      </c>
      <c r="K339" s="67">
        <f>'114+840'!Q340</f>
        <v>0</v>
      </c>
      <c r="L339" s="66">
        <f t="shared" si="72"/>
        <v>281</v>
      </c>
      <c r="M339" s="71">
        <f>VLOOKUP(B339,'114+840'!$B$14:$AB$516,21,FALSE)</f>
        <v>1527</v>
      </c>
      <c r="N339" s="70">
        <f>VLOOKUP(B339,'114+840'!$B$15:$AB$516,5,FALSE)</f>
        <v>42</v>
      </c>
      <c r="O339" s="69">
        <f t="shared" si="68"/>
        <v>2627</v>
      </c>
      <c r="P339" s="69">
        <f>VLOOKUP(B339,'114+840'!$B$15:$AB$516,14,FALSE)</f>
        <v>-373</v>
      </c>
      <c r="Q339" s="67">
        <f>'114+840'!R340</f>
        <v>0</v>
      </c>
      <c r="R339" s="66">
        <f t="shared" si="73"/>
        <v>473</v>
      </c>
      <c r="S339" s="71">
        <f>VLOOKUP(B339,'114+840'!$B$14:$AB$516,22,FALSE)</f>
        <v>1742</v>
      </c>
      <c r="T339" s="70">
        <f>VLOOKUP(B339,'114+840'!$B$15:$AB$516,6,FALSE)</f>
        <v>317</v>
      </c>
      <c r="U339" s="69">
        <f t="shared" si="69"/>
        <v>2352</v>
      </c>
      <c r="V339" s="68">
        <f>VLOOKUP(B339,'114+840'!$B$15:$AB$516,15,FALSE)</f>
        <v>-648</v>
      </c>
      <c r="W339" s="67">
        <f>'114+840'!S340</f>
        <v>0</v>
      </c>
      <c r="X339" s="66">
        <f t="shared" si="74"/>
        <v>258</v>
      </c>
      <c r="Y339" s="65">
        <f t="shared" si="75"/>
        <v>0</v>
      </c>
      <c r="Z339" s="64">
        <f t="shared" si="76"/>
        <v>0</v>
      </c>
      <c r="AA339" s="63">
        <f t="shared" si="77"/>
        <v>2.3239999999999998</v>
      </c>
      <c r="AB339" s="63">
        <f t="shared" si="78"/>
        <v>0.95399999999999996</v>
      </c>
    </row>
    <row r="340" spans="2:28">
      <c r="B340" s="104">
        <f>'114+840'!B341</f>
        <v>45597</v>
      </c>
      <c r="C340" s="75">
        <f t="shared" si="70"/>
        <v>1</v>
      </c>
      <c r="D340" s="74">
        <f t="shared" si="71"/>
        <v>842</v>
      </c>
      <c r="E340" s="73">
        <f>VLOOKUP(B340,'114+840'!B341:AB341,3,FALSE)</f>
        <v>1829</v>
      </c>
      <c r="F340" s="70">
        <f t="shared" si="66"/>
        <v>2671</v>
      </c>
      <c r="G340" s="72">
        <f>VLOOKUP(B340,'114+840'!$B$15:$AB$516,20,FALSE)</f>
        <v>1719</v>
      </c>
      <c r="H340" s="72">
        <f>VLOOKUP(B340,'114+840'!$B$15:$AB$516,4,FALSE)</f>
        <v>32</v>
      </c>
      <c r="I340" s="69">
        <f t="shared" si="67"/>
        <v>2639</v>
      </c>
      <c r="J340" s="69">
        <f>VLOOKUP(B340,'114+840'!$B$15:$AB$516,13,FALSE)</f>
        <v>-361</v>
      </c>
      <c r="K340" s="67">
        <f>'114+840'!Q341</f>
        <v>0</v>
      </c>
      <c r="L340" s="66">
        <f t="shared" si="72"/>
        <v>281</v>
      </c>
      <c r="M340" s="71">
        <f>VLOOKUP(B340,'114+840'!$B$14:$AB$516,21,FALSE)</f>
        <v>1527</v>
      </c>
      <c r="N340" s="70">
        <f>VLOOKUP(B340,'114+840'!$B$15:$AB$516,5,FALSE)</f>
        <v>44</v>
      </c>
      <c r="O340" s="69">
        <f t="shared" si="68"/>
        <v>2627</v>
      </c>
      <c r="P340" s="69">
        <f>VLOOKUP(B340,'114+840'!$B$15:$AB$516,14,FALSE)</f>
        <v>-373</v>
      </c>
      <c r="Q340" s="67">
        <f>'114+840'!R341</f>
        <v>0</v>
      </c>
      <c r="R340" s="66">
        <f t="shared" si="73"/>
        <v>473</v>
      </c>
      <c r="S340" s="71">
        <f>VLOOKUP(B340,'114+840'!$B$14:$AB$516,22,FALSE)</f>
        <v>1742</v>
      </c>
      <c r="T340" s="70">
        <f>VLOOKUP(B340,'114+840'!$B$15:$AB$516,6,FALSE)</f>
        <v>319</v>
      </c>
      <c r="U340" s="69">
        <f t="shared" si="69"/>
        <v>2352</v>
      </c>
      <c r="V340" s="68">
        <f>VLOOKUP(B340,'114+840'!$B$15:$AB$516,15,FALSE)</f>
        <v>-648</v>
      </c>
      <c r="W340" s="67">
        <f>'114+840'!S341</f>
        <v>0</v>
      </c>
      <c r="X340" s="66">
        <f t="shared" si="74"/>
        <v>258</v>
      </c>
      <c r="Y340" s="65">
        <f t="shared" si="75"/>
        <v>0</v>
      </c>
      <c r="Z340" s="64">
        <f t="shared" si="76"/>
        <v>0</v>
      </c>
      <c r="AA340" s="63">
        <f t="shared" si="77"/>
        <v>2.3239999999999998</v>
      </c>
      <c r="AB340" s="63">
        <f t="shared" si="78"/>
        <v>0.95399999999999996</v>
      </c>
    </row>
    <row r="341" spans="2:28">
      <c r="B341" s="104">
        <f>'114+840'!B342</f>
        <v>45598</v>
      </c>
      <c r="C341" s="75">
        <f t="shared" si="70"/>
        <v>1</v>
      </c>
      <c r="D341" s="74">
        <f t="shared" si="71"/>
        <v>842</v>
      </c>
      <c r="E341" s="73">
        <f>VLOOKUP(B341,'114+840'!B342:AB342,3,FALSE)</f>
        <v>1831</v>
      </c>
      <c r="F341" s="70">
        <f t="shared" si="66"/>
        <v>2673</v>
      </c>
      <c r="G341" s="72">
        <f>VLOOKUP(B341,'114+840'!$B$15:$AB$516,20,FALSE)</f>
        <v>1719</v>
      </c>
      <c r="H341" s="72">
        <f>VLOOKUP(B341,'114+840'!$B$15:$AB$516,4,FALSE)</f>
        <v>34</v>
      </c>
      <c r="I341" s="69">
        <f t="shared" si="67"/>
        <v>2639</v>
      </c>
      <c r="J341" s="69">
        <f>VLOOKUP(B341,'114+840'!$B$15:$AB$516,13,FALSE)</f>
        <v>-361</v>
      </c>
      <c r="K341" s="67">
        <f>'114+840'!Q342</f>
        <v>0</v>
      </c>
      <c r="L341" s="66">
        <f t="shared" si="72"/>
        <v>281</v>
      </c>
      <c r="M341" s="71">
        <f>VLOOKUP(B341,'114+840'!$B$14:$AB$516,21,FALSE)</f>
        <v>1527</v>
      </c>
      <c r="N341" s="70">
        <f>VLOOKUP(B341,'114+840'!$B$15:$AB$516,5,FALSE)</f>
        <v>46</v>
      </c>
      <c r="O341" s="69">
        <f t="shared" si="68"/>
        <v>2627</v>
      </c>
      <c r="P341" s="69">
        <f>VLOOKUP(B341,'114+840'!$B$15:$AB$516,14,FALSE)</f>
        <v>-373</v>
      </c>
      <c r="Q341" s="67">
        <f>'114+840'!R342</f>
        <v>0</v>
      </c>
      <c r="R341" s="66">
        <f t="shared" si="73"/>
        <v>473</v>
      </c>
      <c r="S341" s="71">
        <f>VLOOKUP(B341,'114+840'!$B$14:$AB$516,22,FALSE)</f>
        <v>1742</v>
      </c>
      <c r="T341" s="70">
        <f>VLOOKUP(B341,'114+840'!$B$15:$AB$516,6,FALSE)</f>
        <v>321</v>
      </c>
      <c r="U341" s="69">
        <f t="shared" si="69"/>
        <v>2352</v>
      </c>
      <c r="V341" s="68">
        <f>VLOOKUP(B341,'114+840'!$B$15:$AB$516,15,FALSE)</f>
        <v>-648</v>
      </c>
      <c r="W341" s="67">
        <f>'114+840'!S342</f>
        <v>0</v>
      </c>
      <c r="X341" s="66">
        <f t="shared" si="74"/>
        <v>258</v>
      </c>
      <c r="Y341" s="65">
        <f t="shared" si="75"/>
        <v>0</v>
      </c>
      <c r="Z341" s="64">
        <f t="shared" si="76"/>
        <v>0</v>
      </c>
      <c r="AA341" s="63">
        <f t="shared" si="77"/>
        <v>2.3239999999999998</v>
      </c>
      <c r="AB341" s="63">
        <f t="shared" si="78"/>
        <v>0.95399999999999996</v>
      </c>
    </row>
    <row r="342" spans="2:28">
      <c r="B342" s="104">
        <f>'114+840'!B343</f>
        <v>45599</v>
      </c>
      <c r="C342" s="75">
        <f t="shared" si="70"/>
        <v>1</v>
      </c>
      <c r="D342" s="74">
        <f t="shared" si="71"/>
        <v>842</v>
      </c>
      <c r="E342" s="73">
        <f>VLOOKUP(B342,'114+840'!B343:AB343,3,FALSE)</f>
        <v>1833</v>
      </c>
      <c r="F342" s="70">
        <f t="shared" si="66"/>
        <v>2675</v>
      </c>
      <c r="G342" s="72">
        <f>VLOOKUP(B342,'114+840'!$B$15:$AB$516,20,FALSE)</f>
        <v>1719</v>
      </c>
      <c r="H342" s="72">
        <f>VLOOKUP(B342,'114+840'!$B$15:$AB$516,4,FALSE)</f>
        <v>36</v>
      </c>
      <c r="I342" s="69">
        <f t="shared" si="67"/>
        <v>2639</v>
      </c>
      <c r="J342" s="69">
        <f>VLOOKUP(B342,'114+840'!$B$15:$AB$516,13,FALSE)</f>
        <v>-361</v>
      </c>
      <c r="K342" s="67">
        <f>'114+840'!Q343</f>
        <v>0</v>
      </c>
      <c r="L342" s="66">
        <f t="shared" si="72"/>
        <v>281</v>
      </c>
      <c r="M342" s="71">
        <f>VLOOKUP(B342,'114+840'!$B$14:$AB$516,21,FALSE)</f>
        <v>1527</v>
      </c>
      <c r="N342" s="70">
        <f>VLOOKUP(B342,'114+840'!$B$15:$AB$516,5,FALSE)</f>
        <v>48</v>
      </c>
      <c r="O342" s="69">
        <f t="shared" si="68"/>
        <v>2627</v>
      </c>
      <c r="P342" s="69">
        <f>VLOOKUP(B342,'114+840'!$B$15:$AB$516,14,FALSE)</f>
        <v>-373</v>
      </c>
      <c r="Q342" s="67">
        <f>'114+840'!R343</f>
        <v>0</v>
      </c>
      <c r="R342" s="66">
        <f t="shared" si="73"/>
        <v>473</v>
      </c>
      <c r="S342" s="71">
        <f>VLOOKUP(B342,'114+840'!$B$14:$AB$516,22,FALSE)</f>
        <v>1742</v>
      </c>
      <c r="T342" s="70">
        <f>VLOOKUP(B342,'114+840'!$B$15:$AB$516,6,FALSE)</f>
        <v>323</v>
      </c>
      <c r="U342" s="69">
        <f t="shared" si="69"/>
        <v>2352</v>
      </c>
      <c r="V342" s="68">
        <f>VLOOKUP(B342,'114+840'!$B$15:$AB$516,15,FALSE)</f>
        <v>-648</v>
      </c>
      <c r="W342" s="67">
        <f>'114+840'!S343</f>
        <v>0</v>
      </c>
      <c r="X342" s="66">
        <f t="shared" si="74"/>
        <v>258</v>
      </c>
      <c r="Y342" s="65">
        <f t="shared" si="75"/>
        <v>0</v>
      </c>
      <c r="Z342" s="64">
        <f t="shared" si="76"/>
        <v>0</v>
      </c>
      <c r="AA342" s="63">
        <f t="shared" si="77"/>
        <v>2.3239999999999998</v>
      </c>
      <c r="AB342" s="63">
        <f t="shared" si="78"/>
        <v>0.95399999999999996</v>
      </c>
    </row>
    <row r="343" spans="2:28">
      <c r="B343" s="104">
        <f>'114+840'!B344</f>
        <v>45600</v>
      </c>
      <c r="C343" s="75">
        <f t="shared" si="70"/>
        <v>1</v>
      </c>
      <c r="D343" s="74">
        <f t="shared" si="71"/>
        <v>842</v>
      </c>
      <c r="E343" s="73">
        <f>VLOOKUP(B343,'114+840'!B344:AB344,3,FALSE)</f>
        <v>1835</v>
      </c>
      <c r="F343" s="70">
        <f t="shared" si="66"/>
        <v>2677</v>
      </c>
      <c r="G343" s="72">
        <f>VLOOKUP(B343,'114+840'!$B$15:$AB$516,20,FALSE)</f>
        <v>1719</v>
      </c>
      <c r="H343" s="72">
        <f>VLOOKUP(B343,'114+840'!$B$15:$AB$516,4,FALSE)</f>
        <v>38</v>
      </c>
      <c r="I343" s="69">
        <f t="shared" si="67"/>
        <v>2639</v>
      </c>
      <c r="J343" s="69">
        <f>VLOOKUP(B343,'114+840'!$B$15:$AB$516,13,FALSE)</f>
        <v>-361</v>
      </c>
      <c r="K343" s="67">
        <f>'114+840'!Q344</f>
        <v>0</v>
      </c>
      <c r="L343" s="66">
        <f t="shared" si="72"/>
        <v>281</v>
      </c>
      <c r="M343" s="71">
        <f>VLOOKUP(B343,'114+840'!$B$14:$AB$516,21,FALSE)</f>
        <v>1527</v>
      </c>
      <c r="N343" s="70">
        <f>VLOOKUP(B343,'114+840'!$B$15:$AB$516,5,FALSE)</f>
        <v>50</v>
      </c>
      <c r="O343" s="69">
        <f t="shared" si="68"/>
        <v>2627</v>
      </c>
      <c r="P343" s="69">
        <f>VLOOKUP(B343,'114+840'!$B$15:$AB$516,14,FALSE)</f>
        <v>-373</v>
      </c>
      <c r="Q343" s="67">
        <f>'114+840'!R344</f>
        <v>0</v>
      </c>
      <c r="R343" s="66">
        <f t="shared" si="73"/>
        <v>473</v>
      </c>
      <c r="S343" s="71">
        <f>VLOOKUP(B343,'114+840'!$B$14:$AB$516,22,FALSE)</f>
        <v>1742</v>
      </c>
      <c r="T343" s="70">
        <f>VLOOKUP(B343,'114+840'!$B$15:$AB$516,6,FALSE)</f>
        <v>325</v>
      </c>
      <c r="U343" s="69">
        <f t="shared" si="69"/>
        <v>2352</v>
      </c>
      <c r="V343" s="68">
        <f>VLOOKUP(B343,'114+840'!$B$15:$AB$516,15,FALSE)</f>
        <v>-648</v>
      </c>
      <c r="W343" s="67">
        <f>'114+840'!S344</f>
        <v>0</v>
      </c>
      <c r="X343" s="66">
        <f t="shared" si="74"/>
        <v>258</v>
      </c>
      <c r="Y343" s="65">
        <f t="shared" si="75"/>
        <v>0</v>
      </c>
      <c r="Z343" s="64">
        <f t="shared" si="76"/>
        <v>0</v>
      </c>
      <c r="AA343" s="63">
        <f t="shared" si="77"/>
        <v>2.3239999999999998</v>
      </c>
      <c r="AB343" s="63">
        <f t="shared" si="78"/>
        <v>0.95399999999999996</v>
      </c>
    </row>
    <row r="344" spans="2:28">
      <c r="B344" s="104">
        <f>'114+840'!B345</f>
        <v>45601</v>
      </c>
      <c r="C344" s="75">
        <f t="shared" si="70"/>
        <v>1</v>
      </c>
      <c r="D344" s="74">
        <f t="shared" si="71"/>
        <v>842</v>
      </c>
      <c r="E344" s="73">
        <f>VLOOKUP(B344,'114+840'!B345:AB345,3,FALSE)</f>
        <v>1837</v>
      </c>
      <c r="F344" s="70">
        <f t="shared" si="66"/>
        <v>2679</v>
      </c>
      <c r="G344" s="72">
        <f>VLOOKUP(B344,'114+840'!$B$15:$AB$516,20,FALSE)</f>
        <v>1719</v>
      </c>
      <c r="H344" s="72">
        <f>VLOOKUP(B344,'114+840'!$B$15:$AB$516,4,FALSE)</f>
        <v>40</v>
      </c>
      <c r="I344" s="69">
        <f t="shared" si="67"/>
        <v>2639</v>
      </c>
      <c r="J344" s="69">
        <f>VLOOKUP(B344,'114+840'!$B$15:$AB$516,13,FALSE)</f>
        <v>-361</v>
      </c>
      <c r="K344" s="67">
        <f>'114+840'!Q345</f>
        <v>0</v>
      </c>
      <c r="L344" s="66">
        <f t="shared" si="72"/>
        <v>281</v>
      </c>
      <c r="M344" s="71">
        <f>VLOOKUP(B344,'114+840'!$B$14:$AB$516,21,FALSE)</f>
        <v>1527</v>
      </c>
      <c r="N344" s="70">
        <f>VLOOKUP(B344,'114+840'!$B$15:$AB$516,5,FALSE)</f>
        <v>52</v>
      </c>
      <c r="O344" s="69">
        <f t="shared" si="68"/>
        <v>2627</v>
      </c>
      <c r="P344" s="69">
        <f>VLOOKUP(B344,'114+840'!$B$15:$AB$516,14,FALSE)</f>
        <v>-373</v>
      </c>
      <c r="Q344" s="67">
        <f>'114+840'!R345</f>
        <v>0</v>
      </c>
      <c r="R344" s="66">
        <f t="shared" si="73"/>
        <v>473</v>
      </c>
      <c r="S344" s="71">
        <f>VLOOKUP(B344,'114+840'!$B$14:$AB$516,22,FALSE)</f>
        <v>1742</v>
      </c>
      <c r="T344" s="70">
        <f>VLOOKUP(B344,'114+840'!$B$15:$AB$516,6,FALSE)</f>
        <v>327</v>
      </c>
      <c r="U344" s="69">
        <f t="shared" si="69"/>
        <v>2352</v>
      </c>
      <c r="V344" s="68">
        <f>VLOOKUP(B344,'114+840'!$B$15:$AB$516,15,FALSE)</f>
        <v>-648</v>
      </c>
      <c r="W344" s="67">
        <f>'114+840'!S345</f>
        <v>0</v>
      </c>
      <c r="X344" s="66">
        <f t="shared" si="74"/>
        <v>258</v>
      </c>
      <c r="Y344" s="65">
        <f t="shared" si="75"/>
        <v>0</v>
      </c>
      <c r="Z344" s="64">
        <f t="shared" si="76"/>
        <v>0</v>
      </c>
      <c r="AA344" s="63">
        <f t="shared" si="77"/>
        <v>2.3239999999999998</v>
      </c>
      <c r="AB344" s="63">
        <f t="shared" si="78"/>
        <v>0.95399999999999996</v>
      </c>
    </row>
    <row r="345" spans="2:28">
      <c r="B345" s="104">
        <f>'114+840'!B346</f>
        <v>45602</v>
      </c>
      <c r="C345" s="75">
        <f t="shared" si="70"/>
        <v>1</v>
      </c>
      <c r="D345" s="74">
        <f t="shared" si="71"/>
        <v>842</v>
      </c>
      <c r="E345" s="73">
        <f>VLOOKUP(B345,'114+840'!B346:AB346,3,FALSE)</f>
        <v>1839</v>
      </c>
      <c r="F345" s="70">
        <f t="shared" si="66"/>
        <v>2681</v>
      </c>
      <c r="G345" s="72">
        <f>VLOOKUP(B345,'114+840'!$B$15:$AB$516,20,FALSE)</f>
        <v>1719</v>
      </c>
      <c r="H345" s="72">
        <f>VLOOKUP(B345,'114+840'!$B$15:$AB$516,4,FALSE)</f>
        <v>42</v>
      </c>
      <c r="I345" s="69">
        <f t="shared" si="67"/>
        <v>2639</v>
      </c>
      <c r="J345" s="69">
        <f>VLOOKUP(B345,'114+840'!$B$15:$AB$516,13,FALSE)</f>
        <v>-361</v>
      </c>
      <c r="K345" s="67">
        <f>'114+840'!Q346</f>
        <v>0</v>
      </c>
      <c r="L345" s="66">
        <f t="shared" si="72"/>
        <v>281</v>
      </c>
      <c r="M345" s="71">
        <f>VLOOKUP(B345,'114+840'!$B$14:$AB$516,21,FALSE)</f>
        <v>1527</v>
      </c>
      <c r="N345" s="70">
        <f>VLOOKUP(B345,'114+840'!$B$15:$AB$516,5,FALSE)</f>
        <v>54</v>
      </c>
      <c r="O345" s="69">
        <f t="shared" si="68"/>
        <v>2627</v>
      </c>
      <c r="P345" s="69">
        <f>VLOOKUP(B345,'114+840'!$B$15:$AB$516,14,FALSE)</f>
        <v>-373</v>
      </c>
      <c r="Q345" s="67">
        <f>'114+840'!R346</f>
        <v>0</v>
      </c>
      <c r="R345" s="66">
        <f t="shared" si="73"/>
        <v>473</v>
      </c>
      <c r="S345" s="71">
        <f>VLOOKUP(B345,'114+840'!$B$14:$AB$516,22,FALSE)</f>
        <v>1742</v>
      </c>
      <c r="T345" s="70">
        <f>VLOOKUP(B345,'114+840'!$B$15:$AB$516,6,FALSE)</f>
        <v>329</v>
      </c>
      <c r="U345" s="69">
        <f t="shared" si="69"/>
        <v>2352</v>
      </c>
      <c r="V345" s="68">
        <f>VLOOKUP(B345,'114+840'!$B$15:$AB$516,15,FALSE)</f>
        <v>-648</v>
      </c>
      <c r="W345" s="67">
        <f>'114+840'!S346</f>
        <v>0</v>
      </c>
      <c r="X345" s="66">
        <f t="shared" si="74"/>
        <v>258</v>
      </c>
      <c r="Y345" s="65">
        <f t="shared" si="75"/>
        <v>0</v>
      </c>
      <c r="Z345" s="64">
        <f t="shared" si="76"/>
        <v>0</v>
      </c>
      <c r="AA345" s="63">
        <f t="shared" si="77"/>
        <v>2.3239999999999998</v>
      </c>
      <c r="AB345" s="63">
        <f t="shared" si="78"/>
        <v>0.95399999999999996</v>
      </c>
    </row>
    <row r="346" spans="2:28">
      <c r="B346" s="104">
        <f>'114+840'!B347</f>
        <v>45603</v>
      </c>
      <c r="C346" s="75">
        <f t="shared" si="70"/>
        <v>1</v>
      </c>
      <c r="D346" s="74">
        <f t="shared" si="71"/>
        <v>842</v>
      </c>
      <c r="E346" s="73">
        <f>VLOOKUP(B346,'114+840'!B347:AB347,3,FALSE)</f>
        <v>1841</v>
      </c>
      <c r="F346" s="70">
        <f t="shared" si="66"/>
        <v>2683</v>
      </c>
      <c r="G346" s="72">
        <f>VLOOKUP(B346,'114+840'!$B$15:$AB$516,20,FALSE)</f>
        <v>1719</v>
      </c>
      <c r="H346" s="72">
        <f>VLOOKUP(B346,'114+840'!$B$15:$AB$516,4,FALSE)</f>
        <v>44</v>
      </c>
      <c r="I346" s="69">
        <f t="shared" si="67"/>
        <v>2639</v>
      </c>
      <c r="J346" s="69">
        <f>VLOOKUP(B346,'114+840'!$B$15:$AB$516,13,FALSE)</f>
        <v>-361</v>
      </c>
      <c r="K346" s="67">
        <f>'114+840'!Q347</f>
        <v>0</v>
      </c>
      <c r="L346" s="66">
        <f t="shared" si="72"/>
        <v>281</v>
      </c>
      <c r="M346" s="71">
        <f>VLOOKUP(B346,'114+840'!$B$14:$AB$516,21,FALSE)</f>
        <v>1527</v>
      </c>
      <c r="N346" s="70">
        <f>VLOOKUP(B346,'114+840'!$B$15:$AB$516,5,FALSE)</f>
        <v>56</v>
      </c>
      <c r="O346" s="69">
        <f t="shared" si="68"/>
        <v>2627</v>
      </c>
      <c r="P346" s="69">
        <f>VLOOKUP(B346,'114+840'!$B$15:$AB$516,14,FALSE)</f>
        <v>-373</v>
      </c>
      <c r="Q346" s="67">
        <f>'114+840'!R347</f>
        <v>0</v>
      </c>
      <c r="R346" s="66">
        <f t="shared" si="73"/>
        <v>473</v>
      </c>
      <c r="S346" s="71">
        <f>VLOOKUP(B346,'114+840'!$B$14:$AB$516,22,FALSE)</f>
        <v>1742</v>
      </c>
      <c r="T346" s="70">
        <f>VLOOKUP(B346,'114+840'!$B$15:$AB$516,6,FALSE)</f>
        <v>331</v>
      </c>
      <c r="U346" s="69">
        <f t="shared" si="69"/>
        <v>2352</v>
      </c>
      <c r="V346" s="68">
        <f>VLOOKUP(B346,'114+840'!$B$15:$AB$516,15,FALSE)</f>
        <v>-648</v>
      </c>
      <c r="W346" s="67">
        <f>'114+840'!S347</f>
        <v>0</v>
      </c>
      <c r="X346" s="66">
        <f t="shared" si="74"/>
        <v>258</v>
      </c>
      <c r="Y346" s="65">
        <f t="shared" si="75"/>
        <v>0</v>
      </c>
      <c r="Z346" s="64">
        <f t="shared" si="76"/>
        <v>0</v>
      </c>
      <c r="AA346" s="63">
        <f t="shared" si="77"/>
        <v>2.3239999999999998</v>
      </c>
      <c r="AB346" s="63">
        <f t="shared" si="78"/>
        <v>0.95399999999999996</v>
      </c>
    </row>
    <row r="347" spans="2:28">
      <c r="B347" s="104">
        <f>'114+840'!B348</f>
        <v>45604</v>
      </c>
      <c r="C347" s="75">
        <f t="shared" si="70"/>
        <v>1</v>
      </c>
      <c r="D347" s="74">
        <f t="shared" si="71"/>
        <v>842</v>
      </c>
      <c r="E347" s="73">
        <f>VLOOKUP(B347,'114+840'!B348:AB348,3,FALSE)</f>
        <v>1843</v>
      </c>
      <c r="F347" s="70">
        <f t="shared" si="66"/>
        <v>2685</v>
      </c>
      <c r="G347" s="72">
        <f>VLOOKUP(B347,'114+840'!$B$15:$AB$516,20,FALSE)</f>
        <v>1719</v>
      </c>
      <c r="H347" s="72">
        <f>VLOOKUP(B347,'114+840'!$B$15:$AB$516,4,FALSE)</f>
        <v>46</v>
      </c>
      <c r="I347" s="69">
        <f t="shared" si="67"/>
        <v>2639</v>
      </c>
      <c r="J347" s="69">
        <f>VLOOKUP(B347,'114+840'!$B$15:$AB$516,13,FALSE)</f>
        <v>-361</v>
      </c>
      <c r="K347" s="67">
        <f>'114+840'!Q348</f>
        <v>0</v>
      </c>
      <c r="L347" s="66">
        <f t="shared" si="72"/>
        <v>281</v>
      </c>
      <c r="M347" s="71">
        <f>VLOOKUP(B347,'114+840'!$B$14:$AB$516,21,FALSE)</f>
        <v>1527</v>
      </c>
      <c r="N347" s="70">
        <f>VLOOKUP(B347,'114+840'!$B$15:$AB$516,5,FALSE)</f>
        <v>58</v>
      </c>
      <c r="O347" s="69">
        <f t="shared" si="68"/>
        <v>2627</v>
      </c>
      <c r="P347" s="69">
        <f>VLOOKUP(B347,'114+840'!$B$15:$AB$516,14,FALSE)</f>
        <v>-373</v>
      </c>
      <c r="Q347" s="67">
        <f>'114+840'!R348</f>
        <v>0</v>
      </c>
      <c r="R347" s="66">
        <f t="shared" si="73"/>
        <v>473</v>
      </c>
      <c r="S347" s="71">
        <f>VLOOKUP(B347,'114+840'!$B$14:$AB$516,22,FALSE)</f>
        <v>1742</v>
      </c>
      <c r="T347" s="70">
        <f>VLOOKUP(B347,'114+840'!$B$15:$AB$516,6,FALSE)</f>
        <v>333</v>
      </c>
      <c r="U347" s="69">
        <f t="shared" si="69"/>
        <v>2352</v>
      </c>
      <c r="V347" s="68">
        <f>VLOOKUP(B347,'114+840'!$B$15:$AB$516,15,FALSE)</f>
        <v>-648</v>
      </c>
      <c r="W347" s="67">
        <f>'114+840'!S348</f>
        <v>0</v>
      </c>
      <c r="X347" s="66">
        <f t="shared" si="74"/>
        <v>258</v>
      </c>
      <c r="Y347" s="65">
        <f t="shared" si="75"/>
        <v>0</v>
      </c>
      <c r="Z347" s="64">
        <f t="shared" si="76"/>
        <v>0</v>
      </c>
      <c r="AA347" s="63">
        <f t="shared" si="77"/>
        <v>2.3239999999999998</v>
      </c>
      <c r="AB347" s="63">
        <f t="shared" si="78"/>
        <v>0.95399999999999996</v>
      </c>
    </row>
    <row r="348" spans="2:28">
      <c r="B348" s="104">
        <f>'114+840'!B349</f>
        <v>45605</v>
      </c>
      <c r="C348" s="75">
        <f t="shared" si="70"/>
        <v>1</v>
      </c>
      <c r="D348" s="74">
        <f t="shared" si="71"/>
        <v>842</v>
      </c>
      <c r="E348" s="73">
        <f>VLOOKUP(B348,'114+840'!B349:AB349,3,FALSE)</f>
        <v>1845</v>
      </c>
      <c r="F348" s="70">
        <f t="shared" si="66"/>
        <v>2687</v>
      </c>
      <c r="G348" s="72">
        <f>VLOOKUP(B348,'114+840'!$B$15:$AB$516,20,FALSE)</f>
        <v>1719</v>
      </c>
      <c r="H348" s="72">
        <f>VLOOKUP(B348,'114+840'!$B$15:$AB$516,4,FALSE)</f>
        <v>48</v>
      </c>
      <c r="I348" s="69">
        <f t="shared" si="67"/>
        <v>2639</v>
      </c>
      <c r="J348" s="69">
        <f>VLOOKUP(B348,'114+840'!$B$15:$AB$516,13,FALSE)</f>
        <v>-361</v>
      </c>
      <c r="K348" s="67">
        <f>'114+840'!Q349</f>
        <v>0</v>
      </c>
      <c r="L348" s="66">
        <f t="shared" si="72"/>
        <v>281</v>
      </c>
      <c r="M348" s="71">
        <f>VLOOKUP(B348,'114+840'!$B$14:$AB$516,21,FALSE)</f>
        <v>1527</v>
      </c>
      <c r="N348" s="70">
        <f>VLOOKUP(B348,'114+840'!$B$15:$AB$516,5,FALSE)</f>
        <v>60</v>
      </c>
      <c r="O348" s="69">
        <f t="shared" si="68"/>
        <v>2627</v>
      </c>
      <c r="P348" s="69">
        <f>VLOOKUP(B348,'114+840'!$B$15:$AB$516,14,FALSE)</f>
        <v>-373</v>
      </c>
      <c r="Q348" s="67">
        <f>'114+840'!R349</f>
        <v>0</v>
      </c>
      <c r="R348" s="66">
        <f t="shared" si="73"/>
        <v>473</v>
      </c>
      <c r="S348" s="71">
        <f>VLOOKUP(B348,'114+840'!$B$14:$AB$516,22,FALSE)</f>
        <v>1742</v>
      </c>
      <c r="T348" s="70">
        <f>VLOOKUP(B348,'114+840'!$B$15:$AB$516,6,FALSE)</f>
        <v>335</v>
      </c>
      <c r="U348" s="69">
        <f t="shared" si="69"/>
        <v>2352</v>
      </c>
      <c r="V348" s="68">
        <f>VLOOKUP(B348,'114+840'!$B$15:$AB$516,15,FALSE)</f>
        <v>-648</v>
      </c>
      <c r="W348" s="67">
        <f>'114+840'!S349</f>
        <v>0</v>
      </c>
      <c r="X348" s="66">
        <f t="shared" si="74"/>
        <v>258</v>
      </c>
      <c r="Y348" s="65">
        <f t="shared" si="75"/>
        <v>0</v>
      </c>
      <c r="Z348" s="64">
        <f t="shared" si="76"/>
        <v>0</v>
      </c>
      <c r="AA348" s="63">
        <f t="shared" si="77"/>
        <v>2.3239999999999998</v>
      </c>
      <c r="AB348" s="63">
        <f t="shared" si="78"/>
        <v>0.95399999999999996</v>
      </c>
    </row>
    <row r="349" spans="2:28">
      <c r="B349" s="104">
        <f>'114+840'!B350</f>
        <v>45606</v>
      </c>
      <c r="C349" s="75">
        <f t="shared" si="70"/>
        <v>1</v>
      </c>
      <c r="D349" s="74">
        <f t="shared" si="71"/>
        <v>842</v>
      </c>
      <c r="E349" s="73">
        <f>VLOOKUP(B349,'114+840'!B350:AB350,3,FALSE)</f>
        <v>1847</v>
      </c>
      <c r="F349" s="70">
        <f t="shared" si="66"/>
        <v>2689</v>
      </c>
      <c r="G349" s="72">
        <f>VLOOKUP(B349,'114+840'!$B$15:$AB$516,20,FALSE)</f>
        <v>1719</v>
      </c>
      <c r="H349" s="72">
        <f>VLOOKUP(B349,'114+840'!$B$15:$AB$516,4,FALSE)</f>
        <v>50</v>
      </c>
      <c r="I349" s="69">
        <f t="shared" si="67"/>
        <v>2639</v>
      </c>
      <c r="J349" s="69">
        <f>VLOOKUP(B349,'114+840'!$B$15:$AB$516,13,FALSE)</f>
        <v>-361</v>
      </c>
      <c r="K349" s="67">
        <f>'114+840'!Q350</f>
        <v>0</v>
      </c>
      <c r="L349" s="66">
        <f t="shared" si="72"/>
        <v>281</v>
      </c>
      <c r="M349" s="71">
        <f>VLOOKUP(B349,'114+840'!$B$14:$AB$516,21,FALSE)</f>
        <v>1527</v>
      </c>
      <c r="N349" s="70">
        <f>VLOOKUP(B349,'114+840'!$B$15:$AB$516,5,FALSE)</f>
        <v>62</v>
      </c>
      <c r="O349" s="69">
        <f t="shared" si="68"/>
        <v>2627</v>
      </c>
      <c r="P349" s="69">
        <f>VLOOKUP(B349,'114+840'!$B$15:$AB$516,14,FALSE)</f>
        <v>-373</v>
      </c>
      <c r="Q349" s="67">
        <f>'114+840'!R350</f>
        <v>0</v>
      </c>
      <c r="R349" s="66">
        <f t="shared" si="73"/>
        <v>473</v>
      </c>
      <c r="S349" s="71">
        <f>VLOOKUP(B349,'114+840'!$B$14:$AB$516,22,FALSE)</f>
        <v>1742</v>
      </c>
      <c r="T349" s="70">
        <f>VLOOKUP(B349,'114+840'!$B$15:$AB$516,6,FALSE)</f>
        <v>337</v>
      </c>
      <c r="U349" s="69">
        <f t="shared" si="69"/>
        <v>2352</v>
      </c>
      <c r="V349" s="68">
        <f>VLOOKUP(B349,'114+840'!$B$15:$AB$516,15,FALSE)</f>
        <v>-648</v>
      </c>
      <c r="W349" s="67">
        <f>'114+840'!S350</f>
        <v>0</v>
      </c>
      <c r="X349" s="66">
        <f t="shared" si="74"/>
        <v>258</v>
      </c>
      <c r="Y349" s="65">
        <f t="shared" si="75"/>
        <v>0</v>
      </c>
      <c r="Z349" s="64">
        <f t="shared" si="76"/>
        <v>0</v>
      </c>
      <c r="AA349" s="63">
        <f t="shared" si="77"/>
        <v>2.3239999999999998</v>
      </c>
      <c r="AB349" s="63">
        <f t="shared" si="78"/>
        <v>0.95399999999999996</v>
      </c>
    </row>
    <row r="350" spans="2:28">
      <c r="B350" s="104">
        <f>'114+840'!B351</f>
        <v>45607</v>
      </c>
      <c r="C350" s="75">
        <f t="shared" si="70"/>
        <v>1</v>
      </c>
      <c r="D350" s="74">
        <f t="shared" si="71"/>
        <v>842</v>
      </c>
      <c r="E350" s="73">
        <f>VLOOKUP(B350,'114+840'!B351:AB351,3,FALSE)</f>
        <v>1849</v>
      </c>
      <c r="F350" s="70">
        <f t="shared" si="66"/>
        <v>2691</v>
      </c>
      <c r="G350" s="72">
        <f>VLOOKUP(B350,'114+840'!$B$15:$AB$516,20,FALSE)</f>
        <v>1719</v>
      </c>
      <c r="H350" s="72">
        <f>VLOOKUP(B350,'114+840'!$B$15:$AB$516,4,FALSE)</f>
        <v>52</v>
      </c>
      <c r="I350" s="69">
        <f t="shared" si="67"/>
        <v>2639</v>
      </c>
      <c r="J350" s="69">
        <f>VLOOKUP(B350,'114+840'!$B$15:$AB$516,13,FALSE)</f>
        <v>-361</v>
      </c>
      <c r="K350" s="67">
        <f>'114+840'!Q351</f>
        <v>0</v>
      </c>
      <c r="L350" s="66">
        <f t="shared" si="72"/>
        <v>281</v>
      </c>
      <c r="M350" s="71">
        <f>VLOOKUP(B350,'114+840'!$B$14:$AB$516,21,FALSE)</f>
        <v>1527</v>
      </c>
      <c r="N350" s="70">
        <f>VLOOKUP(B350,'114+840'!$B$15:$AB$516,5,FALSE)</f>
        <v>64</v>
      </c>
      <c r="O350" s="69">
        <f t="shared" si="68"/>
        <v>2627</v>
      </c>
      <c r="P350" s="69">
        <f>VLOOKUP(B350,'114+840'!$B$15:$AB$516,14,FALSE)</f>
        <v>-373</v>
      </c>
      <c r="Q350" s="67">
        <f>'114+840'!R351</f>
        <v>0</v>
      </c>
      <c r="R350" s="66">
        <f t="shared" si="73"/>
        <v>473</v>
      </c>
      <c r="S350" s="71">
        <f>VLOOKUP(B350,'114+840'!$B$14:$AB$516,22,FALSE)</f>
        <v>1742</v>
      </c>
      <c r="T350" s="70">
        <f>VLOOKUP(B350,'114+840'!$B$15:$AB$516,6,FALSE)</f>
        <v>339</v>
      </c>
      <c r="U350" s="69">
        <f t="shared" si="69"/>
        <v>2352</v>
      </c>
      <c r="V350" s="68">
        <f>VLOOKUP(B350,'114+840'!$B$15:$AB$516,15,FALSE)</f>
        <v>-648</v>
      </c>
      <c r="W350" s="67">
        <f>'114+840'!S351</f>
        <v>0</v>
      </c>
      <c r="X350" s="66">
        <f t="shared" si="74"/>
        <v>258</v>
      </c>
      <c r="Y350" s="65">
        <f t="shared" si="75"/>
        <v>0</v>
      </c>
      <c r="Z350" s="64">
        <f t="shared" si="76"/>
        <v>0</v>
      </c>
      <c r="AA350" s="63">
        <f t="shared" si="77"/>
        <v>2.3239999999999998</v>
      </c>
      <c r="AB350" s="63">
        <f t="shared" si="78"/>
        <v>0.95399999999999996</v>
      </c>
    </row>
    <row r="351" spans="2:28">
      <c r="B351" s="104">
        <f>'114+840'!B352</f>
        <v>45608</v>
      </c>
      <c r="C351" s="75">
        <f t="shared" si="70"/>
        <v>1</v>
      </c>
      <c r="D351" s="74">
        <f t="shared" si="71"/>
        <v>842</v>
      </c>
      <c r="E351" s="73">
        <f>VLOOKUP(B351,'114+840'!B352:AB352,3,FALSE)</f>
        <v>1851</v>
      </c>
      <c r="F351" s="70">
        <f t="shared" si="66"/>
        <v>2693</v>
      </c>
      <c r="G351" s="72">
        <f>VLOOKUP(B351,'114+840'!$B$15:$AB$516,20,FALSE)</f>
        <v>1719</v>
      </c>
      <c r="H351" s="72">
        <f>VLOOKUP(B351,'114+840'!$B$15:$AB$516,4,FALSE)</f>
        <v>54</v>
      </c>
      <c r="I351" s="69">
        <f t="shared" si="67"/>
        <v>2639</v>
      </c>
      <c r="J351" s="69">
        <f>VLOOKUP(B351,'114+840'!$B$15:$AB$516,13,FALSE)</f>
        <v>-361</v>
      </c>
      <c r="K351" s="67">
        <f>'114+840'!Q352</f>
        <v>0</v>
      </c>
      <c r="L351" s="66">
        <f t="shared" si="72"/>
        <v>281</v>
      </c>
      <c r="M351" s="71">
        <f>VLOOKUP(B351,'114+840'!$B$14:$AB$516,21,FALSE)</f>
        <v>1527</v>
      </c>
      <c r="N351" s="70">
        <f>VLOOKUP(B351,'114+840'!$B$15:$AB$516,5,FALSE)</f>
        <v>66</v>
      </c>
      <c r="O351" s="69">
        <f t="shared" si="68"/>
        <v>2627</v>
      </c>
      <c r="P351" s="69">
        <f>VLOOKUP(B351,'114+840'!$B$15:$AB$516,14,FALSE)</f>
        <v>-373</v>
      </c>
      <c r="Q351" s="67">
        <f>'114+840'!R352</f>
        <v>0</v>
      </c>
      <c r="R351" s="66">
        <f t="shared" si="73"/>
        <v>473</v>
      </c>
      <c r="S351" s="71">
        <f>VLOOKUP(B351,'114+840'!$B$14:$AB$516,22,FALSE)</f>
        <v>1742</v>
      </c>
      <c r="T351" s="70">
        <f>VLOOKUP(B351,'114+840'!$B$15:$AB$516,6,FALSE)</f>
        <v>341</v>
      </c>
      <c r="U351" s="69">
        <f t="shared" si="69"/>
        <v>2352</v>
      </c>
      <c r="V351" s="68">
        <f>VLOOKUP(B351,'114+840'!$B$15:$AB$516,15,FALSE)</f>
        <v>-648</v>
      </c>
      <c r="W351" s="67">
        <f>'114+840'!S352</f>
        <v>0</v>
      </c>
      <c r="X351" s="66">
        <f t="shared" si="74"/>
        <v>258</v>
      </c>
      <c r="Y351" s="65">
        <f t="shared" si="75"/>
        <v>0</v>
      </c>
      <c r="Z351" s="64">
        <f t="shared" si="76"/>
        <v>0</v>
      </c>
      <c r="AA351" s="63">
        <f t="shared" si="77"/>
        <v>2.3239999999999998</v>
      </c>
      <c r="AB351" s="63">
        <f t="shared" si="78"/>
        <v>0.95399999999999996</v>
      </c>
    </row>
    <row r="352" spans="2:28">
      <c r="B352" s="104">
        <f>'114+840'!B353</f>
        <v>45609</v>
      </c>
      <c r="C352" s="75">
        <f t="shared" si="70"/>
        <v>1</v>
      </c>
      <c r="D352" s="74">
        <f t="shared" si="71"/>
        <v>842</v>
      </c>
      <c r="E352" s="73">
        <f>VLOOKUP(B352,'114+840'!B353:AB353,3,FALSE)</f>
        <v>1853</v>
      </c>
      <c r="F352" s="70">
        <f t="shared" si="66"/>
        <v>2695</v>
      </c>
      <c r="G352" s="72">
        <f>VLOOKUP(B352,'114+840'!$B$15:$AB$516,20,FALSE)</f>
        <v>1719</v>
      </c>
      <c r="H352" s="72">
        <f>VLOOKUP(B352,'114+840'!$B$15:$AB$516,4,FALSE)</f>
        <v>56</v>
      </c>
      <c r="I352" s="69">
        <f t="shared" si="67"/>
        <v>2639</v>
      </c>
      <c r="J352" s="69">
        <f>VLOOKUP(B352,'114+840'!$B$15:$AB$516,13,FALSE)</f>
        <v>-361</v>
      </c>
      <c r="K352" s="67">
        <f>'114+840'!Q353</f>
        <v>0</v>
      </c>
      <c r="L352" s="66">
        <f t="shared" si="72"/>
        <v>281</v>
      </c>
      <c r="M352" s="71">
        <f>VLOOKUP(B352,'114+840'!$B$14:$AB$516,21,FALSE)</f>
        <v>1527</v>
      </c>
      <c r="N352" s="70">
        <f>VLOOKUP(B352,'114+840'!$B$15:$AB$516,5,FALSE)</f>
        <v>68</v>
      </c>
      <c r="O352" s="69">
        <f t="shared" si="68"/>
        <v>2627</v>
      </c>
      <c r="P352" s="69">
        <f>VLOOKUP(B352,'114+840'!$B$15:$AB$516,14,FALSE)</f>
        <v>-373</v>
      </c>
      <c r="Q352" s="67">
        <f>'114+840'!R353</f>
        <v>0</v>
      </c>
      <c r="R352" s="66">
        <f t="shared" si="73"/>
        <v>473</v>
      </c>
      <c r="S352" s="71">
        <f>VLOOKUP(B352,'114+840'!$B$14:$AB$516,22,FALSE)</f>
        <v>1742</v>
      </c>
      <c r="T352" s="70">
        <f>VLOOKUP(B352,'114+840'!$B$15:$AB$516,6,FALSE)</f>
        <v>343</v>
      </c>
      <c r="U352" s="69">
        <f t="shared" si="69"/>
        <v>2352</v>
      </c>
      <c r="V352" s="68">
        <f>VLOOKUP(B352,'114+840'!$B$15:$AB$516,15,FALSE)</f>
        <v>-648</v>
      </c>
      <c r="W352" s="67">
        <f>'114+840'!S353</f>
        <v>0</v>
      </c>
      <c r="X352" s="66">
        <f t="shared" si="74"/>
        <v>258</v>
      </c>
      <c r="Y352" s="65">
        <f t="shared" si="75"/>
        <v>0</v>
      </c>
      <c r="Z352" s="64">
        <f t="shared" si="76"/>
        <v>0</v>
      </c>
      <c r="AA352" s="63">
        <f t="shared" si="77"/>
        <v>2.3239999999999998</v>
      </c>
      <c r="AB352" s="63">
        <f t="shared" si="78"/>
        <v>0.95399999999999996</v>
      </c>
    </row>
    <row r="353" spans="2:28">
      <c r="B353" s="104">
        <f>'114+840'!B354</f>
        <v>45610</v>
      </c>
      <c r="C353" s="75">
        <f t="shared" si="70"/>
        <v>1</v>
      </c>
      <c r="D353" s="74">
        <f t="shared" si="71"/>
        <v>842</v>
      </c>
      <c r="E353" s="73">
        <f>VLOOKUP(B353,'114+840'!B354:AB354,3,FALSE)</f>
        <v>1855</v>
      </c>
      <c r="F353" s="70">
        <f t="shared" si="66"/>
        <v>2697</v>
      </c>
      <c r="G353" s="72">
        <f>VLOOKUP(B353,'114+840'!$B$15:$AB$516,20,FALSE)</f>
        <v>1719</v>
      </c>
      <c r="H353" s="72">
        <f>VLOOKUP(B353,'114+840'!$B$15:$AB$516,4,FALSE)</f>
        <v>58</v>
      </c>
      <c r="I353" s="69">
        <f t="shared" si="67"/>
        <v>2639</v>
      </c>
      <c r="J353" s="69">
        <f>VLOOKUP(B353,'114+840'!$B$15:$AB$516,13,FALSE)</f>
        <v>-361</v>
      </c>
      <c r="K353" s="67">
        <f>'114+840'!Q354</f>
        <v>0</v>
      </c>
      <c r="L353" s="66">
        <f t="shared" si="72"/>
        <v>281</v>
      </c>
      <c r="M353" s="71">
        <f>VLOOKUP(B353,'114+840'!$B$14:$AB$516,21,FALSE)</f>
        <v>1527</v>
      </c>
      <c r="N353" s="70">
        <f>VLOOKUP(B353,'114+840'!$B$15:$AB$516,5,FALSE)</f>
        <v>70</v>
      </c>
      <c r="O353" s="69">
        <f t="shared" si="68"/>
        <v>2627</v>
      </c>
      <c r="P353" s="69">
        <f>VLOOKUP(B353,'114+840'!$B$15:$AB$516,14,FALSE)</f>
        <v>-373</v>
      </c>
      <c r="Q353" s="67">
        <f>'114+840'!R354</f>
        <v>0</v>
      </c>
      <c r="R353" s="66">
        <f t="shared" si="73"/>
        <v>473</v>
      </c>
      <c r="S353" s="71">
        <f>VLOOKUP(B353,'114+840'!$B$14:$AB$516,22,FALSE)</f>
        <v>1742</v>
      </c>
      <c r="T353" s="70">
        <f>VLOOKUP(B353,'114+840'!$B$15:$AB$516,6,FALSE)</f>
        <v>345</v>
      </c>
      <c r="U353" s="69">
        <f t="shared" si="69"/>
        <v>2352</v>
      </c>
      <c r="V353" s="68">
        <f>VLOOKUP(B353,'114+840'!$B$15:$AB$516,15,FALSE)</f>
        <v>-648</v>
      </c>
      <c r="W353" s="67">
        <f>'114+840'!S354</f>
        <v>0</v>
      </c>
      <c r="X353" s="66">
        <f t="shared" si="74"/>
        <v>258</v>
      </c>
      <c r="Y353" s="65">
        <f t="shared" si="75"/>
        <v>0</v>
      </c>
      <c r="Z353" s="64">
        <f t="shared" si="76"/>
        <v>0</v>
      </c>
      <c r="AA353" s="63">
        <f t="shared" si="77"/>
        <v>2.3239999999999998</v>
      </c>
      <c r="AB353" s="63">
        <f t="shared" si="78"/>
        <v>0.95399999999999996</v>
      </c>
    </row>
    <row r="354" spans="2:28">
      <c r="B354" s="104">
        <f>'114+840'!B355</f>
        <v>45611</v>
      </c>
      <c r="C354" s="75">
        <f t="shared" si="70"/>
        <v>1</v>
      </c>
      <c r="D354" s="74">
        <f t="shared" si="71"/>
        <v>842</v>
      </c>
      <c r="E354" s="73">
        <f>VLOOKUP(B354,'114+840'!B355:AB355,3,FALSE)</f>
        <v>1857</v>
      </c>
      <c r="F354" s="70">
        <f t="shared" si="66"/>
        <v>2699</v>
      </c>
      <c r="G354" s="72">
        <f>VLOOKUP(B354,'114+840'!$B$15:$AB$516,20,FALSE)</f>
        <v>1719</v>
      </c>
      <c r="H354" s="72">
        <f>VLOOKUP(B354,'114+840'!$B$15:$AB$516,4,FALSE)</f>
        <v>60</v>
      </c>
      <c r="I354" s="69">
        <f t="shared" si="67"/>
        <v>2639</v>
      </c>
      <c r="J354" s="69">
        <f>VLOOKUP(B354,'114+840'!$B$15:$AB$516,13,FALSE)</f>
        <v>-361</v>
      </c>
      <c r="K354" s="67">
        <f>'114+840'!Q355</f>
        <v>0</v>
      </c>
      <c r="L354" s="66">
        <f t="shared" si="72"/>
        <v>281</v>
      </c>
      <c r="M354" s="71">
        <f>VLOOKUP(B354,'114+840'!$B$14:$AB$516,21,FALSE)</f>
        <v>1527</v>
      </c>
      <c r="N354" s="70">
        <f>VLOOKUP(B354,'114+840'!$B$15:$AB$516,5,FALSE)</f>
        <v>72</v>
      </c>
      <c r="O354" s="69">
        <f t="shared" si="68"/>
        <v>2627</v>
      </c>
      <c r="P354" s="69">
        <f>VLOOKUP(B354,'114+840'!$B$15:$AB$516,14,FALSE)</f>
        <v>-373</v>
      </c>
      <c r="Q354" s="67">
        <f>'114+840'!R355</f>
        <v>0</v>
      </c>
      <c r="R354" s="66">
        <f t="shared" si="73"/>
        <v>473</v>
      </c>
      <c r="S354" s="71">
        <f>VLOOKUP(B354,'114+840'!$B$14:$AB$516,22,FALSE)</f>
        <v>1742</v>
      </c>
      <c r="T354" s="70">
        <f>VLOOKUP(B354,'114+840'!$B$15:$AB$516,6,FALSE)</f>
        <v>347</v>
      </c>
      <c r="U354" s="69">
        <f t="shared" si="69"/>
        <v>2352</v>
      </c>
      <c r="V354" s="68">
        <f>VLOOKUP(B354,'114+840'!$B$15:$AB$516,15,FALSE)</f>
        <v>-648</v>
      </c>
      <c r="W354" s="67">
        <f>'114+840'!S355</f>
        <v>0</v>
      </c>
      <c r="X354" s="66">
        <f t="shared" si="74"/>
        <v>258</v>
      </c>
      <c r="Y354" s="65">
        <f t="shared" si="75"/>
        <v>0</v>
      </c>
      <c r="Z354" s="64">
        <f t="shared" si="76"/>
        <v>0</v>
      </c>
      <c r="AA354" s="63">
        <f t="shared" si="77"/>
        <v>2.3239999999999998</v>
      </c>
      <c r="AB354" s="63">
        <f t="shared" si="78"/>
        <v>0.95399999999999996</v>
      </c>
    </row>
    <row r="355" spans="2:28">
      <c r="B355" s="104">
        <f>'114+840'!B356</f>
        <v>45612</v>
      </c>
      <c r="C355" s="75">
        <f t="shared" si="70"/>
        <v>1</v>
      </c>
      <c r="D355" s="74">
        <f t="shared" si="71"/>
        <v>842</v>
      </c>
      <c r="E355" s="73">
        <f>VLOOKUP(B355,'114+840'!B356:AB356,3,FALSE)</f>
        <v>1859</v>
      </c>
      <c r="F355" s="70">
        <f t="shared" si="66"/>
        <v>2701</v>
      </c>
      <c r="G355" s="72">
        <f>VLOOKUP(B355,'114+840'!$B$15:$AB$516,20,FALSE)</f>
        <v>1719</v>
      </c>
      <c r="H355" s="72">
        <f>VLOOKUP(B355,'114+840'!$B$15:$AB$516,4,FALSE)</f>
        <v>62</v>
      </c>
      <c r="I355" s="69">
        <f t="shared" si="67"/>
        <v>2639</v>
      </c>
      <c r="J355" s="69">
        <f>VLOOKUP(B355,'114+840'!$B$15:$AB$516,13,FALSE)</f>
        <v>-361</v>
      </c>
      <c r="K355" s="67">
        <f>'114+840'!Q356</f>
        <v>0</v>
      </c>
      <c r="L355" s="66">
        <f t="shared" si="72"/>
        <v>281</v>
      </c>
      <c r="M355" s="71">
        <f>VLOOKUP(B355,'114+840'!$B$14:$AB$516,21,FALSE)</f>
        <v>1527</v>
      </c>
      <c r="N355" s="70">
        <f>VLOOKUP(B355,'114+840'!$B$15:$AB$516,5,FALSE)</f>
        <v>74</v>
      </c>
      <c r="O355" s="69">
        <f t="shared" si="68"/>
        <v>2627</v>
      </c>
      <c r="P355" s="69">
        <f>VLOOKUP(B355,'114+840'!$B$15:$AB$516,14,FALSE)</f>
        <v>-373</v>
      </c>
      <c r="Q355" s="67">
        <f>'114+840'!R356</f>
        <v>0</v>
      </c>
      <c r="R355" s="66">
        <f t="shared" si="73"/>
        <v>473</v>
      </c>
      <c r="S355" s="71">
        <f>VLOOKUP(B355,'114+840'!$B$14:$AB$516,22,FALSE)</f>
        <v>1742</v>
      </c>
      <c r="T355" s="70">
        <f>VLOOKUP(B355,'114+840'!$B$15:$AB$516,6,FALSE)</f>
        <v>349</v>
      </c>
      <c r="U355" s="69">
        <f t="shared" si="69"/>
        <v>2352</v>
      </c>
      <c r="V355" s="68">
        <f>VLOOKUP(B355,'114+840'!$B$15:$AB$516,15,FALSE)</f>
        <v>-648</v>
      </c>
      <c r="W355" s="67">
        <f>'114+840'!S356</f>
        <v>0</v>
      </c>
      <c r="X355" s="66">
        <f t="shared" si="74"/>
        <v>258</v>
      </c>
      <c r="Y355" s="65">
        <f t="shared" si="75"/>
        <v>0</v>
      </c>
      <c r="Z355" s="64">
        <f t="shared" si="76"/>
        <v>0</v>
      </c>
      <c r="AA355" s="63">
        <f t="shared" si="77"/>
        <v>2.3239999999999998</v>
      </c>
      <c r="AB355" s="63">
        <f t="shared" si="78"/>
        <v>0.95399999999999996</v>
      </c>
    </row>
    <row r="356" spans="2:28">
      <c r="B356" s="104">
        <f>'114+840'!B357</f>
        <v>45613</v>
      </c>
      <c r="C356" s="75">
        <f t="shared" si="70"/>
        <v>1</v>
      </c>
      <c r="D356" s="74">
        <f t="shared" si="71"/>
        <v>842</v>
      </c>
      <c r="E356" s="73">
        <f>VLOOKUP(B356,'114+840'!B357:AB357,3,FALSE)</f>
        <v>1861</v>
      </c>
      <c r="F356" s="70">
        <f t="shared" si="66"/>
        <v>2703</v>
      </c>
      <c r="G356" s="72">
        <f>VLOOKUP(B356,'114+840'!$B$15:$AB$516,20,FALSE)</f>
        <v>1719</v>
      </c>
      <c r="H356" s="72">
        <f>VLOOKUP(B356,'114+840'!$B$15:$AB$516,4,FALSE)</f>
        <v>64</v>
      </c>
      <c r="I356" s="69">
        <f t="shared" si="67"/>
        <v>2639</v>
      </c>
      <c r="J356" s="69">
        <f>VLOOKUP(B356,'114+840'!$B$15:$AB$516,13,FALSE)</f>
        <v>-361</v>
      </c>
      <c r="K356" s="67">
        <f>'114+840'!Q357</f>
        <v>0</v>
      </c>
      <c r="L356" s="66">
        <f t="shared" si="72"/>
        <v>281</v>
      </c>
      <c r="M356" s="71">
        <f>VLOOKUP(B356,'114+840'!$B$14:$AB$516,21,FALSE)</f>
        <v>1527</v>
      </c>
      <c r="N356" s="70">
        <f>VLOOKUP(B356,'114+840'!$B$15:$AB$516,5,FALSE)</f>
        <v>76</v>
      </c>
      <c r="O356" s="69">
        <f t="shared" si="68"/>
        <v>2627</v>
      </c>
      <c r="P356" s="69">
        <f>VLOOKUP(B356,'114+840'!$B$15:$AB$516,14,FALSE)</f>
        <v>-373</v>
      </c>
      <c r="Q356" s="67">
        <f>'114+840'!R357</f>
        <v>0</v>
      </c>
      <c r="R356" s="66">
        <f t="shared" si="73"/>
        <v>473</v>
      </c>
      <c r="S356" s="71">
        <f>VLOOKUP(B356,'114+840'!$B$14:$AB$516,22,FALSE)</f>
        <v>1742</v>
      </c>
      <c r="T356" s="70">
        <f>VLOOKUP(B356,'114+840'!$B$15:$AB$516,6,FALSE)</f>
        <v>351</v>
      </c>
      <c r="U356" s="69">
        <f t="shared" si="69"/>
        <v>2352</v>
      </c>
      <c r="V356" s="68">
        <f>VLOOKUP(B356,'114+840'!$B$15:$AB$516,15,FALSE)</f>
        <v>-648</v>
      </c>
      <c r="W356" s="67">
        <f>'114+840'!S357</f>
        <v>0</v>
      </c>
      <c r="X356" s="66">
        <f t="shared" si="74"/>
        <v>258</v>
      </c>
      <c r="Y356" s="65">
        <f t="shared" si="75"/>
        <v>0</v>
      </c>
      <c r="Z356" s="64">
        <f t="shared" si="76"/>
        <v>0</v>
      </c>
      <c r="AA356" s="63">
        <f t="shared" si="77"/>
        <v>2.3239999999999998</v>
      </c>
      <c r="AB356" s="63">
        <f t="shared" si="78"/>
        <v>0.95399999999999996</v>
      </c>
    </row>
    <row r="357" spans="2:28">
      <c r="B357" s="104">
        <f>'114+840'!B358</f>
        <v>45614</v>
      </c>
      <c r="C357" s="75">
        <f t="shared" si="70"/>
        <v>1</v>
      </c>
      <c r="D357" s="74">
        <f t="shared" si="71"/>
        <v>842</v>
      </c>
      <c r="E357" s="73">
        <f>VLOOKUP(B357,'114+840'!B358:AB358,3,FALSE)</f>
        <v>1863</v>
      </c>
      <c r="F357" s="70">
        <f t="shared" si="66"/>
        <v>2705</v>
      </c>
      <c r="G357" s="72">
        <f>VLOOKUP(B357,'114+840'!$B$15:$AB$516,20,FALSE)</f>
        <v>1719</v>
      </c>
      <c r="H357" s="72">
        <f>VLOOKUP(B357,'114+840'!$B$15:$AB$516,4,FALSE)</f>
        <v>66</v>
      </c>
      <c r="I357" s="69">
        <f t="shared" si="67"/>
        <v>2639</v>
      </c>
      <c r="J357" s="69">
        <f>VLOOKUP(B357,'114+840'!$B$15:$AB$516,13,FALSE)</f>
        <v>-361</v>
      </c>
      <c r="K357" s="67">
        <f>'114+840'!Q358</f>
        <v>0</v>
      </c>
      <c r="L357" s="66">
        <f t="shared" si="72"/>
        <v>281</v>
      </c>
      <c r="M357" s="71">
        <f>VLOOKUP(B357,'114+840'!$B$14:$AB$516,21,FALSE)</f>
        <v>1527</v>
      </c>
      <c r="N357" s="70">
        <f>VLOOKUP(B357,'114+840'!$B$15:$AB$516,5,FALSE)</f>
        <v>78</v>
      </c>
      <c r="O357" s="69">
        <f t="shared" si="68"/>
        <v>2627</v>
      </c>
      <c r="P357" s="69">
        <f>VLOOKUP(B357,'114+840'!$B$15:$AB$516,14,FALSE)</f>
        <v>-373</v>
      </c>
      <c r="Q357" s="67">
        <f>'114+840'!R358</f>
        <v>0</v>
      </c>
      <c r="R357" s="66">
        <f t="shared" si="73"/>
        <v>473</v>
      </c>
      <c r="S357" s="71">
        <f>VLOOKUP(B357,'114+840'!$B$14:$AB$516,22,FALSE)</f>
        <v>1742</v>
      </c>
      <c r="T357" s="70">
        <f>VLOOKUP(B357,'114+840'!$B$15:$AB$516,6,FALSE)</f>
        <v>353</v>
      </c>
      <c r="U357" s="69">
        <f t="shared" si="69"/>
        <v>2352</v>
      </c>
      <c r="V357" s="68">
        <f>VLOOKUP(B357,'114+840'!$B$15:$AB$516,15,FALSE)</f>
        <v>-648</v>
      </c>
      <c r="W357" s="67">
        <f>'114+840'!S358</f>
        <v>0</v>
      </c>
      <c r="X357" s="66">
        <f t="shared" si="74"/>
        <v>258</v>
      </c>
      <c r="Y357" s="65">
        <f t="shared" si="75"/>
        <v>0</v>
      </c>
      <c r="Z357" s="64">
        <f t="shared" si="76"/>
        <v>0</v>
      </c>
      <c r="AA357" s="63">
        <f t="shared" si="77"/>
        <v>2.3239999999999998</v>
      </c>
      <c r="AB357" s="63">
        <f t="shared" si="78"/>
        <v>0.95399999999999996</v>
      </c>
    </row>
    <row r="358" spans="2:28">
      <c r="B358" s="104">
        <f>'114+840'!B359</f>
        <v>45615</v>
      </c>
      <c r="C358" s="75">
        <f t="shared" si="70"/>
        <v>1</v>
      </c>
      <c r="D358" s="74">
        <f t="shared" si="71"/>
        <v>842</v>
      </c>
      <c r="E358" s="73">
        <f>VLOOKUP(B358,'114+840'!B359:AB359,3,FALSE)</f>
        <v>1865</v>
      </c>
      <c r="F358" s="70">
        <f t="shared" si="66"/>
        <v>2707</v>
      </c>
      <c r="G358" s="72">
        <f>VLOOKUP(B358,'114+840'!$B$15:$AB$516,20,FALSE)</f>
        <v>1719</v>
      </c>
      <c r="H358" s="72">
        <f>VLOOKUP(B358,'114+840'!$B$15:$AB$516,4,FALSE)</f>
        <v>68</v>
      </c>
      <c r="I358" s="69">
        <f t="shared" si="67"/>
        <v>2639</v>
      </c>
      <c r="J358" s="69">
        <f>VLOOKUP(B358,'114+840'!$B$15:$AB$516,13,FALSE)</f>
        <v>-361</v>
      </c>
      <c r="K358" s="67">
        <f>'114+840'!Q359</f>
        <v>0</v>
      </c>
      <c r="L358" s="66">
        <f t="shared" si="72"/>
        <v>281</v>
      </c>
      <c r="M358" s="71">
        <f>VLOOKUP(B358,'114+840'!$B$14:$AB$516,21,FALSE)</f>
        <v>1527</v>
      </c>
      <c r="N358" s="70">
        <f>VLOOKUP(B358,'114+840'!$B$15:$AB$516,5,FALSE)</f>
        <v>80</v>
      </c>
      <c r="O358" s="69">
        <f t="shared" si="68"/>
        <v>2627</v>
      </c>
      <c r="P358" s="69">
        <f>VLOOKUP(B358,'114+840'!$B$15:$AB$516,14,FALSE)</f>
        <v>-373</v>
      </c>
      <c r="Q358" s="67">
        <f>'114+840'!R359</f>
        <v>0</v>
      </c>
      <c r="R358" s="66">
        <f t="shared" si="73"/>
        <v>473</v>
      </c>
      <c r="S358" s="71">
        <f>VLOOKUP(B358,'114+840'!$B$14:$AB$516,22,FALSE)</f>
        <v>1742</v>
      </c>
      <c r="T358" s="70">
        <f>VLOOKUP(B358,'114+840'!$B$15:$AB$516,6,FALSE)</f>
        <v>355</v>
      </c>
      <c r="U358" s="69">
        <f t="shared" si="69"/>
        <v>2352</v>
      </c>
      <c r="V358" s="68">
        <f>VLOOKUP(B358,'114+840'!$B$15:$AB$516,15,FALSE)</f>
        <v>-648</v>
      </c>
      <c r="W358" s="67">
        <f>'114+840'!S359</f>
        <v>0</v>
      </c>
      <c r="X358" s="66">
        <f t="shared" si="74"/>
        <v>258</v>
      </c>
      <c r="Y358" s="65">
        <f t="shared" si="75"/>
        <v>0</v>
      </c>
      <c r="Z358" s="64">
        <f t="shared" si="76"/>
        <v>0</v>
      </c>
      <c r="AA358" s="63">
        <f t="shared" si="77"/>
        <v>2.3239999999999998</v>
      </c>
      <c r="AB358" s="63">
        <f t="shared" si="78"/>
        <v>0.95399999999999996</v>
      </c>
    </row>
    <row r="359" spans="2:28">
      <c r="B359" s="104">
        <f>'114+840'!B360</f>
        <v>45616</v>
      </c>
      <c r="C359" s="75">
        <f t="shared" si="70"/>
        <v>1</v>
      </c>
      <c r="D359" s="74">
        <f t="shared" si="71"/>
        <v>842</v>
      </c>
      <c r="E359" s="73">
        <f>VLOOKUP(B359,'114+840'!B360:AB360,3,FALSE)</f>
        <v>1867</v>
      </c>
      <c r="F359" s="70">
        <f t="shared" si="66"/>
        <v>2709</v>
      </c>
      <c r="G359" s="72">
        <f>VLOOKUP(B359,'114+840'!$B$15:$AB$516,20,FALSE)</f>
        <v>1719</v>
      </c>
      <c r="H359" s="72">
        <f>VLOOKUP(B359,'114+840'!$B$15:$AB$516,4,FALSE)</f>
        <v>70</v>
      </c>
      <c r="I359" s="69">
        <f t="shared" si="67"/>
        <v>2639</v>
      </c>
      <c r="J359" s="69">
        <f>VLOOKUP(B359,'114+840'!$B$15:$AB$516,13,FALSE)</f>
        <v>-361</v>
      </c>
      <c r="K359" s="67">
        <f>'114+840'!Q360</f>
        <v>0</v>
      </c>
      <c r="L359" s="66">
        <f t="shared" si="72"/>
        <v>281</v>
      </c>
      <c r="M359" s="71">
        <f>VLOOKUP(B359,'114+840'!$B$14:$AB$516,21,FALSE)</f>
        <v>1527</v>
      </c>
      <c r="N359" s="70">
        <f>VLOOKUP(B359,'114+840'!$B$15:$AB$516,5,FALSE)</f>
        <v>82</v>
      </c>
      <c r="O359" s="69">
        <f t="shared" si="68"/>
        <v>2627</v>
      </c>
      <c r="P359" s="69">
        <f>VLOOKUP(B359,'114+840'!$B$15:$AB$516,14,FALSE)</f>
        <v>-373</v>
      </c>
      <c r="Q359" s="67">
        <f>'114+840'!R360</f>
        <v>0</v>
      </c>
      <c r="R359" s="66">
        <f t="shared" si="73"/>
        <v>473</v>
      </c>
      <c r="S359" s="71">
        <f>VLOOKUP(B359,'114+840'!$B$14:$AB$516,22,FALSE)</f>
        <v>1742</v>
      </c>
      <c r="T359" s="70">
        <f>VLOOKUP(B359,'114+840'!$B$15:$AB$516,6,FALSE)</f>
        <v>357</v>
      </c>
      <c r="U359" s="69">
        <f t="shared" si="69"/>
        <v>2352</v>
      </c>
      <c r="V359" s="68">
        <f>VLOOKUP(B359,'114+840'!$B$15:$AB$516,15,FALSE)</f>
        <v>-648</v>
      </c>
      <c r="W359" s="67">
        <f>'114+840'!S360</f>
        <v>0</v>
      </c>
      <c r="X359" s="66">
        <f t="shared" si="74"/>
        <v>258</v>
      </c>
      <c r="Y359" s="65">
        <f t="shared" si="75"/>
        <v>0</v>
      </c>
      <c r="Z359" s="64">
        <f t="shared" si="76"/>
        <v>0</v>
      </c>
      <c r="AA359" s="63">
        <f t="shared" si="77"/>
        <v>2.3239999999999998</v>
      </c>
      <c r="AB359" s="63">
        <f t="shared" si="78"/>
        <v>0.95399999999999996</v>
      </c>
    </row>
    <row r="360" spans="2:28">
      <c r="B360" s="104">
        <f>'114+840'!B361</f>
        <v>45617</v>
      </c>
      <c r="C360" s="75">
        <f t="shared" si="70"/>
        <v>1</v>
      </c>
      <c r="D360" s="74">
        <f t="shared" si="71"/>
        <v>842</v>
      </c>
      <c r="E360" s="73">
        <f>VLOOKUP(B360,'114+840'!B361:AB361,3,FALSE)</f>
        <v>1869</v>
      </c>
      <c r="F360" s="70">
        <f t="shared" si="66"/>
        <v>2711</v>
      </c>
      <c r="G360" s="72">
        <f>VLOOKUP(B360,'114+840'!$B$15:$AB$516,20,FALSE)</f>
        <v>1719</v>
      </c>
      <c r="H360" s="72">
        <f>VLOOKUP(B360,'114+840'!$B$15:$AB$516,4,FALSE)</f>
        <v>72</v>
      </c>
      <c r="I360" s="69">
        <f t="shared" si="67"/>
        <v>2639</v>
      </c>
      <c r="J360" s="69">
        <f>VLOOKUP(B360,'114+840'!$B$15:$AB$516,13,FALSE)</f>
        <v>-361</v>
      </c>
      <c r="K360" s="67">
        <f>'114+840'!Q361</f>
        <v>0</v>
      </c>
      <c r="L360" s="66">
        <f t="shared" si="72"/>
        <v>281</v>
      </c>
      <c r="M360" s="71">
        <f>VLOOKUP(B360,'114+840'!$B$14:$AB$516,21,FALSE)</f>
        <v>1527</v>
      </c>
      <c r="N360" s="70">
        <f>VLOOKUP(B360,'114+840'!$B$15:$AB$516,5,FALSE)</f>
        <v>84</v>
      </c>
      <c r="O360" s="69">
        <f t="shared" si="68"/>
        <v>2627</v>
      </c>
      <c r="P360" s="69">
        <f>VLOOKUP(B360,'114+840'!$B$15:$AB$516,14,FALSE)</f>
        <v>-373</v>
      </c>
      <c r="Q360" s="67">
        <f>'114+840'!R361</f>
        <v>0</v>
      </c>
      <c r="R360" s="66">
        <f t="shared" si="73"/>
        <v>473</v>
      </c>
      <c r="S360" s="71">
        <f>VLOOKUP(B360,'114+840'!$B$14:$AB$516,22,FALSE)</f>
        <v>1742</v>
      </c>
      <c r="T360" s="70">
        <f>VLOOKUP(B360,'114+840'!$B$15:$AB$516,6,FALSE)</f>
        <v>359</v>
      </c>
      <c r="U360" s="69">
        <f t="shared" si="69"/>
        <v>2352</v>
      </c>
      <c r="V360" s="68">
        <f>VLOOKUP(B360,'114+840'!$B$15:$AB$516,15,FALSE)</f>
        <v>-648</v>
      </c>
      <c r="W360" s="67">
        <f>'114+840'!S361</f>
        <v>0</v>
      </c>
      <c r="X360" s="66">
        <f t="shared" si="74"/>
        <v>258</v>
      </c>
      <c r="Y360" s="65">
        <f t="shared" si="75"/>
        <v>0</v>
      </c>
      <c r="Z360" s="64">
        <f t="shared" si="76"/>
        <v>0</v>
      </c>
      <c r="AA360" s="63">
        <f t="shared" si="77"/>
        <v>2.3239999999999998</v>
      </c>
      <c r="AB360" s="63">
        <f t="shared" si="78"/>
        <v>0.95399999999999996</v>
      </c>
    </row>
    <row r="361" spans="2:28">
      <c r="B361" s="104">
        <f>'114+840'!B362</f>
        <v>45618</v>
      </c>
      <c r="C361" s="75">
        <f t="shared" si="70"/>
        <v>1</v>
      </c>
      <c r="D361" s="74">
        <f t="shared" si="71"/>
        <v>842</v>
      </c>
      <c r="E361" s="73">
        <f>VLOOKUP(B361,'114+840'!B362:AB362,3,FALSE)</f>
        <v>1871</v>
      </c>
      <c r="F361" s="70">
        <f t="shared" si="66"/>
        <v>2713</v>
      </c>
      <c r="G361" s="72">
        <f>VLOOKUP(B361,'114+840'!$B$15:$AB$516,20,FALSE)</f>
        <v>1719</v>
      </c>
      <c r="H361" s="72">
        <f>VLOOKUP(B361,'114+840'!$B$15:$AB$516,4,FALSE)</f>
        <v>74</v>
      </c>
      <c r="I361" s="69">
        <f t="shared" si="67"/>
        <v>2639</v>
      </c>
      <c r="J361" s="69">
        <f>VLOOKUP(B361,'114+840'!$B$15:$AB$516,13,FALSE)</f>
        <v>-361</v>
      </c>
      <c r="K361" s="67">
        <f>'114+840'!Q362</f>
        <v>0</v>
      </c>
      <c r="L361" s="66">
        <f t="shared" si="72"/>
        <v>281</v>
      </c>
      <c r="M361" s="71">
        <f>VLOOKUP(B361,'114+840'!$B$14:$AB$516,21,FALSE)</f>
        <v>1527</v>
      </c>
      <c r="N361" s="70">
        <f>VLOOKUP(B361,'114+840'!$B$15:$AB$516,5,FALSE)</f>
        <v>86</v>
      </c>
      <c r="O361" s="69">
        <f t="shared" si="68"/>
        <v>2627</v>
      </c>
      <c r="P361" s="69">
        <f>VLOOKUP(B361,'114+840'!$B$15:$AB$516,14,FALSE)</f>
        <v>-373</v>
      </c>
      <c r="Q361" s="67">
        <f>'114+840'!R362</f>
        <v>0</v>
      </c>
      <c r="R361" s="66">
        <f t="shared" si="73"/>
        <v>473</v>
      </c>
      <c r="S361" s="71">
        <f>VLOOKUP(B361,'114+840'!$B$14:$AB$516,22,FALSE)</f>
        <v>1742</v>
      </c>
      <c r="T361" s="70">
        <f>VLOOKUP(B361,'114+840'!$B$15:$AB$516,6,FALSE)</f>
        <v>361</v>
      </c>
      <c r="U361" s="69">
        <f t="shared" si="69"/>
        <v>2352</v>
      </c>
      <c r="V361" s="68">
        <f>VLOOKUP(B361,'114+840'!$B$15:$AB$516,15,FALSE)</f>
        <v>-648</v>
      </c>
      <c r="W361" s="67">
        <f>'114+840'!S362</f>
        <v>0</v>
      </c>
      <c r="X361" s="66">
        <f t="shared" si="74"/>
        <v>258</v>
      </c>
      <c r="Y361" s="65">
        <f t="shared" si="75"/>
        <v>0</v>
      </c>
      <c r="Z361" s="64">
        <f t="shared" si="76"/>
        <v>0</v>
      </c>
      <c r="AA361" s="63">
        <f t="shared" si="77"/>
        <v>2.3239999999999998</v>
      </c>
      <c r="AB361" s="63">
        <f t="shared" si="78"/>
        <v>0.95399999999999996</v>
      </c>
    </row>
    <row r="362" spans="2:28">
      <c r="B362" s="104">
        <f>'114+840'!B363</f>
        <v>45619</v>
      </c>
      <c r="C362" s="75">
        <f t="shared" si="70"/>
        <v>1</v>
      </c>
      <c r="D362" s="74">
        <f t="shared" si="71"/>
        <v>842</v>
      </c>
      <c r="E362" s="73">
        <f>VLOOKUP(B362,'114+840'!B363:AB363,3,FALSE)</f>
        <v>1873</v>
      </c>
      <c r="F362" s="70">
        <f t="shared" si="66"/>
        <v>2715</v>
      </c>
      <c r="G362" s="72">
        <f>VLOOKUP(B362,'114+840'!$B$15:$AB$516,20,FALSE)</f>
        <v>1719</v>
      </c>
      <c r="H362" s="72">
        <f>VLOOKUP(B362,'114+840'!$B$15:$AB$516,4,FALSE)</f>
        <v>76</v>
      </c>
      <c r="I362" s="69">
        <f t="shared" si="67"/>
        <v>2639</v>
      </c>
      <c r="J362" s="69">
        <f>VLOOKUP(B362,'114+840'!$B$15:$AB$516,13,FALSE)</f>
        <v>-361</v>
      </c>
      <c r="K362" s="67">
        <f>'114+840'!Q363</f>
        <v>0</v>
      </c>
      <c r="L362" s="66">
        <f t="shared" si="72"/>
        <v>281</v>
      </c>
      <c r="M362" s="71">
        <f>VLOOKUP(B362,'114+840'!$B$14:$AB$516,21,FALSE)</f>
        <v>1527</v>
      </c>
      <c r="N362" s="70">
        <f>VLOOKUP(B362,'114+840'!$B$15:$AB$516,5,FALSE)</f>
        <v>88</v>
      </c>
      <c r="O362" s="69">
        <f t="shared" si="68"/>
        <v>2627</v>
      </c>
      <c r="P362" s="69">
        <f>VLOOKUP(B362,'114+840'!$B$15:$AB$516,14,FALSE)</f>
        <v>-373</v>
      </c>
      <c r="Q362" s="67">
        <f>'114+840'!R363</f>
        <v>0</v>
      </c>
      <c r="R362" s="66">
        <f t="shared" si="73"/>
        <v>473</v>
      </c>
      <c r="S362" s="71">
        <f>VLOOKUP(B362,'114+840'!$B$14:$AB$516,22,FALSE)</f>
        <v>1742</v>
      </c>
      <c r="T362" s="70">
        <f>VLOOKUP(B362,'114+840'!$B$15:$AB$516,6,FALSE)</f>
        <v>363</v>
      </c>
      <c r="U362" s="69">
        <f t="shared" si="69"/>
        <v>2352</v>
      </c>
      <c r="V362" s="68">
        <f>VLOOKUP(B362,'114+840'!$B$15:$AB$516,15,FALSE)</f>
        <v>-648</v>
      </c>
      <c r="W362" s="67">
        <f>'114+840'!S363</f>
        <v>0</v>
      </c>
      <c r="X362" s="66">
        <f t="shared" si="74"/>
        <v>258</v>
      </c>
      <c r="Y362" s="65">
        <f t="shared" si="75"/>
        <v>0</v>
      </c>
      <c r="Z362" s="64">
        <f t="shared" si="76"/>
        <v>0</v>
      </c>
      <c r="AA362" s="63">
        <f t="shared" si="77"/>
        <v>2.3239999999999998</v>
      </c>
      <c r="AB362" s="63">
        <f t="shared" si="78"/>
        <v>0.95399999999999996</v>
      </c>
    </row>
    <row r="363" spans="2:28">
      <c r="B363" s="104">
        <f>'114+840'!B364</f>
        <v>45620</v>
      </c>
      <c r="C363" s="75">
        <f t="shared" si="70"/>
        <v>1</v>
      </c>
      <c r="D363" s="74">
        <f t="shared" si="71"/>
        <v>842</v>
      </c>
      <c r="E363" s="73">
        <f>VLOOKUP(B363,'114+840'!B364:AB364,3,FALSE)</f>
        <v>1875</v>
      </c>
      <c r="F363" s="70">
        <f t="shared" si="66"/>
        <v>2717</v>
      </c>
      <c r="G363" s="72">
        <f>VLOOKUP(B363,'114+840'!$B$15:$AB$516,20,FALSE)</f>
        <v>1719</v>
      </c>
      <c r="H363" s="72">
        <f>VLOOKUP(B363,'114+840'!$B$15:$AB$516,4,FALSE)</f>
        <v>78</v>
      </c>
      <c r="I363" s="69">
        <f t="shared" si="67"/>
        <v>2639</v>
      </c>
      <c r="J363" s="69">
        <f>VLOOKUP(B363,'114+840'!$B$15:$AB$516,13,FALSE)</f>
        <v>-361</v>
      </c>
      <c r="K363" s="67">
        <f>'114+840'!Q364</f>
        <v>0</v>
      </c>
      <c r="L363" s="66">
        <f t="shared" si="72"/>
        <v>281</v>
      </c>
      <c r="M363" s="71">
        <f>VLOOKUP(B363,'114+840'!$B$14:$AB$516,21,FALSE)</f>
        <v>1527</v>
      </c>
      <c r="N363" s="70">
        <f>VLOOKUP(B363,'114+840'!$B$15:$AB$516,5,FALSE)</f>
        <v>90</v>
      </c>
      <c r="O363" s="69">
        <f t="shared" si="68"/>
        <v>2627</v>
      </c>
      <c r="P363" s="69">
        <f>VLOOKUP(B363,'114+840'!$B$15:$AB$516,14,FALSE)</f>
        <v>-373</v>
      </c>
      <c r="Q363" s="67">
        <f>'114+840'!R364</f>
        <v>0</v>
      </c>
      <c r="R363" s="66">
        <f t="shared" si="73"/>
        <v>473</v>
      </c>
      <c r="S363" s="71">
        <f>VLOOKUP(B363,'114+840'!$B$14:$AB$516,22,FALSE)</f>
        <v>1742</v>
      </c>
      <c r="T363" s="70">
        <f>VLOOKUP(B363,'114+840'!$B$15:$AB$516,6,FALSE)</f>
        <v>365</v>
      </c>
      <c r="U363" s="69">
        <f t="shared" si="69"/>
        <v>2352</v>
      </c>
      <c r="V363" s="68">
        <f>VLOOKUP(B363,'114+840'!$B$15:$AB$516,15,FALSE)</f>
        <v>-648</v>
      </c>
      <c r="W363" s="67">
        <f>'114+840'!S364</f>
        <v>0</v>
      </c>
      <c r="X363" s="66">
        <f t="shared" si="74"/>
        <v>258</v>
      </c>
      <c r="Y363" s="65">
        <f t="shared" si="75"/>
        <v>0</v>
      </c>
      <c r="Z363" s="64">
        <f t="shared" si="76"/>
        <v>0</v>
      </c>
      <c r="AA363" s="63">
        <f t="shared" si="77"/>
        <v>2.3239999999999998</v>
      </c>
      <c r="AB363" s="63">
        <f t="shared" si="78"/>
        <v>0.95399999999999996</v>
      </c>
    </row>
    <row r="364" spans="2:28">
      <c r="B364" s="104">
        <f>'114+840'!B365</f>
        <v>45621</v>
      </c>
      <c r="C364" s="75">
        <f t="shared" si="70"/>
        <v>1</v>
      </c>
      <c r="D364" s="74">
        <f t="shared" si="71"/>
        <v>842</v>
      </c>
      <c r="E364" s="73">
        <f>VLOOKUP(B364,'114+840'!B365:AB365,3,FALSE)</f>
        <v>1877</v>
      </c>
      <c r="F364" s="70">
        <f t="shared" si="66"/>
        <v>2719</v>
      </c>
      <c r="G364" s="72">
        <f>VLOOKUP(B364,'114+840'!$B$15:$AB$516,20,FALSE)</f>
        <v>1719</v>
      </c>
      <c r="H364" s="72">
        <f>VLOOKUP(B364,'114+840'!$B$15:$AB$516,4,FALSE)</f>
        <v>80</v>
      </c>
      <c r="I364" s="69">
        <f t="shared" si="67"/>
        <v>2639</v>
      </c>
      <c r="J364" s="69">
        <f>VLOOKUP(B364,'114+840'!$B$15:$AB$516,13,FALSE)</f>
        <v>-361</v>
      </c>
      <c r="K364" s="67">
        <f>'114+840'!Q365</f>
        <v>0</v>
      </c>
      <c r="L364" s="66">
        <f t="shared" si="72"/>
        <v>281</v>
      </c>
      <c r="M364" s="71">
        <f>VLOOKUP(B364,'114+840'!$B$14:$AB$516,21,FALSE)</f>
        <v>1527</v>
      </c>
      <c r="N364" s="70">
        <f>VLOOKUP(B364,'114+840'!$B$15:$AB$516,5,FALSE)</f>
        <v>92</v>
      </c>
      <c r="O364" s="69">
        <f t="shared" si="68"/>
        <v>2627</v>
      </c>
      <c r="P364" s="69">
        <f>VLOOKUP(B364,'114+840'!$B$15:$AB$516,14,FALSE)</f>
        <v>-373</v>
      </c>
      <c r="Q364" s="67">
        <f>'114+840'!R365</f>
        <v>0</v>
      </c>
      <c r="R364" s="66">
        <f t="shared" si="73"/>
        <v>473</v>
      </c>
      <c r="S364" s="71">
        <f>VLOOKUP(B364,'114+840'!$B$14:$AB$516,22,FALSE)</f>
        <v>1742</v>
      </c>
      <c r="T364" s="70">
        <f>VLOOKUP(B364,'114+840'!$B$15:$AB$516,6,FALSE)</f>
        <v>367</v>
      </c>
      <c r="U364" s="69">
        <f t="shared" si="69"/>
        <v>2352</v>
      </c>
      <c r="V364" s="68">
        <f>VLOOKUP(B364,'114+840'!$B$15:$AB$516,15,FALSE)</f>
        <v>-648</v>
      </c>
      <c r="W364" s="67">
        <f>'114+840'!S365</f>
        <v>0</v>
      </c>
      <c r="X364" s="66">
        <f t="shared" si="74"/>
        <v>258</v>
      </c>
      <c r="Y364" s="65">
        <f t="shared" si="75"/>
        <v>0</v>
      </c>
      <c r="Z364" s="64">
        <f t="shared" si="76"/>
        <v>0</v>
      </c>
      <c r="AA364" s="63">
        <f t="shared" si="77"/>
        <v>2.3239999999999998</v>
      </c>
      <c r="AB364" s="63">
        <f t="shared" si="78"/>
        <v>0.95399999999999996</v>
      </c>
    </row>
    <row r="365" spans="2:28">
      <c r="B365" s="104">
        <f>'114+840'!B366</f>
        <v>45622</v>
      </c>
      <c r="C365" s="75">
        <f t="shared" si="70"/>
        <v>1</v>
      </c>
      <c r="D365" s="74">
        <f t="shared" si="71"/>
        <v>842</v>
      </c>
      <c r="E365" s="73">
        <f>VLOOKUP(B365,'114+840'!B366:AB366,3,FALSE)</f>
        <v>1879</v>
      </c>
      <c r="F365" s="70">
        <f t="shared" si="66"/>
        <v>2721</v>
      </c>
      <c r="G365" s="72">
        <f>VLOOKUP(B365,'114+840'!$B$15:$AB$516,20,FALSE)</f>
        <v>1719</v>
      </c>
      <c r="H365" s="72">
        <f>VLOOKUP(B365,'114+840'!$B$15:$AB$516,4,FALSE)</f>
        <v>82</v>
      </c>
      <c r="I365" s="69">
        <f t="shared" si="67"/>
        <v>2639</v>
      </c>
      <c r="J365" s="69">
        <f>VLOOKUP(B365,'114+840'!$B$15:$AB$516,13,FALSE)</f>
        <v>-361</v>
      </c>
      <c r="K365" s="67">
        <f>'114+840'!Q366</f>
        <v>0</v>
      </c>
      <c r="L365" s="66">
        <f t="shared" si="72"/>
        <v>281</v>
      </c>
      <c r="M365" s="71">
        <f>VLOOKUP(B365,'114+840'!$B$14:$AB$516,21,FALSE)</f>
        <v>1527</v>
      </c>
      <c r="N365" s="70">
        <f>VLOOKUP(B365,'114+840'!$B$15:$AB$516,5,FALSE)</f>
        <v>94</v>
      </c>
      <c r="O365" s="69">
        <f t="shared" si="68"/>
        <v>2627</v>
      </c>
      <c r="P365" s="69">
        <f>VLOOKUP(B365,'114+840'!$B$15:$AB$516,14,FALSE)</f>
        <v>-373</v>
      </c>
      <c r="Q365" s="67">
        <f>'114+840'!R366</f>
        <v>0</v>
      </c>
      <c r="R365" s="66">
        <f t="shared" si="73"/>
        <v>473</v>
      </c>
      <c r="S365" s="71">
        <f>VLOOKUP(B365,'114+840'!$B$14:$AB$516,22,FALSE)</f>
        <v>1742</v>
      </c>
      <c r="T365" s="70">
        <f>VLOOKUP(B365,'114+840'!$B$15:$AB$516,6,FALSE)</f>
        <v>369</v>
      </c>
      <c r="U365" s="69">
        <f t="shared" si="69"/>
        <v>2352</v>
      </c>
      <c r="V365" s="68">
        <f>VLOOKUP(B365,'114+840'!$B$15:$AB$516,15,FALSE)</f>
        <v>-648</v>
      </c>
      <c r="W365" s="67">
        <f>'114+840'!S366</f>
        <v>0</v>
      </c>
      <c r="X365" s="66">
        <f t="shared" si="74"/>
        <v>258</v>
      </c>
      <c r="Y365" s="65">
        <f t="shared" si="75"/>
        <v>0</v>
      </c>
      <c r="Z365" s="64">
        <f t="shared" si="76"/>
        <v>0</v>
      </c>
      <c r="AA365" s="63">
        <f t="shared" si="77"/>
        <v>2.3239999999999998</v>
      </c>
      <c r="AB365" s="63">
        <f t="shared" si="78"/>
        <v>0.95399999999999996</v>
      </c>
    </row>
    <row r="366" spans="2:28">
      <c r="B366" s="104">
        <f>'114+840'!B367</f>
        <v>45623</v>
      </c>
      <c r="C366" s="75">
        <f t="shared" si="70"/>
        <v>1</v>
      </c>
      <c r="D366" s="74">
        <f t="shared" si="71"/>
        <v>842</v>
      </c>
      <c r="E366" s="73">
        <f>VLOOKUP(B366,'114+840'!B367:AB367,3,FALSE)</f>
        <v>1881</v>
      </c>
      <c r="F366" s="70">
        <f t="shared" si="66"/>
        <v>2723</v>
      </c>
      <c r="G366" s="72">
        <f>VLOOKUP(B366,'114+840'!$B$15:$AB$516,20,FALSE)</f>
        <v>1719</v>
      </c>
      <c r="H366" s="72">
        <f>VLOOKUP(B366,'114+840'!$B$15:$AB$516,4,FALSE)</f>
        <v>84</v>
      </c>
      <c r="I366" s="69">
        <f t="shared" si="67"/>
        <v>2639</v>
      </c>
      <c r="J366" s="69">
        <f>VLOOKUP(B366,'114+840'!$B$15:$AB$516,13,FALSE)</f>
        <v>-361</v>
      </c>
      <c r="K366" s="67">
        <f>'114+840'!Q367</f>
        <v>0</v>
      </c>
      <c r="L366" s="66">
        <f t="shared" si="72"/>
        <v>281</v>
      </c>
      <c r="M366" s="71">
        <f>VLOOKUP(B366,'114+840'!$B$14:$AB$516,21,FALSE)</f>
        <v>1527</v>
      </c>
      <c r="N366" s="70">
        <f>VLOOKUP(B366,'114+840'!$B$15:$AB$516,5,FALSE)</f>
        <v>96</v>
      </c>
      <c r="O366" s="69">
        <f t="shared" si="68"/>
        <v>2627</v>
      </c>
      <c r="P366" s="69">
        <f>VLOOKUP(B366,'114+840'!$B$15:$AB$516,14,FALSE)</f>
        <v>-373</v>
      </c>
      <c r="Q366" s="67">
        <f>'114+840'!R367</f>
        <v>0</v>
      </c>
      <c r="R366" s="66">
        <f t="shared" si="73"/>
        <v>473</v>
      </c>
      <c r="S366" s="71">
        <f>VLOOKUP(B366,'114+840'!$B$14:$AB$516,22,FALSE)</f>
        <v>1742</v>
      </c>
      <c r="T366" s="70">
        <f>VLOOKUP(B366,'114+840'!$B$15:$AB$516,6,FALSE)</f>
        <v>371</v>
      </c>
      <c r="U366" s="69">
        <f t="shared" si="69"/>
        <v>2352</v>
      </c>
      <c r="V366" s="68">
        <f>VLOOKUP(B366,'114+840'!$B$15:$AB$516,15,FALSE)</f>
        <v>-648</v>
      </c>
      <c r="W366" s="67">
        <f>'114+840'!S367</f>
        <v>0</v>
      </c>
      <c r="X366" s="66">
        <f t="shared" si="74"/>
        <v>258</v>
      </c>
      <c r="Y366" s="65">
        <f t="shared" si="75"/>
        <v>0</v>
      </c>
      <c r="Z366" s="64">
        <f t="shared" si="76"/>
        <v>0</v>
      </c>
      <c r="AA366" s="63">
        <f t="shared" si="77"/>
        <v>2.3239999999999998</v>
      </c>
      <c r="AB366" s="63">
        <f t="shared" si="78"/>
        <v>0.95399999999999996</v>
      </c>
    </row>
    <row r="367" spans="2:28">
      <c r="B367" s="104">
        <f>'114+840'!B368</f>
        <v>45624</v>
      </c>
      <c r="C367" s="75">
        <f t="shared" si="70"/>
        <v>1</v>
      </c>
      <c r="D367" s="74">
        <f t="shared" si="71"/>
        <v>842</v>
      </c>
      <c r="E367" s="73">
        <f>VLOOKUP(B367,'114+840'!B368:AB368,3,FALSE)</f>
        <v>1883</v>
      </c>
      <c r="F367" s="70">
        <f t="shared" si="66"/>
        <v>2725</v>
      </c>
      <c r="G367" s="72">
        <f>VLOOKUP(B367,'114+840'!$B$15:$AB$516,20,FALSE)</f>
        <v>1719</v>
      </c>
      <c r="H367" s="72">
        <f>VLOOKUP(B367,'114+840'!$B$15:$AB$516,4,FALSE)</f>
        <v>86</v>
      </c>
      <c r="I367" s="69">
        <f t="shared" si="67"/>
        <v>2639</v>
      </c>
      <c r="J367" s="69">
        <f>VLOOKUP(B367,'114+840'!$B$15:$AB$516,13,FALSE)</f>
        <v>-361</v>
      </c>
      <c r="K367" s="67">
        <f>'114+840'!Q368</f>
        <v>0</v>
      </c>
      <c r="L367" s="66">
        <f t="shared" si="72"/>
        <v>281</v>
      </c>
      <c r="M367" s="71">
        <f>VLOOKUP(B367,'114+840'!$B$14:$AB$516,21,FALSE)</f>
        <v>1527</v>
      </c>
      <c r="N367" s="70">
        <f>VLOOKUP(B367,'114+840'!$B$15:$AB$516,5,FALSE)</f>
        <v>98</v>
      </c>
      <c r="O367" s="69">
        <f t="shared" si="68"/>
        <v>2627</v>
      </c>
      <c r="P367" s="69">
        <f>VLOOKUP(B367,'114+840'!$B$15:$AB$516,14,FALSE)</f>
        <v>-373</v>
      </c>
      <c r="Q367" s="67">
        <f>'114+840'!R368</f>
        <v>0</v>
      </c>
      <c r="R367" s="66">
        <f t="shared" si="73"/>
        <v>473</v>
      </c>
      <c r="S367" s="71">
        <f>VLOOKUP(B367,'114+840'!$B$14:$AB$516,22,FALSE)</f>
        <v>1742</v>
      </c>
      <c r="T367" s="70">
        <f>VLOOKUP(B367,'114+840'!$B$15:$AB$516,6,FALSE)</f>
        <v>373</v>
      </c>
      <c r="U367" s="69">
        <f t="shared" si="69"/>
        <v>2352</v>
      </c>
      <c r="V367" s="68">
        <f>VLOOKUP(B367,'114+840'!$B$15:$AB$516,15,FALSE)</f>
        <v>-648</v>
      </c>
      <c r="W367" s="67">
        <f>'114+840'!S368</f>
        <v>0</v>
      </c>
      <c r="X367" s="66">
        <f t="shared" si="74"/>
        <v>258</v>
      </c>
      <c r="Y367" s="65">
        <f t="shared" si="75"/>
        <v>0</v>
      </c>
      <c r="Z367" s="64">
        <f t="shared" si="76"/>
        <v>0</v>
      </c>
      <c r="AA367" s="63">
        <f t="shared" si="77"/>
        <v>2.3239999999999998</v>
      </c>
      <c r="AB367" s="63">
        <f t="shared" si="78"/>
        <v>0.95399999999999996</v>
      </c>
    </row>
    <row r="368" spans="2:28">
      <c r="B368" s="104">
        <f>'114+840'!B369</f>
        <v>45625</v>
      </c>
      <c r="C368" s="75">
        <f t="shared" si="70"/>
        <v>1</v>
      </c>
      <c r="D368" s="74">
        <f t="shared" si="71"/>
        <v>842</v>
      </c>
      <c r="E368" s="73">
        <f>VLOOKUP(B368,'114+840'!B369:AB369,3,FALSE)</f>
        <v>1885</v>
      </c>
      <c r="F368" s="70">
        <f t="shared" si="66"/>
        <v>2727</v>
      </c>
      <c r="G368" s="72">
        <f>VLOOKUP(B368,'114+840'!$B$15:$AB$516,20,FALSE)</f>
        <v>1719</v>
      </c>
      <c r="H368" s="72">
        <f>VLOOKUP(B368,'114+840'!$B$15:$AB$516,4,FALSE)</f>
        <v>88</v>
      </c>
      <c r="I368" s="69">
        <f t="shared" si="67"/>
        <v>2639</v>
      </c>
      <c r="J368" s="69">
        <f>VLOOKUP(B368,'114+840'!$B$15:$AB$516,13,FALSE)</f>
        <v>-361</v>
      </c>
      <c r="K368" s="67">
        <f>'114+840'!Q369</f>
        <v>0</v>
      </c>
      <c r="L368" s="66">
        <f t="shared" si="72"/>
        <v>281</v>
      </c>
      <c r="M368" s="71">
        <f>VLOOKUP(B368,'114+840'!$B$14:$AB$516,21,FALSE)</f>
        <v>1527</v>
      </c>
      <c r="N368" s="70">
        <f>VLOOKUP(B368,'114+840'!$B$15:$AB$516,5,FALSE)</f>
        <v>100</v>
      </c>
      <c r="O368" s="69">
        <f t="shared" si="68"/>
        <v>2627</v>
      </c>
      <c r="P368" s="69">
        <f>VLOOKUP(B368,'114+840'!$B$15:$AB$516,14,FALSE)</f>
        <v>-373</v>
      </c>
      <c r="Q368" s="67">
        <f>'114+840'!R369</f>
        <v>0</v>
      </c>
      <c r="R368" s="66">
        <f t="shared" si="73"/>
        <v>473</v>
      </c>
      <c r="S368" s="71">
        <f>VLOOKUP(B368,'114+840'!$B$14:$AB$516,22,FALSE)</f>
        <v>1742</v>
      </c>
      <c r="T368" s="70">
        <f>VLOOKUP(B368,'114+840'!$B$15:$AB$516,6,FALSE)</f>
        <v>375</v>
      </c>
      <c r="U368" s="69">
        <f t="shared" si="69"/>
        <v>2352</v>
      </c>
      <c r="V368" s="68">
        <f>VLOOKUP(B368,'114+840'!$B$15:$AB$516,15,FALSE)</f>
        <v>-648</v>
      </c>
      <c r="W368" s="67">
        <f>'114+840'!S369</f>
        <v>0</v>
      </c>
      <c r="X368" s="66">
        <f t="shared" si="74"/>
        <v>258</v>
      </c>
      <c r="Y368" s="65">
        <f t="shared" si="75"/>
        <v>0</v>
      </c>
      <c r="Z368" s="64">
        <f t="shared" si="76"/>
        <v>0</v>
      </c>
      <c r="AA368" s="63">
        <f t="shared" si="77"/>
        <v>2.3239999999999998</v>
      </c>
      <c r="AB368" s="63">
        <f t="shared" si="78"/>
        <v>0.95399999999999996</v>
      </c>
    </row>
    <row r="369" spans="2:28">
      <c r="B369" s="104">
        <f>'114+840'!B370</f>
        <v>45626</v>
      </c>
      <c r="C369" s="75">
        <f t="shared" si="70"/>
        <v>1</v>
      </c>
      <c r="D369" s="74">
        <f t="shared" si="71"/>
        <v>842</v>
      </c>
      <c r="E369" s="73">
        <f>VLOOKUP(B369,'114+840'!B370:AB370,3,FALSE)</f>
        <v>1887</v>
      </c>
      <c r="F369" s="70">
        <f t="shared" si="66"/>
        <v>2729</v>
      </c>
      <c r="G369" s="72">
        <f>VLOOKUP(B369,'114+840'!$B$15:$AB$516,20,FALSE)</f>
        <v>1719</v>
      </c>
      <c r="H369" s="72">
        <f>VLOOKUP(B369,'114+840'!$B$15:$AB$516,4,FALSE)</f>
        <v>90</v>
      </c>
      <c r="I369" s="69">
        <f t="shared" si="67"/>
        <v>2639</v>
      </c>
      <c r="J369" s="69">
        <f>VLOOKUP(B369,'114+840'!$B$15:$AB$516,13,FALSE)</f>
        <v>-361</v>
      </c>
      <c r="K369" s="67">
        <f>'114+840'!Q370</f>
        <v>0</v>
      </c>
      <c r="L369" s="66">
        <f t="shared" si="72"/>
        <v>281</v>
      </c>
      <c r="M369" s="71">
        <f>VLOOKUP(B369,'114+840'!$B$14:$AB$516,21,FALSE)</f>
        <v>1527</v>
      </c>
      <c r="N369" s="70">
        <f>VLOOKUP(B369,'114+840'!$B$15:$AB$516,5,FALSE)</f>
        <v>102</v>
      </c>
      <c r="O369" s="69">
        <f t="shared" si="68"/>
        <v>2627</v>
      </c>
      <c r="P369" s="69">
        <f>VLOOKUP(B369,'114+840'!$B$15:$AB$516,14,FALSE)</f>
        <v>-373</v>
      </c>
      <c r="Q369" s="67">
        <f>'114+840'!R370</f>
        <v>0</v>
      </c>
      <c r="R369" s="66">
        <f t="shared" si="73"/>
        <v>473</v>
      </c>
      <c r="S369" s="71">
        <f>VLOOKUP(B369,'114+840'!$B$14:$AB$516,22,FALSE)</f>
        <v>1742</v>
      </c>
      <c r="T369" s="70">
        <f>VLOOKUP(B369,'114+840'!$B$15:$AB$516,6,FALSE)</f>
        <v>377</v>
      </c>
      <c r="U369" s="69">
        <f t="shared" si="69"/>
        <v>2352</v>
      </c>
      <c r="V369" s="68">
        <f>VLOOKUP(B369,'114+840'!$B$15:$AB$516,15,FALSE)</f>
        <v>-648</v>
      </c>
      <c r="W369" s="67">
        <f>'114+840'!S370</f>
        <v>0</v>
      </c>
      <c r="X369" s="66">
        <f t="shared" si="74"/>
        <v>258</v>
      </c>
      <c r="Y369" s="65">
        <f t="shared" si="75"/>
        <v>0</v>
      </c>
      <c r="Z369" s="64">
        <f t="shared" si="76"/>
        <v>0</v>
      </c>
      <c r="AA369" s="63">
        <f t="shared" si="77"/>
        <v>2.3239999999999998</v>
      </c>
      <c r="AB369" s="63">
        <f t="shared" si="78"/>
        <v>0.95399999999999996</v>
      </c>
    </row>
    <row r="370" spans="2:28">
      <c r="B370" s="104">
        <f>'114+840'!B371</f>
        <v>45627</v>
      </c>
      <c r="C370" s="75">
        <f t="shared" si="70"/>
        <v>1</v>
      </c>
      <c r="D370" s="74">
        <f t="shared" si="71"/>
        <v>842</v>
      </c>
      <c r="E370" s="73">
        <f>VLOOKUP(B370,'114+840'!B371:AB371,3,FALSE)</f>
        <v>1889</v>
      </c>
      <c r="F370" s="70">
        <f t="shared" si="66"/>
        <v>2731</v>
      </c>
      <c r="G370" s="72">
        <f>VLOOKUP(B370,'114+840'!$B$15:$AB$516,20,FALSE)</f>
        <v>1719</v>
      </c>
      <c r="H370" s="72">
        <f>VLOOKUP(B370,'114+840'!$B$15:$AB$516,4,FALSE)</f>
        <v>92</v>
      </c>
      <c r="I370" s="69">
        <f t="shared" si="67"/>
        <v>2639</v>
      </c>
      <c r="J370" s="69">
        <f>VLOOKUP(B370,'114+840'!$B$15:$AB$516,13,FALSE)</f>
        <v>-361</v>
      </c>
      <c r="K370" s="67">
        <f>'114+840'!Q371</f>
        <v>0</v>
      </c>
      <c r="L370" s="66">
        <f t="shared" si="72"/>
        <v>281</v>
      </c>
      <c r="M370" s="71">
        <f>VLOOKUP(B370,'114+840'!$B$14:$AB$516,21,FALSE)</f>
        <v>1527</v>
      </c>
      <c r="N370" s="70">
        <f>VLOOKUP(B370,'114+840'!$B$15:$AB$516,5,FALSE)</f>
        <v>104</v>
      </c>
      <c r="O370" s="69">
        <f t="shared" si="68"/>
        <v>2627</v>
      </c>
      <c r="P370" s="69">
        <f>VLOOKUP(B370,'114+840'!$B$15:$AB$516,14,FALSE)</f>
        <v>-373</v>
      </c>
      <c r="Q370" s="67">
        <f>'114+840'!R371</f>
        <v>0</v>
      </c>
      <c r="R370" s="66">
        <f t="shared" si="73"/>
        <v>473</v>
      </c>
      <c r="S370" s="71">
        <f>VLOOKUP(B370,'114+840'!$B$14:$AB$516,22,FALSE)</f>
        <v>1742</v>
      </c>
      <c r="T370" s="70">
        <f>VLOOKUP(B370,'114+840'!$B$15:$AB$516,6,FALSE)</f>
        <v>379</v>
      </c>
      <c r="U370" s="69">
        <f t="shared" si="69"/>
        <v>2352</v>
      </c>
      <c r="V370" s="68">
        <f>VLOOKUP(B370,'114+840'!$B$15:$AB$516,15,FALSE)</f>
        <v>-648</v>
      </c>
      <c r="W370" s="67">
        <f>'114+840'!S371</f>
        <v>0</v>
      </c>
      <c r="X370" s="66">
        <f t="shared" si="74"/>
        <v>258</v>
      </c>
      <c r="Y370" s="65">
        <f t="shared" si="75"/>
        <v>0</v>
      </c>
      <c r="Z370" s="64">
        <f t="shared" si="76"/>
        <v>0</v>
      </c>
      <c r="AA370" s="63">
        <f t="shared" si="77"/>
        <v>2.3239999999999998</v>
      </c>
      <c r="AB370" s="63">
        <f t="shared" si="78"/>
        <v>0.95399999999999996</v>
      </c>
    </row>
    <row r="371" spans="2:28">
      <c r="B371" s="104">
        <f>'114+840'!B372</f>
        <v>45628</v>
      </c>
      <c r="C371" s="75">
        <f t="shared" si="70"/>
        <v>1</v>
      </c>
      <c r="D371" s="74">
        <f t="shared" si="71"/>
        <v>842</v>
      </c>
      <c r="E371" s="73">
        <f>VLOOKUP(B371,'114+840'!B372:AB372,3,FALSE)</f>
        <v>1891</v>
      </c>
      <c r="F371" s="70">
        <f t="shared" si="66"/>
        <v>2733</v>
      </c>
      <c r="G371" s="72">
        <f>VLOOKUP(B371,'114+840'!$B$15:$AB$516,20,FALSE)</f>
        <v>1719</v>
      </c>
      <c r="H371" s="72">
        <f>VLOOKUP(B371,'114+840'!$B$15:$AB$516,4,FALSE)</f>
        <v>94</v>
      </c>
      <c r="I371" s="69">
        <f t="shared" si="67"/>
        <v>2639</v>
      </c>
      <c r="J371" s="69">
        <f>VLOOKUP(B371,'114+840'!$B$15:$AB$516,13,FALSE)</f>
        <v>-361</v>
      </c>
      <c r="K371" s="67">
        <f>'114+840'!Q372</f>
        <v>0</v>
      </c>
      <c r="L371" s="66">
        <f t="shared" si="72"/>
        <v>281</v>
      </c>
      <c r="M371" s="71">
        <f>VLOOKUP(B371,'114+840'!$B$14:$AB$516,21,FALSE)</f>
        <v>1527</v>
      </c>
      <c r="N371" s="70">
        <f>VLOOKUP(B371,'114+840'!$B$15:$AB$516,5,FALSE)</f>
        <v>106</v>
      </c>
      <c r="O371" s="69">
        <f t="shared" si="68"/>
        <v>2627</v>
      </c>
      <c r="P371" s="69">
        <f>VLOOKUP(B371,'114+840'!$B$15:$AB$516,14,FALSE)</f>
        <v>-373</v>
      </c>
      <c r="Q371" s="67">
        <f>'114+840'!R372</f>
        <v>0</v>
      </c>
      <c r="R371" s="66">
        <f t="shared" si="73"/>
        <v>473</v>
      </c>
      <c r="S371" s="71">
        <f>VLOOKUP(B371,'114+840'!$B$14:$AB$516,22,FALSE)</f>
        <v>1742</v>
      </c>
      <c r="T371" s="70">
        <f>VLOOKUP(B371,'114+840'!$B$15:$AB$516,6,FALSE)</f>
        <v>381</v>
      </c>
      <c r="U371" s="69">
        <f t="shared" si="69"/>
        <v>2352</v>
      </c>
      <c r="V371" s="68">
        <f>VLOOKUP(B371,'114+840'!$B$15:$AB$516,15,FALSE)</f>
        <v>-648</v>
      </c>
      <c r="W371" s="67">
        <f>'114+840'!S372</f>
        <v>0</v>
      </c>
      <c r="X371" s="66">
        <f t="shared" si="74"/>
        <v>258</v>
      </c>
      <c r="Y371" s="65">
        <f t="shared" si="75"/>
        <v>0</v>
      </c>
      <c r="Z371" s="64">
        <f t="shared" si="76"/>
        <v>0</v>
      </c>
      <c r="AA371" s="63">
        <f t="shared" si="77"/>
        <v>2.3239999999999998</v>
      </c>
      <c r="AB371" s="63">
        <f t="shared" si="78"/>
        <v>0.95399999999999996</v>
      </c>
    </row>
    <row r="372" spans="2:28">
      <c r="B372" s="104">
        <f>'114+840'!B373</f>
        <v>45629</v>
      </c>
      <c r="C372" s="75">
        <f t="shared" si="70"/>
        <v>1</v>
      </c>
      <c r="D372" s="74">
        <f t="shared" si="71"/>
        <v>842</v>
      </c>
      <c r="E372" s="73">
        <f>VLOOKUP(B372,'114+840'!B373:AB373,3,FALSE)</f>
        <v>1893</v>
      </c>
      <c r="F372" s="70">
        <f t="shared" si="66"/>
        <v>2735</v>
      </c>
      <c r="G372" s="72">
        <f>VLOOKUP(B372,'114+840'!$B$15:$AB$516,20,FALSE)</f>
        <v>1719</v>
      </c>
      <c r="H372" s="72">
        <f>VLOOKUP(B372,'114+840'!$B$15:$AB$516,4,FALSE)</f>
        <v>96</v>
      </c>
      <c r="I372" s="69">
        <f t="shared" si="67"/>
        <v>2639</v>
      </c>
      <c r="J372" s="69">
        <f>VLOOKUP(B372,'114+840'!$B$15:$AB$516,13,FALSE)</f>
        <v>-361</v>
      </c>
      <c r="K372" s="67">
        <f>'114+840'!Q373</f>
        <v>0</v>
      </c>
      <c r="L372" s="66">
        <f t="shared" si="72"/>
        <v>281</v>
      </c>
      <c r="M372" s="71">
        <f>VLOOKUP(B372,'114+840'!$B$14:$AB$516,21,FALSE)</f>
        <v>1527</v>
      </c>
      <c r="N372" s="70">
        <f>VLOOKUP(B372,'114+840'!$B$15:$AB$516,5,FALSE)</f>
        <v>108</v>
      </c>
      <c r="O372" s="69">
        <f t="shared" si="68"/>
        <v>2627</v>
      </c>
      <c r="P372" s="69">
        <f>VLOOKUP(B372,'114+840'!$B$15:$AB$516,14,FALSE)</f>
        <v>-373</v>
      </c>
      <c r="Q372" s="67">
        <f>'114+840'!R373</f>
        <v>0</v>
      </c>
      <c r="R372" s="66">
        <f t="shared" si="73"/>
        <v>473</v>
      </c>
      <c r="S372" s="71">
        <f>VLOOKUP(B372,'114+840'!$B$14:$AB$516,22,FALSE)</f>
        <v>1742</v>
      </c>
      <c r="T372" s="70">
        <f>VLOOKUP(B372,'114+840'!$B$15:$AB$516,6,FALSE)</f>
        <v>383</v>
      </c>
      <c r="U372" s="69">
        <f t="shared" si="69"/>
        <v>2352</v>
      </c>
      <c r="V372" s="68">
        <f>VLOOKUP(B372,'114+840'!$B$15:$AB$516,15,FALSE)</f>
        <v>-648</v>
      </c>
      <c r="W372" s="67">
        <f>'114+840'!S373</f>
        <v>0</v>
      </c>
      <c r="X372" s="66">
        <f t="shared" si="74"/>
        <v>258</v>
      </c>
      <c r="Y372" s="65">
        <f t="shared" si="75"/>
        <v>0</v>
      </c>
      <c r="Z372" s="64">
        <f t="shared" si="76"/>
        <v>0</v>
      </c>
      <c r="AA372" s="63">
        <f t="shared" si="77"/>
        <v>2.3239999999999998</v>
      </c>
      <c r="AB372" s="63">
        <f t="shared" si="78"/>
        <v>0.95399999999999996</v>
      </c>
    </row>
    <row r="373" spans="2:28">
      <c r="B373" s="104">
        <f>'114+840'!B374</f>
        <v>45630</v>
      </c>
      <c r="C373" s="75">
        <f t="shared" si="70"/>
        <v>1</v>
      </c>
      <c r="D373" s="74">
        <f t="shared" si="71"/>
        <v>842</v>
      </c>
      <c r="E373" s="73">
        <f>VLOOKUP(B373,'114+840'!B374:AB374,3,FALSE)</f>
        <v>1895</v>
      </c>
      <c r="F373" s="70">
        <f t="shared" si="66"/>
        <v>2737</v>
      </c>
      <c r="G373" s="72">
        <f>VLOOKUP(B373,'114+840'!$B$15:$AB$516,20,FALSE)</f>
        <v>1719</v>
      </c>
      <c r="H373" s="72">
        <f>VLOOKUP(B373,'114+840'!$B$15:$AB$516,4,FALSE)</f>
        <v>98</v>
      </c>
      <c r="I373" s="69">
        <f t="shared" si="67"/>
        <v>2639</v>
      </c>
      <c r="J373" s="69">
        <f>VLOOKUP(B373,'114+840'!$B$15:$AB$516,13,FALSE)</f>
        <v>-361</v>
      </c>
      <c r="K373" s="67">
        <f>'114+840'!Q374</f>
        <v>0</v>
      </c>
      <c r="L373" s="66">
        <f t="shared" si="72"/>
        <v>281</v>
      </c>
      <c r="M373" s="71">
        <f>VLOOKUP(B373,'114+840'!$B$14:$AB$516,21,FALSE)</f>
        <v>1527</v>
      </c>
      <c r="N373" s="70">
        <f>VLOOKUP(B373,'114+840'!$B$15:$AB$516,5,FALSE)</f>
        <v>110</v>
      </c>
      <c r="O373" s="69">
        <f t="shared" si="68"/>
        <v>2627</v>
      </c>
      <c r="P373" s="69">
        <f>VLOOKUP(B373,'114+840'!$B$15:$AB$516,14,FALSE)</f>
        <v>-373</v>
      </c>
      <c r="Q373" s="67">
        <f>'114+840'!R374</f>
        <v>0</v>
      </c>
      <c r="R373" s="66">
        <f t="shared" si="73"/>
        <v>473</v>
      </c>
      <c r="S373" s="71">
        <f>VLOOKUP(B373,'114+840'!$B$14:$AB$516,22,FALSE)</f>
        <v>1742</v>
      </c>
      <c r="T373" s="70">
        <f>VLOOKUP(B373,'114+840'!$B$15:$AB$516,6,FALSE)</f>
        <v>385</v>
      </c>
      <c r="U373" s="69">
        <f t="shared" si="69"/>
        <v>2352</v>
      </c>
      <c r="V373" s="68">
        <f>VLOOKUP(B373,'114+840'!$B$15:$AB$516,15,FALSE)</f>
        <v>-648</v>
      </c>
      <c r="W373" s="67">
        <f>'114+840'!S374</f>
        <v>0</v>
      </c>
      <c r="X373" s="66">
        <f t="shared" si="74"/>
        <v>258</v>
      </c>
      <c r="Y373" s="65">
        <f t="shared" si="75"/>
        <v>0</v>
      </c>
      <c r="Z373" s="64">
        <f t="shared" si="76"/>
        <v>0</v>
      </c>
      <c r="AA373" s="63">
        <f t="shared" si="77"/>
        <v>2.3239999999999998</v>
      </c>
      <c r="AB373" s="63">
        <f t="shared" si="78"/>
        <v>0.95399999999999996</v>
      </c>
    </row>
    <row r="374" spans="2:28">
      <c r="B374" s="104">
        <f>'114+840'!B375</f>
        <v>45631</v>
      </c>
      <c r="C374" s="75">
        <f t="shared" si="70"/>
        <v>1</v>
      </c>
      <c r="D374" s="74">
        <f t="shared" si="71"/>
        <v>842</v>
      </c>
      <c r="E374" s="73">
        <f>VLOOKUP(B374,'114+840'!B375:AB375,3,FALSE)</f>
        <v>1897</v>
      </c>
      <c r="F374" s="70">
        <f t="shared" si="66"/>
        <v>2739</v>
      </c>
      <c r="G374" s="72">
        <f>VLOOKUP(B374,'114+840'!$B$15:$AB$516,20,FALSE)</f>
        <v>1719</v>
      </c>
      <c r="H374" s="72">
        <f>VLOOKUP(B374,'114+840'!$B$15:$AB$516,4,FALSE)</f>
        <v>100</v>
      </c>
      <c r="I374" s="69">
        <f t="shared" si="67"/>
        <v>2639</v>
      </c>
      <c r="J374" s="69">
        <f>VLOOKUP(B374,'114+840'!$B$15:$AB$516,13,FALSE)</f>
        <v>-361</v>
      </c>
      <c r="K374" s="67">
        <f>'114+840'!Q375</f>
        <v>0</v>
      </c>
      <c r="L374" s="66">
        <f t="shared" si="72"/>
        <v>281</v>
      </c>
      <c r="M374" s="71">
        <f>VLOOKUP(B374,'114+840'!$B$14:$AB$516,21,FALSE)</f>
        <v>1527</v>
      </c>
      <c r="N374" s="70">
        <f>VLOOKUP(B374,'114+840'!$B$15:$AB$516,5,FALSE)</f>
        <v>112</v>
      </c>
      <c r="O374" s="69">
        <f t="shared" si="68"/>
        <v>2627</v>
      </c>
      <c r="P374" s="69">
        <f>VLOOKUP(B374,'114+840'!$B$15:$AB$516,14,FALSE)</f>
        <v>-373</v>
      </c>
      <c r="Q374" s="67">
        <f>'114+840'!R375</f>
        <v>0</v>
      </c>
      <c r="R374" s="66">
        <f t="shared" si="73"/>
        <v>473</v>
      </c>
      <c r="S374" s="71">
        <f>VLOOKUP(B374,'114+840'!$B$14:$AB$516,22,FALSE)</f>
        <v>1742</v>
      </c>
      <c r="T374" s="70">
        <f>VLOOKUP(B374,'114+840'!$B$15:$AB$516,6,FALSE)</f>
        <v>387</v>
      </c>
      <c r="U374" s="69">
        <f t="shared" si="69"/>
        <v>2352</v>
      </c>
      <c r="V374" s="68">
        <f>VLOOKUP(B374,'114+840'!$B$15:$AB$516,15,FALSE)</f>
        <v>-648</v>
      </c>
      <c r="W374" s="67">
        <f>'114+840'!S375</f>
        <v>0</v>
      </c>
      <c r="X374" s="66">
        <f t="shared" si="74"/>
        <v>258</v>
      </c>
      <c r="Y374" s="65">
        <f t="shared" si="75"/>
        <v>0</v>
      </c>
      <c r="Z374" s="64">
        <f t="shared" si="76"/>
        <v>0</v>
      </c>
      <c r="AA374" s="63">
        <f t="shared" si="77"/>
        <v>2.3239999999999998</v>
      </c>
      <c r="AB374" s="63">
        <f t="shared" si="78"/>
        <v>0.95399999999999996</v>
      </c>
    </row>
    <row r="375" spans="2:28">
      <c r="B375" s="104">
        <f>'114+840'!B376</f>
        <v>45632</v>
      </c>
      <c r="C375" s="75">
        <f t="shared" si="70"/>
        <v>1</v>
      </c>
      <c r="D375" s="74">
        <f t="shared" si="71"/>
        <v>842</v>
      </c>
      <c r="E375" s="73">
        <f>VLOOKUP(B375,'114+840'!B376:AB376,3,FALSE)</f>
        <v>1899</v>
      </c>
      <c r="F375" s="70">
        <f t="shared" si="66"/>
        <v>2741</v>
      </c>
      <c r="G375" s="72">
        <f>VLOOKUP(B375,'114+840'!$B$15:$AB$516,20,FALSE)</f>
        <v>1719</v>
      </c>
      <c r="H375" s="72">
        <f>VLOOKUP(B375,'114+840'!$B$15:$AB$516,4,FALSE)</f>
        <v>102</v>
      </c>
      <c r="I375" s="69">
        <f t="shared" si="67"/>
        <v>2639</v>
      </c>
      <c r="J375" s="69">
        <f>VLOOKUP(B375,'114+840'!$B$15:$AB$516,13,FALSE)</f>
        <v>-361</v>
      </c>
      <c r="K375" s="67">
        <f>'114+840'!Q376</f>
        <v>0</v>
      </c>
      <c r="L375" s="66">
        <f t="shared" si="72"/>
        <v>281</v>
      </c>
      <c r="M375" s="71">
        <f>VLOOKUP(B375,'114+840'!$B$14:$AB$516,21,FALSE)</f>
        <v>1527</v>
      </c>
      <c r="N375" s="70">
        <f>VLOOKUP(B375,'114+840'!$B$15:$AB$516,5,FALSE)</f>
        <v>114</v>
      </c>
      <c r="O375" s="69">
        <f t="shared" si="68"/>
        <v>2627</v>
      </c>
      <c r="P375" s="69">
        <f>VLOOKUP(B375,'114+840'!$B$15:$AB$516,14,FALSE)</f>
        <v>-373</v>
      </c>
      <c r="Q375" s="67">
        <f>'114+840'!R376</f>
        <v>0</v>
      </c>
      <c r="R375" s="66">
        <f t="shared" si="73"/>
        <v>473</v>
      </c>
      <c r="S375" s="71">
        <f>VLOOKUP(B375,'114+840'!$B$14:$AB$516,22,FALSE)</f>
        <v>1742</v>
      </c>
      <c r="T375" s="70">
        <f>VLOOKUP(B375,'114+840'!$B$15:$AB$516,6,FALSE)</f>
        <v>389</v>
      </c>
      <c r="U375" s="69">
        <f t="shared" si="69"/>
        <v>2352</v>
      </c>
      <c r="V375" s="68">
        <f>VLOOKUP(B375,'114+840'!$B$15:$AB$516,15,FALSE)</f>
        <v>-648</v>
      </c>
      <c r="W375" s="67">
        <f>'114+840'!S376</f>
        <v>0</v>
      </c>
      <c r="X375" s="66">
        <f t="shared" si="74"/>
        <v>258</v>
      </c>
      <c r="Y375" s="65">
        <f t="shared" si="75"/>
        <v>0</v>
      </c>
      <c r="Z375" s="64">
        <f t="shared" si="76"/>
        <v>0</v>
      </c>
      <c r="AA375" s="63">
        <f t="shared" si="77"/>
        <v>2.3239999999999998</v>
      </c>
      <c r="AB375" s="63">
        <f t="shared" si="78"/>
        <v>0.95399999999999996</v>
      </c>
    </row>
    <row r="376" spans="2:28">
      <c r="B376" s="104">
        <f>'114+840'!B377</f>
        <v>45633</v>
      </c>
      <c r="C376" s="75">
        <f t="shared" si="70"/>
        <v>1</v>
      </c>
      <c r="D376" s="74">
        <f t="shared" si="71"/>
        <v>842</v>
      </c>
      <c r="E376" s="73">
        <f>VLOOKUP(B376,'114+840'!B377:AB377,3,FALSE)</f>
        <v>1901</v>
      </c>
      <c r="F376" s="70">
        <f t="shared" si="66"/>
        <v>2743</v>
      </c>
      <c r="G376" s="72">
        <f>VLOOKUP(B376,'114+840'!$B$15:$AB$516,20,FALSE)</f>
        <v>1719</v>
      </c>
      <c r="H376" s="72">
        <f>VLOOKUP(B376,'114+840'!$B$15:$AB$516,4,FALSE)</f>
        <v>104</v>
      </c>
      <c r="I376" s="69">
        <f t="shared" si="67"/>
        <v>2639</v>
      </c>
      <c r="J376" s="69">
        <f>VLOOKUP(B376,'114+840'!$B$15:$AB$516,13,FALSE)</f>
        <v>-361</v>
      </c>
      <c r="K376" s="67">
        <f>'114+840'!Q377</f>
        <v>0</v>
      </c>
      <c r="L376" s="66">
        <f t="shared" si="72"/>
        <v>281</v>
      </c>
      <c r="M376" s="71">
        <f>VLOOKUP(B376,'114+840'!$B$14:$AB$516,21,FALSE)</f>
        <v>1527</v>
      </c>
      <c r="N376" s="70">
        <f>VLOOKUP(B376,'114+840'!$B$15:$AB$516,5,FALSE)</f>
        <v>116</v>
      </c>
      <c r="O376" s="69">
        <f t="shared" si="68"/>
        <v>2627</v>
      </c>
      <c r="P376" s="69">
        <f>VLOOKUP(B376,'114+840'!$B$15:$AB$516,14,FALSE)</f>
        <v>-373</v>
      </c>
      <c r="Q376" s="67">
        <f>'114+840'!R377</f>
        <v>0</v>
      </c>
      <c r="R376" s="66">
        <f t="shared" si="73"/>
        <v>473</v>
      </c>
      <c r="S376" s="71">
        <f>VLOOKUP(B376,'114+840'!$B$14:$AB$516,22,FALSE)</f>
        <v>1742</v>
      </c>
      <c r="T376" s="70">
        <f>VLOOKUP(B376,'114+840'!$B$15:$AB$516,6,FALSE)</f>
        <v>391</v>
      </c>
      <c r="U376" s="69">
        <f t="shared" si="69"/>
        <v>2352</v>
      </c>
      <c r="V376" s="68">
        <f>VLOOKUP(B376,'114+840'!$B$15:$AB$516,15,FALSE)</f>
        <v>-648</v>
      </c>
      <c r="W376" s="67">
        <f>'114+840'!S377</f>
        <v>0</v>
      </c>
      <c r="X376" s="66">
        <f t="shared" si="74"/>
        <v>258</v>
      </c>
      <c r="Y376" s="65">
        <f t="shared" si="75"/>
        <v>0</v>
      </c>
      <c r="Z376" s="64">
        <f t="shared" si="76"/>
        <v>0</v>
      </c>
      <c r="AA376" s="63">
        <f t="shared" si="77"/>
        <v>2.3239999999999998</v>
      </c>
      <c r="AB376" s="63">
        <f t="shared" si="78"/>
        <v>0.95399999999999996</v>
      </c>
    </row>
    <row r="377" spans="2:28">
      <c r="B377" s="104">
        <f>'114+840'!B378</f>
        <v>45634</v>
      </c>
      <c r="C377" s="75">
        <f t="shared" si="70"/>
        <v>1</v>
      </c>
      <c r="D377" s="74">
        <f t="shared" si="71"/>
        <v>842</v>
      </c>
      <c r="E377" s="73">
        <f>VLOOKUP(B377,'114+840'!B378:AB378,3,FALSE)</f>
        <v>1903</v>
      </c>
      <c r="F377" s="70">
        <f t="shared" si="66"/>
        <v>2745</v>
      </c>
      <c r="G377" s="72">
        <f>VLOOKUP(B377,'114+840'!$B$15:$AB$516,20,FALSE)</f>
        <v>1719</v>
      </c>
      <c r="H377" s="72">
        <f>VLOOKUP(B377,'114+840'!$B$15:$AB$516,4,FALSE)</f>
        <v>106</v>
      </c>
      <c r="I377" s="69">
        <f t="shared" si="67"/>
        <v>2639</v>
      </c>
      <c r="J377" s="69">
        <f>VLOOKUP(B377,'114+840'!$B$15:$AB$516,13,FALSE)</f>
        <v>-361</v>
      </c>
      <c r="K377" s="67">
        <f>'114+840'!Q378</f>
        <v>0</v>
      </c>
      <c r="L377" s="66">
        <f t="shared" si="72"/>
        <v>281</v>
      </c>
      <c r="M377" s="71">
        <f>VLOOKUP(B377,'114+840'!$B$14:$AB$516,21,FALSE)</f>
        <v>1527</v>
      </c>
      <c r="N377" s="70">
        <f>VLOOKUP(B377,'114+840'!$B$15:$AB$516,5,FALSE)</f>
        <v>118</v>
      </c>
      <c r="O377" s="69">
        <f t="shared" si="68"/>
        <v>2627</v>
      </c>
      <c r="P377" s="69">
        <f>VLOOKUP(B377,'114+840'!$B$15:$AB$516,14,FALSE)</f>
        <v>-373</v>
      </c>
      <c r="Q377" s="67">
        <f>'114+840'!R378</f>
        <v>0</v>
      </c>
      <c r="R377" s="66">
        <f t="shared" si="73"/>
        <v>473</v>
      </c>
      <c r="S377" s="71">
        <f>VLOOKUP(B377,'114+840'!$B$14:$AB$516,22,FALSE)</f>
        <v>1742</v>
      </c>
      <c r="T377" s="70">
        <f>VLOOKUP(B377,'114+840'!$B$15:$AB$516,6,FALSE)</f>
        <v>393</v>
      </c>
      <c r="U377" s="69">
        <f t="shared" si="69"/>
        <v>2352</v>
      </c>
      <c r="V377" s="68">
        <f>VLOOKUP(B377,'114+840'!$B$15:$AB$516,15,FALSE)</f>
        <v>-648</v>
      </c>
      <c r="W377" s="67">
        <f>'114+840'!S378</f>
        <v>0</v>
      </c>
      <c r="X377" s="66">
        <f t="shared" si="74"/>
        <v>258</v>
      </c>
      <c r="Y377" s="65">
        <f t="shared" si="75"/>
        <v>0</v>
      </c>
      <c r="Z377" s="64">
        <f t="shared" si="76"/>
        <v>0</v>
      </c>
      <c r="AA377" s="63">
        <f t="shared" si="77"/>
        <v>2.3239999999999998</v>
      </c>
      <c r="AB377" s="63">
        <f t="shared" si="78"/>
        <v>0.95399999999999996</v>
      </c>
    </row>
    <row r="378" spans="2:28">
      <c r="B378" s="104">
        <f>'114+840'!B379</f>
        <v>45635</v>
      </c>
      <c r="C378" s="75">
        <f t="shared" si="70"/>
        <v>1</v>
      </c>
      <c r="D378" s="74">
        <f t="shared" si="71"/>
        <v>842</v>
      </c>
      <c r="E378" s="73">
        <f>VLOOKUP(B378,'114+840'!B379:AB379,3,FALSE)</f>
        <v>1905</v>
      </c>
      <c r="F378" s="70">
        <f t="shared" si="66"/>
        <v>2747</v>
      </c>
      <c r="G378" s="72">
        <f>VLOOKUP(B378,'114+840'!$B$15:$AB$516,20,FALSE)</f>
        <v>1719</v>
      </c>
      <c r="H378" s="72">
        <f>VLOOKUP(B378,'114+840'!$B$15:$AB$516,4,FALSE)</f>
        <v>108</v>
      </c>
      <c r="I378" s="69">
        <f t="shared" si="67"/>
        <v>2639</v>
      </c>
      <c r="J378" s="69">
        <f>VLOOKUP(B378,'114+840'!$B$15:$AB$516,13,FALSE)</f>
        <v>-361</v>
      </c>
      <c r="K378" s="67">
        <f>'114+840'!Q379</f>
        <v>0</v>
      </c>
      <c r="L378" s="66">
        <f t="shared" si="72"/>
        <v>281</v>
      </c>
      <c r="M378" s="71">
        <f>VLOOKUP(B378,'114+840'!$B$14:$AB$516,21,FALSE)</f>
        <v>1527</v>
      </c>
      <c r="N378" s="70">
        <f>VLOOKUP(B378,'114+840'!$B$15:$AB$516,5,FALSE)</f>
        <v>120</v>
      </c>
      <c r="O378" s="69">
        <f t="shared" si="68"/>
        <v>2627</v>
      </c>
      <c r="P378" s="69">
        <f>VLOOKUP(B378,'114+840'!$B$15:$AB$516,14,FALSE)</f>
        <v>-373</v>
      </c>
      <c r="Q378" s="67">
        <f>'114+840'!R379</f>
        <v>0</v>
      </c>
      <c r="R378" s="66">
        <f t="shared" si="73"/>
        <v>473</v>
      </c>
      <c r="S378" s="71">
        <f>VLOOKUP(B378,'114+840'!$B$14:$AB$516,22,FALSE)</f>
        <v>1742</v>
      </c>
      <c r="T378" s="70">
        <f>VLOOKUP(B378,'114+840'!$B$15:$AB$516,6,FALSE)</f>
        <v>395</v>
      </c>
      <c r="U378" s="69">
        <f t="shared" si="69"/>
        <v>2352</v>
      </c>
      <c r="V378" s="68">
        <f>VLOOKUP(B378,'114+840'!$B$15:$AB$516,15,FALSE)</f>
        <v>-648</v>
      </c>
      <c r="W378" s="67">
        <f>'114+840'!S379</f>
        <v>0</v>
      </c>
      <c r="X378" s="66">
        <f t="shared" si="74"/>
        <v>258</v>
      </c>
      <c r="Y378" s="65">
        <f t="shared" si="75"/>
        <v>0</v>
      </c>
      <c r="Z378" s="64">
        <f t="shared" si="76"/>
        <v>0</v>
      </c>
      <c r="AA378" s="63">
        <f t="shared" si="77"/>
        <v>2.3239999999999998</v>
      </c>
      <c r="AB378" s="63">
        <f t="shared" si="78"/>
        <v>0.95399999999999996</v>
      </c>
    </row>
    <row r="379" spans="2:28">
      <c r="B379" s="104">
        <f>'114+840'!B380</f>
        <v>45636</v>
      </c>
      <c r="C379" s="75">
        <f t="shared" si="70"/>
        <v>1</v>
      </c>
      <c r="D379" s="74">
        <f t="shared" si="71"/>
        <v>842</v>
      </c>
      <c r="E379" s="73">
        <f>VLOOKUP(B379,'114+840'!B380:AB380,3,FALSE)</f>
        <v>1907</v>
      </c>
      <c r="F379" s="70">
        <f t="shared" si="66"/>
        <v>2749</v>
      </c>
      <c r="G379" s="72">
        <f>VLOOKUP(B379,'114+840'!$B$15:$AB$516,20,FALSE)</f>
        <v>1719</v>
      </c>
      <c r="H379" s="72">
        <f>VLOOKUP(B379,'114+840'!$B$15:$AB$516,4,FALSE)</f>
        <v>110</v>
      </c>
      <c r="I379" s="69">
        <f t="shared" si="67"/>
        <v>2639</v>
      </c>
      <c r="J379" s="69">
        <f>VLOOKUP(B379,'114+840'!$B$15:$AB$516,13,FALSE)</f>
        <v>-361</v>
      </c>
      <c r="K379" s="67">
        <f>'114+840'!Q380</f>
        <v>0</v>
      </c>
      <c r="L379" s="66">
        <f t="shared" si="72"/>
        <v>281</v>
      </c>
      <c r="M379" s="71">
        <f>VLOOKUP(B379,'114+840'!$B$14:$AB$516,21,FALSE)</f>
        <v>1527</v>
      </c>
      <c r="N379" s="70">
        <f>VLOOKUP(B379,'114+840'!$B$15:$AB$516,5,FALSE)</f>
        <v>122</v>
      </c>
      <c r="O379" s="69">
        <f t="shared" si="68"/>
        <v>2627</v>
      </c>
      <c r="P379" s="69">
        <f>VLOOKUP(B379,'114+840'!$B$15:$AB$516,14,FALSE)</f>
        <v>-373</v>
      </c>
      <c r="Q379" s="67">
        <f>'114+840'!R380</f>
        <v>0</v>
      </c>
      <c r="R379" s="66">
        <f t="shared" si="73"/>
        <v>473</v>
      </c>
      <c r="S379" s="71">
        <f>VLOOKUP(B379,'114+840'!$B$14:$AB$516,22,FALSE)</f>
        <v>1742</v>
      </c>
      <c r="T379" s="70">
        <f>VLOOKUP(B379,'114+840'!$B$15:$AB$516,6,FALSE)</f>
        <v>397</v>
      </c>
      <c r="U379" s="69">
        <f t="shared" si="69"/>
        <v>2352</v>
      </c>
      <c r="V379" s="68">
        <f>VLOOKUP(B379,'114+840'!$B$15:$AB$516,15,FALSE)</f>
        <v>-648</v>
      </c>
      <c r="W379" s="67">
        <f>'114+840'!S380</f>
        <v>0</v>
      </c>
      <c r="X379" s="66">
        <f t="shared" si="74"/>
        <v>258</v>
      </c>
      <c r="Y379" s="65">
        <f t="shared" si="75"/>
        <v>0</v>
      </c>
      <c r="Z379" s="64">
        <f t="shared" si="76"/>
        <v>0</v>
      </c>
      <c r="AA379" s="63">
        <f t="shared" si="77"/>
        <v>2.3239999999999998</v>
      </c>
      <c r="AB379" s="63">
        <f t="shared" si="78"/>
        <v>0.95399999999999996</v>
      </c>
    </row>
    <row r="380" spans="2:28">
      <c r="B380" s="104">
        <f>'114+840'!B381</f>
        <v>45637</v>
      </c>
      <c r="C380" s="75">
        <f t="shared" si="70"/>
        <v>1</v>
      </c>
      <c r="D380" s="74">
        <f t="shared" si="71"/>
        <v>842</v>
      </c>
      <c r="E380" s="73">
        <f>VLOOKUP(B380,'114+840'!B381:AB381,3,FALSE)</f>
        <v>1909</v>
      </c>
      <c r="F380" s="70">
        <f t="shared" si="66"/>
        <v>2751</v>
      </c>
      <c r="G380" s="72">
        <f>VLOOKUP(B380,'114+840'!$B$15:$AB$516,20,FALSE)</f>
        <v>1719</v>
      </c>
      <c r="H380" s="72">
        <f>VLOOKUP(B380,'114+840'!$B$15:$AB$516,4,FALSE)</f>
        <v>112</v>
      </c>
      <c r="I380" s="69">
        <f t="shared" si="67"/>
        <v>2639</v>
      </c>
      <c r="J380" s="69">
        <f>VLOOKUP(B380,'114+840'!$B$15:$AB$516,13,FALSE)</f>
        <v>-361</v>
      </c>
      <c r="K380" s="67">
        <f>'114+840'!Q381</f>
        <v>0</v>
      </c>
      <c r="L380" s="66">
        <f t="shared" si="72"/>
        <v>281</v>
      </c>
      <c r="M380" s="71">
        <f>VLOOKUP(B380,'114+840'!$B$14:$AB$516,21,FALSE)</f>
        <v>1527</v>
      </c>
      <c r="N380" s="70">
        <f>VLOOKUP(B380,'114+840'!$B$15:$AB$516,5,FALSE)</f>
        <v>124</v>
      </c>
      <c r="O380" s="69">
        <f t="shared" si="68"/>
        <v>2627</v>
      </c>
      <c r="P380" s="69">
        <f>VLOOKUP(B380,'114+840'!$B$15:$AB$516,14,FALSE)</f>
        <v>-373</v>
      </c>
      <c r="Q380" s="67">
        <f>'114+840'!R381</f>
        <v>0</v>
      </c>
      <c r="R380" s="66">
        <f t="shared" si="73"/>
        <v>473</v>
      </c>
      <c r="S380" s="71">
        <f>VLOOKUP(B380,'114+840'!$B$14:$AB$516,22,FALSE)</f>
        <v>1742</v>
      </c>
      <c r="T380" s="70">
        <f>VLOOKUP(B380,'114+840'!$B$15:$AB$516,6,FALSE)</f>
        <v>399</v>
      </c>
      <c r="U380" s="69">
        <f t="shared" si="69"/>
        <v>2352</v>
      </c>
      <c r="V380" s="68">
        <f>VLOOKUP(B380,'114+840'!$B$15:$AB$516,15,FALSE)</f>
        <v>-648</v>
      </c>
      <c r="W380" s="67">
        <f>'114+840'!S381</f>
        <v>0</v>
      </c>
      <c r="X380" s="66">
        <f t="shared" si="74"/>
        <v>258</v>
      </c>
      <c r="Y380" s="65">
        <f t="shared" si="75"/>
        <v>0</v>
      </c>
      <c r="Z380" s="64">
        <f t="shared" si="76"/>
        <v>0</v>
      </c>
      <c r="AA380" s="63">
        <f t="shared" si="77"/>
        <v>2.3239999999999998</v>
      </c>
      <c r="AB380" s="63">
        <f t="shared" si="78"/>
        <v>0.95399999999999996</v>
      </c>
    </row>
    <row r="381" spans="2:28">
      <c r="B381" s="104">
        <f>'114+840'!B382</f>
        <v>45638</v>
      </c>
      <c r="C381" s="75">
        <f t="shared" si="70"/>
        <v>1</v>
      </c>
      <c r="D381" s="74">
        <f t="shared" si="71"/>
        <v>842</v>
      </c>
      <c r="E381" s="73">
        <f>VLOOKUP(B381,'114+840'!B382:AB382,3,FALSE)</f>
        <v>1911</v>
      </c>
      <c r="F381" s="70">
        <f t="shared" si="66"/>
        <v>2753</v>
      </c>
      <c r="G381" s="72">
        <f>VLOOKUP(B381,'114+840'!$B$15:$AB$516,20,FALSE)</f>
        <v>1909</v>
      </c>
      <c r="H381" s="72">
        <f>VLOOKUP(B381,'114+840'!$B$15:$AB$516,4,FALSE)</f>
        <v>124</v>
      </c>
      <c r="I381" s="69">
        <f t="shared" si="67"/>
        <v>2629</v>
      </c>
      <c r="J381" s="69">
        <f>VLOOKUP(B381,'114+840'!$B$15:$AB$516,13,FALSE)</f>
        <v>-371</v>
      </c>
      <c r="K381" s="67">
        <f>'114+840'!Q382</f>
        <v>10</v>
      </c>
      <c r="L381" s="66">
        <f t="shared" si="72"/>
        <v>291</v>
      </c>
      <c r="M381" s="71">
        <f>VLOOKUP(B381,'114+840'!$B$14:$AB$516,21,FALSE)</f>
        <v>1717</v>
      </c>
      <c r="N381" s="70">
        <f>VLOOKUP(B381,'114+840'!$B$15:$AB$516,5,FALSE)</f>
        <v>136</v>
      </c>
      <c r="O381" s="69">
        <f t="shared" si="68"/>
        <v>2617</v>
      </c>
      <c r="P381" s="69">
        <f>VLOOKUP(B381,'114+840'!$B$15:$AB$516,14,FALSE)</f>
        <v>-383</v>
      </c>
      <c r="Q381" s="67">
        <f>'114+840'!R382</f>
        <v>10</v>
      </c>
      <c r="R381" s="66">
        <f t="shared" si="73"/>
        <v>483</v>
      </c>
      <c r="S381" s="71">
        <f>VLOOKUP(B381,'114+840'!$B$14:$AB$516,22,FALSE)</f>
        <v>1932</v>
      </c>
      <c r="T381" s="70">
        <f>VLOOKUP(B381,'114+840'!$B$15:$AB$516,6,FALSE)</f>
        <v>411</v>
      </c>
      <c r="U381" s="69">
        <f t="shared" si="69"/>
        <v>2342</v>
      </c>
      <c r="V381" s="68">
        <f>VLOOKUP(B381,'114+840'!$B$15:$AB$516,15,FALSE)</f>
        <v>-658</v>
      </c>
      <c r="W381" s="67">
        <f>'114+840'!S382</f>
        <v>10</v>
      </c>
      <c r="X381" s="66">
        <f t="shared" si="74"/>
        <v>268</v>
      </c>
      <c r="Y381" s="65">
        <f t="shared" si="75"/>
        <v>190</v>
      </c>
      <c r="Z381" s="64">
        <f t="shared" si="76"/>
        <v>0.19</v>
      </c>
      <c r="AA381" s="63">
        <f t="shared" si="77"/>
        <v>2.5139999999999998</v>
      </c>
      <c r="AB381" s="63">
        <f t="shared" si="78"/>
        <v>1.1339999999999999</v>
      </c>
    </row>
    <row r="382" spans="2:28">
      <c r="B382" s="104">
        <f>'114+840'!B383</f>
        <v>45639</v>
      </c>
      <c r="C382" s="75">
        <f t="shared" si="70"/>
        <v>1</v>
      </c>
      <c r="D382" s="74">
        <f t="shared" si="71"/>
        <v>842</v>
      </c>
      <c r="E382" s="73">
        <f>VLOOKUP(B382,'114+840'!B383:AB383,3,FALSE)</f>
        <v>1913</v>
      </c>
      <c r="F382" s="70">
        <f t="shared" si="66"/>
        <v>2755</v>
      </c>
      <c r="G382" s="72">
        <f>VLOOKUP(B382,'114+840'!$B$15:$AB$516,20,FALSE)</f>
        <v>1899</v>
      </c>
      <c r="H382" s="72">
        <f>VLOOKUP(B382,'114+840'!$B$15:$AB$516,4,FALSE)</f>
        <v>136</v>
      </c>
      <c r="I382" s="69">
        <f t="shared" si="67"/>
        <v>2619</v>
      </c>
      <c r="J382" s="69">
        <f>VLOOKUP(B382,'114+840'!$B$15:$AB$516,13,FALSE)</f>
        <v>-381</v>
      </c>
      <c r="K382" s="67">
        <f>'114+840'!Q383</f>
        <v>10</v>
      </c>
      <c r="L382" s="66">
        <f t="shared" si="72"/>
        <v>301</v>
      </c>
      <c r="M382" s="71">
        <f>VLOOKUP(B382,'114+840'!$B$14:$AB$516,21,FALSE)</f>
        <v>1707</v>
      </c>
      <c r="N382" s="70">
        <f>VLOOKUP(B382,'114+840'!$B$15:$AB$516,5,FALSE)</f>
        <v>148</v>
      </c>
      <c r="O382" s="69">
        <f t="shared" si="68"/>
        <v>2607</v>
      </c>
      <c r="P382" s="69">
        <f>VLOOKUP(B382,'114+840'!$B$15:$AB$516,14,FALSE)</f>
        <v>-393</v>
      </c>
      <c r="Q382" s="67">
        <f>'114+840'!R383</f>
        <v>10</v>
      </c>
      <c r="R382" s="66">
        <f t="shared" si="73"/>
        <v>493</v>
      </c>
      <c r="S382" s="71">
        <f>VLOOKUP(B382,'114+840'!$B$14:$AB$516,22,FALSE)</f>
        <v>1924</v>
      </c>
      <c r="T382" s="70">
        <f>VLOOKUP(B382,'114+840'!$B$15:$AB$516,6,FALSE)</f>
        <v>421</v>
      </c>
      <c r="U382" s="69">
        <f t="shared" si="69"/>
        <v>2334</v>
      </c>
      <c r="V382" s="68">
        <f>VLOOKUP(B382,'114+840'!$B$15:$AB$516,15,FALSE)</f>
        <v>-666</v>
      </c>
      <c r="W382" s="67">
        <f>'114+840'!S383</f>
        <v>8</v>
      </c>
      <c r="X382" s="66">
        <f t="shared" si="74"/>
        <v>276</v>
      </c>
      <c r="Y382" s="65">
        <f t="shared" si="75"/>
        <v>-8</v>
      </c>
      <c r="Z382" s="64">
        <f t="shared" si="76"/>
        <v>0</v>
      </c>
      <c r="AA382" s="63">
        <f t="shared" si="77"/>
        <v>2.5139999999999998</v>
      </c>
      <c r="AB382" s="63">
        <f t="shared" si="78"/>
        <v>1.1140000000000001</v>
      </c>
    </row>
    <row r="383" spans="2:28">
      <c r="B383" s="104">
        <f>'114+840'!B384</f>
        <v>45640</v>
      </c>
      <c r="C383" s="75">
        <f t="shared" si="70"/>
        <v>1</v>
      </c>
      <c r="D383" s="74">
        <f t="shared" si="71"/>
        <v>842</v>
      </c>
      <c r="E383" s="73">
        <f>VLOOKUP(B383,'114+840'!B384:AB384,3,FALSE)</f>
        <v>1915</v>
      </c>
      <c r="F383" s="70">
        <f t="shared" si="66"/>
        <v>2757</v>
      </c>
      <c r="G383" s="72">
        <f>VLOOKUP(B383,'114+840'!$B$15:$AB$516,20,FALSE)</f>
        <v>1893</v>
      </c>
      <c r="H383" s="72">
        <f>VLOOKUP(B383,'114+840'!$B$15:$AB$516,4,FALSE)</f>
        <v>144</v>
      </c>
      <c r="I383" s="69">
        <f t="shared" si="67"/>
        <v>2613</v>
      </c>
      <c r="J383" s="69">
        <f>VLOOKUP(B383,'114+840'!$B$15:$AB$516,13,FALSE)</f>
        <v>-387</v>
      </c>
      <c r="K383" s="67">
        <f>'114+840'!Q384</f>
        <v>6</v>
      </c>
      <c r="L383" s="66">
        <f t="shared" si="72"/>
        <v>307</v>
      </c>
      <c r="M383" s="71">
        <f>VLOOKUP(B383,'114+840'!$B$14:$AB$516,21,FALSE)</f>
        <v>1697</v>
      </c>
      <c r="N383" s="70">
        <f>VLOOKUP(B383,'114+840'!$B$15:$AB$516,5,FALSE)</f>
        <v>160</v>
      </c>
      <c r="O383" s="69">
        <f t="shared" si="68"/>
        <v>2597</v>
      </c>
      <c r="P383" s="69">
        <f>VLOOKUP(B383,'114+840'!$B$15:$AB$516,14,FALSE)</f>
        <v>-403</v>
      </c>
      <c r="Q383" s="67">
        <f>'114+840'!R384</f>
        <v>10</v>
      </c>
      <c r="R383" s="66">
        <f t="shared" si="73"/>
        <v>503</v>
      </c>
      <c r="S383" s="71">
        <f>VLOOKUP(B383,'114+840'!$B$14:$AB$516,22,FALSE)</f>
        <v>1919</v>
      </c>
      <c r="T383" s="70">
        <f>VLOOKUP(B383,'114+840'!$B$15:$AB$516,6,FALSE)</f>
        <v>428</v>
      </c>
      <c r="U383" s="69">
        <f t="shared" si="69"/>
        <v>2329</v>
      </c>
      <c r="V383" s="68">
        <f>VLOOKUP(B383,'114+840'!$B$15:$AB$516,15,FALSE)</f>
        <v>-671</v>
      </c>
      <c r="W383" s="67">
        <f>'114+840'!S384</f>
        <v>5</v>
      </c>
      <c r="X383" s="66">
        <f t="shared" si="74"/>
        <v>281</v>
      </c>
      <c r="Y383" s="65">
        <f t="shared" si="75"/>
        <v>-5</v>
      </c>
      <c r="Z383" s="64">
        <f t="shared" si="76"/>
        <v>0</v>
      </c>
      <c r="AA383" s="63">
        <f t="shared" si="77"/>
        <v>2.5139999999999998</v>
      </c>
      <c r="AB383" s="63">
        <f t="shared" si="78"/>
        <v>1.0940000000000001</v>
      </c>
    </row>
    <row r="384" spans="2:28">
      <c r="B384" s="104">
        <f>'114+840'!B385</f>
        <v>45641</v>
      </c>
      <c r="C384" s="75">
        <f t="shared" si="70"/>
        <v>1</v>
      </c>
      <c r="D384" s="74">
        <f t="shared" si="71"/>
        <v>842</v>
      </c>
      <c r="E384" s="73">
        <f>VLOOKUP(B384,'114+840'!B385:AB385,3,FALSE)</f>
        <v>1917</v>
      </c>
      <c r="F384" s="70">
        <f t="shared" si="66"/>
        <v>2759</v>
      </c>
      <c r="G384" s="72">
        <f>VLOOKUP(B384,'114+840'!$B$15:$AB$516,20,FALSE)</f>
        <v>1885</v>
      </c>
      <c r="H384" s="72">
        <f>VLOOKUP(B384,'114+840'!$B$15:$AB$516,4,FALSE)</f>
        <v>154</v>
      </c>
      <c r="I384" s="69">
        <f t="shared" si="67"/>
        <v>2605</v>
      </c>
      <c r="J384" s="69">
        <f>VLOOKUP(B384,'114+840'!$B$15:$AB$516,13,FALSE)</f>
        <v>-395</v>
      </c>
      <c r="K384" s="67">
        <f>'114+840'!Q385</f>
        <v>8</v>
      </c>
      <c r="L384" s="66">
        <f t="shared" si="72"/>
        <v>315</v>
      </c>
      <c r="M384" s="71">
        <f>VLOOKUP(B384,'114+840'!$B$14:$AB$516,21,FALSE)</f>
        <v>1690</v>
      </c>
      <c r="N384" s="70">
        <f>VLOOKUP(B384,'114+840'!$B$15:$AB$516,5,FALSE)</f>
        <v>169</v>
      </c>
      <c r="O384" s="69">
        <f t="shared" si="68"/>
        <v>2590</v>
      </c>
      <c r="P384" s="69">
        <f>VLOOKUP(B384,'114+840'!$B$15:$AB$516,14,FALSE)</f>
        <v>-410</v>
      </c>
      <c r="Q384" s="67">
        <f>'114+840'!R385</f>
        <v>7</v>
      </c>
      <c r="R384" s="66">
        <f t="shared" si="73"/>
        <v>510</v>
      </c>
      <c r="S384" s="71">
        <f>VLOOKUP(B384,'114+840'!$B$14:$AB$516,22,FALSE)</f>
        <v>1913</v>
      </c>
      <c r="T384" s="70">
        <f>VLOOKUP(B384,'114+840'!$B$15:$AB$516,6,FALSE)</f>
        <v>436</v>
      </c>
      <c r="U384" s="69">
        <f t="shared" si="69"/>
        <v>2323</v>
      </c>
      <c r="V384" s="68">
        <f>VLOOKUP(B384,'114+840'!$B$15:$AB$516,15,FALSE)</f>
        <v>-677</v>
      </c>
      <c r="W384" s="67">
        <f>'114+840'!S385</f>
        <v>6</v>
      </c>
      <c r="X384" s="66">
        <f t="shared" si="74"/>
        <v>287</v>
      </c>
      <c r="Y384" s="65">
        <f t="shared" si="75"/>
        <v>-6</v>
      </c>
      <c r="Z384" s="64">
        <f t="shared" si="76"/>
        <v>0</v>
      </c>
      <c r="AA384" s="63">
        <f t="shared" si="77"/>
        <v>2.5139999999999998</v>
      </c>
      <c r="AB384" s="63">
        <f t="shared" si="78"/>
        <v>1.08</v>
      </c>
    </row>
    <row r="385" spans="2:28">
      <c r="B385" s="104">
        <f>'114+840'!B386</f>
        <v>45642</v>
      </c>
      <c r="C385" s="75">
        <f t="shared" si="70"/>
        <v>1</v>
      </c>
      <c r="D385" s="74">
        <f t="shared" si="71"/>
        <v>842</v>
      </c>
      <c r="E385" s="73">
        <f>VLOOKUP(B385,'114+840'!B386:AB386,3,FALSE)</f>
        <v>1919</v>
      </c>
      <c r="F385" s="70">
        <f t="shared" si="66"/>
        <v>2761</v>
      </c>
      <c r="G385" s="72">
        <f>VLOOKUP(B385,'114+840'!$B$15:$AB$516,20,FALSE)</f>
        <v>2175</v>
      </c>
      <c r="H385" s="72">
        <f>VLOOKUP(B385,'114+840'!$B$15:$AB$516,4,FALSE)</f>
        <v>166</v>
      </c>
      <c r="I385" s="69">
        <f t="shared" si="67"/>
        <v>2595</v>
      </c>
      <c r="J385" s="69">
        <f>VLOOKUP(B385,'114+840'!$B$15:$AB$516,13,FALSE)</f>
        <v>-405</v>
      </c>
      <c r="K385" s="67">
        <f>'114+840'!Q386</f>
        <v>10</v>
      </c>
      <c r="L385" s="66">
        <f t="shared" si="72"/>
        <v>325</v>
      </c>
      <c r="M385" s="71">
        <f>VLOOKUP(B385,'114+840'!$B$14:$AB$516,21,FALSE)</f>
        <v>1980</v>
      </c>
      <c r="N385" s="70">
        <f>VLOOKUP(B385,'114+840'!$B$15:$AB$516,5,FALSE)</f>
        <v>181</v>
      </c>
      <c r="O385" s="69">
        <f t="shared" si="68"/>
        <v>2580</v>
      </c>
      <c r="P385" s="69">
        <f>VLOOKUP(B385,'114+840'!$B$15:$AB$516,14,FALSE)</f>
        <v>-420</v>
      </c>
      <c r="Q385" s="67">
        <f>'114+840'!R386</f>
        <v>10</v>
      </c>
      <c r="R385" s="66">
        <f t="shared" si="73"/>
        <v>520</v>
      </c>
      <c r="S385" s="71">
        <f>VLOOKUP(B385,'114+840'!$B$14:$AB$516,22,FALSE)</f>
        <v>2203</v>
      </c>
      <c r="T385" s="70">
        <f>VLOOKUP(B385,'114+840'!$B$15:$AB$516,6,FALSE)</f>
        <v>448</v>
      </c>
      <c r="U385" s="69">
        <f t="shared" si="69"/>
        <v>2313</v>
      </c>
      <c r="V385" s="68">
        <f>VLOOKUP(B385,'114+840'!$B$15:$AB$516,15,FALSE)</f>
        <v>-687</v>
      </c>
      <c r="W385" s="67">
        <f>'114+840'!S386</f>
        <v>10</v>
      </c>
      <c r="X385" s="66">
        <f t="shared" si="74"/>
        <v>297</v>
      </c>
      <c r="Y385" s="65">
        <f t="shared" si="75"/>
        <v>290</v>
      </c>
      <c r="Z385" s="64">
        <f t="shared" si="76"/>
        <v>0.28999999999999998</v>
      </c>
      <c r="AA385" s="63">
        <f t="shared" si="77"/>
        <v>2.8039999999999998</v>
      </c>
      <c r="AB385" s="63">
        <f t="shared" si="78"/>
        <v>1.36</v>
      </c>
    </row>
    <row r="386" spans="2:28">
      <c r="B386" s="104">
        <f>'114+840'!B387</f>
        <v>45643</v>
      </c>
      <c r="C386" s="75">
        <f t="shared" si="70"/>
        <v>1</v>
      </c>
      <c r="D386" s="74">
        <f t="shared" si="71"/>
        <v>842</v>
      </c>
      <c r="E386" s="73">
        <f>VLOOKUP(B386,'114+840'!B387:AB387,3,FALSE)</f>
        <v>1921</v>
      </c>
      <c r="F386" s="70">
        <f t="shared" si="66"/>
        <v>2763</v>
      </c>
      <c r="G386" s="72">
        <f>VLOOKUP(B386,'114+840'!$B$15:$AB$516,20,FALSE)</f>
        <v>2166</v>
      </c>
      <c r="H386" s="72">
        <f>VLOOKUP(B386,'114+840'!$B$15:$AB$516,4,FALSE)</f>
        <v>177</v>
      </c>
      <c r="I386" s="69">
        <f t="shared" si="67"/>
        <v>2586</v>
      </c>
      <c r="J386" s="69">
        <f>VLOOKUP(B386,'114+840'!$B$15:$AB$516,13,FALSE)</f>
        <v>-414</v>
      </c>
      <c r="K386" s="67">
        <f>'114+840'!Q387</f>
        <v>9</v>
      </c>
      <c r="L386" s="66">
        <f t="shared" si="72"/>
        <v>334</v>
      </c>
      <c r="M386" s="71">
        <f>VLOOKUP(B386,'114+840'!$B$14:$AB$516,21,FALSE)</f>
        <v>1970</v>
      </c>
      <c r="N386" s="70">
        <f>VLOOKUP(B386,'114+840'!$B$15:$AB$516,5,FALSE)</f>
        <v>193</v>
      </c>
      <c r="O386" s="69">
        <f t="shared" si="68"/>
        <v>2570</v>
      </c>
      <c r="P386" s="69">
        <f>VLOOKUP(B386,'114+840'!$B$15:$AB$516,14,FALSE)</f>
        <v>-430</v>
      </c>
      <c r="Q386" s="67">
        <f>'114+840'!R387</f>
        <v>10</v>
      </c>
      <c r="R386" s="66">
        <f t="shared" si="73"/>
        <v>530</v>
      </c>
      <c r="S386" s="71">
        <f>VLOOKUP(B386,'114+840'!$B$14:$AB$516,22,FALSE)</f>
        <v>2199</v>
      </c>
      <c r="T386" s="70">
        <f>VLOOKUP(B386,'114+840'!$B$15:$AB$516,6,FALSE)</f>
        <v>454</v>
      </c>
      <c r="U386" s="69">
        <f t="shared" si="69"/>
        <v>2309</v>
      </c>
      <c r="V386" s="68">
        <f>VLOOKUP(B386,'114+840'!$B$15:$AB$516,15,FALSE)</f>
        <v>-691</v>
      </c>
      <c r="W386" s="67">
        <f>'114+840'!S387</f>
        <v>4</v>
      </c>
      <c r="X386" s="66">
        <f t="shared" si="74"/>
        <v>301</v>
      </c>
      <c r="Y386" s="65">
        <f t="shared" si="75"/>
        <v>-4</v>
      </c>
      <c r="Z386" s="64">
        <f t="shared" si="76"/>
        <v>0</v>
      </c>
      <c r="AA386" s="63">
        <f t="shared" si="77"/>
        <v>2.8039999999999998</v>
      </c>
      <c r="AB386" s="63">
        <f t="shared" si="78"/>
        <v>1.34</v>
      </c>
    </row>
    <row r="387" spans="2:28">
      <c r="B387" s="104">
        <f>'114+840'!B388</f>
        <v>45644</v>
      </c>
      <c r="C387" s="75">
        <f t="shared" si="70"/>
        <v>1</v>
      </c>
      <c r="D387" s="74">
        <f t="shared" si="71"/>
        <v>842</v>
      </c>
      <c r="E387" s="73">
        <f>VLOOKUP(B387,'114+840'!B388:AB388,3,FALSE)</f>
        <v>1923</v>
      </c>
      <c r="F387" s="70">
        <f t="shared" si="66"/>
        <v>2765</v>
      </c>
      <c r="G387" s="72">
        <f>VLOOKUP(B387,'114+840'!$B$15:$AB$516,20,FALSE)</f>
        <v>2157</v>
      </c>
      <c r="H387" s="72">
        <f>VLOOKUP(B387,'114+840'!$B$15:$AB$516,4,FALSE)</f>
        <v>188</v>
      </c>
      <c r="I387" s="69">
        <f t="shared" si="67"/>
        <v>2577</v>
      </c>
      <c r="J387" s="69">
        <f>VLOOKUP(B387,'114+840'!$B$15:$AB$516,13,FALSE)</f>
        <v>-423</v>
      </c>
      <c r="K387" s="67">
        <f>'114+840'!Q388</f>
        <v>9</v>
      </c>
      <c r="L387" s="66">
        <f t="shared" si="72"/>
        <v>343</v>
      </c>
      <c r="M387" s="71">
        <f>VLOOKUP(B387,'114+840'!$B$14:$AB$516,21,FALSE)</f>
        <v>1960</v>
      </c>
      <c r="N387" s="70">
        <f>VLOOKUP(B387,'114+840'!$B$15:$AB$516,5,FALSE)</f>
        <v>205</v>
      </c>
      <c r="O387" s="69">
        <f t="shared" si="68"/>
        <v>2560</v>
      </c>
      <c r="P387" s="69">
        <f>VLOOKUP(B387,'114+840'!$B$15:$AB$516,14,FALSE)</f>
        <v>-440</v>
      </c>
      <c r="Q387" s="67">
        <f>'114+840'!R388</f>
        <v>10</v>
      </c>
      <c r="R387" s="66">
        <f t="shared" si="73"/>
        <v>540</v>
      </c>
      <c r="S387" s="71">
        <f>VLOOKUP(B387,'114+840'!$B$14:$AB$516,22,FALSE)</f>
        <v>2196</v>
      </c>
      <c r="T387" s="70">
        <f>VLOOKUP(B387,'114+840'!$B$15:$AB$516,6,FALSE)</f>
        <v>459</v>
      </c>
      <c r="U387" s="69">
        <f t="shared" si="69"/>
        <v>2306</v>
      </c>
      <c r="V387" s="68">
        <f>VLOOKUP(B387,'114+840'!$B$15:$AB$516,15,FALSE)</f>
        <v>-694</v>
      </c>
      <c r="W387" s="67">
        <f>'114+840'!S388</f>
        <v>3</v>
      </c>
      <c r="X387" s="66">
        <f t="shared" si="74"/>
        <v>304</v>
      </c>
      <c r="Y387" s="65">
        <f t="shared" si="75"/>
        <v>-3</v>
      </c>
      <c r="Z387" s="64">
        <f t="shared" si="76"/>
        <v>0</v>
      </c>
      <c r="AA387" s="63">
        <f t="shared" si="77"/>
        <v>2.8039999999999998</v>
      </c>
      <c r="AB387" s="63">
        <f t="shared" si="78"/>
        <v>1.32</v>
      </c>
    </row>
    <row r="388" spans="2:28">
      <c r="B388" s="104">
        <f>'114+840'!B389</f>
        <v>45645</v>
      </c>
      <c r="C388" s="75">
        <f t="shared" si="70"/>
        <v>1</v>
      </c>
      <c r="D388" s="74">
        <f t="shared" si="71"/>
        <v>842</v>
      </c>
      <c r="E388" s="73">
        <f>VLOOKUP(B388,'114+840'!B389:AB389,3,FALSE)</f>
        <v>1925</v>
      </c>
      <c r="F388" s="70">
        <f t="shared" si="66"/>
        <v>2767</v>
      </c>
      <c r="G388" s="72">
        <f>VLOOKUP(B388,'114+840'!$B$15:$AB$516,20,FALSE)</f>
        <v>2148</v>
      </c>
      <c r="H388" s="72">
        <f>VLOOKUP(B388,'114+840'!$B$15:$AB$516,4,FALSE)</f>
        <v>199</v>
      </c>
      <c r="I388" s="69">
        <f t="shared" si="67"/>
        <v>2568</v>
      </c>
      <c r="J388" s="69">
        <f>VLOOKUP(B388,'114+840'!$B$15:$AB$516,13,FALSE)</f>
        <v>-432</v>
      </c>
      <c r="K388" s="67">
        <f>'114+840'!Q389</f>
        <v>9</v>
      </c>
      <c r="L388" s="66">
        <f t="shared" si="72"/>
        <v>352</v>
      </c>
      <c r="M388" s="71">
        <f>VLOOKUP(B388,'114+840'!$B$14:$AB$516,21,FALSE)</f>
        <v>1953</v>
      </c>
      <c r="N388" s="70">
        <f>VLOOKUP(B388,'114+840'!$B$15:$AB$516,5,FALSE)</f>
        <v>214</v>
      </c>
      <c r="O388" s="69">
        <f t="shared" si="68"/>
        <v>2553</v>
      </c>
      <c r="P388" s="69">
        <f>VLOOKUP(B388,'114+840'!$B$15:$AB$516,14,FALSE)</f>
        <v>-447</v>
      </c>
      <c r="Q388" s="67">
        <f>'114+840'!R389</f>
        <v>7</v>
      </c>
      <c r="R388" s="66">
        <f t="shared" si="73"/>
        <v>547</v>
      </c>
      <c r="S388" s="71">
        <f>VLOOKUP(B388,'114+840'!$B$14:$AB$516,22,FALSE)</f>
        <v>2192</v>
      </c>
      <c r="T388" s="70">
        <f>VLOOKUP(B388,'114+840'!$B$15:$AB$516,6,FALSE)</f>
        <v>465</v>
      </c>
      <c r="U388" s="69">
        <f t="shared" si="69"/>
        <v>2302</v>
      </c>
      <c r="V388" s="68">
        <f>VLOOKUP(B388,'114+840'!$B$15:$AB$516,15,FALSE)</f>
        <v>-698</v>
      </c>
      <c r="W388" s="67">
        <f>'114+840'!S389</f>
        <v>4</v>
      </c>
      <c r="X388" s="66">
        <f t="shared" si="74"/>
        <v>308</v>
      </c>
      <c r="Y388" s="65">
        <f t="shared" si="75"/>
        <v>-4</v>
      </c>
      <c r="Z388" s="64">
        <f t="shared" si="76"/>
        <v>0</v>
      </c>
      <c r="AA388" s="63">
        <f t="shared" si="77"/>
        <v>2.8039999999999998</v>
      </c>
      <c r="AB388" s="63">
        <f t="shared" si="78"/>
        <v>1.306</v>
      </c>
    </row>
    <row r="389" spans="2:28">
      <c r="B389" s="104">
        <f>'114+840'!B390</f>
        <v>45646</v>
      </c>
      <c r="C389" s="75">
        <f t="shared" si="70"/>
        <v>1</v>
      </c>
      <c r="D389" s="74">
        <f t="shared" si="71"/>
        <v>842</v>
      </c>
      <c r="E389" s="73">
        <f>VLOOKUP(B389,'114+840'!B390:AB390,3,FALSE)</f>
        <v>1927</v>
      </c>
      <c r="F389" s="70">
        <f t="shared" si="66"/>
        <v>2769</v>
      </c>
      <c r="G389" s="72">
        <f>VLOOKUP(B389,'114+840'!$B$15:$AB$516,20,FALSE)</f>
        <v>2139</v>
      </c>
      <c r="H389" s="72">
        <f>VLOOKUP(B389,'114+840'!$B$15:$AB$516,4,FALSE)</f>
        <v>210</v>
      </c>
      <c r="I389" s="69">
        <f t="shared" si="67"/>
        <v>2559</v>
      </c>
      <c r="J389" s="69">
        <f>VLOOKUP(B389,'114+840'!$B$15:$AB$516,13,FALSE)</f>
        <v>-441</v>
      </c>
      <c r="K389" s="67">
        <f>'114+840'!Q390</f>
        <v>9</v>
      </c>
      <c r="L389" s="66">
        <f t="shared" si="72"/>
        <v>361</v>
      </c>
      <c r="M389" s="71">
        <f>VLOOKUP(B389,'114+840'!$B$14:$AB$516,21,FALSE)</f>
        <v>1946</v>
      </c>
      <c r="N389" s="70">
        <f>VLOOKUP(B389,'114+840'!$B$15:$AB$516,5,FALSE)</f>
        <v>223</v>
      </c>
      <c r="O389" s="69">
        <f t="shared" si="68"/>
        <v>2546</v>
      </c>
      <c r="P389" s="69">
        <f>VLOOKUP(B389,'114+840'!$B$15:$AB$516,14,FALSE)</f>
        <v>-454</v>
      </c>
      <c r="Q389" s="67">
        <f>'114+840'!R390</f>
        <v>7</v>
      </c>
      <c r="R389" s="66">
        <f t="shared" si="73"/>
        <v>554</v>
      </c>
      <c r="S389" s="71">
        <f>VLOOKUP(B389,'114+840'!$B$14:$AB$516,22,FALSE)</f>
        <v>2190</v>
      </c>
      <c r="T389" s="70">
        <f>VLOOKUP(B389,'114+840'!$B$15:$AB$516,6,FALSE)</f>
        <v>469</v>
      </c>
      <c r="U389" s="69">
        <f t="shared" si="69"/>
        <v>2300</v>
      </c>
      <c r="V389" s="68">
        <f>VLOOKUP(B389,'114+840'!$B$15:$AB$516,15,FALSE)</f>
        <v>-700</v>
      </c>
      <c r="W389" s="67">
        <f>'114+840'!S390</f>
        <v>2</v>
      </c>
      <c r="X389" s="66">
        <f t="shared" si="74"/>
        <v>310</v>
      </c>
      <c r="Y389" s="65">
        <f t="shared" si="75"/>
        <v>-2</v>
      </c>
      <c r="Z389" s="64">
        <f t="shared" si="76"/>
        <v>0</v>
      </c>
      <c r="AA389" s="63">
        <f t="shared" si="77"/>
        <v>2.8039999999999998</v>
      </c>
      <c r="AB389" s="63">
        <f t="shared" si="78"/>
        <v>1.292</v>
      </c>
    </row>
    <row r="390" spans="2:28">
      <c r="B390" s="104">
        <f>'114+840'!B391</f>
        <v>45647</v>
      </c>
      <c r="C390" s="75">
        <f t="shared" si="70"/>
        <v>1</v>
      </c>
      <c r="D390" s="74">
        <f t="shared" si="71"/>
        <v>842</v>
      </c>
      <c r="E390" s="73">
        <f>VLOOKUP(B390,'114+840'!B391:AB391,3,FALSE)</f>
        <v>1929</v>
      </c>
      <c r="F390" s="70">
        <f t="shared" si="66"/>
        <v>2771</v>
      </c>
      <c r="G390" s="72">
        <f>VLOOKUP(B390,'114+840'!$B$15:$AB$516,20,FALSE)</f>
        <v>2429</v>
      </c>
      <c r="H390" s="72">
        <f>VLOOKUP(B390,'114+840'!$B$15:$AB$516,4,FALSE)</f>
        <v>222</v>
      </c>
      <c r="I390" s="69">
        <f t="shared" si="67"/>
        <v>2549</v>
      </c>
      <c r="J390" s="69">
        <f>VLOOKUP(B390,'114+840'!$B$15:$AB$516,13,FALSE)</f>
        <v>-451</v>
      </c>
      <c r="K390" s="67">
        <f>'114+840'!Q391</f>
        <v>10</v>
      </c>
      <c r="L390" s="66">
        <f t="shared" si="72"/>
        <v>371</v>
      </c>
      <c r="M390" s="71">
        <f>VLOOKUP(B390,'114+840'!$B$14:$AB$516,21,FALSE)</f>
        <v>2236</v>
      </c>
      <c r="N390" s="70">
        <f>VLOOKUP(B390,'114+840'!$B$15:$AB$516,5,FALSE)</f>
        <v>235</v>
      </c>
      <c r="O390" s="69">
        <f t="shared" si="68"/>
        <v>2536</v>
      </c>
      <c r="P390" s="69">
        <f>VLOOKUP(B390,'114+840'!$B$15:$AB$516,14,FALSE)</f>
        <v>-464</v>
      </c>
      <c r="Q390" s="67">
        <f>'114+840'!R391</f>
        <v>10</v>
      </c>
      <c r="R390" s="66">
        <f t="shared" si="73"/>
        <v>564</v>
      </c>
      <c r="S390" s="71">
        <f>VLOOKUP(B390,'114+840'!$B$14:$AB$516,22,FALSE)</f>
        <v>2483</v>
      </c>
      <c r="T390" s="70">
        <f>VLOOKUP(B390,'114+840'!$B$15:$AB$516,6,FALSE)</f>
        <v>478</v>
      </c>
      <c r="U390" s="69">
        <f t="shared" si="69"/>
        <v>2293</v>
      </c>
      <c r="V390" s="68">
        <f>VLOOKUP(B390,'114+840'!$B$15:$AB$516,15,FALSE)</f>
        <v>-707</v>
      </c>
      <c r="W390" s="67">
        <f>'114+840'!S391</f>
        <v>7</v>
      </c>
      <c r="X390" s="66">
        <f t="shared" si="74"/>
        <v>317</v>
      </c>
      <c r="Y390" s="65">
        <f t="shared" si="75"/>
        <v>293</v>
      </c>
      <c r="Z390" s="64">
        <f t="shared" si="76"/>
        <v>0.29299999999999998</v>
      </c>
      <c r="AA390" s="63">
        <f t="shared" si="77"/>
        <v>3.097</v>
      </c>
      <c r="AB390" s="63">
        <f t="shared" si="78"/>
        <v>1.5720000000000001</v>
      </c>
    </row>
    <row r="391" spans="2:28">
      <c r="B391" s="104">
        <f>'114+840'!B392</f>
        <v>45648</v>
      </c>
      <c r="C391" s="75">
        <f t="shared" si="70"/>
        <v>1</v>
      </c>
      <c r="D391" s="74">
        <f t="shared" si="71"/>
        <v>842</v>
      </c>
      <c r="E391" s="73">
        <f>VLOOKUP(B391,'114+840'!B392:AB392,3,FALSE)</f>
        <v>1931</v>
      </c>
      <c r="F391" s="70">
        <f t="shared" si="66"/>
        <v>2773</v>
      </c>
      <c r="G391" s="72">
        <f>VLOOKUP(B391,'114+840'!$B$15:$AB$516,20,FALSE)</f>
        <v>2420</v>
      </c>
      <c r="H391" s="72">
        <f>VLOOKUP(B391,'114+840'!$B$15:$AB$516,4,FALSE)</f>
        <v>233</v>
      </c>
      <c r="I391" s="69">
        <f t="shared" si="67"/>
        <v>2540</v>
      </c>
      <c r="J391" s="69">
        <f>VLOOKUP(B391,'114+840'!$B$15:$AB$516,13,FALSE)</f>
        <v>-460</v>
      </c>
      <c r="K391" s="67">
        <f>'114+840'!Q392</f>
        <v>9</v>
      </c>
      <c r="L391" s="66">
        <f t="shared" si="72"/>
        <v>380</v>
      </c>
      <c r="M391" s="71">
        <f>VLOOKUP(B391,'114+840'!$B$14:$AB$516,21,FALSE)</f>
        <v>2226</v>
      </c>
      <c r="N391" s="70">
        <f>VLOOKUP(B391,'114+840'!$B$15:$AB$516,5,FALSE)</f>
        <v>247</v>
      </c>
      <c r="O391" s="69">
        <f t="shared" si="68"/>
        <v>2526</v>
      </c>
      <c r="P391" s="69">
        <f>VLOOKUP(B391,'114+840'!$B$15:$AB$516,14,FALSE)</f>
        <v>-474</v>
      </c>
      <c r="Q391" s="67">
        <f>'114+840'!R392</f>
        <v>10</v>
      </c>
      <c r="R391" s="66">
        <f t="shared" si="73"/>
        <v>574</v>
      </c>
      <c r="S391" s="71">
        <f>VLOOKUP(B391,'114+840'!$B$14:$AB$516,22,FALSE)</f>
        <v>2479</v>
      </c>
      <c r="T391" s="70">
        <f>VLOOKUP(B391,'114+840'!$B$15:$AB$516,6,FALSE)</f>
        <v>484</v>
      </c>
      <c r="U391" s="69">
        <f t="shared" si="69"/>
        <v>2289</v>
      </c>
      <c r="V391" s="68">
        <f>VLOOKUP(B391,'114+840'!$B$15:$AB$516,15,FALSE)</f>
        <v>-711</v>
      </c>
      <c r="W391" s="67">
        <f>'114+840'!S392</f>
        <v>4</v>
      </c>
      <c r="X391" s="66">
        <f t="shared" si="74"/>
        <v>321</v>
      </c>
      <c r="Y391" s="65">
        <f t="shared" si="75"/>
        <v>-4</v>
      </c>
      <c r="Z391" s="64">
        <f t="shared" si="76"/>
        <v>0</v>
      </c>
      <c r="AA391" s="63">
        <f t="shared" si="77"/>
        <v>3.097</v>
      </c>
      <c r="AB391" s="63">
        <f t="shared" si="78"/>
        <v>1.552</v>
      </c>
    </row>
    <row r="392" spans="2:28">
      <c r="B392" s="104">
        <f>'114+840'!B393</f>
        <v>45649</v>
      </c>
      <c r="C392" s="75">
        <f t="shared" si="70"/>
        <v>1</v>
      </c>
      <c r="D392" s="74">
        <f t="shared" si="71"/>
        <v>842</v>
      </c>
      <c r="E392" s="73">
        <f>VLOOKUP(B392,'114+840'!B393:AB393,3,FALSE)</f>
        <v>1933</v>
      </c>
      <c r="F392" s="70">
        <f t="shared" si="66"/>
        <v>2775</v>
      </c>
      <c r="G392" s="72">
        <f>VLOOKUP(B392,'114+840'!$B$15:$AB$516,20,FALSE)</f>
        <v>2412</v>
      </c>
      <c r="H392" s="72">
        <f>VLOOKUP(B392,'114+840'!$B$15:$AB$516,4,FALSE)</f>
        <v>243</v>
      </c>
      <c r="I392" s="69">
        <f t="shared" si="67"/>
        <v>2532</v>
      </c>
      <c r="J392" s="69">
        <f>VLOOKUP(B392,'114+840'!$B$15:$AB$516,13,FALSE)</f>
        <v>-468</v>
      </c>
      <c r="K392" s="67">
        <f>'114+840'!Q393</f>
        <v>8</v>
      </c>
      <c r="L392" s="66">
        <f t="shared" si="72"/>
        <v>388</v>
      </c>
      <c r="M392" s="71">
        <f>VLOOKUP(B392,'114+840'!$B$14:$AB$516,21,FALSE)</f>
        <v>2216</v>
      </c>
      <c r="N392" s="70">
        <f>VLOOKUP(B392,'114+840'!$B$15:$AB$516,5,FALSE)</f>
        <v>259</v>
      </c>
      <c r="O392" s="69">
        <f t="shared" si="68"/>
        <v>2516</v>
      </c>
      <c r="P392" s="69">
        <f>VLOOKUP(B392,'114+840'!$B$15:$AB$516,14,FALSE)</f>
        <v>-484</v>
      </c>
      <c r="Q392" s="67">
        <f>'114+840'!R393</f>
        <v>10</v>
      </c>
      <c r="R392" s="66">
        <f t="shared" si="73"/>
        <v>584</v>
      </c>
      <c r="S392" s="71">
        <f>VLOOKUP(B392,'114+840'!$B$14:$AB$516,22,FALSE)</f>
        <v>2476</v>
      </c>
      <c r="T392" s="70">
        <f>VLOOKUP(B392,'114+840'!$B$15:$AB$516,6,FALSE)</f>
        <v>489</v>
      </c>
      <c r="U392" s="69">
        <f t="shared" si="69"/>
        <v>2286</v>
      </c>
      <c r="V392" s="68">
        <f>VLOOKUP(B392,'114+840'!$B$15:$AB$516,15,FALSE)</f>
        <v>-714</v>
      </c>
      <c r="W392" s="67">
        <f>'114+840'!S393</f>
        <v>3</v>
      </c>
      <c r="X392" s="66">
        <f t="shared" si="74"/>
        <v>324</v>
      </c>
      <c r="Y392" s="65">
        <f t="shared" si="75"/>
        <v>-3</v>
      </c>
      <c r="Z392" s="64">
        <f t="shared" si="76"/>
        <v>0</v>
      </c>
      <c r="AA392" s="63">
        <f t="shared" si="77"/>
        <v>3.097</v>
      </c>
      <c r="AB392" s="63">
        <f t="shared" si="78"/>
        <v>1.532</v>
      </c>
    </row>
    <row r="393" spans="2:28">
      <c r="B393" s="104">
        <f>'114+840'!B394</f>
        <v>45650</v>
      </c>
      <c r="C393" s="75">
        <f t="shared" si="70"/>
        <v>1</v>
      </c>
      <c r="D393" s="74">
        <f t="shared" si="71"/>
        <v>842</v>
      </c>
      <c r="E393" s="73">
        <f>VLOOKUP(B393,'114+840'!B394:AB394,3,FALSE)</f>
        <v>1935</v>
      </c>
      <c r="F393" s="70">
        <f t="shared" si="66"/>
        <v>2777</v>
      </c>
      <c r="G393" s="72">
        <f>VLOOKUP(B393,'114+840'!$B$15:$AB$516,20,FALSE)</f>
        <v>2404</v>
      </c>
      <c r="H393" s="72">
        <f>VLOOKUP(B393,'114+840'!$B$15:$AB$516,4,FALSE)</f>
        <v>253</v>
      </c>
      <c r="I393" s="69">
        <f t="shared" si="67"/>
        <v>2524</v>
      </c>
      <c r="J393" s="69">
        <f>VLOOKUP(B393,'114+840'!$B$15:$AB$516,13,FALSE)</f>
        <v>-476</v>
      </c>
      <c r="K393" s="67">
        <f>'114+840'!Q394</f>
        <v>8</v>
      </c>
      <c r="L393" s="66">
        <f t="shared" si="72"/>
        <v>396</v>
      </c>
      <c r="M393" s="71">
        <f>VLOOKUP(B393,'114+840'!$B$14:$AB$516,21,FALSE)</f>
        <v>2209</v>
      </c>
      <c r="N393" s="70">
        <f>VLOOKUP(B393,'114+840'!$B$15:$AB$516,5,FALSE)</f>
        <v>268</v>
      </c>
      <c r="O393" s="69">
        <f t="shared" si="68"/>
        <v>2509</v>
      </c>
      <c r="P393" s="69">
        <f>VLOOKUP(B393,'114+840'!$B$15:$AB$516,14,FALSE)</f>
        <v>-491</v>
      </c>
      <c r="Q393" s="67">
        <f>'114+840'!R394</f>
        <v>7</v>
      </c>
      <c r="R393" s="66">
        <f t="shared" si="73"/>
        <v>591</v>
      </c>
      <c r="S393" s="71">
        <f>VLOOKUP(B393,'114+840'!$B$14:$AB$516,22,FALSE)</f>
        <v>2472</v>
      </c>
      <c r="T393" s="70">
        <f>VLOOKUP(B393,'114+840'!$B$15:$AB$516,6,FALSE)</f>
        <v>495</v>
      </c>
      <c r="U393" s="69">
        <f t="shared" si="69"/>
        <v>2282</v>
      </c>
      <c r="V393" s="68">
        <f>VLOOKUP(B393,'114+840'!$B$15:$AB$516,15,FALSE)</f>
        <v>-718</v>
      </c>
      <c r="W393" s="67">
        <f>'114+840'!S394</f>
        <v>4</v>
      </c>
      <c r="X393" s="66">
        <f t="shared" si="74"/>
        <v>328</v>
      </c>
      <c r="Y393" s="65">
        <f t="shared" si="75"/>
        <v>-4</v>
      </c>
      <c r="Z393" s="64">
        <f t="shared" si="76"/>
        <v>0</v>
      </c>
      <c r="AA393" s="63">
        <f t="shared" si="77"/>
        <v>3.097</v>
      </c>
      <c r="AB393" s="63">
        <f t="shared" si="78"/>
        <v>1.518</v>
      </c>
    </row>
    <row r="394" spans="2:28">
      <c r="B394" s="104">
        <f>'114+840'!B395</f>
        <v>45651</v>
      </c>
      <c r="C394" s="75">
        <f t="shared" si="70"/>
        <v>1</v>
      </c>
      <c r="D394" s="74">
        <f t="shared" si="71"/>
        <v>842</v>
      </c>
      <c r="E394" s="73">
        <f>VLOOKUP(B394,'114+840'!B395:AB395,3,FALSE)</f>
        <v>1937</v>
      </c>
      <c r="F394" s="70">
        <f t="shared" si="66"/>
        <v>2779</v>
      </c>
      <c r="G394" s="72">
        <f>VLOOKUP(B394,'114+840'!$B$15:$AB$516,20,FALSE)</f>
        <v>2395</v>
      </c>
      <c r="H394" s="72">
        <f>VLOOKUP(B394,'114+840'!$B$15:$AB$516,4,FALSE)</f>
        <v>264</v>
      </c>
      <c r="I394" s="69">
        <f t="shared" si="67"/>
        <v>2515</v>
      </c>
      <c r="J394" s="69">
        <f>VLOOKUP(B394,'114+840'!$B$15:$AB$516,13,FALSE)</f>
        <v>-485</v>
      </c>
      <c r="K394" s="67">
        <f>'114+840'!Q395</f>
        <v>9</v>
      </c>
      <c r="L394" s="66">
        <f t="shared" si="72"/>
        <v>405</v>
      </c>
      <c r="M394" s="71">
        <f>VLOOKUP(B394,'114+840'!$B$14:$AB$516,21,FALSE)</f>
        <v>2202</v>
      </c>
      <c r="N394" s="70">
        <f>VLOOKUP(B394,'114+840'!$B$15:$AB$516,5,FALSE)</f>
        <v>277</v>
      </c>
      <c r="O394" s="69">
        <f t="shared" si="68"/>
        <v>2502</v>
      </c>
      <c r="P394" s="69">
        <f>VLOOKUP(B394,'114+840'!$B$15:$AB$516,14,FALSE)</f>
        <v>-498</v>
      </c>
      <c r="Q394" s="67">
        <f>'114+840'!R395</f>
        <v>7</v>
      </c>
      <c r="R394" s="66">
        <f t="shared" si="73"/>
        <v>598</v>
      </c>
      <c r="S394" s="71">
        <f>VLOOKUP(B394,'114+840'!$B$14:$AB$516,22,FALSE)</f>
        <v>2470</v>
      </c>
      <c r="T394" s="70">
        <f>VLOOKUP(B394,'114+840'!$B$15:$AB$516,6,FALSE)</f>
        <v>499</v>
      </c>
      <c r="U394" s="69">
        <f t="shared" si="69"/>
        <v>2280</v>
      </c>
      <c r="V394" s="68">
        <f>VLOOKUP(B394,'114+840'!$B$15:$AB$516,15,FALSE)</f>
        <v>-720</v>
      </c>
      <c r="W394" s="67">
        <f>'114+840'!S395</f>
        <v>2</v>
      </c>
      <c r="X394" s="66">
        <f t="shared" si="74"/>
        <v>330</v>
      </c>
      <c r="Y394" s="65">
        <f t="shared" si="75"/>
        <v>-2</v>
      </c>
      <c r="Z394" s="64">
        <f t="shared" si="76"/>
        <v>0</v>
      </c>
      <c r="AA394" s="63">
        <f t="shared" si="77"/>
        <v>3.097</v>
      </c>
      <c r="AB394" s="63">
        <f t="shared" si="78"/>
        <v>1.504</v>
      </c>
    </row>
    <row r="395" spans="2:28">
      <c r="B395" s="104">
        <f>'114+840'!B396</f>
        <v>45652</v>
      </c>
      <c r="C395" s="75">
        <f t="shared" si="70"/>
        <v>1</v>
      </c>
      <c r="D395" s="74">
        <f t="shared" si="71"/>
        <v>842</v>
      </c>
      <c r="E395" s="73">
        <f>VLOOKUP(B395,'114+840'!B396:AB396,3,FALSE)</f>
        <v>1939</v>
      </c>
      <c r="F395" s="70">
        <f t="shared" si="66"/>
        <v>2781</v>
      </c>
      <c r="G395" s="72">
        <f>VLOOKUP(B395,'114+840'!$B$15:$AB$516,20,FALSE)</f>
        <v>2685</v>
      </c>
      <c r="H395" s="72">
        <f>VLOOKUP(B395,'114+840'!$B$15:$AB$516,4,FALSE)</f>
        <v>276</v>
      </c>
      <c r="I395" s="69">
        <f t="shared" si="67"/>
        <v>2505</v>
      </c>
      <c r="J395" s="69">
        <f>VLOOKUP(B395,'114+840'!$B$15:$AB$516,13,FALSE)</f>
        <v>-495</v>
      </c>
      <c r="K395" s="67">
        <f>'114+840'!Q396</f>
        <v>10</v>
      </c>
      <c r="L395" s="66">
        <f t="shared" si="72"/>
        <v>415</v>
      </c>
      <c r="M395" s="71">
        <f>VLOOKUP(B395,'114+840'!$B$14:$AB$516,21,FALSE)</f>
        <v>2492</v>
      </c>
      <c r="N395" s="70">
        <f>VLOOKUP(B395,'114+840'!$B$15:$AB$516,5,FALSE)</f>
        <v>289</v>
      </c>
      <c r="O395" s="69">
        <f t="shared" si="68"/>
        <v>2492</v>
      </c>
      <c r="P395" s="69">
        <f>VLOOKUP(B395,'114+840'!$B$15:$AB$516,14,FALSE)</f>
        <v>-508</v>
      </c>
      <c r="Q395" s="67">
        <f>'114+840'!R396</f>
        <v>10</v>
      </c>
      <c r="R395" s="66">
        <f t="shared" si="73"/>
        <v>608</v>
      </c>
      <c r="S395" s="71">
        <f>VLOOKUP(B395,'114+840'!$B$14:$AB$516,22,FALSE)</f>
        <v>2761</v>
      </c>
      <c r="T395" s="70">
        <f>VLOOKUP(B395,'114+840'!$B$15:$AB$516,6,FALSE)</f>
        <v>510</v>
      </c>
      <c r="U395" s="69">
        <f t="shared" si="69"/>
        <v>2271</v>
      </c>
      <c r="V395" s="68">
        <f>VLOOKUP(B395,'114+840'!$B$15:$AB$516,15,FALSE)</f>
        <v>-729</v>
      </c>
      <c r="W395" s="67">
        <f>'114+840'!S396</f>
        <v>9</v>
      </c>
      <c r="X395" s="66">
        <f t="shared" si="74"/>
        <v>339</v>
      </c>
      <c r="Y395" s="65">
        <f t="shared" si="75"/>
        <v>291</v>
      </c>
      <c r="Z395" s="64">
        <f t="shared" si="76"/>
        <v>0.29099999999999998</v>
      </c>
      <c r="AA395" s="63">
        <f t="shared" si="77"/>
        <v>3.3879999999999999</v>
      </c>
      <c r="AB395" s="63">
        <f t="shared" si="78"/>
        <v>1.784</v>
      </c>
    </row>
    <row r="396" spans="2:28">
      <c r="B396" s="104">
        <f>'114+840'!B397</f>
        <v>45653</v>
      </c>
      <c r="C396" s="75">
        <f t="shared" si="70"/>
        <v>1</v>
      </c>
      <c r="D396" s="74">
        <f t="shared" si="71"/>
        <v>842</v>
      </c>
      <c r="E396" s="73">
        <f>VLOOKUP(B396,'114+840'!B397:AB397,3,FALSE)</f>
        <v>1941</v>
      </c>
      <c r="F396" s="70">
        <f t="shared" si="66"/>
        <v>2783</v>
      </c>
      <c r="G396" s="72">
        <f>VLOOKUP(B396,'114+840'!$B$15:$AB$516,20,FALSE)</f>
        <v>2676</v>
      </c>
      <c r="H396" s="72">
        <f>VLOOKUP(B396,'114+840'!$B$15:$AB$516,4,FALSE)</f>
        <v>287</v>
      </c>
      <c r="I396" s="69">
        <f t="shared" si="67"/>
        <v>2496</v>
      </c>
      <c r="J396" s="69">
        <f>VLOOKUP(B396,'114+840'!$B$15:$AB$516,13,FALSE)</f>
        <v>-504</v>
      </c>
      <c r="K396" s="67">
        <f>'114+840'!Q397</f>
        <v>9</v>
      </c>
      <c r="L396" s="66">
        <f t="shared" si="72"/>
        <v>424</v>
      </c>
      <c r="M396" s="71">
        <f>VLOOKUP(B396,'114+840'!$B$14:$AB$516,21,FALSE)</f>
        <v>2482</v>
      </c>
      <c r="N396" s="70">
        <f>VLOOKUP(B396,'114+840'!$B$15:$AB$516,5,FALSE)</f>
        <v>301</v>
      </c>
      <c r="O396" s="69">
        <f t="shared" si="68"/>
        <v>2482</v>
      </c>
      <c r="P396" s="69">
        <f>VLOOKUP(B396,'114+840'!$B$15:$AB$516,14,FALSE)</f>
        <v>-518</v>
      </c>
      <c r="Q396" s="67">
        <f>'114+840'!R397</f>
        <v>10</v>
      </c>
      <c r="R396" s="66">
        <f t="shared" si="73"/>
        <v>618</v>
      </c>
      <c r="S396" s="71">
        <f>VLOOKUP(B396,'114+840'!$B$14:$AB$516,22,FALSE)</f>
        <v>2753</v>
      </c>
      <c r="T396" s="70">
        <f>VLOOKUP(B396,'114+840'!$B$15:$AB$516,6,FALSE)</f>
        <v>520</v>
      </c>
      <c r="U396" s="69">
        <f t="shared" si="69"/>
        <v>2263</v>
      </c>
      <c r="V396" s="68">
        <f>VLOOKUP(B396,'114+840'!$B$15:$AB$516,15,FALSE)</f>
        <v>-737</v>
      </c>
      <c r="W396" s="67">
        <f>'114+840'!S397</f>
        <v>8</v>
      </c>
      <c r="X396" s="66">
        <f t="shared" si="74"/>
        <v>347</v>
      </c>
      <c r="Y396" s="65">
        <f t="shared" si="75"/>
        <v>-8</v>
      </c>
      <c r="Z396" s="64">
        <f t="shared" si="76"/>
        <v>0</v>
      </c>
      <c r="AA396" s="63">
        <f t="shared" si="77"/>
        <v>3.3879999999999999</v>
      </c>
      <c r="AB396" s="63">
        <f t="shared" si="78"/>
        <v>1.764</v>
      </c>
    </row>
    <row r="397" spans="2:28">
      <c r="B397" s="104">
        <f>'114+840'!B398</f>
        <v>45654</v>
      </c>
      <c r="C397" s="75">
        <f t="shared" si="70"/>
        <v>1</v>
      </c>
      <c r="D397" s="74">
        <f t="shared" si="71"/>
        <v>842</v>
      </c>
      <c r="E397" s="73">
        <f>VLOOKUP(B397,'114+840'!B398:AB398,3,FALSE)</f>
        <v>1943</v>
      </c>
      <c r="F397" s="70">
        <f t="shared" ref="F397:F460" si="79">D397+E397</f>
        <v>2785</v>
      </c>
      <c r="G397" s="72">
        <f>VLOOKUP(B397,'114+840'!$B$15:$AB$516,20,FALSE)</f>
        <v>2668</v>
      </c>
      <c r="H397" s="72">
        <f>VLOOKUP(B397,'114+840'!$B$15:$AB$516,4,FALSE)</f>
        <v>297</v>
      </c>
      <c r="I397" s="69">
        <f t="shared" ref="I397:I460" si="80">F397-H397</f>
        <v>2488</v>
      </c>
      <c r="J397" s="69">
        <f>VLOOKUP(B397,'114+840'!$B$15:$AB$516,13,FALSE)</f>
        <v>-512</v>
      </c>
      <c r="K397" s="67">
        <f>'114+840'!Q398</f>
        <v>8</v>
      </c>
      <c r="L397" s="66">
        <f t="shared" si="72"/>
        <v>432</v>
      </c>
      <c r="M397" s="71">
        <f>VLOOKUP(B397,'114+840'!$B$14:$AB$516,21,FALSE)</f>
        <v>2472</v>
      </c>
      <c r="N397" s="70">
        <f>VLOOKUP(B397,'114+840'!$B$15:$AB$516,5,FALSE)</f>
        <v>313</v>
      </c>
      <c r="O397" s="69">
        <f t="shared" ref="O397:O460" si="81">F397-N397</f>
        <v>2472</v>
      </c>
      <c r="P397" s="69">
        <f>VLOOKUP(B397,'114+840'!$B$15:$AB$516,14,FALSE)</f>
        <v>-528</v>
      </c>
      <c r="Q397" s="67">
        <f>'114+840'!R398</f>
        <v>10</v>
      </c>
      <c r="R397" s="66">
        <f t="shared" si="73"/>
        <v>628</v>
      </c>
      <c r="S397" s="71">
        <f>VLOOKUP(B397,'114+840'!$B$14:$AB$516,22,FALSE)</f>
        <v>2746</v>
      </c>
      <c r="T397" s="70">
        <f>VLOOKUP(B397,'114+840'!$B$15:$AB$516,6,FALSE)</f>
        <v>529</v>
      </c>
      <c r="U397" s="69">
        <f t="shared" ref="U397:U460" si="82">F397-T397</f>
        <v>2256</v>
      </c>
      <c r="V397" s="68">
        <f>VLOOKUP(B397,'114+840'!$B$15:$AB$516,15,FALSE)</f>
        <v>-744</v>
      </c>
      <c r="W397" s="67">
        <f>'114+840'!S398</f>
        <v>7</v>
      </c>
      <c r="X397" s="66">
        <f t="shared" si="74"/>
        <v>354</v>
      </c>
      <c r="Y397" s="65">
        <f t="shared" si="75"/>
        <v>-7</v>
      </c>
      <c r="Z397" s="64">
        <f t="shared" si="76"/>
        <v>0</v>
      </c>
      <c r="AA397" s="63">
        <f t="shared" si="77"/>
        <v>3.3879999999999999</v>
      </c>
      <c r="AB397" s="63">
        <f t="shared" si="78"/>
        <v>1.744</v>
      </c>
    </row>
    <row r="398" spans="2:28">
      <c r="B398" s="104">
        <f>'114+840'!B399</f>
        <v>45655</v>
      </c>
      <c r="C398" s="75">
        <f t="shared" ref="C398:C461" si="83">B398-B397</f>
        <v>1</v>
      </c>
      <c r="D398" s="74">
        <f t="shared" ref="D398:D461" si="84">D397</f>
        <v>842</v>
      </c>
      <c r="E398" s="73">
        <f>VLOOKUP(B398,'114+840'!B399:AB399,3,FALSE)</f>
        <v>1945</v>
      </c>
      <c r="F398" s="70">
        <f t="shared" si="79"/>
        <v>2787</v>
      </c>
      <c r="G398" s="72">
        <f>VLOOKUP(B398,'114+840'!$B$15:$AB$516,20,FALSE)</f>
        <v>2659</v>
      </c>
      <c r="H398" s="72">
        <f>VLOOKUP(B398,'114+840'!$B$15:$AB$516,4,FALSE)</f>
        <v>308</v>
      </c>
      <c r="I398" s="69">
        <f t="shared" si="80"/>
        <v>2479</v>
      </c>
      <c r="J398" s="69">
        <f>VLOOKUP(B398,'114+840'!$B$15:$AB$516,13,FALSE)</f>
        <v>-521</v>
      </c>
      <c r="K398" s="67">
        <f>'114+840'!Q399</f>
        <v>9</v>
      </c>
      <c r="L398" s="66">
        <f t="shared" ref="L398:L461" si="85">+K398+L397</f>
        <v>441</v>
      </c>
      <c r="M398" s="71">
        <f>VLOOKUP(B398,'114+840'!$B$14:$AB$516,21,FALSE)</f>
        <v>2464</v>
      </c>
      <c r="N398" s="70">
        <f>VLOOKUP(B398,'114+840'!$B$15:$AB$516,5,FALSE)</f>
        <v>323</v>
      </c>
      <c r="O398" s="69">
        <f t="shared" si="81"/>
        <v>2464</v>
      </c>
      <c r="P398" s="69">
        <f>VLOOKUP(B398,'114+840'!$B$15:$AB$516,14,FALSE)</f>
        <v>-536</v>
      </c>
      <c r="Q398" s="67">
        <f>'114+840'!R399</f>
        <v>8</v>
      </c>
      <c r="R398" s="66">
        <f t="shared" ref="R398:R461" si="86">+Q398+R397</f>
        <v>636</v>
      </c>
      <c r="S398" s="71">
        <f>VLOOKUP(B398,'114+840'!$B$14:$AB$516,22,FALSE)</f>
        <v>2738</v>
      </c>
      <c r="T398" s="70">
        <f>VLOOKUP(B398,'114+840'!$B$15:$AB$516,6,FALSE)</f>
        <v>539</v>
      </c>
      <c r="U398" s="69">
        <f t="shared" si="82"/>
        <v>2248</v>
      </c>
      <c r="V398" s="68">
        <f>VLOOKUP(B398,'114+840'!$B$15:$AB$516,15,FALSE)</f>
        <v>-752</v>
      </c>
      <c r="W398" s="67">
        <f>'114+840'!S399</f>
        <v>8</v>
      </c>
      <c r="X398" s="66">
        <f t="shared" ref="X398:X461" si="87">+W398+X397</f>
        <v>362</v>
      </c>
      <c r="Y398" s="65">
        <f t="shared" ref="Y398:Y461" si="88">S398-S397</f>
        <v>-8</v>
      </c>
      <c r="Z398" s="64">
        <f t="shared" ref="Z398:Z461" si="89">IF(Y398&gt;0,Y398,0)/1000</f>
        <v>0</v>
      </c>
      <c r="AA398" s="63">
        <f t="shared" ref="AA398:AA461" si="90">AA397+Z398</f>
        <v>3.3879999999999999</v>
      </c>
      <c r="AB398" s="63">
        <f t="shared" ref="AB398:AB461" si="91">(M398-$M$13-R398)/1000</f>
        <v>1.728</v>
      </c>
    </row>
    <row r="399" spans="2:28">
      <c r="B399" s="104">
        <f>'114+840'!B400</f>
        <v>45656</v>
      </c>
      <c r="C399" s="75">
        <f t="shared" si="83"/>
        <v>1</v>
      </c>
      <c r="D399" s="74">
        <f t="shared" si="84"/>
        <v>842</v>
      </c>
      <c r="E399" s="73">
        <f>VLOOKUP(B399,'114+840'!B400:AB400,3,FALSE)</f>
        <v>1947</v>
      </c>
      <c r="F399" s="70">
        <f t="shared" si="79"/>
        <v>2789</v>
      </c>
      <c r="G399" s="72">
        <f>VLOOKUP(B399,'114+840'!$B$15:$AB$516,20,FALSE)</f>
        <v>2651</v>
      </c>
      <c r="H399" s="72">
        <f>VLOOKUP(B399,'114+840'!$B$15:$AB$516,4,FALSE)</f>
        <v>318</v>
      </c>
      <c r="I399" s="69">
        <f t="shared" si="80"/>
        <v>2471</v>
      </c>
      <c r="J399" s="69">
        <f>VLOOKUP(B399,'114+840'!$B$15:$AB$516,13,FALSE)</f>
        <v>-529</v>
      </c>
      <c r="K399" s="67">
        <f>'114+840'!Q400</f>
        <v>8</v>
      </c>
      <c r="L399" s="66">
        <f t="shared" si="85"/>
        <v>449</v>
      </c>
      <c r="M399" s="71">
        <f>VLOOKUP(B399,'114+840'!$B$14:$AB$516,21,FALSE)</f>
        <v>2455</v>
      </c>
      <c r="N399" s="70">
        <f>VLOOKUP(B399,'114+840'!$B$15:$AB$516,5,FALSE)</f>
        <v>334</v>
      </c>
      <c r="O399" s="69">
        <f t="shared" si="81"/>
        <v>2455</v>
      </c>
      <c r="P399" s="69">
        <f>VLOOKUP(B399,'114+840'!$B$15:$AB$516,14,FALSE)</f>
        <v>-545</v>
      </c>
      <c r="Q399" s="67">
        <f>'114+840'!R400</f>
        <v>9</v>
      </c>
      <c r="R399" s="66">
        <f t="shared" si="86"/>
        <v>645</v>
      </c>
      <c r="S399" s="71">
        <f>VLOOKUP(B399,'114+840'!$B$14:$AB$516,22,FALSE)</f>
        <v>2734</v>
      </c>
      <c r="T399" s="70">
        <f>VLOOKUP(B399,'114+840'!$B$15:$AB$516,6,FALSE)</f>
        <v>545</v>
      </c>
      <c r="U399" s="69">
        <f t="shared" si="82"/>
        <v>2244</v>
      </c>
      <c r="V399" s="68">
        <f>VLOOKUP(B399,'114+840'!$B$15:$AB$516,15,FALSE)</f>
        <v>-756</v>
      </c>
      <c r="W399" s="67">
        <f>'114+840'!S400</f>
        <v>4</v>
      </c>
      <c r="X399" s="66">
        <f t="shared" si="87"/>
        <v>366</v>
      </c>
      <c r="Y399" s="65">
        <f t="shared" si="88"/>
        <v>-4</v>
      </c>
      <c r="Z399" s="64">
        <f t="shared" si="89"/>
        <v>0</v>
      </c>
      <c r="AA399" s="63">
        <f t="shared" si="90"/>
        <v>3.3879999999999999</v>
      </c>
      <c r="AB399" s="63">
        <f t="shared" si="91"/>
        <v>1.71</v>
      </c>
    </row>
    <row r="400" spans="2:28">
      <c r="B400" s="104">
        <f>'114+840'!B401</f>
        <v>45657</v>
      </c>
      <c r="C400" s="75">
        <f t="shared" si="83"/>
        <v>1</v>
      </c>
      <c r="D400" s="74">
        <f t="shared" si="84"/>
        <v>842</v>
      </c>
      <c r="E400" s="73">
        <f>VLOOKUP(B400,'114+840'!B401:AB401,3,FALSE)</f>
        <v>1949</v>
      </c>
      <c r="F400" s="70">
        <f t="shared" si="79"/>
        <v>2791</v>
      </c>
      <c r="G400" s="72">
        <f>VLOOKUP(B400,'114+840'!$B$15:$AB$516,20,FALSE)</f>
        <v>2642</v>
      </c>
      <c r="H400" s="72">
        <f>VLOOKUP(B400,'114+840'!$B$15:$AB$516,4,FALSE)</f>
        <v>329</v>
      </c>
      <c r="I400" s="69">
        <f t="shared" si="80"/>
        <v>2462</v>
      </c>
      <c r="J400" s="69">
        <f>VLOOKUP(B400,'114+840'!$B$15:$AB$516,13,FALSE)</f>
        <v>-538</v>
      </c>
      <c r="K400" s="67">
        <f>'114+840'!Q401</f>
        <v>9</v>
      </c>
      <c r="L400" s="66">
        <f t="shared" si="85"/>
        <v>458</v>
      </c>
      <c r="M400" s="71">
        <f>VLOOKUP(B400,'114+840'!$B$14:$AB$516,21,FALSE)</f>
        <v>2447</v>
      </c>
      <c r="N400" s="70">
        <f>VLOOKUP(B400,'114+840'!$B$15:$AB$516,5,FALSE)</f>
        <v>344</v>
      </c>
      <c r="O400" s="69">
        <f t="shared" si="81"/>
        <v>2447</v>
      </c>
      <c r="P400" s="69">
        <f>VLOOKUP(B400,'114+840'!$B$15:$AB$516,14,FALSE)</f>
        <v>-553</v>
      </c>
      <c r="Q400" s="67">
        <f>'114+840'!R401</f>
        <v>8</v>
      </c>
      <c r="R400" s="66">
        <f t="shared" si="86"/>
        <v>653</v>
      </c>
      <c r="S400" s="71">
        <f>VLOOKUP(B400,'114+840'!$B$14:$AB$516,22,FALSE)</f>
        <v>2731</v>
      </c>
      <c r="T400" s="70">
        <f>VLOOKUP(B400,'114+840'!$B$15:$AB$516,6,FALSE)</f>
        <v>550</v>
      </c>
      <c r="U400" s="69">
        <f t="shared" si="82"/>
        <v>2241</v>
      </c>
      <c r="V400" s="68">
        <f>VLOOKUP(B400,'114+840'!$B$15:$AB$516,15,FALSE)</f>
        <v>-759</v>
      </c>
      <c r="W400" s="67">
        <f>'114+840'!S401</f>
        <v>3</v>
      </c>
      <c r="X400" s="66">
        <f t="shared" si="87"/>
        <v>369</v>
      </c>
      <c r="Y400" s="65">
        <f t="shared" si="88"/>
        <v>-3</v>
      </c>
      <c r="Z400" s="64">
        <f t="shared" si="89"/>
        <v>0</v>
      </c>
      <c r="AA400" s="63">
        <f t="shared" si="90"/>
        <v>3.3879999999999999</v>
      </c>
      <c r="AB400" s="63">
        <f t="shared" si="91"/>
        <v>1.694</v>
      </c>
    </row>
    <row r="401" spans="2:28">
      <c r="B401" s="104">
        <f>'114+840'!B402</f>
        <v>45658</v>
      </c>
      <c r="C401" s="75">
        <f t="shared" si="83"/>
        <v>1</v>
      </c>
      <c r="D401" s="74">
        <f t="shared" si="84"/>
        <v>842</v>
      </c>
      <c r="E401" s="73">
        <f>VLOOKUP(B401,'114+840'!B402:AB402,3,FALSE)</f>
        <v>1951</v>
      </c>
      <c r="F401" s="70">
        <f t="shared" si="79"/>
        <v>2793</v>
      </c>
      <c r="G401" s="72">
        <f>VLOOKUP(B401,'114+840'!$B$15:$AB$516,20,FALSE)</f>
        <v>2634</v>
      </c>
      <c r="H401" s="72">
        <f>VLOOKUP(B401,'114+840'!$B$15:$AB$516,4,FALSE)</f>
        <v>339</v>
      </c>
      <c r="I401" s="69">
        <f t="shared" si="80"/>
        <v>2454</v>
      </c>
      <c r="J401" s="69">
        <f>VLOOKUP(B401,'114+840'!$B$15:$AB$516,13,FALSE)</f>
        <v>-546</v>
      </c>
      <c r="K401" s="67">
        <f>'114+840'!Q402</f>
        <v>8</v>
      </c>
      <c r="L401" s="66">
        <f t="shared" si="85"/>
        <v>466</v>
      </c>
      <c r="M401" s="71">
        <f>VLOOKUP(B401,'114+840'!$B$14:$AB$516,21,FALSE)</f>
        <v>2438</v>
      </c>
      <c r="N401" s="70">
        <f>VLOOKUP(B401,'114+840'!$B$15:$AB$516,5,FALSE)</f>
        <v>355</v>
      </c>
      <c r="O401" s="69">
        <f t="shared" si="81"/>
        <v>2438</v>
      </c>
      <c r="P401" s="69">
        <f>VLOOKUP(B401,'114+840'!$B$15:$AB$516,14,FALSE)</f>
        <v>-562</v>
      </c>
      <c r="Q401" s="67">
        <f>'114+840'!R402</f>
        <v>9</v>
      </c>
      <c r="R401" s="66">
        <f t="shared" si="86"/>
        <v>662</v>
      </c>
      <c r="S401" s="71">
        <f>VLOOKUP(B401,'114+840'!$B$14:$AB$516,22,FALSE)</f>
        <v>2727</v>
      </c>
      <c r="T401" s="70">
        <f>VLOOKUP(B401,'114+840'!$B$15:$AB$516,6,FALSE)</f>
        <v>556</v>
      </c>
      <c r="U401" s="69">
        <f t="shared" si="82"/>
        <v>2237</v>
      </c>
      <c r="V401" s="68">
        <f>VLOOKUP(B401,'114+840'!$B$15:$AB$516,15,FALSE)</f>
        <v>-763</v>
      </c>
      <c r="W401" s="67">
        <f>'114+840'!S402</f>
        <v>4</v>
      </c>
      <c r="X401" s="66">
        <f t="shared" si="87"/>
        <v>373</v>
      </c>
      <c r="Y401" s="65">
        <f t="shared" si="88"/>
        <v>-4</v>
      </c>
      <c r="Z401" s="64">
        <f t="shared" si="89"/>
        <v>0</v>
      </c>
      <c r="AA401" s="63">
        <f t="shared" si="90"/>
        <v>3.3879999999999999</v>
      </c>
      <c r="AB401" s="63">
        <f t="shared" si="91"/>
        <v>1.6759999999999999</v>
      </c>
    </row>
    <row r="402" spans="2:28">
      <c r="B402" s="104">
        <f>'114+840'!B403</f>
        <v>45659</v>
      </c>
      <c r="C402" s="75">
        <f t="shared" si="83"/>
        <v>1</v>
      </c>
      <c r="D402" s="74">
        <f t="shared" si="84"/>
        <v>842</v>
      </c>
      <c r="E402" s="73">
        <f>VLOOKUP(B402,'114+840'!B403:AB403,3,FALSE)</f>
        <v>1953</v>
      </c>
      <c r="F402" s="70">
        <f t="shared" si="79"/>
        <v>2795</v>
      </c>
      <c r="G402" s="72">
        <f>VLOOKUP(B402,'114+840'!$B$15:$AB$516,20,FALSE)</f>
        <v>2626</v>
      </c>
      <c r="H402" s="72">
        <f>VLOOKUP(B402,'114+840'!$B$15:$AB$516,4,FALSE)</f>
        <v>349</v>
      </c>
      <c r="I402" s="69">
        <f t="shared" si="80"/>
        <v>2446</v>
      </c>
      <c r="J402" s="69">
        <f>VLOOKUP(B402,'114+840'!$B$15:$AB$516,13,FALSE)</f>
        <v>-554</v>
      </c>
      <c r="K402" s="67">
        <f>'114+840'!Q403</f>
        <v>8</v>
      </c>
      <c r="L402" s="66">
        <f t="shared" si="85"/>
        <v>474</v>
      </c>
      <c r="M402" s="71">
        <f>VLOOKUP(B402,'114+840'!$B$14:$AB$516,21,FALSE)</f>
        <v>2429</v>
      </c>
      <c r="N402" s="70">
        <f>VLOOKUP(B402,'114+840'!$B$15:$AB$516,5,FALSE)</f>
        <v>366</v>
      </c>
      <c r="O402" s="69">
        <f t="shared" si="81"/>
        <v>2429</v>
      </c>
      <c r="P402" s="69">
        <f>VLOOKUP(B402,'114+840'!$B$15:$AB$516,14,FALSE)</f>
        <v>-571</v>
      </c>
      <c r="Q402" s="67">
        <f>'114+840'!R403</f>
        <v>9</v>
      </c>
      <c r="R402" s="66">
        <f t="shared" si="86"/>
        <v>671</v>
      </c>
      <c r="S402" s="71">
        <f>VLOOKUP(B402,'114+840'!$B$14:$AB$516,22,FALSE)</f>
        <v>2725</v>
      </c>
      <c r="T402" s="70">
        <f>VLOOKUP(B402,'114+840'!$B$15:$AB$516,6,FALSE)</f>
        <v>560</v>
      </c>
      <c r="U402" s="69">
        <f t="shared" si="82"/>
        <v>2235</v>
      </c>
      <c r="V402" s="68">
        <f>VLOOKUP(B402,'114+840'!$B$15:$AB$516,15,FALSE)</f>
        <v>-765</v>
      </c>
      <c r="W402" s="67">
        <f>'114+840'!S403</f>
        <v>2</v>
      </c>
      <c r="X402" s="66">
        <f t="shared" si="87"/>
        <v>375</v>
      </c>
      <c r="Y402" s="65">
        <f t="shared" si="88"/>
        <v>-2</v>
      </c>
      <c r="Z402" s="64">
        <f t="shared" si="89"/>
        <v>0</v>
      </c>
      <c r="AA402" s="63">
        <f t="shared" si="90"/>
        <v>3.3879999999999999</v>
      </c>
      <c r="AB402" s="63">
        <f t="shared" si="91"/>
        <v>1.6579999999999999</v>
      </c>
    </row>
    <row r="403" spans="2:28">
      <c r="B403" s="104">
        <f>'114+840'!B404</f>
        <v>45660</v>
      </c>
      <c r="C403" s="75">
        <f t="shared" si="83"/>
        <v>1</v>
      </c>
      <c r="D403" s="74">
        <f t="shared" si="84"/>
        <v>842</v>
      </c>
      <c r="E403" s="73">
        <f>VLOOKUP(B403,'114+840'!B404:AB404,3,FALSE)</f>
        <v>1955</v>
      </c>
      <c r="F403" s="70">
        <f t="shared" si="79"/>
        <v>2797</v>
      </c>
      <c r="G403" s="72">
        <f>VLOOKUP(B403,'114+840'!$B$15:$AB$516,20,FALSE)</f>
        <v>2618</v>
      </c>
      <c r="H403" s="72">
        <f>VLOOKUP(B403,'114+840'!$B$15:$AB$516,4,FALSE)</f>
        <v>359</v>
      </c>
      <c r="I403" s="69">
        <f t="shared" si="80"/>
        <v>2438</v>
      </c>
      <c r="J403" s="69">
        <f>VLOOKUP(B403,'114+840'!$B$15:$AB$516,13,FALSE)</f>
        <v>-562</v>
      </c>
      <c r="K403" s="67">
        <f>'114+840'!Q404</f>
        <v>8</v>
      </c>
      <c r="L403" s="66">
        <f t="shared" si="85"/>
        <v>482</v>
      </c>
      <c r="M403" s="71">
        <f>VLOOKUP(B403,'114+840'!$B$14:$AB$516,21,FALSE)</f>
        <v>2420</v>
      </c>
      <c r="N403" s="70">
        <f>VLOOKUP(B403,'114+840'!$B$15:$AB$516,5,FALSE)</f>
        <v>377</v>
      </c>
      <c r="O403" s="69">
        <f t="shared" si="81"/>
        <v>2420</v>
      </c>
      <c r="P403" s="69">
        <f>VLOOKUP(B403,'114+840'!$B$15:$AB$516,14,FALSE)</f>
        <v>-580</v>
      </c>
      <c r="Q403" s="67">
        <f>'114+840'!R404</f>
        <v>9</v>
      </c>
      <c r="R403" s="66">
        <f t="shared" si="86"/>
        <v>680</v>
      </c>
      <c r="S403" s="71">
        <f>VLOOKUP(B403,'114+840'!$B$14:$AB$516,22,FALSE)</f>
        <v>2720</v>
      </c>
      <c r="T403" s="70">
        <f>VLOOKUP(B403,'114+840'!$B$15:$AB$516,6,FALSE)</f>
        <v>567</v>
      </c>
      <c r="U403" s="69">
        <f t="shared" si="82"/>
        <v>2230</v>
      </c>
      <c r="V403" s="68">
        <f>VLOOKUP(B403,'114+840'!$B$15:$AB$516,15,FALSE)</f>
        <v>-770</v>
      </c>
      <c r="W403" s="67">
        <f>'114+840'!S404</f>
        <v>5</v>
      </c>
      <c r="X403" s="66">
        <f t="shared" si="87"/>
        <v>380</v>
      </c>
      <c r="Y403" s="65">
        <f t="shared" si="88"/>
        <v>-5</v>
      </c>
      <c r="Z403" s="64">
        <f t="shared" si="89"/>
        <v>0</v>
      </c>
      <c r="AA403" s="63">
        <f t="shared" si="90"/>
        <v>3.3879999999999999</v>
      </c>
      <c r="AB403" s="63">
        <f t="shared" si="91"/>
        <v>1.64</v>
      </c>
    </row>
    <row r="404" spans="2:28">
      <c r="B404" s="104">
        <f>'114+840'!B405</f>
        <v>45661</v>
      </c>
      <c r="C404" s="75">
        <f t="shared" si="83"/>
        <v>1</v>
      </c>
      <c r="D404" s="74">
        <f t="shared" si="84"/>
        <v>842</v>
      </c>
      <c r="E404" s="73">
        <f>VLOOKUP(B404,'114+840'!B405:AB405,3,FALSE)</f>
        <v>1957</v>
      </c>
      <c r="F404" s="70">
        <f t="shared" si="79"/>
        <v>2799</v>
      </c>
      <c r="G404" s="72">
        <f>VLOOKUP(B404,'114+840'!$B$15:$AB$516,20,FALSE)</f>
        <v>2611</v>
      </c>
      <c r="H404" s="72">
        <f>VLOOKUP(B404,'114+840'!$B$15:$AB$516,4,FALSE)</f>
        <v>368</v>
      </c>
      <c r="I404" s="69">
        <f t="shared" si="80"/>
        <v>2431</v>
      </c>
      <c r="J404" s="69">
        <f>VLOOKUP(B404,'114+840'!$B$15:$AB$516,13,FALSE)</f>
        <v>-569</v>
      </c>
      <c r="K404" s="67">
        <f>'114+840'!Q405</f>
        <v>7</v>
      </c>
      <c r="L404" s="66">
        <f t="shared" si="85"/>
        <v>489</v>
      </c>
      <c r="M404" s="71">
        <f>VLOOKUP(B404,'114+840'!$B$14:$AB$516,21,FALSE)</f>
        <v>2412</v>
      </c>
      <c r="N404" s="70">
        <f>VLOOKUP(B404,'114+840'!$B$15:$AB$516,5,FALSE)</f>
        <v>387</v>
      </c>
      <c r="O404" s="69">
        <f t="shared" si="81"/>
        <v>2412</v>
      </c>
      <c r="P404" s="69">
        <f>VLOOKUP(B404,'114+840'!$B$15:$AB$516,14,FALSE)</f>
        <v>-588</v>
      </c>
      <c r="Q404" s="67">
        <f>'114+840'!R405</f>
        <v>8</v>
      </c>
      <c r="R404" s="66">
        <f t="shared" si="86"/>
        <v>688</v>
      </c>
      <c r="S404" s="71">
        <f>VLOOKUP(B404,'114+840'!$B$14:$AB$516,22,FALSE)</f>
        <v>2715</v>
      </c>
      <c r="T404" s="70">
        <f>VLOOKUP(B404,'114+840'!$B$15:$AB$516,6,FALSE)</f>
        <v>574</v>
      </c>
      <c r="U404" s="69">
        <f t="shared" si="82"/>
        <v>2225</v>
      </c>
      <c r="V404" s="68">
        <f>VLOOKUP(B404,'114+840'!$B$15:$AB$516,15,FALSE)</f>
        <v>-775</v>
      </c>
      <c r="W404" s="67">
        <f>'114+840'!S405</f>
        <v>5</v>
      </c>
      <c r="X404" s="66">
        <f t="shared" si="87"/>
        <v>385</v>
      </c>
      <c r="Y404" s="65">
        <f t="shared" si="88"/>
        <v>-5</v>
      </c>
      <c r="Z404" s="64">
        <f t="shared" si="89"/>
        <v>0</v>
      </c>
      <c r="AA404" s="63">
        <f t="shared" si="90"/>
        <v>3.3879999999999999</v>
      </c>
      <c r="AB404" s="63">
        <f t="shared" si="91"/>
        <v>1.6240000000000001</v>
      </c>
    </row>
    <row r="405" spans="2:28">
      <c r="B405" s="104">
        <f>'114+840'!B406</f>
        <v>45662</v>
      </c>
      <c r="C405" s="75">
        <f t="shared" si="83"/>
        <v>1</v>
      </c>
      <c r="D405" s="74">
        <f t="shared" si="84"/>
        <v>842</v>
      </c>
      <c r="E405" s="73">
        <f>VLOOKUP(B405,'114+840'!B406:AB406,3,FALSE)</f>
        <v>1959</v>
      </c>
      <c r="F405" s="70">
        <f t="shared" si="79"/>
        <v>2801</v>
      </c>
      <c r="G405" s="72">
        <f>VLOOKUP(B405,'114+840'!$B$15:$AB$516,20,FALSE)</f>
        <v>2602</v>
      </c>
      <c r="H405" s="72">
        <f>VLOOKUP(B405,'114+840'!$B$15:$AB$516,4,FALSE)</f>
        <v>379</v>
      </c>
      <c r="I405" s="69">
        <f t="shared" si="80"/>
        <v>2422</v>
      </c>
      <c r="J405" s="69">
        <f>VLOOKUP(B405,'114+840'!$B$15:$AB$516,13,FALSE)</f>
        <v>-578</v>
      </c>
      <c r="K405" s="67">
        <f>'114+840'!Q406</f>
        <v>9</v>
      </c>
      <c r="L405" s="66">
        <f t="shared" si="85"/>
        <v>498</v>
      </c>
      <c r="M405" s="71">
        <f>VLOOKUP(B405,'114+840'!$B$14:$AB$516,21,FALSE)</f>
        <v>2404</v>
      </c>
      <c r="N405" s="70">
        <f>VLOOKUP(B405,'114+840'!$B$15:$AB$516,5,FALSE)</f>
        <v>397</v>
      </c>
      <c r="O405" s="69">
        <f t="shared" si="81"/>
        <v>2404</v>
      </c>
      <c r="P405" s="69">
        <f>VLOOKUP(B405,'114+840'!$B$15:$AB$516,14,FALSE)</f>
        <v>-596</v>
      </c>
      <c r="Q405" s="67">
        <f>'114+840'!R406</f>
        <v>8</v>
      </c>
      <c r="R405" s="66">
        <f t="shared" si="86"/>
        <v>696</v>
      </c>
      <c r="S405" s="71">
        <f>VLOOKUP(B405,'114+840'!$B$14:$AB$516,22,FALSE)</f>
        <v>2711</v>
      </c>
      <c r="T405" s="70">
        <f>VLOOKUP(B405,'114+840'!$B$15:$AB$516,6,FALSE)</f>
        <v>580</v>
      </c>
      <c r="U405" s="69">
        <f t="shared" si="82"/>
        <v>2221</v>
      </c>
      <c r="V405" s="68">
        <f>VLOOKUP(B405,'114+840'!$B$15:$AB$516,15,FALSE)</f>
        <v>-779</v>
      </c>
      <c r="W405" s="67">
        <f>'114+840'!S406</f>
        <v>4</v>
      </c>
      <c r="X405" s="66">
        <f t="shared" si="87"/>
        <v>389</v>
      </c>
      <c r="Y405" s="65">
        <f t="shared" si="88"/>
        <v>-4</v>
      </c>
      <c r="Z405" s="64">
        <f t="shared" si="89"/>
        <v>0</v>
      </c>
      <c r="AA405" s="63">
        <f t="shared" si="90"/>
        <v>3.3879999999999999</v>
      </c>
      <c r="AB405" s="63">
        <f t="shared" si="91"/>
        <v>1.6080000000000001</v>
      </c>
    </row>
    <row r="406" spans="2:28">
      <c r="B406" s="104">
        <f>'114+840'!B407</f>
        <v>45663</v>
      </c>
      <c r="C406" s="75">
        <f t="shared" si="83"/>
        <v>1</v>
      </c>
      <c r="D406" s="74">
        <f t="shared" si="84"/>
        <v>842</v>
      </c>
      <c r="E406" s="73">
        <f>VLOOKUP(B406,'114+840'!B407:AB407,3,FALSE)</f>
        <v>1961</v>
      </c>
      <c r="F406" s="70">
        <f t="shared" si="79"/>
        <v>2803</v>
      </c>
      <c r="G406" s="72">
        <f>VLOOKUP(B406,'114+840'!$B$15:$AB$516,20,FALSE)</f>
        <v>2594</v>
      </c>
      <c r="H406" s="72">
        <f>VLOOKUP(B406,'114+840'!$B$15:$AB$516,4,FALSE)</f>
        <v>389</v>
      </c>
      <c r="I406" s="69">
        <f t="shared" si="80"/>
        <v>2414</v>
      </c>
      <c r="J406" s="69">
        <f>VLOOKUP(B406,'114+840'!$B$15:$AB$516,13,FALSE)</f>
        <v>-586</v>
      </c>
      <c r="K406" s="67">
        <f>'114+840'!Q407</f>
        <v>8</v>
      </c>
      <c r="L406" s="66">
        <f t="shared" si="85"/>
        <v>506</v>
      </c>
      <c r="M406" s="71">
        <f>VLOOKUP(B406,'114+840'!$B$14:$AB$516,21,FALSE)</f>
        <v>2395</v>
      </c>
      <c r="N406" s="70">
        <f>VLOOKUP(B406,'114+840'!$B$15:$AB$516,5,FALSE)</f>
        <v>408</v>
      </c>
      <c r="O406" s="69">
        <f t="shared" si="81"/>
        <v>2395</v>
      </c>
      <c r="P406" s="69">
        <f>VLOOKUP(B406,'114+840'!$B$15:$AB$516,14,FALSE)</f>
        <v>-605</v>
      </c>
      <c r="Q406" s="67">
        <f>'114+840'!R407</f>
        <v>9</v>
      </c>
      <c r="R406" s="66">
        <f t="shared" si="86"/>
        <v>705</v>
      </c>
      <c r="S406" s="71">
        <f>VLOOKUP(B406,'114+840'!$B$14:$AB$516,22,FALSE)</f>
        <v>2708</v>
      </c>
      <c r="T406" s="70">
        <f>VLOOKUP(B406,'114+840'!$B$15:$AB$516,6,FALSE)</f>
        <v>585</v>
      </c>
      <c r="U406" s="69">
        <f t="shared" si="82"/>
        <v>2218</v>
      </c>
      <c r="V406" s="68">
        <f>VLOOKUP(B406,'114+840'!$B$15:$AB$516,15,FALSE)</f>
        <v>-782</v>
      </c>
      <c r="W406" s="67">
        <f>'114+840'!S407</f>
        <v>3</v>
      </c>
      <c r="X406" s="66">
        <f t="shared" si="87"/>
        <v>392</v>
      </c>
      <c r="Y406" s="65">
        <f t="shared" si="88"/>
        <v>-3</v>
      </c>
      <c r="Z406" s="64">
        <f t="shared" si="89"/>
        <v>0</v>
      </c>
      <c r="AA406" s="63">
        <f t="shared" si="90"/>
        <v>3.3879999999999999</v>
      </c>
      <c r="AB406" s="63">
        <f t="shared" si="91"/>
        <v>1.59</v>
      </c>
    </row>
    <row r="407" spans="2:28">
      <c r="B407" s="104">
        <f>'114+840'!B408</f>
        <v>45664</v>
      </c>
      <c r="C407" s="75">
        <f t="shared" si="83"/>
        <v>1</v>
      </c>
      <c r="D407" s="74">
        <f t="shared" si="84"/>
        <v>842</v>
      </c>
      <c r="E407" s="73">
        <f>VLOOKUP(B407,'114+840'!B408:AB408,3,FALSE)</f>
        <v>1963</v>
      </c>
      <c r="F407" s="70">
        <f t="shared" si="79"/>
        <v>2805</v>
      </c>
      <c r="G407" s="72">
        <f>VLOOKUP(B407,'114+840'!$B$15:$AB$516,20,FALSE)</f>
        <v>2586</v>
      </c>
      <c r="H407" s="72">
        <f>VLOOKUP(B407,'114+840'!$B$15:$AB$516,4,FALSE)</f>
        <v>399</v>
      </c>
      <c r="I407" s="69">
        <f t="shared" si="80"/>
        <v>2406</v>
      </c>
      <c r="J407" s="69">
        <f>VLOOKUP(B407,'114+840'!$B$15:$AB$516,13,FALSE)</f>
        <v>-594</v>
      </c>
      <c r="K407" s="67">
        <f>'114+840'!Q408</f>
        <v>8</v>
      </c>
      <c r="L407" s="66">
        <f t="shared" si="85"/>
        <v>514</v>
      </c>
      <c r="M407" s="71">
        <f>VLOOKUP(B407,'114+840'!$B$14:$AB$516,21,FALSE)</f>
        <v>2386</v>
      </c>
      <c r="N407" s="70">
        <f>VLOOKUP(B407,'114+840'!$B$15:$AB$516,5,FALSE)</f>
        <v>419</v>
      </c>
      <c r="O407" s="69">
        <f t="shared" si="81"/>
        <v>2386</v>
      </c>
      <c r="P407" s="69">
        <f>VLOOKUP(B407,'114+840'!$B$15:$AB$516,14,FALSE)</f>
        <v>-614</v>
      </c>
      <c r="Q407" s="67">
        <f>'114+840'!R408</f>
        <v>9</v>
      </c>
      <c r="R407" s="66">
        <f t="shared" si="86"/>
        <v>714</v>
      </c>
      <c r="S407" s="71">
        <f>VLOOKUP(B407,'114+840'!$B$14:$AB$516,22,FALSE)</f>
        <v>2705</v>
      </c>
      <c r="T407" s="70">
        <f>VLOOKUP(B407,'114+840'!$B$15:$AB$516,6,FALSE)</f>
        <v>590</v>
      </c>
      <c r="U407" s="69">
        <f t="shared" si="82"/>
        <v>2215</v>
      </c>
      <c r="V407" s="68">
        <f>VLOOKUP(B407,'114+840'!$B$15:$AB$516,15,FALSE)</f>
        <v>-785</v>
      </c>
      <c r="W407" s="67">
        <f>'114+840'!S408</f>
        <v>3</v>
      </c>
      <c r="X407" s="66">
        <f t="shared" si="87"/>
        <v>395</v>
      </c>
      <c r="Y407" s="65">
        <f t="shared" si="88"/>
        <v>-3</v>
      </c>
      <c r="Z407" s="64">
        <f t="shared" si="89"/>
        <v>0</v>
      </c>
      <c r="AA407" s="63">
        <f t="shared" si="90"/>
        <v>3.3879999999999999</v>
      </c>
      <c r="AB407" s="63">
        <f t="shared" si="91"/>
        <v>1.5720000000000001</v>
      </c>
    </row>
    <row r="408" spans="2:28">
      <c r="B408" s="104">
        <f>'114+840'!B409</f>
        <v>45665</v>
      </c>
      <c r="C408" s="75">
        <f t="shared" si="83"/>
        <v>1</v>
      </c>
      <c r="D408" s="74">
        <f t="shared" si="84"/>
        <v>842</v>
      </c>
      <c r="E408" s="73">
        <f>VLOOKUP(B408,'114+840'!B409:AB409,3,FALSE)</f>
        <v>1965</v>
      </c>
      <c r="F408" s="70">
        <f t="shared" si="79"/>
        <v>2807</v>
      </c>
      <c r="G408" s="72">
        <f>VLOOKUP(B408,'114+840'!$B$15:$AB$516,20,FALSE)</f>
        <v>2578</v>
      </c>
      <c r="H408" s="72">
        <f>VLOOKUP(B408,'114+840'!$B$15:$AB$516,4,FALSE)</f>
        <v>409</v>
      </c>
      <c r="I408" s="69">
        <f t="shared" si="80"/>
        <v>2398</v>
      </c>
      <c r="J408" s="69">
        <f>VLOOKUP(B408,'114+840'!$B$15:$AB$516,13,FALSE)</f>
        <v>-602</v>
      </c>
      <c r="K408" s="67">
        <f>'114+840'!Q409</f>
        <v>8</v>
      </c>
      <c r="L408" s="66">
        <f t="shared" si="85"/>
        <v>522</v>
      </c>
      <c r="M408" s="71">
        <f>VLOOKUP(B408,'114+840'!$B$14:$AB$516,21,FALSE)</f>
        <v>2377</v>
      </c>
      <c r="N408" s="70">
        <f>VLOOKUP(B408,'114+840'!$B$15:$AB$516,5,FALSE)</f>
        <v>430</v>
      </c>
      <c r="O408" s="69">
        <f t="shared" si="81"/>
        <v>2377</v>
      </c>
      <c r="P408" s="69">
        <f>VLOOKUP(B408,'114+840'!$B$15:$AB$516,14,FALSE)</f>
        <v>-623</v>
      </c>
      <c r="Q408" s="67">
        <f>'114+840'!R409</f>
        <v>9</v>
      </c>
      <c r="R408" s="66">
        <f t="shared" si="86"/>
        <v>723</v>
      </c>
      <c r="S408" s="71">
        <f>VLOOKUP(B408,'114+840'!$B$14:$AB$516,22,FALSE)</f>
        <v>2703</v>
      </c>
      <c r="T408" s="70">
        <f>VLOOKUP(B408,'114+840'!$B$15:$AB$516,6,FALSE)</f>
        <v>594</v>
      </c>
      <c r="U408" s="69">
        <f t="shared" si="82"/>
        <v>2213</v>
      </c>
      <c r="V408" s="68">
        <f>VLOOKUP(B408,'114+840'!$B$15:$AB$516,15,FALSE)</f>
        <v>-787</v>
      </c>
      <c r="W408" s="67">
        <f>'114+840'!S409</f>
        <v>2</v>
      </c>
      <c r="X408" s="66">
        <f t="shared" si="87"/>
        <v>397</v>
      </c>
      <c r="Y408" s="65">
        <f t="shared" si="88"/>
        <v>-2</v>
      </c>
      <c r="Z408" s="64">
        <f t="shared" si="89"/>
        <v>0</v>
      </c>
      <c r="AA408" s="63">
        <f t="shared" si="90"/>
        <v>3.3879999999999999</v>
      </c>
      <c r="AB408" s="63">
        <f t="shared" si="91"/>
        <v>1.554</v>
      </c>
    </row>
    <row r="409" spans="2:28">
      <c r="B409" s="104">
        <f>'114+840'!B410</f>
        <v>45666</v>
      </c>
      <c r="C409" s="75">
        <f t="shared" si="83"/>
        <v>1</v>
      </c>
      <c r="D409" s="74">
        <f t="shared" si="84"/>
        <v>842</v>
      </c>
      <c r="E409" s="73">
        <f>VLOOKUP(B409,'114+840'!B410:AB410,3,FALSE)</f>
        <v>1967</v>
      </c>
      <c r="F409" s="70">
        <f t="shared" si="79"/>
        <v>2809</v>
      </c>
      <c r="G409" s="72">
        <f>VLOOKUP(B409,'114+840'!$B$15:$AB$516,20,FALSE)</f>
        <v>2570</v>
      </c>
      <c r="H409" s="72">
        <f>VLOOKUP(B409,'114+840'!$B$15:$AB$516,4,FALSE)</f>
        <v>419</v>
      </c>
      <c r="I409" s="69">
        <f t="shared" si="80"/>
        <v>2390</v>
      </c>
      <c r="J409" s="69">
        <f>VLOOKUP(B409,'114+840'!$B$15:$AB$516,13,FALSE)</f>
        <v>-610</v>
      </c>
      <c r="K409" s="67">
        <f>'114+840'!Q410</f>
        <v>8</v>
      </c>
      <c r="L409" s="66">
        <f t="shared" si="85"/>
        <v>530</v>
      </c>
      <c r="M409" s="71">
        <f>VLOOKUP(B409,'114+840'!$B$14:$AB$516,21,FALSE)</f>
        <v>2369</v>
      </c>
      <c r="N409" s="70">
        <f>VLOOKUP(B409,'114+840'!$B$15:$AB$516,5,FALSE)</f>
        <v>440</v>
      </c>
      <c r="O409" s="69">
        <f t="shared" si="81"/>
        <v>2369</v>
      </c>
      <c r="P409" s="69">
        <f>VLOOKUP(B409,'114+840'!$B$15:$AB$516,14,FALSE)</f>
        <v>-631</v>
      </c>
      <c r="Q409" s="67">
        <f>'114+840'!R410</f>
        <v>8</v>
      </c>
      <c r="R409" s="66">
        <f t="shared" si="86"/>
        <v>731</v>
      </c>
      <c r="S409" s="71">
        <f>VLOOKUP(B409,'114+840'!$B$14:$AB$516,22,FALSE)</f>
        <v>2701</v>
      </c>
      <c r="T409" s="70">
        <f>VLOOKUP(B409,'114+840'!$B$15:$AB$516,6,FALSE)</f>
        <v>598</v>
      </c>
      <c r="U409" s="69">
        <f t="shared" si="82"/>
        <v>2211</v>
      </c>
      <c r="V409" s="68">
        <f>VLOOKUP(B409,'114+840'!$B$15:$AB$516,15,FALSE)</f>
        <v>-789</v>
      </c>
      <c r="W409" s="67">
        <f>'114+840'!S410</f>
        <v>2</v>
      </c>
      <c r="X409" s="66">
        <f t="shared" si="87"/>
        <v>399</v>
      </c>
      <c r="Y409" s="65">
        <f t="shared" si="88"/>
        <v>-2</v>
      </c>
      <c r="Z409" s="64">
        <f t="shared" si="89"/>
        <v>0</v>
      </c>
      <c r="AA409" s="63">
        <f t="shared" si="90"/>
        <v>3.3879999999999999</v>
      </c>
      <c r="AB409" s="63">
        <f t="shared" si="91"/>
        <v>1.538</v>
      </c>
    </row>
    <row r="410" spans="2:28">
      <c r="B410" s="104">
        <f>'114+840'!B411</f>
        <v>45667</v>
      </c>
      <c r="C410" s="75">
        <f t="shared" si="83"/>
        <v>1</v>
      </c>
      <c r="D410" s="74">
        <f t="shared" si="84"/>
        <v>842</v>
      </c>
      <c r="E410" s="73">
        <f>VLOOKUP(B410,'114+840'!B411:AB411,3,FALSE)</f>
        <v>1969</v>
      </c>
      <c r="F410" s="70">
        <f t="shared" si="79"/>
        <v>2811</v>
      </c>
      <c r="G410" s="72">
        <f>VLOOKUP(B410,'114+840'!$B$15:$AB$516,20,FALSE)</f>
        <v>2563</v>
      </c>
      <c r="H410" s="72">
        <f>VLOOKUP(B410,'114+840'!$B$15:$AB$516,4,FALSE)</f>
        <v>428</v>
      </c>
      <c r="I410" s="69">
        <f t="shared" si="80"/>
        <v>2383</v>
      </c>
      <c r="J410" s="69">
        <f>VLOOKUP(B410,'114+840'!$B$15:$AB$516,13,FALSE)</f>
        <v>-617</v>
      </c>
      <c r="K410" s="67">
        <f>'114+840'!Q411</f>
        <v>7</v>
      </c>
      <c r="L410" s="66">
        <f t="shared" si="85"/>
        <v>537</v>
      </c>
      <c r="M410" s="71">
        <f>VLOOKUP(B410,'114+840'!$B$14:$AB$516,21,FALSE)</f>
        <v>2361</v>
      </c>
      <c r="N410" s="70">
        <f>VLOOKUP(B410,'114+840'!$B$15:$AB$516,5,FALSE)</f>
        <v>450</v>
      </c>
      <c r="O410" s="69">
        <f t="shared" si="81"/>
        <v>2361</v>
      </c>
      <c r="P410" s="69">
        <f>VLOOKUP(B410,'114+840'!$B$15:$AB$516,14,FALSE)</f>
        <v>-639</v>
      </c>
      <c r="Q410" s="67">
        <f>'114+840'!R411</f>
        <v>8</v>
      </c>
      <c r="R410" s="66">
        <f t="shared" si="86"/>
        <v>739</v>
      </c>
      <c r="S410" s="71">
        <f>VLOOKUP(B410,'114+840'!$B$14:$AB$516,22,FALSE)</f>
        <v>2698</v>
      </c>
      <c r="T410" s="70">
        <f>VLOOKUP(B410,'114+840'!$B$15:$AB$516,6,FALSE)</f>
        <v>603</v>
      </c>
      <c r="U410" s="69">
        <f t="shared" si="82"/>
        <v>2208</v>
      </c>
      <c r="V410" s="68">
        <f>VLOOKUP(B410,'114+840'!$B$15:$AB$516,15,FALSE)</f>
        <v>-792</v>
      </c>
      <c r="W410" s="67">
        <f>'114+840'!S411</f>
        <v>3</v>
      </c>
      <c r="X410" s="66">
        <f t="shared" si="87"/>
        <v>402</v>
      </c>
      <c r="Y410" s="65">
        <f t="shared" si="88"/>
        <v>-3</v>
      </c>
      <c r="Z410" s="64">
        <f t="shared" si="89"/>
        <v>0</v>
      </c>
      <c r="AA410" s="63">
        <f t="shared" si="90"/>
        <v>3.3879999999999999</v>
      </c>
      <c r="AB410" s="63">
        <f t="shared" si="91"/>
        <v>1.522</v>
      </c>
    </row>
    <row r="411" spans="2:28">
      <c r="B411" s="104">
        <f>'114+840'!B412</f>
        <v>45668</v>
      </c>
      <c r="C411" s="75">
        <f t="shared" si="83"/>
        <v>1</v>
      </c>
      <c r="D411" s="74">
        <f t="shared" si="84"/>
        <v>842</v>
      </c>
      <c r="E411" s="73">
        <f>VLOOKUP(B411,'114+840'!B412:AB412,3,FALSE)</f>
        <v>1971</v>
      </c>
      <c r="F411" s="70">
        <f t="shared" si="79"/>
        <v>2813</v>
      </c>
      <c r="G411" s="72">
        <f>VLOOKUP(B411,'114+840'!$B$15:$AB$516,20,FALSE)</f>
        <v>2554</v>
      </c>
      <c r="H411" s="72">
        <f>VLOOKUP(B411,'114+840'!$B$15:$AB$516,4,FALSE)</f>
        <v>439</v>
      </c>
      <c r="I411" s="69">
        <f t="shared" si="80"/>
        <v>2374</v>
      </c>
      <c r="J411" s="69">
        <f>VLOOKUP(B411,'114+840'!$B$15:$AB$516,13,FALSE)</f>
        <v>-626</v>
      </c>
      <c r="K411" s="67">
        <f>'114+840'!Q412</f>
        <v>9</v>
      </c>
      <c r="L411" s="66">
        <f t="shared" si="85"/>
        <v>546</v>
      </c>
      <c r="M411" s="71">
        <f>VLOOKUP(B411,'114+840'!$B$14:$AB$516,21,FALSE)</f>
        <v>2352</v>
      </c>
      <c r="N411" s="70">
        <f>VLOOKUP(B411,'114+840'!$B$15:$AB$516,5,FALSE)</f>
        <v>461</v>
      </c>
      <c r="O411" s="69">
        <f t="shared" si="81"/>
        <v>2352</v>
      </c>
      <c r="P411" s="69">
        <f>VLOOKUP(B411,'114+840'!$B$15:$AB$516,14,FALSE)</f>
        <v>-648</v>
      </c>
      <c r="Q411" s="67">
        <f>'114+840'!R412</f>
        <v>9</v>
      </c>
      <c r="R411" s="66">
        <f t="shared" si="86"/>
        <v>748</v>
      </c>
      <c r="S411" s="71">
        <f>VLOOKUP(B411,'114+840'!$B$14:$AB$516,22,FALSE)</f>
        <v>2697</v>
      </c>
      <c r="T411" s="70">
        <f>VLOOKUP(B411,'114+840'!$B$15:$AB$516,6,FALSE)</f>
        <v>606</v>
      </c>
      <c r="U411" s="69">
        <f t="shared" si="82"/>
        <v>2207</v>
      </c>
      <c r="V411" s="68">
        <f>VLOOKUP(B411,'114+840'!$B$15:$AB$516,15,FALSE)</f>
        <v>-793</v>
      </c>
      <c r="W411" s="67">
        <f>'114+840'!S412</f>
        <v>1</v>
      </c>
      <c r="X411" s="66">
        <f t="shared" si="87"/>
        <v>403</v>
      </c>
      <c r="Y411" s="65">
        <f t="shared" si="88"/>
        <v>-1</v>
      </c>
      <c r="Z411" s="64">
        <f t="shared" si="89"/>
        <v>0</v>
      </c>
      <c r="AA411" s="63">
        <f t="shared" si="90"/>
        <v>3.3879999999999999</v>
      </c>
      <c r="AB411" s="63">
        <f t="shared" si="91"/>
        <v>1.504</v>
      </c>
    </row>
    <row r="412" spans="2:28">
      <c r="B412" s="104">
        <f>'114+840'!B413</f>
        <v>45669</v>
      </c>
      <c r="C412" s="75">
        <f t="shared" si="83"/>
        <v>1</v>
      </c>
      <c r="D412" s="74">
        <f t="shared" si="84"/>
        <v>842</v>
      </c>
      <c r="E412" s="73">
        <f>VLOOKUP(B412,'114+840'!B413:AB413,3,FALSE)</f>
        <v>1973</v>
      </c>
      <c r="F412" s="70">
        <f t="shared" si="79"/>
        <v>2815</v>
      </c>
      <c r="G412" s="72">
        <f>VLOOKUP(B412,'114+840'!$B$15:$AB$516,20,FALSE)</f>
        <v>2546</v>
      </c>
      <c r="H412" s="72">
        <f>VLOOKUP(B412,'114+840'!$B$15:$AB$516,4,FALSE)</f>
        <v>449</v>
      </c>
      <c r="I412" s="69">
        <f t="shared" si="80"/>
        <v>2366</v>
      </c>
      <c r="J412" s="69">
        <f>VLOOKUP(B412,'114+840'!$B$15:$AB$516,13,FALSE)</f>
        <v>-634</v>
      </c>
      <c r="K412" s="67">
        <f>'114+840'!Q413</f>
        <v>8</v>
      </c>
      <c r="L412" s="66">
        <f t="shared" si="85"/>
        <v>554</v>
      </c>
      <c r="M412" s="71">
        <f>VLOOKUP(B412,'114+840'!$B$14:$AB$516,21,FALSE)</f>
        <v>2344</v>
      </c>
      <c r="N412" s="70">
        <f>VLOOKUP(B412,'114+840'!$B$15:$AB$516,5,FALSE)</f>
        <v>471</v>
      </c>
      <c r="O412" s="69">
        <f t="shared" si="81"/>
        <v>2344</v>
      </c>
      <c r="P412" s="69">
        <f>VLOOKUP(B412,'114+840'!$B$15:$AB$516,14,FALSE)</f>
        <v>-656</v>
      </c>
      <c r="Q412" s="67">
        <f>'114+840'!R413</f>
        <v>8</v>
      </c>
      <c r="R412" s="66">
        <f t="shared" si="86"/>
        <v>756</v>
      </c>
      <c r="S412" s="71">
        <f>VLOOKUP(B412,'114+840'!$B$14:$AB$516,22,FALSE)</f>
        <v>2695</v>
      </c>
      <c r="T412" s="70">
        <f>VLOOKUP(B412,'114+840'!$B$15:$AB$516,6,FALSE)</f>
        <v>610</v>
      </c>
      <c r="U412" s="69">
        <f t="shared" si="82"/>
        <v>2205</v>
      </c>
      <c r="V412" s="68">
        <f>VLOOKUP(B412,'114+840'!$B$15:$AB$516,15,FALSE)</f>
        <v>-795</v>
      </c>
      <c r="W412" s="67">
        <f>'114+840'!S413</f>
        <v>2</v>
      </c>
      <c r="X412" s="66">
        <f t="shared" si="87"/>
        <v>405</v>
      </c>
      <c r="Y412" s="65">
        <f t="shared" si="88"/>
        <v>-2</v>
      </c>
      <c r="Z412" s="64">
        <f t="shared" si="89"/>
        <v>0</v>
      </c>
      <c r="AA412" s="63">
        <f t="shared" si="90"/>
        <v>3.3879999999999999</v>
      </c>
      <c r="AB412" s="63">
        <f t="shared" si="91"/>
        <v>1.488</v>
      </c>
    </row>
    <row r="413" spans="2:28">
      <c r="B413" s="104">
        <f>'114+840'!B414</f>
        <v>45670</v>
      </c>
      <c r="C413" s="75">
        <f t="shared" si="83"/>
        <v>1</v>
      </c>
      <c r="D413" s="74">
        <f t="shared" si="84"/>
        <v>842</v>
      </c>
      <c r="E413" s="73">
        <f>VLOOKUP(B413,'114+840'!B414:AB414,3,FALSE)</f>
        <v>1975</v>
      </c>
      <c r="F413" s="70">
        <f t="shared" si="79"/>
        <v>2817</v>
      </c>
      <c r="G413" s="72">
        <f>VLOOKUP(B413,'114+840'!$B$15:$AB$516,20,FALSE)</f>
        <v>2538</v>
      </c>
      <c r="H413" s="72">
        <f>VLOOKUP(B413,'114+840'!$B$15:$AB$516,4,FALSE)</f>
        <v>459</v>
      </c>
      <c r="I413" s="69">
        <f t="shared" si="80"/>
        <v>2358</v>
      </c>
      <c r="J413" s="69">
        <f>VLOOKUP(B413,'114+840'!$B$15:$AB$516,13,FALSE)</f>
        <v>-642</v>
      </c>
      <c r="K413" s="67">
        <f>'114+840'!Q414</f>
        <v>8</v>
      </c>
      <c r="L413" s="66">
        <f t="shared" si="85"/>
        <v>562</v>
      </c>
      <c r="M413" s="71">
        <f>VLOOKUP(B413,'114+840'!$B$14:$AB$516,21,FALSE)</f>
        <v>2335</v>
      </c>
      <c r="N413" s="70">
        <f>VLOOKUP(B413,'114+840'!$B$15:$AB$516,5,FALSE)</f>
        <v>482</v>
      </c>
      <c r="O413" s="69">
        <f t="shared" si="81"/>
        <v>2335</v>
      </c>
      <c r="P413" s="69">
        <f>VLOOKUP(B413,'114+840'!$B$15:$AB$516,14,FALSE)</f>
        <v>-665</v>
      </c>
      <c r="Q413" s="67">
        <f>'114+840'!R414</f>
        <v>9</v>
      </c>
      <c r="R413" s="66">
        <f t="shared" si="86"/>
        <v>765</v>
      </c>
      <c r="S413" s="71">
        <f>VLOOKUP(B413,'114+840'!$B$14:$AB$516,22,FALSE)</f>
        <v>2694</v>
      </c>
      <c r="T413" s="70">
        <f>VLOOKUP(B413,'114+840'!$B$15:$AB$516,6,FALSE)</f>
        <v>613</v>
      </c>
      <c r="U413" s="69">
        <f t="shared" si="82"/>
        <v>2204</v>
      </c>
      <c r="V413" s="68">
        <f>VLOOKUP(B413,'114+840'!$B$15:$AB$516,15,FALSE)</f>
        <v>-796</v>
      </c>
      <c r="W413" s="67">
        <f>'114+840'!S414</f>
        <v>1</v>
      </c>
      <c r="X413" s="66">
        <f t="shared" si="87"/>
        <v>406</v>
      </c>
      <c r="Y413" s="65">
        <f t="shared" si="88"/>
        <v>-1</v>
      </c>
      <c r="Z413" s="64">
        <f t="shared" si="89"/>
        <v>0</v>
      </c>
      <c r="AA413" s="63">
        <f t="shared" si="90"/>
        <v>3.3879999999999999</v>
      </c>
      <c r="AB413" s="63">
        <f t="shared" si="91"/>
        <v>1.47</v>
      </c>
    </row>
    <row r="414" spans="2:28">
      <c r="B414" s="104">
        <f>'114+840'!B415</f>
        <v>45671</v>
      </c>
      <c r="C414" s="75">
        <f t="shared" si="83"/>
        <v>1</v>
      </c>
      <c r="D414" s="74">
        <f t="shared" si="84"/>
        <v>842</v>
      </c>
      <c r="E414" s="73">
        <f>VLOOKUP(B414,'114+840'!B415:AB415,3,FALSE)</f>
        <v>1977</v>
      </c>
      <c r="F414" s="70">
        <f t="shared" si="79"/>
        <v>2819</v>
      </c>
      <c r="G414" s="72">
        <f>VLOOKUP(B414,'114+840'!$B$15:$AB$516,20,FALSE)</f>
        <v>2529</v>
      </c>
      <c r="H414" s="72">
        <f>VLOOKUP(B414,'114+840'!$B$15:$AB$516,4,FALSE)</f>
        <v>470</v>
      </c>
      <c r="I414" s="69">
        <f t="shared" si="80"/>
        <v>2349</v>
      </c>
      <c r="J414" s="69">
        <f>VLOOKUP(B414,'114+840'!$B$15:$AB$516,13,FALSE)</f>
        <v>-651</v>
      </c>
      <c r="K414" s="67">
        <f>'114+840'!Q415</f>
        <v>9</v>
      </c>
      <c r="L414" s="66">
        <f t="shared" si="85"/>
        <v>571</v>
      </c>
      <c r="M414" s="71">
        <f>VLOOKUP(B414,'114+840'!$B$14:$AB$516,21,FALSE)</f>
        <v>2327</v>
      </c>
      <c r="N414" s="70">
        <f>VLOOKUP(B414,'114+840'!$B$15:$AB$516,5,FALSE)</f>
        <v>492</v>
      </c>
      <c r="O414" s="69">
        <f t="shared" si="81"/>
        <v>2327</v>
      </c>
      <c r="P414" s="69">
        <f>VLOOKUP(B414,'114+840'!$B$15:$AB$516,14,FALSE)</f>
        <v>-673</v>
      </c>
      <c r="Q414" s="67">
        <f>'114+840'!R415</f>
        <v>8</v>
      </c>
      <c r="R414" s="66">
        <f t="shared" si="86"/>
        <v>773</v>
      </c>
      <c r="S414" s="71">
        <f>VLOOKUP(B414,'114+840'!$B$14:$AB$516,22,FALSE)</f>
        <v>2692</v>
      </c>
      <c r="T414" s="70">
        <f>VLOOKUP(B414,'114+840'!$B$15:$AB$516,6,FALSE)</f>
        <v>617</v>
      </c>
      <c r="U414" s="69">
        <f t="shared" si="82"/>
        <v>2202</v>
      </c>
      <c r="V414" s="68">
        <f>VLOOKUP(B414,'114+840'!$B$15:$AB$516,15,FALSE)</f>
        <v>-798</v>
      </c>
      <c r="W414" s="67">
        <f>'114+840'!S415</f>
        <v>2</v>
      </c>
      <c r="X414" s="66">
        <f t="shared" si="87"/>
        <v>408</v>
      </c>
      <c r="Y414" s="65">
        <f t="shared" si="88"/>
        <v>-2</v>
      </c>
      <c r="Z414" s="64">
        <f t="shared" si="89"/>
        <v>0</v>
      </c>
      <c r="AA414" s="63">
        <f t="shared" si="90"/>
        <v>3.3879999999999999</v>
      </c>
      <c r="AB414" s="63">
        <f t="shared" si="91"/>
        <v>1.454</v>
      </c>
    </row>
    <row r="415" spans="2:28">
      <c r="B415" s="104">
        <f>'114+840'!B416</f>
        <v>45672</v>
      </c>
      <c r="C415" s="75">
        <f t="shared" si="83"/>
        <v>1</v>
      </c>
      <c r="D415" s="74">
        <f t="shared" si="84"/>
        <v>842</v>
      </c>
      <c r="E415" s="73">
        <f>VLOOKUP(B415,'114+840'!B416:AB416,3,FALSE)</f>
        <v>1979</v>
      </c>
      <c r="F415" s="70">
        <f t="shared" si="79"/>
        <v>2821</v>
      </c>
      <c r="G415" s="72">
        <f>VLOOKUP(B415,'114+840'!$B$15:$AB$516,20,FALSE)</f>
        <v>2521</v>
      </c>
      <c r="H415" s="72">
        <f>VLOOKUP(B415,'114+840'!$B$15:$AB$516,4,FALSE)</f>
        <v>480</v>
      </c>
      <c r="I415" s="69">
        <f t="shared" si="80"/>
        <v>2341</v>
      </c>
      <c r="J415" s="69">
        <f>VLOOKUP(B415,'114+840'!$B$15:$AB$516,13,FALSE)</f>
        <v>-659</v>
      </c>
      <c r="K415" s="67">
        <f>'114+840'!Q416</f>
        <v>8</v>
      </c>
      <c r="L415" s="66">
        <f t="shared" si="85"/>
        <v>579</v>
      </c>
      <c r="M415" s="71">
        <f>VLOOKUP(B415,'114+840'!$B$14:$AB$516,21,FALSE)</f>
        <v>2320</v>
      </c>
      <c r="N415" s="70">
        <f>VLOOKUP(B415,'114+840'!$B$15:$AB$516,5,FALSE)</f>
        <v>501</v>
      </c>
      <c r="O415" s="69">
        <f t="shared" si="81"/>
        <v>2320</v>
      </c>
      <c r="P415" s="69">
        <f>VLOOKUP(B415,'114+840'!$B$15:$AB$516,14,FALSE)</f>
        <v>-680</v>
      </c>
      <c r="Q415" s="67">
        <f>'114+840'!R416</f>
        <v>7</v>
      </c>
      <c r="R415" s="66">
        <f t="shared" si="86"/>
        <v>780</v>
      </c>
      <c r="S415" s="71">
        <f>VLOOKUP(B415,'114+840'!$B$14:$AB$516,22,FALSE)</f>
        <v>2690</v>
      </c>
      <c r="T415" s="70">
        <f>VLOOKUP(B415,'114+840'!$B$15:$AB$516,6,FALSE)</f>
        <v>621</v>
      </c>
      <c r="U415" s="69">
        <f t="shared" si="82"/>
        <v>2200</v>
      </c>
      <c r="V415" s="68">
        <f>VLOOKUP(B415,'114+840'!$B$15:$AB$516,15,FALSE)</f>
        <v>-800</v>
      </c>
      <c r="W415" s="67">
        <f>'114+840'!S416</f>
        <v>2</v>
      </c>
      <c r="X415" s="66">
        <f t="shared" si="87"/>
        <v>410</v>
      </c>
      <c r="Y415" s="65">
        <f t="shared" si="88"/>
        <v>-2</v>
      </c>
      <c r="Z415" s="64">
        <f t="shared" si="89"/>
        <v>0</v>
      </c>
      <c r="AA415" s="63">
        <f t="shared" si="90"/>
        <v>3.3879999999999999</v>
      </c>
      <c r="AB415" s="63">
        <f t="shared" si="91"/>
        <v>1.44</v>
      </c>
    </row>
    <row r="416" spans="2:28">
      <c r="B416" s="104">
        <f>'114+840'!B417</f>
        <v>45673</v>
      </c>
      <c r="C416" s="75">
        <f t="shared" si="83"/>
        <v>1</v>
      </c>
      <c r="D416" s="74">
        <f t="shared" si="84"/>
        <v>842</v>
      </c>
      <c r="E416" s="73">
        <f>VLOOKUP(B416,'114+840'!B417:AB417,3,FALSE)</f>
        <v>1981</v>
      </c>
      <c r="F416" s="70">
        <f t="shared" si="79"/>
        <v>2823</v>
      </c>
      <c r="G416" s="72">
        <f>VLOOKUP(B416,'114+840'!$B$15:$AB$516,20,FALSE)</f>
        <v>2512</v>
      </c>
      <c r="H416" s="72">
        <f>VLOOKUP(B416,'114+840'!$B$15:$AB$516,4,FALSE)</f>
        <v>491</v>
      </c>
      <c r="I416" s="69">
        <f t="shared" si="80"/>
        <v>2332</v>
      </c>
      <c r="J416" s="69">
        <f>VLOOKUP(B416,'114+840'!$B$15:$AB$516,13,FALSE)</f>
        <v>-668</v>
      </c>
      <c r="K416" s="67">
        <f>'114+840'!Q417</f>
        <v>9</v>
      </c>
      <c r="L416" s="66">
        <f t="shared" si="85"/>
        <v>588</v>
      </c>
      <c r="M416" s="71">
        <f>VLOOKUP(B416,'114+840'!$B$14:$AB$516,21,FALSE)</f>
        <v>2311</v>
      </c>
      <c r="N416" s="70">
        <f>VLOOKUP(B416,'114+840'!$B$15:$AB$516,5,FALSE)</f>
        <v>512</v>
      </c>
      <c r="O416" s="69">
        <f t="shared" si="81"/>
        <v>2311</v>
      </c>
      <c r="P416" s="69">
        <f>VLOOKUP(B416,'114+840'!$B$15:$AB$516,14,FALSE)</f>
        <v>-689</v>
      </c>
      <c r="Q416" s="67">
        <f>'114+840'!R417</f>
        <v>9</v>
      </c>
      <c r="R416" s="66">
        <f t="shared" si="86"/>
        <v>789</v>
      </c>
      <c r="S416" s="71">
        <f>VLOOKUP(B416,'114+840'!$B$14:$AB$516,22,FALSE)</f>
        <v>2687</v>
      </c>
      <c r="T416" s="70">
        <f>VLOOKUP(B416,'114+840'!$B$15:$AB$516,6,FALSE)</f>
        <v>626</v>
      </c>
      <c r="U416" s="69">
        <f t="shared" si="82"/>
        <v>2197</v>
      </c>
      <c r="V416" s="68">
        <f>VLOOKUP(B416,'114+840'!$B$15:$AB$516,15,FALSE)</f>
        <v>-803</v>
      </c>
      <c r="W416" s="67">
        <f>'114+840'!S417</f>
        <v>3</v>
      </c>
      <c r="X416" s="66">
        <f t="shared" si="87"/>
        <v>413</v>
      </c>
      <c r="Y416" s="65">
        <f t="shared" si="88"/>
        <v>-3</v>
      </c>
      <c r="Z416" s="64">
        <f t="shared" si="89"/>
        <v>0</v>
      </c>
      <c r="AA416" s="63">
        <f t="shared" si="90"/>
        <v>3.3879999999999999</v>
      </c>
      <c r="AB416" s="63">
        <f t="shared" si="91"/>
        <v>1.4219999999999999</v>
      </c>
    </row>
    <row r="417" spans="2:28">
      <c r="B417" s="104">
        <f>'114+840'!B418</f>
        <v>45674</v>
      </c>
      <c r="C417" s="75">
        <f t="shared" si="83"/>
        <v>1</v>
      </c>
      <c r="D417" s="74">
        <f t="shared" si="84"/>
        <v>842</v>
      </c>
      <c r="E417" s="73">
        <f>VLOOKUP(B417,'114+840'!B418:AB418,3,FALSE)</f>
        <v>1983</v>
      </c>
      <c r="F417" s="70">
        <f t="shared" si="79"/>
        <v>2825</v>
      </c>
      <c r="G417" s="72">
        <f>VLOOKUP(B417,'114+840'!$B$15:$AB$516,20,FALSE)</f>
        <v>2504</v>
      </c>
      <c r="H417" s="72">
        <f>VLOOKUP(B417,'114+840'!$B$15:$AB$516,4,FALSE)</f>
        <v>501</v>
      </c>
      <c r="I417" s="69">
        <f t="shared" si="80"/>
        <v>2324</v>
      </c>
      <c r="J417" s="69">
        <f>VLOOKUP(B417,'114+840'!$B$15:$AB$516,13,FALSE)</f>
        <v>-676</v>
      </c>
      <c r="K417" s="67">
        <f>'114+840'!Q418</f>
        <v>8</v>
      </c>
      <c r="L417" s="66">
        <f t="shared" si="85"/>
        <v>596</v>
      </c>
      <c r="M417" s="71">
        <f>VLOOKUP(B417,'114+840'!$B$14:$AB$516,21,FALSE)</f>
        <v>2303</v>
      </c>
      <c r="N417" s="70">
        <f>VLOOKUP(B417,'114+840'!$B$15:$AB$516,5,FALSE)</f>
        <v>522</v>
      </c>
      <c r="O417" s="69">
        <f t="shared" si="81"/>
        <v>2303</v>
      </c>
      <c r="P417" s="69">
        <f>VLOOKUP(B417,'114+840'!$B$15:$AB$516,14,FALSE)</f>
        <v>-697</v>
      </c>
      <c r="Q417" s="67">
        <f>'114+840'!R418</f>
        <v>8</v>
      </c>
      <c r="R417" s="66">
        <f t="shared" si="86"/>
        <v>797</v>
      </c>
      <c r="S417" s="71">
        <f>VLOOKUP(B417,'114+840'!$B$14:$AB$516,22,FALSE)</f>
        <v>2686</v>
      </c>
      <c r="T417" s="70">
        <f>VLOOKUP(B417,'114+840'!$B$15:$AB$516,6,FALSE)</f>
        <v>629</v>
      </c>
      <c r="U417" s="69">
        <f t="shared" si="82"/>
        <v>2196</v>
      </c>
      <c r="V417" s="68">
        <f>VLOOKUP(B417,'114+840'!$B$15:$AB$516,15,FALSE)</f>
        <v>-804</v>
      </c>
      <c r="W417" s="67">
        <f>'114+840'!S418</f>
        <v>1</v>
      </c>
      <c r="X417" s="66">
        <f t="shared" si="87"/>
        <v>414</v>
      </c>
      <c r="Y417" s="65">
        <f t="shared" si="88"/>
        <v>-1</v>
      </c>
      <c r="Z417" s="64">
        <f t="shared" si="89"/>
        <v>0</v>
      </c>
      <c r="AA417" s="63">
        <f t="shared" si="90"/>
        <v>3.3879999999999999</v>
      </c>
      <c r="AB417" s="63">
        <f t="shared" si="91"/>
        <v>1.4059999999999999</v>
      </c>
    </row>
    <row r="418" spans="2:28">
      <c r="B418" s="104">
        <f>'114+840'!B419</f>
        <v>45675</v>
      </c>
      <c r="C418" s="75">
        <f t="shared" si="83"/>
        <v>1</v>
      </c>
      <c r="D418" s="74">
        <f t="shared" si="84"/>
        <v>842</v>
      </c>
      <c r="E418" s="73">
        <f>VLOOKUP(B418,'114+840'!B419:AB419,3,FALSE)</f>
        <v>1985</v>
      </c>
      <c r="F418" s="70">
        <f t="shared" si="79"/>
        <v>2827</v>
      </c>
      <c r="G418" s="72">
        <f>VLOOKUP(B418,'114+840'!$B$15:$AB$516,20,FALSE)</f>
        <v>2496</v>
      </c>
      <c r="H418" s="72">
        <f>VLOOKUP(B418,'114+840'!$B$15:$AB$516,4,FALSE)</f>
        <v>511</v>
      </c>
      <c r="I418" s="69">
        <f t="shared" si="80"/>
        <v>2316</v>
      </c>
      <c r="J418" s="69">
        <f>VLOOKUP(B418,'114+840'!$B$15:$AB$516,13,FALSE)</f>
        <v>-684</v>
      </c>
      <c r="K418" s="67">
        <f>'114+840'!Q419</f>
        <v>8</v>
      </c>
      <c r="L418" s="66">
        <f t="shared" si="85"/>
        <v>604</v>
      </c>
      <c r="M418" s="71">
        <f>VLOOKUP(B418,'114+840'!$B$14:$AB$516,21,FALSE)</f>
        <v>2295</v>
      </c>
      <c r="N418" s="70">
        <f>VLOOKUP(B418,'114+840'!$B$15:$AB$516,5,FALSE)</f>
        <v>532</v>
      </c>
      <c r="O418" s="69">
        <f t="shared" si="81"/>
        <v>2295</v>
      </c>
      <c r="P418" s="69">
        <f>VLOOKUP(B418,'114+840'!$B$15:$AB$516,14,FALSE)</f>
        <v>-705</v>
      </c>
      <c r="Q418" s="67">
        <f>'114+840'!R419</f>
        <v>8</v>
      </c>
      <c r="R418" s="66">
        <f t="shared" si="86"/>
        <v>805</v>
      </c>
      <c r="S418" s="71">
        <f>VLOOKUP(B418,'114+840'!$B$14:$AB$516,22,FALSE)</f>
        <v>2684</v>
      </c>
      <c r="T418" s="70">
        <f>VLOOKUP(B418,'114+840'!$B$15:$AB$516,6,FALSE)</f>
        <v>633</v>
      </c>
      <c r="U418" s="69">
        <f t="shared" si="82"/>
        <v>2194</v>
      </c>
      <c r="V418" s="68">
        <f>VLOOKUP(B418,'114+840'!$B$15:$AB$516,15,FALSE)</f>
        <v>-806</v>
      </c>
      <c r="W418" s="67">
        <f>'114+840'!S419</f>
        <v>2</v>
      </c>
      <c r="X418" s="66">
        <f t="shared" si="87"/>
        <v>416</v>
      </c>
      <c r="Y418" s="65">
        <f t="shared" si="88"/>
        <v>-2</v>
      </c>
      <c r="Z418" s="64">
        <f t="shared" si="89"/>
        <v>0</v>
      </c>
      <c r="AA418" s="63">
        <f t="shared" si="90"/>
        <v>3.3879999999999999</v>
      </c>
      <c r="AB418" s="63">
        <f t="shared" si="91"/>
        <v>1.39</v>
      </c>
    </row>
    <row r="419" spans="2:28">
      <c r="B419" s="104">
        <f>'114+840'!B420</f>
        <v>45676</v>
      </c>
      <c r="C419" s="75">
        <f t="shared" si="83"/>
        <v>1</v>
      </c>
      <c r="D419" s="74">
        <f t="shared" si="84"/>
        <v>842</v>
      </c>
      <c r="E419" s="73">
        <f>VLOOKUP(B419,'114+840'!B420:AB420,3,FALSE)</f>
        <v>1987</v>
      </c>
      <c r="F419" s="70">
        <f t="shared" si="79"/>
        <v>2829</v>
      </c>
      <c r="G419" s="72">
        <f>VLOOKUP(B419,'114+840'!$B$15:$AB$516,20,FALSE)</f>
        <v>2489</v>
      </c>
      <c r="H419" s="72">
        <f>VLOOKUP(B419,'114+840'!$B$15:$AB$516,4,FALSE)</f>
        <v>520</v>
      </c>
      <c r="I419" s="69">
        <f t="shared" si="80"/>
        <v>2309</v>
      </c>
      <c r="J419" s="69">
        <f>VLOOKUP(B419,'114+840'!$B$15:$AB$516,13,FALSE)</f>
        <v>-691</v>
      </c>
      <c r="K419" s="67">
        <f>'114+840'!Q420</f>
        <v>7</v>
      </c>
      <c r="L419" s="66">
        <f t="shared" si="85"/>
        <v>611</v>
      </c>
      <c r="M419" s="71">
        <f>VLOOKUP(B419,'114+840'!$B$14:$AB$516,21,FALSE)</f>
        <v>2288</v>
      </c>
      <c r="N419" s="70">
        <f>VLOOKUP(B419,'114+840'!$B$15:$AB$516,5,FALSE)</f>
        <v>541</v>
      </c>
      <c r="O419" s="69">
        <f t="shared" si="81"/>
        <v>2288</v>
      </c>
      <c r="P419" s="69">
        <f>VLOOKUP(B419,'114+840'!$B$15:$AB$516,14,FALSE)</f>
        <v>-712</v>
      </c>
      <c r="Q419" s="67">
        <f>'114+840'!R420</f>
        <v>7</v>
      </c>
      <c r="R419" s="66">
        <f t="shared" si="86"/>
        <v>812</v>
      </c>
      <c r="S419" s="71">
        <f>VLOOKUP(B419,'114+840'!$B$14:$AB$516,22,FALSE)</f>
        <v>2682</v>
      </c>
      <c r="T419" s="70">
        <f>VLOOKUP(B419,'114+840'!$B$15:$AB$516,6,FALSE)</f>
        <v>637</v>
      </c>
      <c r="U419" s="69">
        <f t="shared" si="82"/>
        <v>2192</v>
      </c>
      <c r="V419" s="68">
        <f>VLOOKUP(B419,'114+840'!$B$15:$AB$516,15,FALSE)</f>
        <v>-808</v>
      </c>
      <c r="W419" s="67">
        <f>'114+840'!S420</f>
        <v>2</v>
      </c>
      <c r="X419" s="66">
        <f t="shared" si="87"/>
        <v>418</v>
      </c>
      <c r="Y419" s="65">
        <f t="shared" si="88"/>
        <v>-2</v>
      </c>
      <c r="Z419" s="64">
        <f t="shared" si="89"/>
        <v>0</v>
      </c>
      <c r="AA419" s="63">
        <f t="shared" si="90"/>
        <v>3.3879999999999999</v>
      </c>
      <c r="AB419" s="63">
        <f t="shared" si="91"/>
        <v>1.3759999999999999</v>
      </c>
    </row>
    <row r="420" spans="2:28">
      <c r="B420" s="104">
        <f>'114+840'!B421</f>
        <v>45677</v>
      </c>
      <c r="C420" s="75">
        <f t="shared" si="83"/>
        <v>1</v>
      </c>
      <c r="D420" s="74">
        <f t="shared" si="84"/>
        <v>842</v>
      </c>
      <c r="E420" s="73">
        <f>VLOOKUP(B420,'114+840'!B421:AB421,3,FALSE)</f>
        <v>1989</v>
      </c>
      <c r="F420" s="70">
        <f t="shared" si="79"/>
        <v>2831</v>
      </c>
      <c r="G420" s="72">
        <f>VLOOKUP(B420,'114+840'!$B$15:$AB$516,20,FALSE)</f>
        <v>2482</v>
      </c>
      <c r="H420" s="72">
        <f>VLOOKUP(B420,'114+840'!$B$15:$AB$516,4,FALSE)</f>
        <v>529</v>
      </c>
      <c r="I420" s="69">
        <f t="shared" si="80"/>
        <v>2302</v>
      </c>
      <c r="J420" s="69">
        <f>VLOOKUP(B420,'114+840'!$B$15:$AB$516,13,FALSE)</f>
        <v>-698</v>
      </c>
      <c r="K420" s="67">
        <f>'114+840'!Q421</f>
        <v>7</v>
      </c>
      <c r="L420" s="66">
        <f t="shared" si="85"/>
        <v>618</v>
      </c>
      <c r="M420" s="71">
        <f>VLOOKUP(B420,'114+840'!$B$14:$AB$516,21,FALSE)</f>
        <v>2281</v>
      </c>
      <c r="N420" s="70">
        <f>VLOOKUP(B420,'114+840'!$B$15:$AB$516,5,FALSE)</f>
        <v>550</v>
      </c>
      <c r="O420" s="69">
        <f t="shared" si="81"/>
        <v>2281</v>
      </c>
      <c r="P420" s="69">
        <f>VLOOKUP(B420,'114+840'!$B$15:$AB$516,14,FALSE)</f>
        <v>-719</v>
      </c>
      <c r="Q420" s="67">
        <f>'114+840'!R421</f>
        <v>7</v>
      </c>
      <c r="R420" s="66">
        <f t="shared" si="86"/>
        <v>819</v>
      </c>
      <c r="S420" s="71">
        <f>VLOOKUP(B420,'114+840'!$B$14:$AB$516,22,FALSE)</f>
        <v>2681</v>
      </c>
      <c r="T420" s="70">
        <f>VLOOKUP(B420,'114+840'!$B$15:$AB$516,6,FALSE)</f>
        <v>640</v>
      </c>
      <c r="U420" s="69">
        <f t="shared" si="82"/>
        <v>2191</v>
      </c>
      <c r="V420" s="68">
        <f>VLOOKUP(B420,'114+840'!$B$15:$AB$516,15,FALSE)</f>
        <v>-809</v>
      </c>
      <c r="W420" s="67">
        <f>'114+840'!S421</f>
        <v>1</v>
      </c>
      <c r="X420" s="66">
        <f t="shared" si="87"/>
        <v>419</v>
      </c>
      <c r="Y420" s="65">
        <f t="shared" si="88"/>
        <v>-1</v>
      </c>
      <c r="Z420" s="64">
        <f t="shared" si="89"/>
        <v>0</v>
      </c>
      <c r="AA420" s="63">
        <f t="shared" si="90"/>
        <v>3.3879999999999999</v>
      </c>
      <c r="AB420" s="63">
        <f t="shared" si="91"/>
        <v>1.3620000000000001</v>
      </c>
    </row>
    <row r="421" spans="2:28">
      <c r="B421" s="104">
        <f>'114+840'!B422</f>
        <v>45678</v>
      </c>
      <c r="C421" s="75">
        <f t="shared" si="83"/>
        <v>1</v>
      </c>
      <c r="D421" s="74">
        <f t="shared" si="84"/>
        <v>842</v>
      </c>
      <c r="E421" s="73">
        <f>VLOOKUP(B421,'114+840'!B422:AB422,3,FALSE)</f>
        <v>1991</v>
      </c>
      <c r="F421" s="70">
        <f t="shared" si="79"/>
        <v>2833</v>
      </c>
      <c r="G421" s="72">
        <f>VLOOKUP(B421,'114+840'!$B$15:$AB$516,20,FALSE)</f>
        <v>2476</v>
      </c>
      <c r="H421" s="72">
        <f>VLOOKUP(B421,'114+840'!$B$15:$AB$516,4,FALSE)</f>
        <v>537</v>
      </c>
      <c r="I421" s="69">
        <f t="shared" si="80"/>
        <v>2296</v>
      </c>
      <c r="J421" s="69">
        <f>VLOOKUP(B421,'114+840'!$B$15:$AB$516,13,FALSE)</f>
        <v>-704</v>
      </c>
      <c r="K421" s="67">
        <f>'114+840'!Q422</f>
        <v>6</v>
      </c>
      <c r="L421" s="66">
        <f t="shared" si="85"/>
        <v>624</v>
      </c>
      <c r="M421" s="71">
        <f>VLOOKUP(B421,'114+840'!$B$14:$AB$516,21,FALSE)</f>
        <v>2275</v>
      </c>
      <c r="N421" s="70">
        <f>VLOOKUP(B421,'114+840'!$B$15:$AB$516,5,FALSE)</f>
        <v>558</v>
      </c>
      <c r="O421" s="69">
        <f t="shared" si="81"/>
        <v>2275</v>
      </c>
      <c r="P421" s="69">
        <f>VLOOKUP(B421,'114+840'!$B$15:$AB$516,14,FALSE)</f>
        <v>-725</v>
      </c>
      <c r="Q421" s="67">
        <f>'114+840'!R422</f>
        <v>6</v>
      </c>
      <c r="R421" s="66">
        <f t="shared" si="86"/>
        <v>825</v>
      </c>
      <c r="S421" s="71">
        <f>VLOOKUP(B421,'114+840'!$B$14:$AB$516,22,FALSE)</f>
        <v>2679</v>
      </c>
      <c r="T421" s="70">
        <f>VLOOKUP(B421,'114+840'!$B$15:$AB$516,6,FALSE)</f>
        <v>644</v>
      </c>
      <c r="U421" s="69">
        <f t="shared" si="82"/>
        <v>2189</v>
      </c>
      <c r="V421" s="68">
        <f>VLOOKUP(B421,'114+840'!$B$15:$AB$516,15,FALSE)</f>
        <v>-811</v>
      </c>
      <c r="W421" s="67">
        <f>'114+840'!S422</f>
        <v>2</v>
      </c>
      <c r="X421" s="66">
        <f t="shared" si="87"/>
        <v>421</v>
      </c>
      <c r="Y421" s="65">
        <f t="shared" si="88"/>
        <v>-2</v>
      </c>
      <c r="Z421" s="64">
        <f t="shared" si="89"/>
        <v>0</v>
      </c>
      <c r="AA421" s="63">
        <f t="shared" si="90"/>
        <v>3.3879999999999999</v>
      </c>
      <c r="AB421" s="63">
        <f t="shared" si="91"/>
        <v>1.35</v>
      </c>
    </row>
    <row r="422" spans="2:28">
      <c r="B422" s="104">
        <f>'114+840'!B423</f>
        <v>45679</v>
      </c>
      <c r="C422" s="75">
        <f t="shared" si="83"/>
        <v>1</v>
      </c>
      <c r="D422" s="74">
        <f t="shared" si="84"/>
        <v>842</v>
      </c>
      <c r="E422" s="73">
        <f>VLOOKUP(B422,'114+840'!B423:AB423,3,FALSE)</f>
        <v>1993</v>
      </c>
      <c r="F422" s="70">
        <f t="shared" si="79"/>
        <v>2835</v>
      </c>
      <c r="G422" s="72">
        <f>VLOOKUP(B422,'114+840'!$B$15:$AB$516,20,FALSE)</f>
        <v>2471</v>
      </c>
      <c r="H422" s="72">
        <f>VLOOKUP(B422,'114+840'!$B$15:$AB$516,4,FALSE)</f>
        <v>544</v>
      </c>
      <c r="I422" s="69">
        <f t="shared" si="80"/>
        <v>2291</v>
      </c>
      <c r="J422" s="69">
        <f>VLOOKUP(B422,'114+840'!$B$15:$AB$516,13,FALSE)</f>
        <v>-709</v>
      </c>
      <c r="K422" s="67">
        <f>'114+840'!Q423</f>
        <v>5</v>
      </c>
      <c r="L422" s="66">
        <f t="shared" si="85"/>
        <v>629</v>
      </c>
      <c r="M422" s="71">
        <f>VLOOKUP(B422,'114+840'!$B$14:$AB$516,21,FALSE)</f>
        <v>2267</v>
      </c>
      <c r="N422" s="70">
        <f>VLOOKUP(B422,'114+840'!$B$15:$AB$516,5,FALSE)</f>
        <v>568</v>
      </c>
      <c r="O422" s="69">
        <f t="shared" si="81"/>
        <v>2267</v>
      </c>
      <c r="P422" s="69">
        <f>VLOOKUP(B422,'114+840'!$B$15:$AB$516,14,FALSE)</f>
        <v>-733</v>
      </c>
      <c r="Q422" s="67">
        <f>'114+840'!R423</f>
        <v>8</v>
      </c>
      <c r="R422" s="66">
        <f t="shared" si="86"/>
        <v>833</v>
      </c>
      <c r="S422" s="71">
        <f>VLOOKUP(B422,'114+840'!$B$14:$AB$516,22,FALSE)</f>
        <v>2678</v>
      </c>
      <c r="T422" s="70">
        <f>VLOOKUP(B422,'114+840'!$B$15:$AB$516,6,FALSE)</f>
        <v>647</v>
      </c>
      <c r="U422" s="69">
        <f t="shared" si="82"/>
        <v>2188</v>
      </c>
      <c r="V422" s="68">
        <f>VLOOKUP(B422,'114+840'!$B$15:$AB$516,15,FALSE)</f>
        <v>-812</v>
      </c>
      <c r="W422" s="67">
        <f>'114+840'!S423</f>
        <v>1</v>
      </c>
      <c r="X422" s="66">
        <f t="shared" si="87"/>
        <v>422</v>
      </c>
      <c r="Y422" s="65">
        <f t="shared" si="88"/>
        <v>-1</v>
      </c>
      <c r="Z422" s="64">
        <f t="shared" si="89"/>
        <v>0</v>
      </c>
      <c r="AA422" s="63">
        <f t="shared" si="90"/>
        <v>3.3879999999999999</v>
      </c>
      <c r="AB422" s="63">
        <f t="shared" si="91"/>
        <v>1.3340000000000001</v>
      </c>
    </row>
    <row r="423" spans="2:28">
      <c r="B423" s="104">
        <f>'114+840'!B424</f>
        <v>45680</v>
      </c>
      <c r="C423" s="75">
        <f t="shared" si="83"/>
        <v>1</v>
      </c>
      <c r="D423" s="74">
        <f t="shared" si="84"/>
        <v>842</v>
      </c>
      <c r="E423" s="73">
        <f>VLOOKUP(B423,'114+840'!B424:AB424,3,FALSE)</f>
        <v>1995</v>
      </c>
      <c r="F423" s="70">
        <f t="shared" si="79"/>
        <v>2837</v>
      </c>
      <c r="G423" s="72">
        <f>VLOOKUP(B423,'114+840'!$B$15:$AB$516,20,FALSE)</f>
        <v>2466</v>
      </c>
      <c r="H423" s="72">
        <f>VLOOKUP(B423,'114+840'!$B$15:$AB$516,4,FALSE)</f>
        <v>551</v>
      </c>
      <c r="I423" s="69">
        <f t="shared" si="80"/>
        <v>2286</v>
      </c>
      <c r="J423" s="69">
        <f>VLOOKUP(B423,'114+840'!$B$15:$AB$516,13,FALSE)</f>
        <v>-714</v>
      </c>
      <c r="K423" s="67">
        <f>'114+840'!Q424</f>
        <v>5</v>
      </c>
      <c r="L423" s="66">
        <f t="shared" si="85"/>
        <v>634</v>
      </c>
      <c r="M423" s="71">
        <f>VLOOKUP(B423,'114+840'!$B$14:$AB$516,21,FALSE)</f>
        <v>2260</v>
      </c>
      <c r="N423" s="70">
        <f>VLOOKUP(B423,'114+840'!$B$15:$AB$516,5,FALSE)</f>
        <v>577</v>
      </c>
      <c r="O423" s="69">
        <f t="shared" si="81"/>
        <v>2260</v>
      </c>
      <c r="P423" s="69">
        <f>VLOOKUP(B423,'114+840'!$B$15:$AB$516,14,FALSE)</f>
        <v>-740</v>
      </c>
      <c r="Q423" s="67">
        <f>'114+840'!R424</f>
        <v>7</v>
      </c>
      <c r="R423" s="66">
        <f t="shared" si="86"/>
        <v>840</v>
      </c>
      <c r="S423" s="71">
        <f>VLOOKUP(B423,'114+840'!$B$14:$AB$516,22,FALSE)</f>
        <v>2677</v>
      </c>
      <c r="T423" s="70">
        <f>VLOOKUP(B423,'114+840'!$B$15:$AB$516,6,FALSE)</f>
        <v>650</v>
      </c>
      <c r="U423" s="69">
        <f t="shared" si="82"/>
        <v>2187</v>
      </c>
      <c r="V423" s="68">
        <f>VLOOKUP(B423,'114+840'!$B$15:$AB$516,15,FALSE)</f>
        <v>-813</v>
      </c>
      <c r="W423" s="67">
        <f>'114+840'!S424</f>
        <v>1</v>
      </c>
      <c r="X423" s="66">
        <f t="shared" si="87"/>
        <v>423</v>
      </c>
      <c r="Y423" s="65">
        <f t="shared" si="88"/>
        <v>-1</v>
      </c>
      <c r="Z423" s="64">
        <f t="shared" si="89"/>
        <v>0</v>
      </c>
      <c r="AA423" s="63">
        <f t="shared" si="90"/>
        <v>3.3879999999999999</v>
      </c>
      <c r="AB423" s="63">
        <f t="shared" si="91"/>
        <v>1.32</v>
      </c>
    </row>
    <row r="424" spans="2:28">
      <c r="B424" s="104">
        <f>'114+840'!B425</f>
        <v>45681</v>
      </c>
      <c r="C424" s="75">
        <f t="shared" si="83"/>
        <v>1</v>
      </c>
      <c r="D424" s="74">
        <f t="shared" si="84"/>
        <v>842</v>
      </c>
      <c r="E424" s="73">
        <f>VLOOKUP(B424,'114+840'!B425:AB425,3,FALSE)</f>
        <v>1997</v>
      </c>
      <c r="F424" s="70">
        <f t="shared" si="79"/>
        <v>2839</v>
      </c>
      <c r="G424" s="72">
        <f>VLOOKUP(B424,'114+840'!$B$15:$AB$516,20,FALSE)</f>
        <v>2462</v>
      </c>
      <c r="H424" s="72">
        <f>VLOOKUP(B424,'114+840'!$B$15:$AB$516,4,FALSE)</f>
        <v>557</v>
      </c>
      <c r="I424" s="69">
        <f t="shared" si="80"/>
        <v>2282</v>
      </c>
      <c r="J424" s="69">
        <f>VLOOKUP(B424,'114+840'!$B$15:$AB$516,13,FALSE)</f>
        <v>-718</v>
      </c>
      <c r="K424" s="67">
        <f>'114+840'!Q425</f>
        <v>4</v>
      </c>
      <c r="L424" s="66">
        <f t="shared" si="85"/>
        <v>638</v>
      </c>
      <c r="M424" s="71">
        <f>VLOOKUP(B424,'114+840'!$B$14:$AB$516,21,FALSE)</f>
        <v>2251</v>
      </c>
      <c r="N424" s="70">
        <f>VLOOKUP(B424,'114+840'!$B$15:$AB$516,5,FALSE)</f>
        <v>588</v>
      </c>
      <c r="O424" s="69">
        <f t="shared" si="81"/>
        <v>2251</v>
      </c>
      <c r="P424" s="69">
        <f>VLOOKUP(B424,'114+840'!$B$15:$AB$516,14,FALSE)</f>
        <v>-749</v>
      </c>
      <c r="Q424" s="67">
        <f>'114+840'!R425</f>
        <v>9</v>
      </c>
      <c r="R424" s="66">
        <f t="shared" si="86"/>
        <v>849</v>
      </c>
      <c r="S424" s="71">
        <f>VLOOKUP(B424,'114+840'!$B$14:$AB$516,22,FALSE)</f>
        <v>2674</v>
      </c>
      <c r="T424" s="70">
        <f>VLOOKUP(B424,'114+840'!$B$15:$AB$516,6,FALSE)</f>
        <v>655</v>
      </c>
      <c r="U424" s="69">
        <f t="shared" si="82"/>
        <v>2184</v>
      </c>
      <c r="V424" s="68">
        <f>VLOOKUP(B424,'114+840'!$B$15:$AB$516,15,FALSE)</f>
        <v>-816</v>
      </c>
      <c r="W424" s="67">
        <f>'114+840'!S425</f>
        <v>3</v>
      </c>
      <c r="X424" s="66">
        <f t="shared" si="87"/>
        <v>426</v>
      </c>
      <c r="Y424" s="65">
        <f t="shared" si="88"/>
        <v>-3</v>
      </c>
      <c r="Z424" s="64">
        <f t="shared" si="89"/>
        <v>0</v>
      </c>
      <c r="AA424" s="63">
        <f t="shared" si="90"/>
        <v>3.3879999999999999</v>
      </c>
      <c r="AB424" s="63">
        <f t="shared" si="91"/>
        <v>1.302</v>
      </c>
    </row>
    <row r="425" spans="2:28">
      <c r="B425" s="104">
        <f>'114+840'!B426</f>
        <v>45682</v>
      </c>
      <c r="C425" s="75">
        <f t="shared" si="83"/>
        <v>1</v>
      </c>
      <c r="D425" s="74">
        <f t="shared" si="84"/>
        <v>842</v>
      </c>
      <c r="E425" s="73">
        <f>VLOOKUP(B425,'114+840'!B426:AB426,3,FALSE)</f>
        <v>1999</v>
      </c>
      <c r="F425" s="70">
        <f t="shared" si="79"/>
        <v>2841</v>
      </c>
      <c r="G425" s="72">
        <f>VLOOKUP(B425,'114+840'!$B$15:$AB$516,20,FALSE)</f>
        <v>2459</v>
      </c>
      <c r="H425" s="72">
        <f>VLOOKUP(B425,'114+840'!$B$15:$AB$516,4,FALSE)</f>
        <v>562</v>
      </c>
      <c r="I425" s="69">
        <f t="shared" si="80"/>
        <v>2279</v>
      </c>
      <c r="J425" s="69">
        <f>VLOOKUP(B425,'114+840'!$B$15:$AB$516,13,FALSE)</f>
        <v>-721</v>
      </c>
      <c r="K425" s="67">
        <f>'114+840'!Q426</f>
        <v>3</v>
      </c>
      <c r="L425" s="66">
        <f t="shared" si="85"/>
        <v>641</v>
      </c>
      <c r="M425" s="71">
        <f>VLOOKUP(B425,'114+840'!$B$14:$AB$516,21,FALSE)</f>
        <v>2243</v>
      </c>
      <c r="N425" s="70">
        <f>VLOOKUP(B425,'114+840'!$B$15:$AB$516,5,FALSE)</f>
        <v>598</v>
      </c>
      <c r="O425" s="69">
        <f t="shared" si="81"/>
        <v>2243</v>
      </c>
      <c r="P425" s="69">
        <f>VLOOKUP(B425,'114+840'!$B$15:$AB$516,14,FALSE)</f>
        <v>-757</v>
      </c>
      <c r="Q425" s="67">
        <f>'114+840'!R426</f>
        <v>8</v>
      </c>
      <c r="R425" s="66">
        <f t="shared" si="86"/>
        <v>857</v>
      </c>
      <c r="S425" s="71">
        <f>VLOOKUP(B425,'114+840'!$B$14:$AB$516,22,FALSE)</f>
        <v>2673</v>
      </c>
      <c r="T425" s="70">
        <f>VLOOKUP(B425,'114+840'!$B$15:$AB$516,6,FALSE)</f>
        <v>658</v>
      </c>
      <c r="U425" s="69">
        <f t="shared" si="82"/>
        <v>2183</v>
      </c>
      <c r="V425" s="68">
        <f>VLOOKUP(B425,'114+840'!$B$15:$AB$516,15,FALSE)</f>
        <v>-817</v>
      </c>
      <c r="W425" s="67">
        <f>'114+840'!S426</f>
        <v>1</v>
      </c>
      <c r="X425" s="66">
        <f t="shared" si="87"/>
        <v>427</v>
      </c>
      <c r="Y425" s="65">
        <f t="shared" si="88"/>
        <v>-1</v>
      </c>
      <c r="Z425" s="64">
        <f t="shared" si="89"/>
        <v>0</v>
      </c>
      <c r="AA425" s="63">
        <f t="shared" si="90"/>
        <v>3.3879999999999999</v>
      </c>
      <c r="AB425" s="63">
        <f t="shared" si="91"/>
        <v>1.286</v>
      </c>
    </row>
    <row r="426" spans="2:28">
      <c r="B426" s="104">
        <f>'114+840'!B427</f>
        <v>45683</v>
      </c>
      <c r="C426" s="75">
        <f t="shared" si="83"/>
        <v>1</v>
      </c>
      <c r="D426" s="74">
        <f t="shared" si="84"/>
        <v>842</v>
      </c>
      <c r="E426" s="73">
        <f>VLOOKUP(B426,'114+840'!B427:AB427,3,FALSE)</f>
        <v>2001</v>
      </c>
      <c r="F426" s="70">
        <f t="shared" si="79"/>
        <v>2843</v>
      </c>
      <c r="G426" s="72">
        <f>VLOOKUP(B426,'114+840'!$B$15:$AB$516,20,FALSE)</f>
        <v>2457</v>
      </c>
      <c r="H426" s="72">
        <f>VLOOKUP(B426,'114+840'!$B$15:$AB$516,4,FALSE)</f>
        <v>566</v>
      </c>
      <c r="I426" s="69">
        <f t="shared" si="80"/>
        <v>2277</v>
      </c>
      <c r="J426" s="69">
        <f>VLOOKUP(B426,'114+840'!$B$15:$AB$516,13,FALSE)</f>
        <v>-723</v>
      </c>
      <c r="K426" s="67">
        <f>'114+840'!Q427</f>
        <v>2</v>
      </c>
      <c r="L426" s="66">
        <f t="shared" si="85"/>
        <v>643</v>
      </c>
      <c r="M426" s="71">
        <f>VLOOKUP(B426,'114+840'!$B$14:$AB$516,21,FALSE)</f>
        <v>2235</v>
      </c>
      <c r="N426" s="70">
        <f>VLOOKUP(B426,'114+840'!$B$15:$AB$516,5,FALSE)</f>
        <v>608</v>
      </c>
      <c r="O426" s="69">
        <f t="shared" si="81"/>
        <v>2235</v>
      </c>
      <c r="P426" s="69">
        <f>VLOOKUP(B426,'114+840'!$B$15:$AB$516,14,FALSE)</f>
        <v>-765</v>
      </c>
      <c r="Q426" s="67">
        <f>'114+840'!R427</f>
        <v>8</v>
      </c>
      <c r="R426" s="66">
        <f t="shared" si="86"/>
        <v>865</v>
      </c>
      <c r="S426" s="71">
        <f>VLOOKUP(B426,'114+840'!$B$14:$AB$516,22,FALSE)</f>
        <v>2671</v>
      </c>
      <c r="T426" s="70">
        <f>VLOOKUP(B426,'114+840'!$B$15:$AB$516,6,FALSE)</f>
        <v>662</v>
      </c>
      <c r="U426" s="69">
        <f t="shared" si="82"/>
        <v>2181</v>
      </c>
      <c r="V426" s="68">
        <f>VLOOKUP(B426,'114+840'!$B$15:$AB$516,15,FALSE)</f>
        <v>-819</v>
      </c>
      <c r="W426" s="67">
        <f>'114+840'!S427</f>
        <v>2</v>
      </c>
      <c r="X426" s="66">
        <f t="shared" si="87"/>
        <v>429</v>
      </c>
      <c r="Y426" s="65">
        <f t="shared" si="88"/>
        <v>-2</v>
      </c>
      <c r="Z426" s="64">
        <f t="shared" si="89"/>
        <v>0</v>
      </c>
      <c r="AA426" s="63">
        <f t="shared" si="90"/>
        <v>3.3879999999999999</v>
      </c>
      <c r="AB426" s="63">
        <f t="shared" si="91"/>
        <v>1.27</v>
      </c>
    </row>
    <row r="427" spans="2:28">
      <c r="B427" s="104">
        <f>'114+840'!B428</f>
        <v>45684</v>
      </c>
      <c r="C427" s="75">
        <f t="shared" si="83"/>
        <v>1</v>
      </c>
      <c r="D427" s="74">
        <f t="shared" si="84"/>
        <v>842</v>
      </c>
      <c r="E427" s="73">
        <f>VLOOKUP(B427,'114+840'!B428:AB428,3,FALSE)</f>
        <v>2003</v>
      </c>
      <c r="F427" s="70">
        <f t="shared" si="79"/>
        <v>2845</v>
      </c>
      <c r="G427" s="72">
        <f>VLOOKUP(B427,'114+840'!$B$15:$AB$516,20,FALSE)</f>
        <v>2453</v>
      </c>
      <c r="H427" s="72">
        <f>VLOOKUP(B427,'114+840'!$B$15:$AB$516,4,FALSE)</f>
        <v>572</v>
      </c>
      <c r="I427" s="69">
        <f t="shared" si="80"/>
        <v>2273</v>
      </c>
      <c r="J427" s="69">
        <f>VLOOKUP(B427,'114+840'!$B$15:$AB$516,13,FALSE)</f>
        <v>-727</v>
      </c>
      <c r="K427" s="67">
        <f>'114+840'!Q428</f>
        <v>4</v>
      </c>
      <c r="L427" s="66">
        <f t="shared" si="85"/>
        <v>647</v>
      </c>
      <c r="M427" s="71">
        <f>VLOOKUP(B427,'114+840'!$B$14:$AB$516,21,FALSE)</f>
        <v>2226</v>
      </c>
      <c r="N427" s="70">
        <f>VLOOKUP(B427,'114+840'!$B$15:$AB$516,5,FALSE)</f>
        <v>619</v>
      </c>
      <c r="O427" s="69">
        <f t="shared" si="81"/>
        <v>2226</v>
      </c>
      <c r="P427" s="69">
        <f>VLOOKUP(B427,'114+840'!$B$15:$AB$516,14,FALSE)</f>
        <v>-774</v>
      </c>
      <c r="Q427" s="67">
        <f>'114+840'!R428</f>
        <v>9</v>
      </c>
      <c r="R427" s="66">
        <f t="shared" si="86"/>
        <v>874</v>
      </c>
      <c r="S427" s="71">
        <f>VLOOKUP(B427,'114+840'!$B$14:$AB$516,22,FALSE)</f>
        <v>2670</v>
      </c>
      <c r="T427" s="70">
        <f>VLOOKUP(B427,'114+840'!$B$15:$AB$516,6,FALSE)</f>
        <v>665</v>
      </c>
      <c r="U427" s="69">
        <f t="shared" si="82"/>
        <v>2180</v>
      </c>
      <c r="V427" s="68">
        <f>VLOOKUP(B427,'114+840'!$B$15:$AB$516,15,FALSE)</f>
        <v>-820</v>
      </c>
      <c r="W427" s="67">
        <f>'114+840'!S428</f>
        <v>1</v>
      </c>
      <c r="X427" s="66">
        <f t="shared" si="87"/>
        <v>430</v>
      </c>
      <c r="Y427" s="65">
        <f t="shared" si="88"/>
        <v>-1</v>
      </c>
      <c r="Z427" s="64">
        <f t="shared" si="89"/>
        <v>0</v>
      </c>
      <c r="AA427" s="63">
        <f t="shared" si="90"/>
        <v>3.3879999999999999</v>
      </c>
      <c r="AB427" s="63">
        <f t="shared" si="91"/>
        <v>1.252</v>
      </c>
    </row>
    <row r="428" spans="2:28">
      <c r="B428" s="104">
        <f>'114+840'!B429</f>
        <v>45685</v>
      </c>
      <c r="C428" s="75">
        <f t="shared" si="83"/>
        <v>1</v>
      </c>
      <c r="D428" s="74">
        <f t="shared" si="84"/>
        <v>842</v>
      </c>
      <c r="E428" s="73">
        <f>VLOOKUP(B428,'114+840'!B429:AB429,3,FALSE)</f>
        <v>2005</v>
      </c>
      <c r="F428" s="70">
        <f t="shared" si="79"/>
        <v>2847</v>
      </c>
      <c r="G428" s="72">
        <f>VLOOKUP(B428,'114+840'!$B$15:$AB$516,20,FALSE)</f>
        <v>2450</v>
      </c>
      <c r="H428" s="72">
        <f>VLOOKUP(B428,'114+840'!$B$15:$AB$516,4,FALSE)</f>
        <v>577</v>
      </c>
      <c r="I428" s="69">
        <f t="shared" si="80"/>
        <v>2270</v>
      </c>
      <c r="J428" s="69">
        <f>VLOOKUP(B428,'114+840'!$B$15:$AB$516,13,FALSE)</f>
        <v>-730</v>
      </c>
      <c r="K428" s="67">
        <f>'114+840'!Q429</f>
        <v>3</v>
      </c>
      <c r="L428" s="66">
        <f t="shared" si="85"/>
        <v>650</v>
      </c>
      <c r="M428" s="71">
        <f>VLOOKUP(B428,'114+840'!$B$14:$AB$516,21,FALSE)</f>
        <v>2218</v>
      </c>
      <c r="N428" s="70">
        <f>VLOOKUP(B428,'114+840'!$B$15:$AB$516,5,FALSE)</f>
        <v>629</v>
      </c>
      <c r="O428" s="69">
        <f t="shared" si="81"/>
        <v>2218</v>
      </c>
      <c r="P428" s="69">
        <f>VLOOKUP(B428,'114+840'!$B$15:$AB$516,14,FALSE)</f>
        <v>-782</v>
      </c>
      <c r="Q428" s="67">
        <f>'114+840'!R429</f>
        <v>8</v>
      </c>
      <c r="R428" s="66">
        <f t="shared" si="86"/>
        <v>882</v>
      </c>
      <c r="S428" s="71">
        <f>VLOOKUP(B428,'114+840'!$B$14:$AB$516,22,FALSE)</f>
        <v>2668</v>
      </c>
      <c r="T428" s="70">
        <f>VLOOKUP(B428,'114+840'!$B$15:$AB$516,6,FALSE)</f>
        <v>669</v>
      </c>
      <c r="U428" s="69">
        <f t="shared" si="82"/>
        <v>2178</v>
      </c>
      <c r="V428" s="68">
        <f>VLOOKUP(B428,'114+840'!$B$15:$AB$516,15,FALSE)</f>
        <v>-822</v>
      </c>
      <c r="W428" s="67">
        <f>'114+840'!S429</f>
        <v>2</v>
      </c>
      <c r="X428" s="66">
        <f t="shared" si="87"/>
        <v>432</v>
      </c>
      <c r="Y428" s="65">
        <f t="shared" si="88"/>
        <v>-2</v>
      </c>
      <c r="Z428" s="64">
        <f t="shared" si="89"/>
        <v>0</v>
      </c>
      <c r="AA428" s="63">
        <f t="shared" si="90"/>
        <v>3.3879999999999999</v>
      </c>
      <c r="AB428" s="63">
        <f t="shared" si="91"/>
        <v>1.236</v>
      </c>
    </row>
    <row r="429" spans="2:28">
      <c r="B429" s="104">
        <f>'114+840'!B430</f>
        <v>45686</v>
      </c>
      <c r="C429" s="75">
        <f t="shared" si="83"/>
        <v>1</v>
      </c>
      <c r="D429" s="74">
        <f t="shared" si="84"/>
        <v>842</v>
      </c>
      <c r="E429" s="73">
        <f>VLOOKUP(B429,'114+840'!B430:AB430,3,FALSE)</f>
        <v>2007</v>
      </c>
      <c r="F429" s="70">
        <f t="shared" si="79"/>
        <v>2849</v>
      </c>
      <c r="G429" s="72">
        <f>VLOOKUP(B429,'114+840'!$B$15:$AB$516,20,FALSE)</f>
        <v>2446</v>
      </c>
      <c r="H429" s="72">
        <f>VLOOKUP(B429,'114+840'!$B$15:$AB$516,4,FALSE)</f>
        <v>583</v>
      </c>
      <c r="I429" s="69">
        <f t="shared" si="80"/>
        <v>2266</v>
      </c>
      <c r="J429" s="69">
        <f>VLOOKUP(B429,'114+840'!$B$15:$AB$516,13,FALSE)</f>
        <v>-734</v>
      </c>
      <c r="K429" s="67">
        <f>'114+840'!Q430</f>
        <v>4</v>
      </c>
      <c r="L429" s="66">
        <f t="shared" si="85"/>
        <v>654</v>
      </c>
      <c r="M429" s="71">
        <f>VLOOKUP(B429,'114+840'!$B$14:$AB$516,21,FALSE)</f>
        <v>2209</v>
      </c>
      <c r="N429" s="70">
        <f>VLOOKUP(B429,'114+840'!$B$15:$AB$516,5,FALSE)</f>
        <v>640</v>
      </c>
      <c r="O429" s="69">
        <f t="shared" si="81"/>
        <v>2209</v>
      </c>
      <c r="P429" s="69">
        <f>VLOOKUP(B429,'114+840'!$B$15:$AB$516,14,FALSE)</f>
        <v>-791</v>
      </c>
      <c r="Q429" s="67">
        <f>'114+840'!R430</f>
        <v>9</v>
      </c>
      <c r="R429" s="66">
        <f t="shared" si="86"/>
        <v>891</v>
      </c>
      <c r="S429" s="71">
        <f>VLOOKUP(B429,'114+840'!$B$14:$AB$516,22,FALSE)</f>
        <v>2666</v>
      </c>
      <c r="T429" s="70">
        <f>VLOOKUP(B429,'114+840'!$B$15:$AB$516,6,FALSE)</f>
        <v>673</v>
      </c>
      <c r="U429" s="69">
        <f t="shared" si="82"/>
        <v>2176</v>
      </c>
      <c r="V429" s="68">
        <f>VLOOKUP(B429,'114+840'!$B$15:$AB$516,15,FALSE)</f>
        <v>-824</v>
      </c>
      <c r="W429" s="67">
        <f>'114+840'!S430</f>
        <v>2</v>
      </c>
      <c r="X429" s="66">
        <f t="shared" si="87"/>
        <v>434</v>
      </c>
      <c r="Y429" s="65">
        <f t="shared" si="88"/>
        <v>-2</v>
      </c>
      <c r="Z429" s="64">
        <f t="shared" si="89"/>
        <v>0</v>
      </c>
      <c r="AA429" s="63">
        <f t="shared" si="90"/>
        <v>3.3879999999999999</v>
      </c>
      <c r="AB429" s="63">
        <f t="shared" si="91"/>
        <v>1.218</v>
      </c>
    </row>
    <row r="430" spans="2:28">
      <c r="B430" s="104">
        <f>'114+840'!B431</f>
        <v>45687</v>
      </c>
      <c r="C430" s="75">
        <f t="shared" si="83"/>
        <v>1</v>
      </c>
      <c r="D430" s="74">
        <f t="shared" si="84"/>
        <v>842</v>
      </c>
      <c r="E430" s="73">
        <f>VLOOKUP(B430,'114+840'!B431:AB431,3,FALSE)</f>
        <v>2009</v>
      </c>
      <c r="F430" s="70">
        <f t="shared" si="79"/>
        <v>2851</v>
      </c>
      <c r="G430" s="72">
        <f>VLOOKUP(B430,'114+840'!$B$15:$AB$516,20,FALSE)</f>
        <v>2439</v>
      </c>
      <c r="H430" s="72">
        <f>VLOOKUP(B430,'114+840'!$B$15:$AB$516,4,FALSE)</f>
        <v>592</v>
      </c>
      <c r="I430" s="69">
        <f t="shared" si="80"/>
        <v>2259</v>
      </c>
      <c r="J430" s="69">
        <f>VLOOKUP(B430,'114+840'!$B$15:$AB$516,13,FALSE)</f>
        <v>-741</v>
      </c>
      <c r="K430" s="67">
        <f>'114+840'!Q431</f>
        <v>7</v>
      </c>
      <c r="L430" s="66">
        <f t="shared" si="85"/>
        <v>661</v>
      </c>
      <c r="M430" s="71">
        <f>VLOOKUP(B430,'114+840'!$B$14:$AB$516,21,FALSE)</f>
        <v>2201</v>
      </c>
      <c r="N430" s="70">
        <f>VLOOKUP(B430,'114+840'!$B$15:$AB$516,5,FALSE)</f>
        <v>650</v>
      </c>
      <c r="O430" s="69">
        <f t="shared" si="81"/>
        <v>2201</v>
      </c>
      <c r="P430" s="69">
        <f>VLOOKUP(B430,'114+840'!$B$15:$AB$516,14,FALSE)</f>
        <v>-799</v>
      </c>
      <c r="Q430" s="67">
        <f>'114+840'!R431</f>
        <v>8</v>
      </c>
      <c r="R430" s="66">
        <f t="shared" si="86"/>
        <v>899</v>
      </c>
      <c r="S430" s="71">
        <f>VLOOKUP(B430,'114+840'!$B$14:$AB$516,22,FALSE)</f>
        <v>2663</v>
      </c>
      <c r="T430" s="70">
        <f>VLOOKUP(B430,'114+840'!$B$15:$AB$516,6,FALSE)</f>
        <v>678</v>
      </c>
      <c r="U430" s="69">
        <f t="shared" si="82"/>
        <v>2173</v>
      </c>
      <c r="V430" s="68">
        <f>VLOOKUP(B430,'114+840'!$B$15:$AB$516,15,FALSE)</f>
        <v>-827</v>
      </c>
      <c r="W430" s="67">
        <f>'114+840'!S431</f>
        <v>3</v>
      </c>
      <c r="X430" s="66">
        <f t="shared" si="87"/>
        <v>437</v>
      </c>
      <c r="Y430" s="65">
        <f t="shared" si="88"/>
        <v>-3</v>
      </c>
      <c r="Z430" s="64">
        <f t="shared" si="89"/>
        <v>0</v>
      </c>
      <c r="AA430" s="63">
        <f t="shared" si="90"/>
        <v>3.3879999999999999</v>
      </c>
      <c r="AB430" s="63">
        <f t="shared" si="91"/>
        <v>1.202</v>
      </c>
    </row>
    <row r="431" spans="2:28">
      <c r="B431" s="104">
        <f>'114+840'!B432</f>
        <v>45688</v>
      </c>
      <c r="C431" s="75">
        <f t="shared" si="83"/>
        <v>1</v>
      </c>
      <c r="D431" s="74">
        <f t="shared" si="84"/>
        <v>842</v>
      </c>
      <c r="E431" s="73">
        <f>VLOOKUP(B431,'114+840'!B432:AB432,3,FALSE)</f>
        <v>2011</v>
      </c>
      <c r="F431" s="70">
        <f t="shared" si="79"/>
        <v>2853</v>
      </c>
      <c r="G431" s="72">
        <f>VLOOKUP(B431,'114+840'!$B$15:$AB$516,20,FALSE)</f>
        <v>2434</v>
      </c>
      <c r="H431" s="72">
        <f>VLOOKUP(B431,'114+840'!$B$15:$AB$516,4,FALSE)</f>
        <v>599</v>
      </c>
      <c r="I431" s="69">
        <f t="shared" si="80"/>
        <v>2254</v>
      </c>
      <c r="J431" s="69">
        <f>VLOOKUP(B431,'114+840'!$B$15:$AB$516,13,FALSE)</f>
        <v>-746</v>
      </c>
      <c r="K431" s="67">
        <f>'114+840'!Q432</f>
        <v>5</v>
      </c>
      <c r="L431" s="66">
        <f t="shared" si="85"/>
        <v>666</v>
      </c>
      <c r="M431" s="71">
        <f>VLOOKUP(B431,'114+840'!$B$14:$AB$516,21,FALSE)</f>
        <v>2192</v>
      </c>
      <c r="N431" s="70">
        <f>VLOOKUP(B431,'114+840'!$B$15:$AB$516,5,FALSE)</f>
        <v>661</v>
      </c>
      <c r="O431" s="69">
        <f t="shared" si="81"/>
        <v>2192</v>
      </c>
      <c r="P431" s="69">
        <f>VLOOKUP(B431,'114+840'!$B$15:$AB$516,14,FALSE)</f>
        <v>-808</v>
      </c>
      <c r="Q431" s="67">
        <f>'114+840'!R432</f>
        <v>9</v>
      </c>
      <c r="R431" s="66">
        <f t="shared" si="86"/>
        <v>908</v>
      </c>
      <c r="S431" s="71">
        <f>VLOOKUP(B431,'114+840'!$B$14:$AB$516,22,FALSE)</f>
        <v>2662</v>
      </c>
      <c r="T431" s="70">
        <f>VLOOKUP(B431,'114+840'!$B$15:$AB$516,6,FALSE)</f>
        <v>681</v>
      </c>
      <c r="U431" s="69">
        <f t="shared" si="82"/>
        <v>2172</v>
      </c>
      <c r="V431" s="68">
        <f>VLOOKUP(B431,'114+840'!$B$15:$AB$516,15,FALSE)</f>
        <v>-828</v>
      </c>
      <c r="W431" s="67">
        <f>'114+840'!S432</f>
        <v>1</v>
      </c>
      <c r="X431" s="66">
        <f t="shared" si="87"/>
        <v>438</v>
      </c>
      <c r="Y431" s="65">
        <f t="shared" si="88"/>
        <v>-1</v>
      </c>
      <c r="Z431" s="64">
        <f t="shared" si="89"/>
        <v>0</v>
      </c>
      <c r="AA431" s="63">
        <f t="shared" si="90"/>
        <v>3.3879999999999999</v>
      </c>
      <c r="AB431" s="63">
        <f t="shared" si="91"/>
        <v>1.1839999999999999</v>
      </c>
    </row>
    <row r="432" spans="2:28">
      <c r="B432" s="104">
        <f>'114+840'!B433</f>
        <v>45689</v>
      </c>
      <c r="C432" s="75">
        <f t="shared" si="83"/>
        <v>1</v>
      </c>
      <c r="D432" s="74">
        <f t="shared" si="84"/>
        <v>842</v>
      </c>
      <c r="E432" s="73">
        <f>VLOOKUP(B432,'114+840'!B433:AB433,3,FALSE)</f>
        <v>2013</v>
      </c>
      <c r="F432" s="70">
        <f t="shared" si="79"/>
        <v>2855</v>
      </c>
      <c r="G432" s="72">
        <f>VLOOKUP(B432,'114+840'!$B$15:$AB$516,20,FALSE)</f>
        <v>2429</v>
      </c>
      <c r="H432" s="72">
        <f>VLOOKUP(B432,'114+840'!$B$15:$AB$516,4,FALSE)</f>
        <v>606</v>
      </c>
      <c r="I432" s="69">
        <f t="shared" si="80"/>
        <v>2249</v>
      </c>
      <c r="J432" s="69">
        <f>VLOOKUP(B432,'114+840'!$B$15:$AB$516,13,FALSE)</f>
        <v>-751</v>
      </c>
      <c r="K432" s="67">
        <f>'114+840'!Q433</f>
        <v>5</v>
      </c>
      <c r="L432" s="66">
        <f t="shared" si="85"/>
        <v>671</v>
      </c>
      <c r="M432" s="71">
        <f>VLOOKUP(B432,'114+840'!$B$14:$AB$516,21,FALSE)</f>
        <v>2184</v>
      </c>
      <c r="N432" s="70">
        <f>VLOOKUP(B432,'114+840'!$B$15:$AB$516,5,FALSE)</f>
        <v>671</v>
      </c>
      <c r="O432" s="69">
        <f t="shared" si="81"/>
        <v>2184</v>
      </c>
      <c r="P432" s="69">
        <f>VLOOKUP(B432,'114+840'!$B$15:$AB$516,14,FALSE)</f>
        <v>-816</v>
      </c>
      <c r="Q432" s="67">
        <f>'114+840'!R433</f>
        <v>8</v>
      </c>
      <c r="R432" s="66">
        <f t="shared" si="86"/>
        <v>916</v>
      </c>
      <c r="S432" s="71">
        <f>VLOOKUP(B432,'114+840'!$B$14:$AB$516,22,FALSE)</f>
        <v>2660</v>
      </c>
      <c r="T432" s="70">
        <f>VLOOKUP(B432,'114+840'!$B$15:$AB$516,6,FALSE)</f>
        <v>685</v>
      </c>
      <c r="U432" s="69">
        <f t="shared" si="82"/>
        <v>2170</v>
      </c>
      <c r="V432" s="68">
        <f>VLOOKUP(B432,'114+840'!$B$15:$AB$516,15,FALSE)</f>
        <v>-830</v>
      </c>
      <c r="W432" s="67">
        <f>'114+840'!S433</f>
        <v>2</v>
      </c>
      <c r="X432" s="66">
        <f t="shared" si="87"/>
        <v>440</v>
      </c>
      <c r="Y432" s="65">
        <f t="shared" si="88"/>
        <v>-2</v>
      </c>
      <c r="Z432" s="64">
        <f t="shared" si="89"/>
        <v>0</v>
      </c>
      <c r="AA432" s="63">
        <f t="shared" si="90"/>
        <v>3.3879999999999999</v>
      </c>
      <c r="AB432" s="63">
        <f t="shared" si="91"/>
        <v>1.1679999999999999</v>
      </c>
    </row>
    <row r="433" spans="2:28">
      <c r="B433" s="104">
        <f>'114+840'!B434</f>
        <v>45690</v>
      </c>
      <c r="C433" s="75">
        <f t="shared" si="83"/>
        <v>1</v>
      </c>
      <c r="D433" s="74">
        <f t="shared" si="84"/>
        <v>842</v>
      </c>
      <c r="E433" s="73">
        <f>VLOOKUP(B433,'114+840'!B434:AB434,3,FALSE)</f>
        <v>2015</v>
      </c>
      <c r="F433" s="70">
        <f t="shared" si="79"/>
        <v>2857</v>
      </c>
      <c r="G433" s="72">
        <f>VLOOKUP(B433,'114+840'!$B$15:$AB$516,20,FALSE)</f>
        <v>2425</v>
      </c>
      <c r="H433" s="72">
        <f>VLOOKUP(B433,'114+840'!$B$15:$AB$516,4,FALSE)</f>
        <v>612</v>
      </c>
      <c r="I433" s="69">
        <f t="shared" si="80"/>
        <v>2245</v>
      </c>
      <c r="J433" s="69">
        <f>VLOOKUP(B433,'114+840'!$B$15:$AB$516,13,FALSE)</f>
        <v>-755</v>
      </c>
      <c r="K433" s="67">
        <f>'114+840'!Q434</f>
        <v>4</v>
      </c>
      <c r="L433" s="66">
        <f t="shared" si="85"/>
        <v>675</v>
      </c>
      <c r="M433" s="71">
        <f>VLOOKUP(B433,'114+840'!$B$14:$AB$516,21,FALSE)</f>
        <v>2175</v>
      </c>
      <c r="N433" s="70">
        <f>VLOOKUP(B433,'114+840'!$B$15:$AB$516,5,FALSE)</f>
        <v>682</v>
      </c>
      <c r="O433" s="69">
        <f t="shared" si="81"/>
        <v>2175</v>
      </c>
      <c r="P433" s="69">
        <f>VLOOKUP(B433,'114+840'!$B$15:$AB$516,14,FALSE)</f>
        <v>-825</v>
      </c>
      <c r="Q433" s="67">
        <f>'114+840'!R434</f>
        <v>9</v>
      </c>
      <c r="R433" s="66">
        <f t="shared" si="86"/>
        <v>925</v>
      </c>
      <c r="S433" s="71">
        <f>VLOOKUP(B433,'114+840'!$B$14:$AB$516,22,FALSE)</f>
        <v>2658</v>
      </c>
      <c r="T433" s="70">
        <f>VLOOKUP(B433,'114+840'!$B$15:$AB$516,6,FALSE)</f>
        <v>689</v>
      </c>
      <c r="U433" s="69">
        <f t="shared" si="82"/>
        <v>2168</v>
      </c>
      <c r="V433" s="68">
        <f>VLOOKUP(B433,'114+840'!$B$15:$AB$516,15,FALSE)</f>
        <v>-832</v>
      </c>
      <c r="W433" s="67">
        <f>'114+840'!S434</f>
        <v>2</v>
      </c>
      <c r="X433" s="66">
        <f t="shared" si="87"/>
        <v>442</v>
      </c>
      <c r="Y433" s="65">
        <f t="shared" si="88"/>
        <v>-2</v>
      </c>
      <c r="Z433" s="64">
        <f t="shared" si="89"/>
        <v>0</v>
      </c>
      <c r="AA433" s="63">
        <f t="shared" si="90"/>
        <v>3.3879999999999999</v>
      </c>
      <c r="AB433" s="63">
        <f t="shared" si="91"/>
        <v>1.1499999999999999</v>
      </c>
    </row>
    <row r="434" spans="2:28">
      <c r="B434" s="104">
        <f>'114+840'!B435</f>
        <v>45691</v>
      </c>
      <c r="C434" s="75">
        <f t="shared" si="83"/>
        <v>1</v>
      </c>
      <c r="D434" s="74">
        <f t="shared" si="84"/>
        <v>842</v>
      </c>
      <c r="E434" s="73">
        <f>VLOOKUP(B434,'114+840'!B435:AB435,3,FALSE)</f>
        <v>2017</v>
      </c>
      <c r="F434" s="70">
        <f t="shared" si="79"/>
        <v>2859</v>
      </c>
      <c r="G434" s="72">
        <f>VLOOKUP(B434,'114+840'!$B$15:$AB$516,20,FALSE)</f>
        <v>2422</v>
      </c>
      <c r="H434" s="72">
        <f>VLOOKUP(B434,'114+840'!$B$15:$AB$516,4,FALSE)</f>
        <v>617</v>
      </c>
      <c r="I434" s="69">
        <f t="shared" si="80"/>
        <v>2242</v>
      </c>
      <c r="J434" s="69">
        <f>VLOOKUP(B434,'114+840'!$B$15:$AB$516,13,FALSE)</f>
        <v>-758</v>
      </c>
      <c r="K434" s="67">
        <f>'114+840'!Q435</f>
        <v>3</v>
      </c>
      <c r="L434" s="66">
        <f t="shared" si="85"/>
        <v>678</v>
      </c>
      <c r="M434" s="71">
        <f>VLOOKUP(B434,'114+840'!$B$14:$AB$516,21,FALSE)</f>
        <v>2167</v>
      </c>
      <c r="N434" s="70">
        <f>VLOOKUP(B434,'114+840'!$B$15:$AB$516,5,FALSE)</f>
        <v>692</v>
      </c>
      <c r="O434" s="69">
        <f t="shared" si="81"/>
        <v>2167</v>
      </c>
      <c r="P434" s="69">
        <f>VLOOKUP(B434,'114+840'!$B$15:$AB$516,14,FALSE)</f>
        <v>-833</v>
      </c>
      <c r="Q434" s="67">
        <f>'114+840'!R435</f>
        <v>8</v>
      </c>
      <c r="R434" s="66">
        <f t="shared" si="86"/>
        <v>933</v>
      </c>
      <c r="S434" s="71">
        <f>VLOOKUP(B434,'114+840'!$B$14:$AB$516,22,FALSE)</f>
        <v>2657</v>
      </c>
      <c r="T434" s="70">
        <f>VLOOKUP(B434,'114+840'!$B$15:$AB$516,6,FALSE)</f>
        <v>692</v>
      </c>
      <c r="U434" s="69">
        <f t="shared" si="82"/>
        <v>2167</v>
      </c>
      <c r="V434" s="68">
        <f>VLOOKUP(B434,'114+840'!$B$15:$AB$516,15,FALSE)</f>
        <v>-833</v>
      </c>
      <c r="W434" s="67">
        <f>'114+840'!S435</f>
        <v>1</v>
      </c>
      <c r="X434" s="66">
        <f t="shared" si="87"/>
        <v>443</v>
      </c>
      <c r="Y434" s="65">
        <f t="shared" si="88"/>
        <v>-1</v>
      </c>
      <c r="Z434" s="64">
        <f t="shared" si="89"/>
        <v>0</v>
      </c>
      <c r="AA434" s="63">
        <f t="shared" si="90"/>
        <v>3.3879999999999999</v>
      </c>
      <c r="AB434" s="63">
        <f t="shared" si="91"/>
        <v>1.1339999999999999</v>
      </c>
    </row>
    <row r="435" spans="2:28">
      <c r="B435" s="104">
        <f>'114+840'!B436</f>
        <v>45692</v>
      </c>
      <c r="C435" s="75">
        <f t="shared" si="83"/>
        <v>1</v>
      </c>
      <c r="D435" s="74">
        <f t="shared" si="84"/>
        <v>842</v>
      </c>
      <c r="E435" s="73">
        <f>VLOOKUP(B435,'114+840'!B436:AB436,3,FALSE)</f>
        <v>2019</v>
      </c>
      <c r="F435" s="70">
        <f t="shared" si="79"/>
        <v>2861</v>
      </c>
      <c r="G435" s="72">
        <f>VLOOKUP(B435,'114+840'!$B$15:$AB$516,20,FALSE)</f>
        <v>2420</v>
      </c>
      <c r="H435" s="72">
        <f>VLOOKUP(B435,'114+840'!$B$15:$AB$516,4,FALSE)</f>
        <v>621</v>
      </c>
      <c r="I435" s="69">
        <f t="shared" si="80"/>
        <v>2240</v>
      </c>
      <c r="J435" s="69">
        <f>VLOOKUP(B435,'114+840'!$B$15:$AB$516,13,FALSE)</f>
        <v>-760</v>
      </c>
      <c r="K435" s="67">
        <f>'114+840'!Q436</f>
        <v>2</v>
      </c>
      <c r="L435" s="66">
        <f t="shared" si="85"/>
        <v>680</v>
      </c>
      <c r="M435" s="71">
        <f>VLOOKUP(B435,'114+840'!$B$14:$AB$516,21,FALSE)</f>
        <v>2160</v>
      </c>
      <c r="N435" s="70">
        <f>VLOOKUP(B435,'114+840'!$B$15:$AB$516,5,FALSE)</f>
        <v>701</v>
      </c>
      <c r="O435" s="69">
        <f t="shared" si="81"/>
        <v>2160</v>
      </c>
      <c r="P435" s="69">
        <f>VLOOKUP(B435,'114+840'!$B$15:$AB$516,14,FALSE)</f>
        <v>-840</v>
      </c>
      <c r="Q435" s="67">
        <f>'114+840'!R436</f>
        <v>7</v>
      </c>
      <c r="R435" s="66">
        <f t="shared" si="86"/>
        <v>940</v>
      </c>
      <c r="S435" s="71">
        <f>VLOOKUP(B435,'114+840'!$B$14:$AB$516,22,FALSE)</f>
        <v>2655</v>
      </c>
      <c r="T435" s="70">
        <f>VLOOKUP(B435,'114+840'!$B$15:$AB$516,6,FALSE)</f>
        <v>696</v>
      </c>
      <c r="U435" s="69">
        <f t="shared" si="82"/>
        <v>2165</v>
      </c>
      <c r="V435" s="68">
        <f>VLOOKUP(B435,'114+840'!$B$15:$AB$516,15,FALSE)</f>
        <v>-835</v>
      </c>
      <c r="W435" s="67">
        <f>'114+840'!S436</f>
        <v>2</v>
      </c>
      <c r="X435" s="66">
        <f t="shared" si="87"/>
        <v>445</v>
      </c>
      <c r="Y435" s="65">
        <f t="shared" si="88"/>
        <v>-2</v>
      </c>
      <c r="Z435" s="64">
        <f t="shared" si="89"/>
        <v>0</v>
      </c>
      <c r="AA435" s="63">
        <f t="shared" si="90"/>
        <v>3.3879999999999999</v>
      </c>
      <c r="AB435" s="63">
        <f t="shared" si="91"/>
        <v>1.1200000000000001</v>
      </c>
    </row>
    <row r="436" spans="2:28">
      <c r="B436" s="104">
        <f>'114+840'!B437</f>
        <v>45693</v>
      </c>
      <c r="C436" s="75">
        <f t="shared" si="83"/>
        <v>1</v>
      </c>
      <c r="D436" s="74">
        <f t="shared" si="84"/>
        <v>842</v>
      </c>
      <c r="E436" s="73">
        <f>VLOOKUP(B436,'114+840'!B437:AB437,3,FALSE)</f>
        <v>2021</v>
      </c>
      <c r="F436" s="70">
        <f t="shared" si="79"/>
        <v>2863</v>
      </c>
      <c r="G436" s="72">
        <f>VLOOKUP(B436,'114+840'!$B$15:$AB$516,20,FALSE)</f>
        <v>2416</v>
      </c>
      <c r="H436" s="72">
        <f>VLOOKUP(B436,'114+840'!$B$15:$AB$516,4,FALSE)</f>
        <v>627</v>
      </c>
      <c r="I436" s="69">
        <f t="shared" si="80"/>
        <v>2236</v>
      </c>
      <c r="J436" s="69">
        <f>VLOOKUP(B436,'114+840'!$B$15:$AB$516,13,FALSE)</f>
        <v>-764</v>
      </c>
      <c r="K436" s="67">
        <f>'114+840'!Q437</f>
        <v>4</v>
      </c>
      <c r="L436" s="66">
        <f t="shared" si="85"/>
        <v>684</v>
      </c>
      <c r="M436" s="71">
        <f>VLOOKUP(B436,'114+840'!$B$14:$AB$516,21,FALSE)</f>
        <v>2151</v>
      </c>
      <c r="N436" s="70">
        <f>VLOOKUP(B436,'114+840'!$B$15:$AB$516,5,FALSE)</f>
        <v>712</v>
      </c>
      <c r="O436" s="69">
        <f t="shared" si="81"/>
        <v>2151</v>
      </c>
      <c r="P436" s="69">
        <f>VLOOKUP(B436,'114+840'!$B$15:$AB$516,14,FALSE)</f>
        <v>-849</v>
      </c>
      <c r="Q436" s="67">
        <f>'114+840'!R437</f>
        <v>9</v>
      </c>
      <c r="R436" s="66">
        <f t="shared" si="86"/>
        <v>949</v>
      </c>
      <c r="S436" s="71">
        <f>VLOOKUP(B436,'114+840'!$B$14:$AB$516,22,FALSE)</f>
        <v>2653</v>
      </c>
      <c r="T436" s="70">
        <f>VLOOKUP(B436,'114+840'!$B$15:$AB$516,6,FALSE)</f>
        <v>700</v>
      </c>
      <c r="U436" s="69">
        <f t="shared" si="82"/>
        <v>2163</v>
      </c>
      <c r="V436" s="68">
        <f>VLOOKUP(B436,'114+840'!$B$15:$AB$516,15,FALSE)</f>
        <v>-837</v>
      </c>
      <c r="W436" s="67">
        <f>'114+840'!S437</f>
        <v>2</v>
      </c>
      <c r="X436" s="66">
        <f t="shared" si="87"/>
        <v>447</v>
      </c>
      <c r="Y436" s="65">
        <f t="shared" si="88"/>
        <v>-2</v>
      </c>
      <c r="Z436" s="64">
        <f t="shared" si="89"/>
        <v>0</v>
      </c>
      <c r="AA436" s="63">
        <f t="shared" si="90"/>
        <v>3.3879999999999999</v>
      </c>
      <c r="AB436" s="63">
        <f t="shared" si="91"/>
        <v>1.1020000000000001</v>
      </c>
    </row>
    <row r="437" spans="2:28">
      <c r="B437" s="104">
        <f>'114+840'!B438</f>
        <v>45694</v>
      </c>
      <c r="C437" s="75">
        <f t="shared" si="83"/>
        <v>1</v>
      </c>
      <c r="D437" s="74">
        <f t="shared" si="84"/>
        <v>842</v>
      </c>
      <c r="E437" s="73">
        <f>VLOOKUP(B437,'114+840'!B438:AB438,3,FALSE)</f>
        <v>2023</v>
      </c>
      <c r="F437" s="70">
        <f t="shared" si="79"/>
        <v>2865</v>
      </c>
      <c r="G437" s="72">
        <f>VLOOKUP(B437,'114+840'!$B$15:$AB$516,20,FALSE)</f>
        <v>2413</v>
      </c>
      <c r="H437" s="72">
        <f>VLOOKUP(B437,'114+840'!$B$15:$AB$516,4,FALSE)</f>
        <v>632</v>
      </c>
      <c r="I437" s="69">
        <f t="shared" si="80"/>
        <v>2233</v>
      </c>
      <c r="J437" s="69">
        <f>VLOOKUP(B437,'114+840'!$B$15:$AB$516,13,FALSE)</f>
        <v>-767</v>
      </c>
      <c r="K437" s="67">
        <f>'114+840'!Q438</f>
        <v>3</v>
      </c>
      <c r="L437" s="66">
        <f t="shared" si="85"/>
        <v>687</v>
      </c>
      <c r="M437" s="71">
        <f>VLOOKUP(B437,'114+840'!$B$14:$AB$516,21,FALSE)</f>
        <v>2143</v>
      </c>
      <c r="N437" s="70">
        <f>VLOOKUP(B437,'114+840'!$B$15:$AB$516,5,FALSE)</f>
        <v>722</v>
      </c>
      <c r="O437" s="69">
        <f t="shared" si="81"/>
        <v>2143</v>
      </c>
      <c r="P437" s="69">
        <f>VLOOKUP(B437,'114+840'!$B$15:$AB$516,14,FALSE)</f>
        <v>-857</v>
      </c>
      <c r="Q437" s="67">
        <f>'114+840'!R438</f>
        <v>8</v>
      </c>
      <c r="R437" s="66">
        <f t="shared" si="86"/>
        <v>957</v>
      </c>
      <c r="S437" s="71">
        <f>VLOOKUP(B437,'114+840'!$B$14:$AB$516,22,FALSE)</f>
        <v>2651</v>
      </c>
      <c r="T437" s="70">
        <f>VLOOKUP(B437,'114+840'!$B$15:$AB$516,6,FALSE)</f>
        <v>704</v>
      </c>
      <c r="U437" s="69">
        <f t="shared" si="82"/>
        <v>2161</v>
      </c>
      <c r="V437" s="68">
        <f>VLOOKUP(B437,'114+840'!$B$15:$AB$516,15,FALSE)</f>
        <v>-839</v>
      </c>
      <c r="W437" s="67">
        <f>'114+840'!S438</f>
        <v>2</v>
      </c>
      <c r="X437" s="66">
        <f t="shared" si="87"/>
        <v>449</v>
      </c>
      <c r="Y437" s="65">
        <f t="shared" si="88"/>
        <v>-2</v>
      </c>
      <c r="Z437" s="64">
        <f t="shared" si="89"/>
        <v>0</v>
      </c>
      <c r="AA437" s="63">
        <f t="shared" si="90"/>
        <v>3.3879999999999999</v>
      </c>
      <c r="AB437" s="63">
        <f t="shared" si="91"/>
        <v>1.0860000000000001</v>
      </c>
    </row>
    <row r="438" spans="2:28">
      <c r="B438" s="104">
        <f>'114+840'!B439</f>
        <v>45695</v>
      </c>
      <c r="C438" s="75">
        <f t="shared" si="83"/>
        <v>1</v>
      </c>
      <c r="D438" s="74">
        <f t="shared" si="84"/>
        <v>842</v>
      </c>
      <c r="E438" s="73">
        <f>VLOOKUP(B438,'114+840'!B439:AB439,3,FALSE)</f>
        <v>2025</v>
      </c>
      <c r="F438" s="70">
        <f t="shared" si="79"/>
        <v>2867</v>
      </c>
      <c r="G438" s="72">
        <f>VLOOKUP(B438,'114+840'!$B$15:$AB$516,20,FALSE)</f>
        <v>2411</v>
      </c>
      <c r="H438" s="72">
        <f>VLOOKUP(B438,'114+840'!$B$15:$AB$516,4,FALSE)</f>
        <v>636</v>
      </c>
      <c r="I438" s="69">
        <f t="shared" si="80"/>
        <v>2231</v>
      </c>
      <c r="J438" s="69">
        <f>VLOOKUP(B438,'114+840'!$B$15:$AB$516,13,FALSE)</f>
        <v>-769</v>
      </c>
      <c r="K438" s="67">
        <f>'114+840'!Q439</f>
        <v>2</v>
      </c>
      <c r="L438" s="66">
        <f t="shared" si="85"/>
        <v>689</v>
      </c>
      <c r="M438" s="71">
        <f>VLOOKUP(B438,'114+840'!$B$14:$AB$516,21,FALSE)</f>
        <v>2135</v>
      </c>
      <c r="N438" s="70">
        <f>VLOOKUP(B438,'114+840'!$B$15:$AB$516,5,FALSE)</f>
        <v>732</v>
      </c>
      <c r="O438" s="69">
        <f t="shared" si="81"/>
        <v>2135</v>
      </c>
      <c r="P438" s="69">
        <f>VLOOKUP(B438,'114+840'!$B$15:$AB$516,14,FALSE)</f>
        <v>-865</v>
      </c>
      <c r="Q438" s="67">
        <f>'114+840'!R439</f>
        <v>8</v>
      </c>
      <c r="R438" s="66">
        <f t="shared" si="86"/>
        <v>965</v>
      </c>
      <c r="S438" s="71">
        <f>VLOOKUP(B438,'114+840'!$B$14:$AB$516,22,FALSE)</f>
        <v>2649</v>
      </c>
      <c r="T438" s="70">
        <f>VLOOKUP(B438,'114+840'!$B$15:$AB$516,6,FALSE)</f>
        <v>708</v>
      </c>
      <c r="U438" s="69">
        <f t="shared" si="82"/>
        <v>2159</v>
      </c>
      <c r="V438" s="68">
        <f>VLOOKUP(B438,'114+840'!$B$15:$AB$516,15,FALSE)</f>
        <v>-841</v>
      </c>
      <c r="W438" s="67">
        <f>'114+840'!S439</f>
        <v>2</v>
      </c>
      <c r="X438" s="66">
        <f t="shared" si="87"/>
        <v>451</v>
      </c>
      <c r="Y438" s="65">
        <f t="shared" si="88"/>
        <v>-2</v>
      </c>
      <c r="Z438" s="64">
        <f t="shared" si="89"/>
        <v>0</v>
      </c>
      <c r="AA438" s="63">
        <f t="shared" si="90"/>
        <v>3.3879999999999999</v>
      </c>
      <c r="AB438" s="63">
        <f t="shared" si="91"/>
        <v>1.07</v>
      </c>
    </row>
    <row r="439" spans="2:28">
      <c r="B439" s="104">
        <f>'114+840'!B440</f>
        <v>45696</v>
      </c>
      <c r="C439" s="75">
        <f t="shared" si="83"/>
        <v>1</v>
      </c>
      <c r="D439" s="74">
        <f t="shared" si="84"/>
        <v>842</v>
      </c>
      <c r="E439" s="73">
        <f>VLOOKUP(B439,'114+840'!B440:AB440,3,FALSE)</f>
        <v>2027</v>
      </c>
      <c r="F439" s="70">
        <f t="shared" si="79"/>
        <v>2869</v>
      </c>
      <c r="G439" s="72">
        <f>VLOOKUP(B439,'114+840'!$B$15:$AB$516,20,FALSE)</f>
        <v>2407</v>
      </c>
      <c r="H439" s="72">
        <f>VLOOKUP(B439,'114+840'!$B$15:$AB$516,4,FALSE)</f>
        <v>642</v>
      </c>
      <c r="I439" s="69">
        <f t="shared" si="80"/>
        <v>2227</v>
      </c>
      <c r="J439" s="69">
        <f>VLOOKUP(B439,'114+840'!$B$15:$AB$516,13,FALSE)</f>
        <v>-773</v>
      </c>
      <c r="K439" s="67">
        <f>'114+840'!Q440</f>
        <v>4</v>
      </c>
      <c r="L439" s="66">
        <f t="shared" si="85"/>
        <v>693</v>
      </c>
      <c r="M439" s="71">
        <f>VLOOKUP(B439,'114+840'!$B$14:$AB$516,21,FALSE)</f>
        <v>2128</v>
      </c>
      <c r="N439" s="70">
        <f>VLOOKUP(B439,'114+840'!$B$15:$AB$516,5,FALSE)</f>
        <v>741</v>
      </c>
      <c r="O439" s="69">
        <f t="shared" si="81"/>
        <v>2128</v>
      </c>
      <c r="P439" s="69">
        <f>VLOOKUP(B439,'114+840'!$B$15:$AB$516,14,FALSE)</f>
        <v>-872</v>
      </c>
      <c r="Q439" s="67">
        <f>'114+840'!R440</f>
        <v>7</v>
      </c>
      <c r="R439" s="66">
        <f t="shared" si="86"/>
        <v>972</v>
      </c>
      <c r="S439" s="71">
        <f>VLOOKUP(B439,'114+840'!$B$14:$AB$516,22,FALSE)</f>
        <v>2648</v>
      </c>
      <c r="T439" s="70">
        <f>VLOOKUP(B439,'114+840'!$B$15:$AB$516,6,FALSE)</f>
        <v>711</v>
      </c>
      <c r="U439" s="69">
        <f t="shared" si="82"/>
        <v>2158</v>
      </c>
      <c r="V439" s="68">
        <f>VLOOKUP(B439,'114+840'!$B$15:$AB$516,15,FALSE)</f>
        <v>-842</v>
      </c>
      <c r="W439" s="67">
        <f>'114+840'!S440</f>
        <v>1</v>
      </c>
      <c r="X439" s="66">
        <f t="shared" si="87"/>
        <v>452</v>
      </c>
      <c r="Y439" s="65">
        <f t="shared" si="88"/>
        <v>-1</v>
      </c>
      <c r="Z439" s="64">
        <f t="shared" si="89"/>
        <v>0</v>
      </c>
      <c r="AA439" s="63">
        <f t="shared" si="90"/>
        <v>3.3879999999999999</v>
      </c>
      <c r="AB439" s="63">
        <f t="shared" si="91"/>
        <v>1.056</v>
      </c>
    </row>
    <row r="440" spans="2:28">
      <c r="B440" s="104">
        <f>'114+840'!B441</f>
        <v>45697</v>
      </c>
      <c r="C440" s="75">
        <f t="shared" si="83"/>
        <v>1</v>
      </c>
      <c r="D440" s="74">
        <f t="shared" si="84"/>
        <v>842</v>
      </c>
      <c r="E440" s="73">
        <f>VLOOKUP(B440,'114+840'!B441:AB441,3,FALSE)</f>
        <v>2029</v>
      </c>
      <c r="F440" s="70">
        <f t="shared" si="79"/>
        <v>2871</v>
      </c>
      <c r="G440" s="72">
        <f>VLOOKUP(B440,'114+840'!$B$15:$AB$516,20,FALSE)</f>
        <v>2405</v>
      </c>
      <c r="H440" s="72">
        <f>VLOOKUP(B440,'114+840'!$B$15:$AB$516,4,FALSE)</f>
        <v>646</v>
      </c>
      <c r="I440" s="69">
        <f t="shared" si="80"/>
        <v>2225</v>
      </c>
      <c r="J440" s="69">
        <f>VLOOKUP(B440,'114+840'!$B$15:$AB$516,13,FALSE)</f>
        <v>-775</v>
      </c>
      <c r="K440" s="67">
        <f>'114+840'!Q441</f>
        <v>2</v>
      </c>
      <c r="L440" s="66">
        <f t="shared" si="85"/>
        <v>695</v>
      </c>
      <c r="M440" s="71">
        <f>VLOOKUP(B440,'114+840'!$B$14:$AB$516,21,FALSE)</f>
        <v>2121</v>
      </c>
      <c r="N440" s="70">
        <f>VLOOKUP(B440,'114+840'!$B$15:$AB$516,5,FALSE)</f>
        <v>750</v>
      </c>
      <c r="O440" s="69">
        <f t="shared" si="81"/>
        <v>2121</v>
      </c>
      <c r="P440" s="69">
        <f>VLOOKUP(B440,'114+840'!$B$15:$AB$516,14,FALSE)</f>
        <v>-879</v>
      </c>
      <c r="Q440" s="67">
        <f>'114+840'!R441</f>
        <v>7</v>
      </c>
      <c r="R440" s="66">
        <f t="shared" si="86"/>
        <v>979</v>
      </c>
      <c r="S440" s="71">
        <f>VLOOKUP(B440,'114+840'!$B$14:$AB$516,22,FALSE)</f>
        <v>2646</v>
      </c>
      <c r="T440" s="70">
        <f>VLOOKUP(B440,'114+840'!$B$15:$AB$516,6,FALSE)</f>
        <v>715</v>
      </c>
      <c r="U440" s="69">
        <f t="shared" si="82"/>
        <v>2156</v>
      </c>
      <c r="V440" s="68">
        <f>VLOOKUP(B440,'114+840'!$B$15:$AB$516,15,FALSE)</f>
        <v>-844</v>
      </c>
      <c r="W440" s="67">
        <f>'114+840'!S441</f>
        <v>2</v>
      </c>
      <c r="X440" s="66">
        <f t="shared" si="87"/>
        <v>454</v>
      </c>
      <c r="Y440" s="65">
        <f t="shared" si="88"/>
        <v>-2</v>
      </c>
      <c r="Z440" s="64">
        <f t="shared" si="89"/>
        <v>0</v>
      </c>
      <c r="AA440" s="63">
        <f t="shared" si="90"/>
        <v>3.3879999999999999</v>
      </c>
      <c r="AB440" s="63">
        <f t="shared" si="91"/>
        <v>1.042</v>
      </c>
    </row>
    <row r="441" spans="2:28">
      <c r="B441" s="104">
        <f>'114+840'!B442</f>
        <v>45698</v>
      </c>
      <c r="C441" s="75">
        <f t="shared" si="83"/>
        <v>1</v>
      </c>
      <c r="D441" s="74">
        <f t="shared" si="84"/>
        <v>842</v>
      </c>
      <c r="E441" s="73">
        <f>VLOOKUP(B441,'114+840'!B442:AB442,3,FALSE)</f>
        <v>2031</v>
      </c>
      <c r="F441" s="70">
        <f t="shared" si="79"/>
        <v>2873</v>
      </c>
      <c r="G441" s="72">
        <f>VLOOKUP(B441,'114+840'!$B$15:$AB$516,20,FALSE)</f>
        <v>2400</v>
      </c>
      <c r="H441" s="72">
        <f>VLOOKUP(B441,'114+840'!$B$15:$AB$516,4,FALSE)</f>
        <v>653</v>
      </c>
      <c r="I441" s="69">
        <f t="shared" si="80"/>
        <v>2220</v>
      </c>
      <c r="J441" s="69">
        <f>VLOOKUP(B441,'114+840'!$B$15:$AB$516,13,FALSE)</f>
        <v>-780</v>
      </c>
      <c r="K441" s="67">
        <f>'114+840'!Q442</f>
        <v>5</v>
      </c>
      <c r="L441" s="66">
        <f t="shared" si="85"/>
        <v>700</v>
      </c>
      <c r="M441" s="71">
        <f>VLOOKUP(B441,'114+840'!$B$14:$AB$516,21,FALSE)</f>
        <v>2115</v>
      </c>
      <c r="N441" s="70">
        <f>VLOOKUP(B441,'114+840'!$B$15:$AB$516,5,FALSE)</f>
        <v>758</v>
      </c>
      <c r="O441" s="69">
        <f t="shared" si="81"/>
        <v>2115</v>
      </c>
      <c r="P441" s="69">
        <f>VLOOKUP(B441,'114+840'!$B$15:$AB$516,14,FALSE)</f>
        <v>-885</v>
      </c>
      <c r="Q441" s="67">
        <f>'114+840'!R442</f>
        <v>6</v>
      </c>
      <c r="R441" s="66">
        <f t="shared" si="86"/>
        <v>985</v>
      </c>
      <c r="S441" s="71">
        <f>VLOOKUP(B441,'114+840'!$B$14:$AB$516,22,FALSE)</f>
        <v>2644</v>
      </c>
      <c r="T441" s="70">
        <f>VLOOKUP(B441,'114+840'!$B$15:$AB$516,6,FALSE)</f>
        <v>719</v>
      </c>
      <c r="U441" s="69">
        <f t="shared" si="82"/>
        <v>2154</v>
      </c>
      <c r="V441" s="68">
        <f>VLOOKUP(B441,'114+840'!$B$15:$AB$516,15,FALSE)</f>
        <v>-846</v>
      </c>
      <c r="W441" s="67">
        <f>'114+840'!S442</f>
        <v>2</v>
      </c>
      <c r="X441" s="66">
        <f t="shared" si="87"/>
        <v>456</v>
      </c>
      <c r="Y441" s="65">
        <f t="shared" si="88"/>
        <v>-2</v>
      </c>
      <c r="Z441" s="64">
        <f t="shared" si="89"/>
        <v>0</v>
      </c>
      <c r="AA441" s="63">
        <f t="shared" si="90"/>
        <v>3.3879999999999999</v>
      </c>
      <c r="AB441" s="63">
        <f t="shared" si="91"/>
        <v>1.03</v>
      </c>
    </row>
    <row r="442" spans="2:28">
      <c r="B442" s="104">
        <f>'114+840'!B443</f>
        <v>45699</v>
      </c>
      <c r="C442" s="75">
        <f t="shared" si="83"/>
        <v>1</v>
      </c>
      <c r="D442" s="74">
        <f t="shared" si="84"/>
        <v>842</v>
      </c>
      <c r="E442" s="73">
        <f>VLOOKUP(B442,'114+840'!B443:AB443,3,FALSE)</f>
        <v>2033</v>
      </c>
      <c r="F442" s="70">
        <f t="shared" si="79"/>
        <v>2875</v>
      </c>
      <c r="G442" s="72">
        <f>VLOOKUP(B442,'114+840'!$B$15:$AB$516,20,FALSE)</f>
        <v>2395</v>
      </c>
      <c r="H442" s="72">
        <f>VLOOKUP(B442,'114+840'!$B$15:$AB$516,4,FALSE)</f>
        <v>660</v>
      </c>
      <c r="I442" s="69">
        <f t="shared" si="80"/>
        <v>2215</v>
      </c>
      <c r="J442" s="69">
        <f>VLOOKUP(B442,'114+840'!$B$15:$AB$516,13,FALSE)</f>
        <v>-785</v>
      </c>
      <c r="K442" s="67">
        <f>'114+840'!Q443</f>
        <v>5</v>
      </c>
      <c r="L442" s="66">
        <f t="shared" si="85"/>
        <v>705</v>
      </c>
      <c r="M442" s="71">
        <f>VLOOKUP(B442,'114+840'!$B$14:$AB$516,21,FALSE)</f>
        <v>2107</v>
      </c>
      <c r="N442" s="70">
        <f>VLOOKUP(B442,'114+840'!$B$15:$AB$516,5,FALSE)</f>
        <v>768</v>
      </c>
      <c r="O442" s="69">
        <f t="shared" si="81"/>
        <v>2107</v>
      </c>
      <c r="P442" s="69">
        <f>VLOOKUP(B442,'114+840'!$B$15:$AB$516,14,FALSE)</f>
        <v>-893</v>
      </c>
      <c r="Q442" s="67">
        <f>'114+840'!R443</f>
        <v>8</v>
      </c>
      <c r="R442" s="66">
        <f t="shared" si="86"/>
        <v>993</v>
      </c>
      <c r="S442" s="71">
        <f>VLOOKUP(B442,'114+840'!$B$14:$AB$516,22,FALSE)</f>
        <v>2641</v>
      </c>
      <c r="T442" s="70">
        <f>VLOOKUP(B442,'114+840'!$B$15:$AB$516,6,FALSE)</f>
        <v>724</v>
      </c>
      <c r="U442" s="69">
        <f t="shared" si="82"/>
        <v>2151</v>
      </c>
      <c r="V442" s="68">
        <f>VLOOKUP(B442,'114+840'!$B$15:$AB$516,15,FALSE)</f>
        <v>-849</v>
      </c>
      <c r="W442" s="67">
        <f>'114+840'!S443</f>
        <v>3</v>
      </c>
      <c r="X442" s="66">
        <f t="shared" si="87"/>
        <v>459</v>
      </c>
      <c r="Y442" s="65">
        <f t="shared" si="88"/>
        <v>-3</v>
      </c>
      <c r="Z442" s="64">
        <f t="shared" si="89"/>
        <v>0</v>
      </c>
      <c r="AA442" s="63">
        <f t="shared" si="90"/>
        <v>3.3879999999999999</v>
      </c>
      <c r="AB442" s="63">
        <f t="shared" si="91"/>
        <v>1.014</v>
      </c>
    </row>
    <row r="443" spans="2:28">
      <c r="B443" s="104">
        <f>'114+840'!B444</f>
        <v>45700</v>
      </c>
      <c r="C443" s="75">
        <f t="shared" si="83"/>
        <v>1</v>
      </c>
      <c r="D443" s="74">
        <f t="shared" si="84"/>
        <v>842</v>
      </c>
      <c r="E443" s="73">
        <f>VLOOKUP(B443,'114+840'!B444:AB444,3,FALSE)</f>
        <v>2035</v>
      </c>
      <c r="F443" s="70">
        <f t="shared" si="79"/>
        <v>2877</v>
      </c>
      <c r="G443" s="72">
        <f>VLOOKUP(B443,'114+840'!$B$15:$AB$516,20,FALSE)</f>
        <v>2391</v>
      </c>
      <c r="H443" s="72">
        <f>VLOOKUP(B443,'114+840'!$B$15:$AB$516,4,FALSE)</f>
        <v>666</v>
      </c>
      <c r="I443" s="69">
        <f t="shared" si="80"/>
        <v>2211</v>
      </c>
      <c r="J443" s="69">
        <f>VLOOKUP(B443,'114+840'!$B$15:$AB$516,13,FALSE)</f>
        <v>-789</v>
      </c>
      <c r="K443" s="67">
        <f>'114+840'!Q444</f>
        <v>4</v>
      </c>
      <c r="L443" s="66">
        <f t="shared" si="85"/>
        <v>709</v>
      </c>
      <c r="M443" s="71">
        <f>VLOOKUP(B443,'114+840'!$B$14:$AB$516,21,FALSE)</f>
        <v>2100</v>
      </c>
      <c r="N443" s="70">
        <f>VLOOKUP(B443,'114+840'!$B$15:$AB$516,5,FALSE)</f>
        <v>777</v>
      </c>
      <c r="O443" s="69">
        <f t="shared" si="81"/>
        <v>2100</v>
      </c>
      <c r="P443" s="69">
        <f>VLOOKUP(B443,'114+840'!$B$15:$AB$516,14,FALSE)</f>
        <v>-900</v>
      </c>
      <c r="Q443" s="67">
        <f>'114+840'!R444</f>
        <v>7</v>
      </c>
      <c r="R443" s="66">
        <f t="shared" si="86"/>
        <v>1000</v>
      </c>
      <c r="S443" s="71">
        <f>VLOOKUP(B443,'114+840'!$B$14:$AB$516,22,FALSE)</f>
        <v>2640</v>
      </c>
      <c r="T443" s="70">
        <f>VLOOKUP(B443,'114+840'!$B$15:$AB$516,6,FALSE)</f>
        <v>727</v>
      </c>
      <c r="U443" s="69">
        <f t="shared" si="82"/>
        <v>2150</v>
      </c>
      <c r="V443" s="68">
        <f>VLOOKUP(B443,'114+840'!$B$15:$AB$516,15,FALSE)</f>
        <v>-850</v>
      </c>
      <c r="W443" s="67">
        <f>'114+840'!S444</f>
        <v>1</v>
      </c>
      <c r="X443" s="66">
        <f t="shared" si="87"/>
        <v>460</v>
      </c>
      <c r="Y443" s="65">
        <f t="shared" si="88"/>
        <v>-1</v>
      </c>
      <c r="Z443" s="64">
        <f t="shared" si="89"/>
        <v>0</v>
      </c>
      <c r="AA443" s="63">
        <f t="shared" si="90"/>
        <v>3.3879999999999999</v>
      </c>
      <c r="AB443" s="63">
        <f t="shared" si="91"/>
        <v>1</v>
      </c>
    </row>
    <row r="444" spans="2:28">
      <c r="B444" s="104">
        <f>'114+840'!B445</f>
        <v>45701</v>
      </c>
      <c r="C444" s="75">
        <f t="shared" si="83"/>
        <v>1</v>
      </c>
      <c r="D444" s="74">
        <f t="shared" si="84"/>
        <v>842</v>
      </c>
      <c r="E444" s="73">
        <f>VLOOKUP(B444,'114+840'!B445:AB445,3,FALSE)</f>
        <v>2037</v>
      </c>
      <c r="F444" s="70">
        <f t="shared" si="79"/>
        <v>2879</v>
      </c>
      <c r="G444" s="72">
        <f>VLOOKUP(B444,'114+840'!$B$15:$AB$516,20,FALSE)</f>
        <v>2388</v>
      </c>
      <c r="H444" s="72">
        <f>VLOOKUP(B444,'114+840'!$B$15:$AB$516,4,FALSE)</f>
        <v>671</v>
      </c>
      <c r="I444" s="69">
        <f t="shared" si="80"/>
        <v>2208</v>
      </c>
      <c r="J444" s="69">
        <f>VLOOKUP(B444,'114+840'!$B$15:$AB$516,13,FALSE)</f>
        <v>-792</v>
      </c>
      <c r="K444" s="67">
        <f>'114+840'!Q445</f>
        <v>3</v>
      </c>
      <c r="L444" s="66">
        <f t="shared" si="85"/>
        <v>712</v>
      </c>
      <c r="M444" s="71">
        <f>VLOOKUP(B444,'114+840'!$B$14:$AB$516,21,FALSE)</f>
        <v>2091</v>
      </c>
      <c r="N444" s="70">
        <f>VLOOKUP(B444,'114+840'!$B$15:$AB$516,5,FALSE)</f>
        <v>788</v>
      </c>
      <c r="O444" s="69">
        <f t="shared" si="81"/>
        <v>2091</v>
      </c>
      <c r="P444" s="69">
        <f>VLOOKUP(B444,'114+840'!$B$15:$AB$516,14,FALSE)</f>
        <v>-909</v>
      </c>
      <c r="Q444" s="67">
        <f>'114+840'!R445</f>
        <v>9</v>
      </c>
      <c r="R444" s="66">
        <f t="shared" si="86"/>
        <v>1009</v>
      </c>
      <c r="S444" s="71">
        <f>VLOOKUP(B444,'114+840'!$B$14:$AB$516,22,FALSE)</f>
        <v>2638</v>
      </c>
      <c r="T444" s="70">
        <f>VLOOKUP(B444,'114+840'!$B$15:$AB$516,6,FALSE)</f>
        <v>731</v>
      </c>
      <c r="U444" s="69">
        <f t="shared" si="82"/>
        <v>2148</v>
      </c>
      <c r="V444" s="68">
        <f>VLOOKUP(B444,'114+840'!$B$15:$AB$516,15,FALSE)</f>
        <v>-852</v>
      </c>
      <c r="W444" s="67">
        <f>'114+840'!S445</f>
        <v>2</v>
      </c>
      <c r="X444" s="66">
        <f t="shared" si="87"/>
        <v>462</v>
      </c>
      <c r="Y444" s="65">
        <f t="shared" si="88"/>
        <v>-2</v>
      </c>
      <c r="Z444" s="64">
        <f t="shared" si="89"/>
        <v>0</v>
      </c>
      <c r="AA444" s="63">
        <f t="shared" si="90"/>
        <v>3.3879999999999999</v>
      </c>
      <c r="AB444" s="63">
        <f t="shared" si="91"/>
        <v>0.98199999999999998</v>
      </c>
    </row>
    <row r="445" spans="2:28">
      <c r="B445" s="104">
        <f>'114+840'!B446</f>
        <v>45702</v>
      </c>
      <c r="C445" s="75">
        <f t="shared" si="83"/>
        <v>1</v>
      </c>
      <c r="D445" s="74">
        <f t="shared" si="84"/>
        <v>842</v>
      </c>
      <c r="E445" s="73">
        <f>VLOOKUP(B445,'114+840'!B446:AB446,3,FALSE)</f>
        <v>2039</v>
      </c>
      <c r="F445" s="70">
        <f t="shared" si="79"/>
        <v>2881</v>
      </c>
      <c r="G445" s="72">
        <f>VLOOKUP(B445,'114+840'!$B$15:$AB$516,20,FALSE)</f>
        <v>2386</v>
      </c>
      <c r="H445" s="72">
        <f>VLOOKUP(B445,'114+840'!$B$15:$AB$516,4,FALSE)</f>
        <v>675</v>
      </c>
      <c r="I445" s="69">
        <f t="shared" si="80"/>
        <v>2206</v>
      </c>
      <c r="J445" s="69">
        <f>VLOOKUP(B445,'114+840'!$B$15:$AB$516,13,FALSE)</f>
        <v>-794</v>
      </c>
      <c r="K445" s="67">
        <f>'114+840'!Q446</f>
        <v>2</v>
      </c>
      <c r="L445" s="66">
        <f t="shared" si="85"/>
        <v>714</v>
      </c>
      <c r="M445" s="71">
        <f>VLOOKUP(B445,'114+840'!$B$14:$AB$516,21,FALSE)</f>
        <v>2083</v>
      </c>
      <c r="N445" s="70">
        <f>VLOOKUP(B445,'114+840'!$B$15:$AB$516,5,FALSE)</f>
        <v>798</v>
      </c>
      <c r="O445" s="69">
        <f t="shared" si="81"/>
        <v>2083</v>
      </c>
      <c r="P445" s="69">
        <f>VLOOKUP(B445,'114+840'!$B$15:$AB$516,14,FALSE)</f>
        <v>-917</v>
      </c>
      <c r="Q445" s="67">
        <f>'114+840'!R446</f>
        <v>8</v>
      </c>
      <c r="R445" s="66">
        <f t="shared" si="86"/>
        <v>1017</v>
      </c>
      <c r="S445" s="71">
        <f>VLOOKUP(B445,'114+840'!$B$14:$AB$516,22,FALSE)</f>
        <v>2636</v>
      </c>
      <c r="T445" s="70">
        <f>VLOOKUP(B445,'114+840'!$B$15:$AB$516,6,FALSE)</f>
        <v>735</v>
      </c>
      <c r="U445" s="69">
        <f t="shared" si="82"/>
        <v>2146</v>
      </c>
      <c r="V445" s="68">
        <f>VLOOKUP(B445,'114+840'!$B$15:$AB$516,15,FALSE)</f>
        <v>-854</v>
      </c>
      <c r="W445" s="67">
        <f>'114+840'!S446</f>
        <v>2</v>
      </c>
      <c r="X445" s="66">
        <f t="shared" si="87"/>
        <v>464</v>
      </c>
      <c r="Y445" s="65">
        <f t="shared" si="88"/>
        <v>-2</v>
      </c>
      <c r="Z445" s="64">
        <f t="shared" si="89"/>
        <v>0</v>
      </c>
      <c r="AA445" s="63">
        <f t="shared" si="90"/>
        <v>3.3879999999999999</v>
      </c>
      <c r="AB445" s="63">
        <f t="shared" si="91"/>
        <v>0.96599999999999997</v>
      </c>
    </row>
    <row r="446" spans="2:28">
      <c r="B446" s="104">
        <f>'114+840'!B447</f>
        <v>45703</v>
      </c>
      <c r="C446" s="75">
        <f t="shared" si="83"/>
        <v>1</v>
      </c>
      <c r="D446" s="74">
        <f t="shared" si="84"/>
        <v>842</v>
      </c>
      <c r="E446" s="73">
        <f>VLOOKUP(B446,'114+840'!B447:AB447,3,FALSE)</f>
        <v>2041</v>
      </c>
      <c r="F446" s="70">
        <f t="shared" si="79"/>
        <v>2883</v>
      </c>
      <c r="G446" s="72">
        <f>VLOOKUP(B446,'114+840'!$B$15:$AB$516,20,FALSE)</f>
        <v>2382</v>
      </c>
      <c r="H446" s="72">
        <f>VLOOKUP(B446,'114+840'!$B$15:$AB$516,4,FALSE)</f>
        <v>681</v>
      </c>
      <c r="I446" s="69">
        <f t="shared" si="80"/>
        <v>2202</v>
      </c>
      <c r="J446" s="69">
        <f>VLOOKUP(B446,'114+840'!$B$15:$AB$516,13,FALSE)</f>
        <v>-798</v>
      </c>
      <c r="K446" s="67">
        <f>'114+840'!Q447</f>
        <v>4</v>
      </c>
      <c r="L446" s="66">
        <f t="shared" si="85"/>
        <v>718</v>
      </c>
      <c r="M446" s="71">
        <f>VLOOKUP(B446,'114+840'!$B$14:$AB$516,21,FALSE)</f>
        <v>2075</v>
      </c>
      <c r="N446" s="70">
        <f>VLOOKUP(B446,'114+840'!$B$15:$AB$516,5,FALSE)</f>
        <v>808</v>
      </c>
      <c r="O446" s="69">
        <f t="shared" si="81"/>
        <v>2075</v>
      </c>
      <c r="P446" s="69">
        <f>VLOOKUP(B446,'114+840'!$B$15:$AB$516,14,FALSE)</f>
        <v>-925</v>
      </c>
      <c r="Q446" s="67">
        <f>'114+840'!R447</f>
        <v>8</v>
      </c>
      <c r="R446" s="66">
        <f t="shared" si="86"/>
        <v>1025</v>
      </c>
      <c r="S446" s="71">
        <f>VLOOKUP(B446,'114+840'!$B$14:$AB$516,22,FALSE)</f>
        <v>2635</v>
      </c>
      <c r="T446" s="70">
        <f>VLOOKUP(B446,'114+840'!$B$15:$AB$516,6,FALSE)</f>
        <v>738</v>
      </c>
      <c r="U446" s="69">
        <f t="shared" si="82"/>
        <v>2145</v>
      </c>
      <c r="V446" s="68">
        <f>VLOOKUP(B446,'114+840'!$B$15:$AB$516,15,FALSE)</f>
        <v>-855</v>
      </c>
      <c r="W446" s="67">
        <f>'114+840'!S447</f>
        <v>1</v>
      </c>
      <c r="X446" s="66">
        <f t="shared" si="87"/>
        <v>465</v>
      </c>
      <c r="Y446" s="65">
        <f t="shared" si="88"/>
        <v>-1</v>
      </c>
      <c r="Z446" s="64">
        <f t="shared" si="89"/>
        <v>0</v>
      </c>
      <c r="AA446" s="63">
        <f t="shared" si="90"/>
        <v>3.3879999999999999</v>
      </c>
      <c r="AB446" s="63">
        <f t="shared" si="91"/>
        <v>0.95</v>
      </c>
    </row>
    <row r="447" spans="2:28">
      <c r="B447" s="104">
        <f>'114+840'!B448</f>
        <v>45704</v>
      </c>
      <c r="C447" s="75">
        <f t="shared" si="83"/>
        <v>1</v>
      </c>
      <c r="D447" s="74">
        <f t="shared" si="84"/>
        <v>842</v>
      </c>
      <c r="E447" s="73">
        <f>VLOOKUP(B447,'114+840'!B448:AB448,3,FALSE)</f>
        <v>2043</v>
      </c>
      <c r="F447" s="70">
        <f t="shared" si="79"/>
        <v>2885</v>
      </c>
      <c r="G447" s="72">
        <f>VLOOKUP(B447,'114+840'!$B$15:$AB$516,20,FALSE)</f>
        <v>2379</v>
      </c>
      <c r="H447" s="72">
        <f>VLOOKUP(B447,'114+840'!$B$15:$AB$516,4,FALSE)</f>
        <v>686</v>
      </c>
      <c r="I447" s="69">
        <f t="shared" si="80"/>
        <v>2199</v>
      </c>
      <c r="J447" s="69">
        <f>VLOOKUP(B447,'114+840'!$B$15:$AB$516,13,FALSE)</f>
        <v>-801</v>
      </c>
      <c r="K447" s="67">
        <f>'114+840'!Q448</f>
        <v>3</v>
      </c>
      <c r="L447" s="66">
        <f t="shared" si="85"/>
        <v>721</v>
      </c>
      <c r="M447" s="71">
        <f>VLOOKUP(B447,'114+840'!$B$14:$AB$516,21,FALSE)</f>
        <v>2066</v>
      </c>
      <c r="N447" s="70">
        <f>VLOOKUP(B447,'114+840'!$B$15:$AB$516,5,FALSE)</f>
        <v>819</v>
      </c>
      <c r="O447" s="69">
        <f t="shared" si="81"/>
        <v>2066</v>
      </c>
      <c r="P447" s="69">
        <f>VLOOKUP(B447,'114+840'!$B$15:$AB$516,14,FALSE)</f>
        <v>-934</v>
      </c>
      <c r="Q447" s="67">
        <f>'114+840'!R448</f>
        <v>9</v>
      </c>
      <c r="R447" s="66">
        <f t="shared" si="86"/>
        <v>1034</v>
      </c>
      <c r="S447" s="71">
        <f>VLOOKUP(B447,'114+840'!$B$14:$AB$516,22,FALSE)</f>
        <v>2633</v>
      </c>
      <c r="T447" s="70">
        <f>VLOOKUP(B447,'114+840'!$B$15:$AB$516,6,FALSE)</f>
        <v>742</v>
      </c>
      <c r="U447" s="69">
        <f t="shared" si="82"/>
        <v>2143</v>
      </c>
      <c r="V447" s="68">
        <f>VLOOKUP(B447,'114+840'!$B$15:$AB$516,15,FALSE)</f>
        <v>-857</v>
      </c>
      <c r="W447" s="67">
        <f>'114+840'!S448</f>
        <v>2</v>
      </c>
      <c r="X447" s="66">
        <f t="shared" si="87"/>
        <v>467</v>
      </c>
      <c r="Y447" s="65">
        <f t="shared" si="88"/>
        <v>-2</v>
      </c>
      <c r="Z447" s="64">
        <f t="shared" si="89"/>
        <v>0</v>
      </c>
      <c r="AA447" s="63">
        <f t="shared" si="90"/>
        <v>3.3879999999999999</v>
      </c>
      <c r="AB447" s="63">
        <f t="shared" si="91"/>
        <v>0.93200000000000005</v>
      </c>
    </row>
    <row r="448" spans="2:28">
      <c r="B448" s="104">
        <f>'114+840'!B449</f>
        <v>45705</v>
      </c>
      <c r="C448" s="75">
        <f t="shared" si="83"/>
        <v>1</v>
      </c>
      <c r="D448" s="74">
        <f t="shared" si="84"/>
        <v>842</v>
      </c>
      <c r="E448" s="73">
        <f>VLOOKUP(B448,'114+840'!B449:AB449,3,FALSE)</f>
        <v>2045</v>
      </c>
      <c r="F448" s="70">
        <f t="shared" si="79"/>
        <v>2887</v>
      </c>
      <c r="G448" s="72">
        <f>VLOOKUP(B448,'114+840'!$B$15:$AB$516,20,FALSE)</f>
        <v>2375</v>
      </c>
      <c r="H448" s="72">
        <f>VLOOKUP(B448,'114+840'!$B$15:$AB$516,4,FALSE)</f>
        <v>692</v>
      </c>
      <c r="I448" s="69">
        <f t="shared" si="80"/>
        <v>2195</v>
      </c>
      <c r="J448" s="69">
        <f>VLOOKUP(B448,'114+840'!$B$15:$AB$516,13,FALSE)</f>
        <v>-805</v>
      </c>
      <c r="K448" s="67">
        <f>'114+840'!Q449</f>
        <v>4</v>
      </c>
      <c r="L448" s="66">
        <f t="shared" si="85"/>
        <v>725</v>
      </c>
      <c r="M448" s="71">
        <f>VLOOKUP(B448,'114+840'!$B$14:$AB$516,21,FALSE)</f>
        <v>2057</v>
      </c>
      <c r="N448" s="70">
        <f>VLOOKUP(B448,'114+840'!$B$15:$AB$516,5,FALSE)</f>
        <v>830</v>
      </c>
      <c r="O448" s="69">
        <f t="shared" si="81"/>
        <v>2057</v>
      </c>
      <c r="P448" s="69">
        <f>VLOOKUP(B448,'114+840'!$B$15:$AB$516,14,FALSE)</f>
        <v>-943</v>
      </c>
      <c r="Q448" s="67">
        <f>'114+840'!R449</f>
        <v>9</v>
      </c>
      <c r="R448" s="66">
        <f t="shared" si="86"/>
        <v>1043</v>
      </c>
      <c r="S448" s="71">
        <f>VLOOKUP(B448,'114+840'!$B$14:$AB$516,22,FALSE)</f>
        <v>2631</v>
      </c>
      <c r="T448" s="70">
        <f>VLOOKUP(B448,'114+840'!$B$15:$AB$516,6,FALSE)</f>
        <v>746</v>
      </c>
      <c r="U448" s="69">
        <f t="shared" si="82"/>
        <v>2141</v>
      </c>
      <c r="V448" s="68">
        <f>VLOOKUP(B448,'114+840'!$B$15:$AB$516,15,FALSE)</f>
        <v>-859</v>
      </c>
      <c r="W448" s="67">
        <f>'114+840'!S449</f>
        <v>2</v>
      </c>
      <c r="X448" s="66">
        <f t="shared" si="87"/>
        <v>469</v>
      </c>
      <c r="Y448" s="65">
        <f t="shared" si="88"/>
        <v>-2</v>
      </c>
      <c r="Z448" s="64">
        <f t="shared" si="89"/>
        <v>0</v>
      </c>
      <c r="AA448" s="63">
        <f t="shared" si="90"/>
        <v>3.3879999999999999</v>
      </c>
      <c r="AB448" s="63">
        <f t="shared" si="91"/>
        <v>0.91400000000000003</v>
      </c>
    </row>
    <row r="449" spans="2:28">
      <c r="B449" s="104">
        <f>'114+840'!B450</f>
        <v>45706</v>
      </c>
      <c r="C449" s="75">
        <f t="shared" si="83"/>
        <v>1</v>
      </c>
      <c r="D449" s="74">
        <f t="shared" si="84"/>
        <v>842</v>
      </c>
      <c r="E449" s="73">
        <f>VLOOKUP(B449,'114+840'!B450:AB450,3,FALSE)</f>
        <v>2047</v>
      </c>
      <c r="F449" s="70">
        <f t="shared" si="79"/>
        <v>2889</v>
      </c>
      <c r="G449" s="72">
        <f>VLOOKUP(B449,'114+840'!$B$15:$AB$516,20,FALSE)</f>
        <v>2373</v>
      </c>
      <c r="H449" s="72">
        <f>VLOOKUP(B449,'114+840'!$B$15:$AB$516,4,FALSE)</f>
        <v>696</v>
      </c>
      <c r="I449" s="69">
        <f t="shared" si="80"/>
        <v>2193</v>
      </c>
      <c r="J449" s="69">
        <f>VLOOKUP(B449,'114+840'!$B$15:$AB$516,13,FALSE)</f>
        <v>-807</v>
      </c>
      <c r="K449" s="67">
        <f>'114+840'!Q450</f>
        <v>2</v>
      </c>
      <c r="L449" s="66">
        <f t="shared" si="85"/>
        <v>727</v>
      </c>
      <c r="M449" s="71">
        <f>VLOOKUP(B449,'114+840'!$B$14:$AB$516,21,FALSE)</f>
        <v>2049</v>
      </c>
      <c r="N449" s="70">
        <f>VLOOKUP(B449,'114+840'!$B$15:$AB$516,5,FALSE)</f>
        <v>840</v>
      </c>
      <c r="O449" s="69">
        <f t="shared" si="81"/>
        <v>2049</v>
      </c>
      <c r="P449" s="69">
        <f>VLOOKUP(B449,'114+840'!$B$15:$AB$516,14,FALSE)</f>
        <v>-951</v>
      </c>
      <c r="Q449" s="67">
        <f>'114+840'!R450</f>
        <v>8</v>
      </c>
      <c r="R449" s="66">
        <f t="shared" si="86"/>
        <v>1051</v>
      </c>
      <c r="S449" s="71">
        <f>VLOOKUP(B449,'114+840'!$B$14:$AB$516,22,FALSE)</f>
        <v>2629</v>
      </c>
      <c r="T449" s="70">
        <f>VLOOKUP(B449,'114+840'!$B$15:$AB$516,6,FALSE)</f>
        <v>750</v>
      </c>
      <c r="U449" s="69">
        <f t="shared" si="82"/>
        <v>2139</v>
      </c>
      <c r="V449" s="68">
        <f>VLOOKUP(B449,'114+840'!$B$15:$AB$516,15,FALSE)</f>
        <v>-861</v>
      </c>
      <c r="W449" s="67">
        <f>'114+840'!S450</f>
        <v>2</v>
      </c>
      <c r="X449" s="66">
        <f t="shared" si="87"/>
        <v>471</v>
      </c>
      <c r="Y449" s="65">
        <f t="shared" si="88"/>
        <v>-2</v>
      </c>
      <c r="Z449" s="64">
        <f t="shared" si="89"/>
        <v>0</v>
      </c>
      <c r="AA449" s="63">
        <f t="shared" si="90"/>
        <v>3.3879999999999999</v>
      </c>
      <c r="AB449" s="63">
        <f t="shared" si="91"/>
        <v>0.89800000000000002</v>
      </c>
    </row>
    <row r="450" spans="2:28">
      <c r="B450" s="104">
        <f>'114+840'!B451</f>
        <v>45707</v>
      </c>
      <c r="C450" s="75">
        <f t="shared" si="83"/>
        <v>1</v>
      </c>
      <c r="D450" s="74">
        <f t="shared" si="84"/>
        <v>842</v>
      </c>
      <c r="E450" s="73">
        <f>VLOOKUP(B450,'114+840'!B451:AB451,3,FALSE)</f>
        <v>2049</v>
      </c>
      <c r="F450" s="70">
        <f t="shared" si="79"/>
        <v>2891</v>
      </c>
      <c r="G450" s="72">
        <f>VLOOKUP(B450,'114+840'!$B$15:$AB$516,20,FALSE)</f>
        <v>2368</v>
      </c>
      <c r="H450" s="72">
        <f>VLOOKUP(B450,'114+840'!$B$15:$AB$516,4,FALSE)</f>
        <v>703</v>
      </c>
      <c r="I450" s="69">
        <f t="shared" si="80"/>
        <v>2188</v>
      </c>
      <c r="J450" s="69">
        <f>VLOOKUP(B450,'114+840'!$B$15:$AB$516,13,FALSE)</f>
        <v>-812</v>
      </c>
      <c r="K450" s="67">
        <f>'114+840'!Q451</f>
        <v>5</v>
      </c>
      <c r="L450" s="66">
        <f t="shared" si="85"/>
        <v>732</v>
      </c>
      <c r="M450" s="71">
        <f>VLOOKUP(B450,'114+840'!$B$14:$AB$516,21,FALSE)</f>
        <v>2040</v>
      </c>
      <c r="N450" s="70">
        <f>VLOOKUP(B450,'114+840'!$B$15:$AB$516,5,FALSE)</f>
        <v>851</v>
      </c>
      <c r="O450" s="69">
        <f t="shared" si="81"/>
        <v>2040</v>
      </c>
      <c r="P450" s="69">
        <f>VLOOKUP(B450,'114+840'!$B$15:$AB$516,14,FALSE)</f>
        <v>-960</v>
      </c>
      <c r="Q450" s="67">
        <f>'114+840'!R451</f>
        <v>9</v>
      </c>
      <c r="R450" s="66">
        <f t="shared" si="86"/>
        <v>1060</v>
      </c>
      <c r="S450" s="71">
        <f>VLOOKUP(B450,'114+840'!$B$14:$AB$516,22,FALSE)</f>
        <v>2627</v>
      </c>
      <c r="T450" s="70">
        <f>VLOOKUP(B450,'114+840'!$B$15:$AB$516,6,FALSE)</f>
        <v>754</v>
      </c>
      <c r="U450" s="69">
        <f t="shared" si="82"/>
        <v>2137</v>
      </c>
      <c r="V450" s="68">
        <f>VLOOKUP(B450,'114+840'!$B$15:$AB$516,15,FALSE)</f>
        <v>-863</v>
      </c>
      <c r="W450" s="67">
        <f>'114+840'!S451</f>
        <v>2</v>
      </c>
      <c r="X450" s="66">
        <f t="shared" si="87"/>
        <v>473</v>
      </c>
      <c r="Y450" s="65">
        <f t="shared" si="88"/>
        <v>-2</v>
      </c>
      <c r="Z450" s="64">
        <f t="shared" si="89"/>
        <v>0</v>
      </c>
      <c r="AA450" s="63">
        <f t="shared" si="90"/>
        <v>3.3879999999999999</v>
      </c>
      <c r="AB450" s="63">
        <f t="shared" si="91"/>
        <v>0.88</v>
      </c>
    </row>
    <row r="451" spans="2:28">
      <c r="B451" s="104">
        <f>'114+840'!B452</f>
        <v>45708</v>
      </c>
      <c r="C451" s="75">
        <f t="shared" si="83"/>
        <v>1</v>
      </c>
      <c r="D451" s="74">
        <f t="shared" si="84"/>
        <v>842</v>
      </c>
      <c r="E451" s="73">
        <f>VLOOKUP(B451,'114+840'!B452:AB452,3,FALSE)</f>
        <v>2051</v>
      </c>
      <c r="F451" s="70">
        <f t="shared" si="79"/>
        <v>2893</v>
      </c>
      <c r="G451" s="72">
        <f>VLOOKUP(B451,'114+840'!$B$15:$AB$516,20,FALSE)</f>
        <v>2363</v>
      </c>
      <c r="H451" s="72">
        <f>VLOOKUP(B451,'114+840'!$B$15:$AB$516,4,FALSE)</f>
        <v>710</v>
      </c>
      <c r="I451" s="69">
        <f t="shared" si="80"/>
        <v>2183</v>
      </c>
      <c r="J451" s="69">
        <f>VLOOKUP(B451,'114+840'!$B$15:$AB$516,13,FALSE)</f>
        <v>-817</v>
      </c>
      <c r="K451" s="67">
        <f>'114+840'!Q452</f>
        <v>5</v>
      </c>
      <c r="L451" s="66">
        <f t="shared" si="85"/>
        <v>737</v>
      </c>
      <c r="M451" s="71">
        <f>VLOOKUP(B451,'114+840'!$B$14:$AB$516,21,FALSE)</f>
        <v>2032</v>
      </c>
      <c r="N451" s="70">
        <f>VLOOKUP(B451,'114+840'!$B$15:$AB$516,5,FALSE)</f>
        <v>861</v>
      </c>
      <c r="O451" s="69">
        <f t="shared" si="81"/>
        <v>2032</v>
      </c>
      <c r="P451" s="69">
        <f>VLOOKUP(B451,'114+840'!$B$15:$AB$516,14,FALSE)</f>
        <v>-968</v>
      </c>
      <c r="Q451" s="67">
        <f>'114+840'!R452</f>
        <v>8</v>
      </c>
      <c r="R451" s="66">
        <f t="shared" si="86"/>
        <v>1068</v>
      </c>
      <c r="S451" s="71">
        <f>VLOOKUP(B451,'114+840'!$B$14:$AB$516,22,FALSE)</f>
        <v>2625</v>
      </c>
      <c r="T451" s="70">
        <f>VLOOKUP(B451,'114+840'!$B$15:$AB$516,6,FALSE)</f>
        <v>758</v>
      </c>
      <c r="U451" s="69">
        <f t="shared" si="82"/>
        <v>2135</v>
      </c>
      <c r="V451" s="68">
        <f>VLOOKUP(B451,'114+840'!$B$15:$AB$516,15,FALSE)</f>
        <v>-865</v>
      </c>
      <c r="W451" s="67">
        <f>'114+840'!S452</f>
        <v>2</v>
      </c>
      <c r="X451" s="66">
        <f t="shared" si="87"/>
        <v>475</v>
      </c>
      <c r="Y451" s="65">
        <f t="shared" si="88"/>
        <v>-2</v>
      </c>
      <c r="Z451" s="64">
        <f t="shared" si="89"/>
        <v>0</v>
      </c>
      <c r="AA451" s="63">
        <f t="shared" si="90"/>
        <v>3.3879999999999999</v>
      </c>
      <c r="AB451" s="63">
        <f t="shared" si="91"/>
        <v>0.86399999999999999</v>
      </c>
    </row>
    <row r="452" spans="2:28">
      <c r="B452" s="104">
        <f>'114+840'!B453</f>
        <v>45709</v>
      </c>
      <c r="C452" s="75">
        <f t="shared" si="83"/>
        <v>1</v>
      </c>
      <c r="D452" s="74">
        <f t="shared" si="84"/>
        <v>842</v>
      </c>
      <c r="E452" s="73">
        <f>VLOOKUP(B452,'114+840'!B453:AB453,3,FALSE)</f>
        <v>2053</v>
      </c>
      <c r="F452" s="70">
        <f t="shared" si="79"/>
        <v>2895</v>
      </c>
      <c r="G452" s="72">
        <f>VLOOKUP(B452,'114+840'!$B$15:$AB$516,20,FALSE)</f>
        <v>2356</v>
      </c>
      <c r="H452" s="72">
        <f>VLOOKUP(B452,'114+840'!$B$15:$AB$516,4,FALSE)</f>
        <v>719</v>
      </c>
      <c r="I452" s="69">
        <f t="shared" si="80"/>
        <v>2176</v>
      </c>
      <c r="J452" s="69">
        <f>VLOOKUP(B452,'114+840'!$B$15:$AB$516,13,FALSE)</f>
        <v>-824</v>
      </c>
      <c r="K452" s="67">
        <f>'114+840'!Q453</f>
        <v>7</v>
      </c>
      <c r="L452" s="66">
        <f t="shared" si="85"/>
        <v>744</v>
      </c>
      <c r="M452" s="71">
        <f>VLOOKUP(B452,'114+840'!$B$14:$AB$516,21,FALSE)</f>
        <v>2025</v>
      </c>
      <c r="N452" s="70">
        <f>VLOOKUP(B452,'114+840'!$B$15:$AB$516,5,FALSE)</f>
        <v>870</v>
      </c>
      <c r="O452" s="69">
        <f t="shared" si="81"/>
        <v>2025</v>
      </c>
      <c r="P452" s="69">
        <f>VLOOKUP(B452,'114+840'!$B$15:$AB$516,14,FALSE)</f>
        <v>-975</v>
      </c>
      <c r="Q452" s="67">
        <f>'114+840'!R453</f>
        <v>7</v>
      </c>
      <c r="R452" s="66">
        <f t="shared" si="86"/>
        <v>1075</v>
      </c>
      <c r="S452" s="71">
        <f>VLOOKUP(B452,'114+840'!$B$14:$AB$516,22,FALSE)</f>
        <v>2624</v>
      </c>
      <c r="T452" s="70">
        <f>VLOOKUP(B452,'114+840'!$B$15:$AB$516,6,FALSE)</f>
        <v>761</v>
      </c>
      <c r="U452" s="69">
        <f t="shared" si="82"/>
        <v>2134</v>
      </c>
      <c r="V452" s="68">
        <f>VLOOKUP(B452,'114+840'!$B$15:$AB$516,15,FALSE)</f>
        <v>-866</v>
      </c>
      <c r="W452" s="67">
        <f>'114+840'!S453</f>
        <v>1</v>
      </c>
      <c r="X452" s="66">
        <f t="shared" si="87"/>
        <v>476</v>
      </c>
      <c r="Y452" s="65">
        <f t="shared" si="88"/>
        <v>-1</v>
      </c>
      <c r="Z452" s="64">
        <f t="shared" si="89"/>
        <v>0</v>
      </c>
      <c r="AA452" s="63">
        <f t="shared" si="90"/>
        <v>3.3879999999999999</v>
      </c>
      <c r="AB452" s="63">
        <f t="shared" si="91"/>
        <v>0.85</v>
      </c>
    </row>
    <row r="453" spans="2:28">
      <c r="B453" s="104">
        <f>'114+840'!B454</f>
        <v>45710</v>
      </c>
      <c r="C453" s="75">
        <f t="shared" si="83"/>
        <v>1</v>
      </c>
      <c r="D453" s="74">
        <f t="shared" si="84"/>
        <v>842</v>
      </c>
      <c r="E453" s="73">
        <f>VLOOKUP(B453,'114+840'!B454:AB454,3,FALSE)</f>
        <v>2055</v>
      </c>
      <c r="F453" s="70">
        <f t="shared" si="79"/>
        <v>2897</v>
      </c>
      <c r="G453" s="72">
        <f>VLOOKUP(B453,'114+840'!$B$15:$AB$516,20,FALSE)</f>
        <v>2351</v>
      </c>
      <c r="H453" s="72">
        <f>VLOOKUP(B453,'114+840'!$B$15:$AB$516,4,FALSE)</f>
        <v>726</v>
      </c>
      <c r="I453" s="69">
        <f t="shared" si="80"/>
        <v>2171</v>
      </c>
      <c r="J453" s="69">
        <f>VLOOKUP(B453,'114+840'!$B$15:$AB$516,13,FALSE)</f>
        <v>-829</v>
      </c>
      <c r="K453" s="67">
        <f>'114+840'!Q454</f>
        <v>5</v>
      </c>
      <c r="L453" s="66">
        <f t="shared" si="85"/>
        <v>749</v>
      </c>
      <c r="M453" s="71">
        <f>VLOOKUP(B453,'114+840'!$B$14:$AB$516,21,FALSE)</f>
        <v>2016</v>
      </c>
      <c r="N453" s="70">
        <f>VLOOKUP(B453,'114+840'!$B$15:$AB$516,5,FALSE)</f>
        <v>881</v>
      </c>
      <c r="O453" s="69">
        <f t="shared" si="81"/>
        <v>2016</v>
      </c>
      <c r="P453" s="69">
        <f>VLOOKUP(B453,'114+840'!$B$15:$AB$516,14,FALSE)</f>
        <v>-984</v>
      </c>
      <c r="Q453" s="67">
        <f>'114+840'!R454</f>
        <v>9</v>
      </c>
      <c r="R453" s="66">
        <f t="shared" si="86"/>
        <v>1084</v>
      </c>
      <c r="S453" s="71">
        <f>VLOOKUP(B453,'114+840'!$B$14:$AB$516,22,FALSE)</f>
        <v>2622</v>
      </c>
      <c r="T453" s="70">
        <f>VLOOKUP(B453,'114+840'!$B$15:$AB$516,6,FALSE)</f>
        <v>765</v>
      </c>
      <c r="U453" s="69">
        <f t="shared" si="82"/>
        <v>2132</v>
      </c>
      <c r="V453" s="68">
        <f>VLOOKUP(B453,'114+840'!$B$15:$AB$516,15,FALSE)</f>
        <v>-868</v>
      </c>
      <c r="W453" s="67">
        <f>'114+840'!S454</f>
        <v>2</v>
      </c>
      <c r="X453" s="66">
        <f t="shared" si="87"/>
        <v>478</v>
      </c>
      <c r="Y453" s="65">
        <f t="shared" si="88"/>
        <v>-2</v>
      </c>
      <c r="Z453" s="64">
        <f t="shared" si="89"/>
        <v>0</v>
      </c>
      <c r="AA453" s="63">
        <f t="shared" si="90"/>
        <v>3.3879999999999999</v>
      </c>
      <c r="AB453" s="63">
        <f t="shared" si="91"/>
        <v>0.83199999999999996</v>
      </c>
    </row>
    <row r="454" spans="2:28">
      <c r="B454" s="104">
        <f>'114+840'!B455</f>
        <v>45711</v>
      </c>
      <c r="C454" s="75">
        <f t="shared" si="83"/>
        <v>1</v>
      </c>
      <c r="D454" s="74">
        <f t="shared" si="84"/>
        <v>842</v>
      </c>
      <c r="E454" s="73">
        <f>VLOOKUP(B454,'114+840'!B455:AB455,3,FALSE)</f>
        <v>2057</v>
      </c>
      <c r="F454" s="70">
        <f t="shared" si="79"/>
        <v>2899</v>
      </c>
      <c r="G454" s="72">
        <f>VLOOKUP(B454,'114+840'!$B$15:$AB$516,20,FALSE)</f>
        <v>2344</v>
      </c>
      <c r="H454" s="72">
        <f>VLOOKUP(B454,'114+840'!$B$15:$AB$516,4,FALSE)</f>
        <v>735</v>
      </c>
      <c r="I454" s="69">
        <f t="shared" si="80"/>
        <v>2164</v>
      </c>
      <c r="J454" s="69">
        <f>VLOOKUP(B454,'114+840'!$B$15:$AB$516,13,FALSE)</f>
        <v>-836</v>
      </c>
      <c r="K454" s="67">
        <f>'114+840'!Q455</f>
        <v>7</v>
      </c>
      <c r="L454" s="66">
        <f t="shared" si="85"/>
        <v>756</v>
      </c>
      <c r="M454" s="71">
        <f>VLOOKUP(B454,'114+840'!$B$14:$AB$516,21,FALSE)</f>
        <v>2008</v>
      </c>
      <c r="N454" s="70">
        <f>VLOOKUP(B454,'114+840'!$B$15:$AB$516,5,FALSE)</f>
        <v>891</v>
      </c>
      <c r="O454" s="69">
        <f t="shared" si="81"/>
        <v>2008</v>
      </c>
      <c r="P454" s="69">
        <f>VLOOKUP(B454,'114+840'!$B$15:$AB$516,14,FALSE)</f>
        <v>-992</v>
      </c>
      <c r="Q454" s="67">
        <f>'114+840'!R455</f>
        <v>8</v>
      </c>
      <c r="R454" s="66">
        <f t="shared" si="86"/>
        <v>1092</v>
      </c>
      <c r="S454" s="71">
        <f>VLOOKUP(B454,'114+840'!$B$14:$AB$516,22,FALSE)</f>
        <v>2621</v>
      </c>
      <c r="T454" s="70">
        <f>VLOOKUP(B454,'114+840'!$B$15:$AB$516,6,FALSE)</f>
        <v>768</v>
      </c>
      <c r="U454" s="69">
        <f t="shared" si="82"/>
        <v>2131</v>
      </c>
      <c r="V454" s="68">
        <f>VLOOKUP(B454,'114+840'!$B$15:$AB$516,15,FALSE)</f>
        <v>-869</v>
      </c>
      <c r="W454" s="67">
        <f>'114+840'!S455</f>
        <v>1</v>
      </c>
      <c r="X454" s="66">
        <f t="shared" si="87"/>
        <v>479</v>
      </c>
      <c r="Y454" s="65">
        <f t="shared" si="88"/>
        <v>-1</v>
      </c>
      <c r="Z454" s="64">
        <f t="shared" si="89"/>
        <v>0</v>
      </c>
      <c r="AA454" s="63">
        <f t="shared" si="90"/>
        <v>3.3879999999999999</v>
      </c>
      <c r="AB454" s="63">
        <f t="shared" si="91"/>
        <v>0.81599999999999995</v>
      </c>
    </row>
    <row r="455" spans="2:28">
      <c r="B455" s="104">
        <f>'114+840'!B456</f>
        <v>45712</v>
      </c>
      <c r="C455" s="75">
        <f t="shared" si="83"/>
        <v>1</v>
      </c>
      <c r="D455" s="74">
        <f t="shared" si="84"/>
        <v>842</v>
      </c>
      <c r="E455" s="73">
        <f>VLOOKUP(B455,'114+840'!B456:AB456,3,FALSE)</f>
        <v>2059</v>
      </c>
      <c r="F455" s="70">
        <f t="shared" si="79"/>
        <v>2901</v>
      </c>
      <c r="G455" s="72">
        <f>VLOOKUP(B455,'114+840'!$B$15:$AB$516,20,FALSE)</f>
        <v>2341</v>
      </c>
      <c r="H455" s="72">
        <f>VLOOKUP(B455,'114+840'!$B$15:$AB$516,4,FALSE)</f>
        <v>740</v>
      </c>
      <c r="I455" s="69">
        <f t="shared" si="80"/>
        <v>2161</v>
      </c>
      <c r="J455" s="69">
        <f>VLOOKUP(B455,'114+840'!$B$15:$AB$516,13,FALSE)</f>
        <v>-839</v>
      </c>
      <c r="K455" s="67">
        <f>'114+840'!Q456</f>
        <v>3</v>
      </c>
      <c r="L455" s="66">
        <f t="shared" si="85"/>
        <v>759</v>
      </c>
      <c r="M455" s="71">
        <f>VLOOKUP(B455,'114+840'!$B$14:$AB$516,21,FALSE)</f>
        <v>2000</v>
      </c>
      <c r="N455" s="70">
        <f>VLOOKUP(B455,'114+840'!$B$15:$AB$516,5,FALSE)</f>
        <v>901</v>
      </c>
      <c r="O455" s="69">
        <f t="shared" si="81"/>
        <v>2000</v>
      </c>
      <c r="P455" s="69">
        <f>VLOOKUP(B455,'114+840'!$B$15:$AB$516,14,FALSE)</f>
        <v>-1000</v>
      </c>
      <c r="Q455" s="67">
        <f>'114+840'!R456</f>
        <v>8</v>
      </c>
      <c r="R455" s="66">
        <f t="shared" si="86"/>
        <v>1100</v>
      </c>
      <c r="S455" s="71">
        <f>VLOOKUP(B455,'114+840'!$B$14:$AB$516,22,FALSE)</f>
        <v>2620</v>
      </c>
      <c r="T455" s="70">
        <f>VLOOKUP(B455,'114+840'!$B$15:$AB$516,6,FALSE)</f>
        <v>771</v>
      </c>
      <c r="U455" s="69">
        <f t="shared" si="82"/>
        <v>2130</v>
      </c>
      <c r="V455" s="68">
        <f>VLOOKUP(B455,'114+840'!$B$15:$AB$516,15,FALSE)</f>
        <v>-870</v>
      </c>
      <c r="W455" s="67">
        <f>'114+840'!S456</f>
        <v>1</v>
      </c>
      <c r="X455" s="66">
        <f t="shared" si="87"/>
        <v>480</v>
      </c>
      <c r="Y455" s="65">
        <f t="shared" si="88"/>
        <v>-1</v>
      </c>
      <c r="Z455" s="64">
        <f t="shared" si="89"/>
        <v>0</v>
      </c>
      <c r="AA455" s="63">
        <f t="shared" si="90"/>
        <v>3.3879999999999999</v>
      </c>
      <c r="AB455" s="63">
        <f t="shared" si="91"/>
        <v>0.8</v>
      </c>
    </row>
    <row r="456" spans="2:28">
      <c r="B456" s="104">
        <f>'114+840'!B457</f>
        <v>45713</v>
      </c>
      <c r="C456" s="75">
        <f t="shared" si="83"/>
        <v>1</v>
      </c>
      <c r="D456" s="74">
        <f t="shared" si="84"/>
        <v>842</v>
      </c>
      <c r="E456" s="73">
        <f>VLOOKUP(B456,'114+840'!B457:AB457,3,FALSE)</f>
        <v>2061</v>
      </c>
      <c r="F456" s="70">
        <f t="shared" si="79"/>
        <v>2903</v>
      </c>
      <c r="G456" s="72">
        <f>VLOOKUP(B456,'114+840'!$B$15:$AB$516,20,FALSE)</f>
        <v>2339</v>
      </c>
      <c r="H456" s="72">
        <f>VLOOKUP(B456,'114+840'!$B$15:$AB$516,4,FALSE)</f>
        <v>744</v>
      </c>
      <c r="I456" s="69">
        <f t="shared" si="80"/>
        <v>2159</v>
      </c>
      <c r="J456" s="69">
        <f>VLOOKUP(B456,'114+840'!$B$15:$AB$516,13,FALSE)</f>
        <v>-841</v>
      </c>
      <c r="K456" s="67">
        <f>'114+840'!Q457</f>
        <v>2</v>
      </c>
      <c r="L456" s="66">
        <f t="shared" si="85"/>
        <v>761</v>
      </c>
      <c r="M456" s="71">
        <f>VLOOKUP(B456,'114+840'!$B$14:$AB$516,21,FALSE)</f>
        <v>1993</v>
      </c>
      <c r="N456" s="70">
        <f>VLOOKUP(B456,'114+840'!$B$15:$AB$516,5,FALSE)</f>
        <v>910</v>
      </c>
      <c r="O456" s="69">
        <f t="shared" si="81"/>
        <v>1993</v>
      </c>
      <c r="P456" s="69">
        <f>VLOOKUP(B456,'114+840'!$B$15:$AB$516,14,FALSE)</f>
        <v>-1007</v>
      </c>
      <c r="Q456" s="67">
        <f>'114+840'!R457</f>
        <v>7</v>
      </c>
      <c r="R456" s="66">
        <f t="shared" si="86"/>
        <v>1107</v>
      </c>
      <c r="S456" s="71">
        <f>VLOOKUP(B456,'114+840'!$B$14:$AB$516,22,FALSE)</f>
        <v>2617</v>
      </c>
      <c r="T456" s="70">
        <f>VLOOKUP(B456,'114+840'!$B$15:$AB$516,6,FALSE)</f>
        <v>776</v>
      </c>
      <c r="U456" s="69">
        <f t="shared" si="82"/>
        <v>2127</v>
      </c>
      <c r="V456" s="68">
        <f>VLOOKUP(B456,'114+840'!$B$15:$AB$516,15,FALSE)</f>
        <v>-873</v>
      </c>
      <c r="W456" s="67">
        <f>'114+840'!S457</f>
        <v>3</v>
      </c>
      <c r="X456" s="66">
        <f t="shared" si="87"/>
        <v>483</v>
      </c>
      <c r="Y456" s="65">
        <f t="shared" si="88"/>
        <v>-3</v>
      </c>
      <c r="Z456" s="64">
        <f t="shared" si="89"/>
        <v>0</v>
      </c>
      <c r="AA456" s="63">
        <f t="shared" si="90"/>
        <v>3.3879999999999999</v>
      </c>
      <c r="AB456" s="63">
        <f t="shared" si="91"/>
        <v>0.78600000000000003</v>
      </c>
    </row>
    <row r="457" spans="2:28">
      <c r="B457" s="104">
        <f>'114+840'!B458</f>
        <v>45714</v>
      </c>
      <c r="C457" s="75">
        <f t="shared" si="83"/>
        <v>1</v>
      </c>
      <c r="D457" s="74">
        <f t="shared" si="84"/>
        <v>842</v>
      </c>
      <c r="E457" s="73">
        <f>VLOOKUP(B457,'114+840'!B458:AB458,3,FALSE)</f>
        <v>2063</v>
      </c>
      <c r="F457" s="70">
        <f t="shared" si="79"/>
        <v>2905</v>
      </c>
      <c r="G457" s="72">
        <f>VLOOKUP(B457,'114+840'!$B$15:$AB$516,20,FALSE)</f>
        <v>2335</v>
      </c>
      <c r="H457" s="72">
        <f>VLOOKUP(B457,'114+840'!$B$15:$AB$516,4,FALSE)</f>
        <v>750</v>
      </c>
      <c r="I457" s="69">
        <f t="shared" si="80"/>
        <v>2155</v>
      </c>
      <c r="J457" s="69">
        <f>VLOOKUP(B457,'114+840'!$B$15:$AB$516,13,FALSE)</f>
        <v>-845</v>
      </c>
      <c r="K457" s="67">
        <f>'114+840'!Q458</f>
        <v>4</v>
      </c>
      <c r="L457" s="66">
        <f t="shared" si="85"/>
        <v>765</v>
      </c>
      <c r="M457" s="71">
        <f>VLOOKUP(B457,'114+840'!$B$14:$AB$516,21,FALSE)</f>
        <v>1986</v>
      </c>
      <c r="N457" s="70">
        <f>VLOOKUP(B457,'114+840'!$B$15:$AB$516,5,FALSE)</f>
        <v>919</v>
      </c>
      <c r="O457" s="69">
        <f t="shared" si="81"/>
        <v>1986</v>
      </c>
      <c r="P457" s="69">
        <f>VLOOKUP(B457,'114+840'!$B$15:$AB$516,14,FALSE)</f>
        <v>-1014</v>
      </c>
      <c r="Q457" s="67">
        <f>'114+840'!R458</f>
        <v>7</v>
      </c>
      <c r="R457" s="66">
        <f t="shared" si="86"/>
        <v>1114</v>
      </c>
      <c r="S457" s="71">
        <f>VLOOKUP(B457,'114+840'!$B$14:$AB$516,22,FALSE)</f>
        <v>2616</v>
      </c>
      <c r="T457" s="70">
        <f>VLOOKUP(B457,'114+840'!$B$15:$AB$516,6,FALSE)</f>
        <v>779</v>
      </c>
      <c r="U457" s="69">
        <f t="shared" si="82"/>
        <v>2126</v>
      </c>
      <c r="V457" s="68">
        <f>VLOOKUP(B457,'114+840'!$B$15:$AB$516,15,FALSE)</f>
        <v>-874</v>
      </c>
      <c r="W457" s="67">
        <f>'114+840'!S458</f>
        <v>1</v>
      </c>
      <c r="X457" s="66">
        <f t="shared" si="87"/>
        <v>484</v>
      </c>
      <c r="Y457" s="65">
        <f t="shared" si="88"/>
        <v>-1</v>
      </c>
      <c r="Z457" s="64">
        <f t="shared" si="89"/>
        <v>0</v>
      </c>
      <c r="AA457" s="63">
        <f t="shared" si="90"/>
        <v>3.3879999999999999</v>
      </c>
      <c r="AB457" s="63">
        <f t="shared" si="91"/>
        <v>0.77200000000000002</v>
      </c>
    </row>
    <row r="458" spans="2:28">
      <c r="B458" s="104">
        <f>'114+840'!B459</f>
        <v>45715</v>
      </c>
      <c r="C458" s="75">
        <f t="shared" si="83"/>
        <v>1</v>
      </c>
      <c r="D458" s="74">
        <f t="shared" si="84"/>
        <v>842</v>
      </c>
      <c r="E458" s="73">
        <f>VLOOKUP(B458,'114+840'!B459:AB459,3,FALSE)</f>
        <v>2065</v>
      </c>
      <c r="F458" s="70">
        <f t="shared" si="79"/>
        <v>2907</v>
      </c>
      <c r="G458" s="72">
        <f>VLOOKUP(B458,'114+840'!$B$15:$AB$516,20,FALSE)</f>
        <v>2328</v>
      </c>
      <c r="H458" s="72">
        <f>VLOOKUP(B458,'114+840'!$B$15:$AB$516,4,FALSE)</f>
        <v>759</v>
      </c>
      <c r="I458" s="69">
        <f t="shared" si="80"/>
        <v>2148</v>
      </c>
      <c r="J458" s="69">
        <f>VLOOKUP(B458,'114+840'!$B$15:$AB$516,13,FALSE)</f>
        <v>-852</v>
      </c>
      <c r="K458" s="67">
        <f>'114+840'!Q459</f>
        <v>7</v>
      </c>
      <c r="L458" s="66">
        <f t="shared" si="85"/>
        <v>772</v>
      </c>
      <c r="M458" s="71">
        <f>VLOOKUP(B458,'114+840'!$B$14:$AB$516,21,FALSE)</f>
        <v>1980</v>
      </c>
      <c r="N458" s="70">
        <f>VLOOKUP(B458,'114+840'!$B$15:$AB$516,5,FALSE)</f>
        <v>927</v>
      </c>
      <c r="O458" s="69">
        <f t="shared" si="81"/>
        <v>1980</v>
      </c>
      <c r="P458" s="69">
        <f>VLOOKUP(B458,'114+840'!$B$15:$AB$516,14,FALSE)</f>
        <v>-1020</v>
      </c>
      <c r="Q458" s="67">
        <f>'114+840'!R459</f>
        <v>6</v>
      </c>
      <c r="R458" s="66">
        <f t="shared" si="86"/>
        <v>1120</v>
      </c>
      <c r="S458" s="71">
        <f>VLOOKUP(B458,'114+840'!$B$14:$AB$516,22,FALSE)</f>
        <v>2614</v>
      </c>
      <c r="T458" s="70">
        <f>VLOOKUP(B458,'114+840'!$B$15:$AB$516,6,FALSE)</f>
        <v>783</v>
      </c>
      <c r="U458" s="69">
        <f t="shared" si="82"/>
        <v>2124</v>
      </c>
      <c r="V458" s="68">
        <f>VLOOKUP(B458,'114+840'!$B$15:$AB$516,15,FALSE)</f>
        <v>-876</v>
      </c>
      <c r="W458" s="67">
        <f>'114+840'!S459</f>
        <v>2</v>
      </c>
      <c r="X458" s="66">
        <f t="shared" si="87"/>
        <v>486</v>
      </c>
      <c r="Y458" s="65">
        <f t="shared" si="88"/>
        <v>-2</v>
      </c>
      <c r="Z458" s="64">
        <f t="shared" si="89"/>
        <v>0</v>
      </c>
      <c r="AA458" s="63">
        <f t="shared" si="90"/>
        <v>3.3879999999999999</v>
      </c>
      <c r="AB458" s="63">
        <f t="shared" si="91"/>
        <v>0.76</v>
      </c>
    </row>
    <row r="459" spans="2:28">
      <c r="B459" s="104">
        <f>'114+840'!B460</f>
        <v>45716</v>
      </c>
      <c r="C459" s="75">
        <f t="shared" si="83"/>
        <v>1</v>
      </c>
      <c r="D459" s="74">
        <f t="shared" si="84"/>
        <v>842</v>
      </c>
      <c r="E459" s="73">
        <f>VLOOKUP(B459,'114+840'!B460:AB460,3,FALSE)</f>
        <v>2067</v>
      </c>
      <c r="F459" s="70">
        <f t="shared" si="79"/>
        <v>2909</v>
      </c>
      <c r="G459" s="72">
        <f>VLOOKUP(B459,'114+840'!$B$15:$AB$516,20,FALSE)</f>
        <v>2323</v>
      </c>
      <c r="H459" s="72">
        <f>VLOOKUP(B459,'114+840'!$B$15:$AB$516,4,FALSE)</f>
        <v>766</v>
      </c>
      <c r="I459" s="69">
        <f t="shared" si="80"/>
        <v>2143</v>
      </c>
      <c r="J459" s="69">
        <f>VLOOKUP(B459,'114+840'!$B$15:$AB$516,13,FALSE)</f>
        <v>-857</v>
      </c>
      <c r="K459" s="67">
        <f>'114+840'!Q460</f>
        <v>5</v>
      </c>
      <c r="L459" s="66">
        <f t="shared" si="85"/>
        <v>777</v>
      </c>
      <c r="M459" s="71">
        <f>VLOOKUP(B459,'114+840'!$B$14:$AB$516,21,FALSE)</f>
        <v>1972</v>
      </c>
      <c r="N459" s="70">
        <f>VLOOKUP(B459,'114+840'!$B$15:$AB$516,5,FALSE)</f>
        <v>937</v>
      </c>
      <c r="O459" s="69">
        <f t="shared" si="81"/>
        <v>1972</v>
      </c>
      <c r="P459" s="69">
        <f>VLOOKUP(B459,'114+840'!$B$15:$AB$516,14,FALSE)</f>
        <v>-1028</v>
      </c>
      <c r="Q459" s="67">
        <f>'114+840'!R460</f>
        <v>8</v>
      </c>
      <c r="R459" s="66">
        <f t="shared" si="86"/>
        <v>1128</v>
      </c>
      <c r="S459" s="71">
        <f>VLOOKUP(B459,'114+840'!$B$14:$AB$516,22,FALSE)</f>
        <v>2613</v>
      </c>
      <c r="T459" s="70">
        <f>VLOOKUP(B459,'114+840'!$B$15:$AB$516,6,FALSE)</f>
        <v>786</v>
      </c>
      <c r="U459" s="69">
        <f t="shared" si="82"/>
        <v>2123</v>
      </c>
      <c r="V459" s="68">
        <f>VLOOKUP(B459,'114+840'!$B$15:$AB$516,15,FALSE)</f>
        <v>-877</v>
      </c>
      <c r="W459" s="67">
        <f>'114+840'!S460</f>
        <v>1</v>
      </c>
      <c r="X459" s="66">
        <f t="shared" si="87"/>
        <v>487</v>
      </c>
      <c r="Y459" s="65">
        <f t="shared" si="88"/>
        <v>-1</v>
      </c>
      <c r="Z459" s="64">
        <f t="shared" si="89"/>
        <v>0</v>
      </c>
      <c r="AA459" s="63">
        <f t="shared" si="90"/>
        <v>3.3879999999999999</v>
      </c>
      <c r="AB459" s="63">
        <f t="shared" si="91"/>
        <v>0.74399999999999999</v>
      </c>
    </row>
    <row r="460" spans="2:28">
      <c r="B460" s="104">
        <f>'114+840'!B461</f>
        <v>45717</v>
      </c>
      <c r="C460" s="75">
        <f t="shared" si="83"/>
        <v>1</v>
      </c>
      <c r="D460" s="74">
        <f t="shared" si="84"/>
        <v>842</v>
      </c>
      <c r="E460" s="73">
        <f>VLOOKUP(B460,'114+840'!B461:AB461,3,FALSE)</f>
        <v>2069</v>
      </c>
      <c r="F460" s="70">
        <f t="shared" si="79"/>
        <v>2911</v>
      </c>
      <c r="G460" s="72">
        <f>VLOOKUP(B460,'114+840'!$B$15:$AB$516,20,FALSE)</f>
        <v>2318</v>
      </c>
      <c r="H460" s="72">
        <f>VLOOKUP(B460,'114+840'!$B$15:$AB$516,4,FALSE)</f>
        <v>773</v>
      </c>
      <c r="I460" s="69">
        <f t="shared" si="80"/>
        <v>2138</v>
      </c>
      <c r="J460" s="69">
        <f>VLOOKUP(B460,'114+840'!$B$15:$AB$516,13,FALSE)</f>
        <v>-862</v>
      </c>
      <c r="K460" s="67">
        <f>'114+840'!Q461</f>
        <v>5</v>
      </c>
      <c r="L460" s="66">
        <f t="shared" si="85"/>
        <v>782</v>
      </c>
      <c r="M460" s="71">
        <f>VLOOKUP(B460,'114+840'!$B$14:$AB$516,21,FALSE)</f>
        <v>1965</v>
      </c>
      <c r="N460" s="70">
        <f>VLOOKUP(B460,'114+840'!$B$15:$AB$516,5,FALSE)</f>
        <v>946</v>
      </c>
      <c r="O460" s="69">
        <f t="shared" si="81"/>
        <v>1965</v>
      </c>
      <c r="P460" s="69">
        <f>VLOOKUP(B460,'114+840'!$B$15:$AB$516,14,FALSE)</f>
        <v>-1035</v>
      </c>
      <c r="Q460" s="67">
        <f>'114+840'!R461</f>
        <v>7</v>
      </c>
      <c r="R460" s="66">
        <f t="shared" si="86"/>
        <v>1135</v>
      </c>
      <c r="S460" s="71">
        <f>VLOOKUP(B460,'114+840'!$B$14:$AB$516,22,FALSE)</f>
        <v>2611</v>
      </c>
      <c r="T460" s="70">
        <f>VLOOKUP(B460,'114+840'!$B$15:$AB$516,6,FALSE)</f>
        <v>790</v>
      </c>
      <c r="U460" s="69">
        <f t="shared" si="82"/>
        <v>2121</v>
      </c>
      <c r="V460" s="68">
        <f>VLOOKUP(B460,'114+840'!$B$15:$AB$516,15,FALSE)</f>
        <v>-879</v>
      </c>
      <c r="W460" s="67">
        <f>'114+840'!S461</f>
        <v>2</v>
      </c>
      <c r="X460" s="66">
        <f t="shared" si="87"/>
        <v>489</v>
      </c>
      <c r="Y460" s="65">
        <f t="shared" si="88"/>
        <v>-2</v>
      </c>
      <c r="Z460" s="64">
        <f t="shared" si="89"/>
        <v>0</v>
      </c>
      <c r="AA460" s="63">
        <f t="shared" si="90"/>
        <v>3.3879999999999999</v>
      </c>
      <c r="AB460" s="63">
        <f t="shared" si="91"/>
        <v>0.73</v>
      </c>
    </row>
    <row r="461" spans="2:28">
      <c r="B461" s="104">
        <f>'114+840'!B462</f>
        <v>45718</v>
      </c>
      <c r="C461" s="75">
        <f t="shared" si="83"/>
        <v>1</v>
      </c>
      <c r="D461" s="74">
        <f t="shared" si="84"/>
        <v>842</v>
      </c>
      <c r="E461" s="73">
        <f>VLOOKUP(B461,'114+840'!B462:AB462,3,FALSE)</f>
        <v>2071</v>
      </c>
      <c r="F461" s="70">
        <f t="shared" ref="F461:F490" si="92">D461+E461</f>
        <v>2913</v>
      </c>
      <c r="G461" s="72">
        <f>VLOOKUP(B461,'114+840'!$B$15:$AB$516,20,FALSE)</f>
        <v>2314</v>
      </c>
      <c r="H461" s="72">
        <f>VLOOKUP(B461,'114+840'!$B$15:$AB$516,4,FALSE)</f>
        <v>779</v>
      </c>
      <c r="I461" s="69">
        <f t="shared" ref="I461:I490" si="93">F461-H461</f>
        <v>2134</v>
      </c>
      <c r="J461" s="69">
        <f>VLOOKUP(B461,'114+840'!$B$15:$AB$516,13,FALSE)</f>
        <v>-866</v>
      </c>
      <c r="K461" s="67">
        <f>'114+840'!Q462</f>
        <v>4</v>
      </c>
      <c r="L461" s="66">
        <f t="shared" si="85"/>
        <v>786</v>
      </c>
      <c r="M461" s="71">
        <f>VLOOKUP(B461,'114+840'!$B$14:$AB$516,21,FALSE)</f>
        <v>1956</v>
      </c>
      <c r="N461" s="70">
        <f>VLOOKUP(B461,'114+840'!$B$15:$AB$516,5,FALSE)</f>
        <v>957</v>
      </c>
      <c r="O461" s="69">
        <f t="shared" ref="O461:O490" si="94">F461-N461</f>
        <v>1956</v>
      </c>
      <c r="P461" s="69">
        <f>VLOOKUP(B461,'114+840'!$B$15:$AB$516,14,FALSE)</f>
        <v>-1044</v>
      </c>
      <c r="Q461" s="67">
        <f>'114+840'!R462</f>
        <v>9</v>
      </c>
      <c r="R461" s="66">
        <f t="shared" si="86"/>
        <v>1144</v>
      </c>
      <c r="S461" s="71">
        <f>VLOOKUP(B461,'114+840'!$B$14:$AB$516,22,FALSE)</f>
        <v>2609</v>
      </c>
      <c r="T461" s="70">
        <f>VLOOKUP(B461,'114+840'!$B$15:$AB$516,6,FALSE)</f>
        <v>794</v>
      </c>
      <c r="U461" s="69">
        <f t="shared" ref="U461:U490" si="95">F461-T461</f>
        <v>2119</v>
      </c>
      <c r="V461" s="68">
        <f>VLOOKUP(B461,'114+840'!$B$15:$AB$516,15,FALSE)</f>
        <v>-881</v>
      </c>
      <c r="W461" s="67">
        <f>'114+840'!S462</f>
        <v>2</v>
      </c>
      <c r="X461" s="66">
        <f t="shared" si="87"/>
        <v>491</v>
      </c>
      <c r="Y461" s="65">
        <f t="shared" si="88"/>
        <v>-2</v>
      </c>
      <c r="Z461" s="64">
        <f t="shared" si="89"/>
        <v>0</v>
      </c>
      <c r="AA461" s="63">
        <f t="shared" si="90"/>
        <v>3.3879999999999999</v>
      </c>
      <c r="AB461" s="63">
        <f t="shared" si="91"/>
        <v>0.71199999999999997</v>
      </c>
    </row>
    <row r="462" spans="2:28">
      <c r="B462" s="104">
        <f>'114+840'!B463</f>
        <v>45719</v>
      </c>
      <c r="C462" s="75">
        <f t="shared" ref="C462:C525" si="96">B462-B461</f>
        <v>1</v>
      </c>
      <c r="D462" s="74">
        <f t="shared" ref="D462:D490" si="97">D461</f>
        <v>842</v>
      </c>
      <c r="E462" s="73">
        <f>VLOOKUP(B462,'114+840'!B463:AB463,3,FALSE)</f>
        <v>2073</v>
      </c>
      <c r="F462" s="70">
        <f t="shared" si="92"/>
        <v>2915</v>
      </c>
      <c r="G462" s="72">
        <f>VLOOKUP(B462,'114+840'!$B$15:$AB$516,20,FALSE)</f>
        <v>2311</v>
      </c>
      <c r="H462" s="72">
        <f>VLOOKUP(B462,'114+840'!$B$15:$AB$516,4,FALSE)</f>
        <v>784</v>
      </c>
      <c r="I462" s="69">
        <f t="shared" si="93"/>
        <v>2131</v>
      </c>
      <c r="J462" s="69">
        <f>VLOOKUP(B462,'114+840'!$B$15:$AB$516,13,FALSE)</f>
        <v>-869</v>
      </c>
      <c r="K462" s="67">
        <f>'114+840'!Q463</f>
        <v>3</v>
      </c>
      <c r="L462" s="66">
        <f t="shared" ref="L462:L490" si="98">+K462+L461</f>
        <v>789</v>
      </c>
      <c r="M462" s="71">
        <f>VLOOKUP(B462,'114+840'!$B$14:$AB$516,21,FALSE)</f>
        <v>1948</v>
      </c>
      <c r="N462" s="70">
        <f>VLOOKUP(B462,'114+840'!$B$15:$AB$516,5,FALSE)</f>
        <v>967</v>
      </c>
      <c r="O462" s="69">
        <f t="shared" si="94"/>
        <v>1948</v>
      </c>
      <c r="P462" s="69">
        <f>VLOOKUP(B462,'114+840'!$B$15:$AB$516,14,FALSE)</f>
        <v>-1052</v>
      </c>
      <c r="Q462" s="67">
        <f>'114+840'!R463</f>
        <v>8</v>
      </c>
      <c r="R462" s="66">
        <f t="shared" ref="R462:R490" si="99">+Q462+R461</f>
        <v>1152</v>
      </c>
      <c r="S462" s="71">
        <f>VLOOKUP(B462,'114+840'!$B$14:$AB$516,22,FALSE)</f>
        <v>2606</v>
      </c>
      <c r="T462" s="70">
        <f>VLOOKUP(B462,'114+840'!$B$15:$AB$516,6,FALSE)</f>
        <v>799</v>
      </c>
      <c r="U462" s="69">
        <f t="shared" si="95"/>
        <v>2116</v>
      </c>
      <c r="V462" s="68">
        <f>VLOOKUP(B462,'114+840'!$B$15:$AB$516,15,FALSE)</f>
        <v>-884</v>
      </c>
      <c r="W462" s="67">
        <f>'114+840'!S463</f>
        <v>3</v>
      </c>
      <c r="X462" s="66">
        <f t="shared" ref="X462:X490" si="100">+W462+X461</f>
        <v>494</v>
      </c>
      <c r="Y462" s="65">
        <f t="shared" ref="Y462:Y490" si="101">S462-S461</f>
        <v>-3</v>
      </c>
      <c r="Z462" s="64">
        <f t="shared" ref="Z462:Z525" si="102">IF(Y462&gt;0,Y462,0)/1000</f>
        <v>0</v>
      </c>
      <c r="AA462" s="63">
        <f t="shared" ref="AA462:AA490" si="103">AA461+Z462</f>
        <v>3.3879999999999999</v>
      </c>
      <c r="AB462" s="63">
        <f t="shared" ref="AB462:AB490" si="104">(M462-$M$13-R462)/1000</f>
        <v>0.69599999999999995</v>
      </c>
    </row>
    <row r="463" spans="2:28">
      <c r="B463" s="104">
        <f>'114+840'!B464</f>
        <v>45720</v>
      </c>
      <c r="C463" s="75">
        <f t="shared" si="96"/>
        <v>1</v>
      </c>
      <c r="D463" s="74">
        <f t="shared" si="97"/>
        <v>842</v>
      </c>
      <c r="E463" s="73">
        <f>VLOOKUP(B463,'114+840'!B464:AB464,3,FALSE)</f>
        <v>2075</v>
      </c>
      <c r="F463" s="70">
        <f t="shared" si="92"/>
        <v>2917</v>
      </c>
      <c r="G463" s="72">
        <f>VLOOKUP(B463,'114+840'!$B$15:$AB$516,20,FALSE)</f>
        <v>2309</v>
      </c>
      <c r="H463" s="72">
        <f>VLOOKUP(B463,'114+840'!$B$15:$AB$516,4,FALSE)</f>
        <v>788</v>
      </c>
      <c r="I463" s="69">
        <f t="shared" si="93"/>
        <v>2129</v>
      </c>
      <c r="J463" s="69">
        <f>VLOOKUP(B463,'114+840'!$B$15:$AB$516,13,FALSE)</f>
        <v>-871</v>
      </c>
      <c r="K463" s="67">
        <f>'114+840'!Q464</f>
        <v>2</v>
      </c>
      <c r="L463" s="66">
        <f t="shared" si="98"/>
        <v>791</v>
      </c>
      <c r="M463" s="71">
        <f>VLOOKUP(B463,'114+840'!$B$14:$AB$516,21,FALSE)</f>
        <v>1940</v>
      </c>
      <c r="N463" s="70">
        <f>VLOOKUP(B463,'114+840'!$B$15:$AB$516,5,FALSE)</f>
        <v>977</v>
      </c>
      <c r="O463" s="69">
        <f t="shared" si="94"/>
        <v>1940</v>
      </c>
      <c r="P463" s="69">
        <f>VLOOKUP(B463,'114+840'!$B$15:$AB$516,14,FALSE)</f>
        <v>-1060</v>
      </c>
      <c r="Q463" s="67">
        <f>'114+840'!R464</f>
        <v>8</v>
      </c>
      <c r="R463" s="66">
        <f t="shared" si="99"/>
        <v>1160</v>
      </c>
      <c r="S463" s="71">
        <f>VLOOKUP(B463,'114+840'!$B$14:$AB$516,22,FALSE)</f>
        <v>2605</v>
      </c>
      <c r="T463" s="70">
        <f>VLOOKUP(B463,'114+840'!$B$15:$AB$516,6,FALSE)</f>
        <v>802</v>
      </c>
      <c r="U463" s="69">
        <f t="shared" si="95"/>
        <v>2115</v>
      </c>
      <c r="V463" s="68">
        <f>VLOOKUP(B463,'114+840'!$B$15:$AB$516,15,FALSE)</f>
        <v>-885</v>
      </c>
      <c r="W463" s="67">
        <f>'114+840'!S464</f>
        <v>1</v>
      </c>
      <c r="X463" s="66">
        <f t="shared" si="100"/>
        <v>495</v>
      </c>
      <c r="Y463" s="65">
        <f t="shared" si="101"/>
        <v>-1</v>
      </c>
      <c r="Z463" s="64">
        <f t="shared" si="102"/>
        <v>0</v>
      </c>
      <c r="AA463" s="63">
        <f t="shared" si="103"/>
        <v>3.3879999999999999</v>
      </c>
      <c r="AB463" s="63">
        <f t="shared" si="104"/>
        <v>0.68</v>
      </c>
    </row>
    <row r="464" spans="2:28">
      <c r="B464" s="104">
        <f>'114+840'!B465</f>
        <v>45721</v>
      </c>
      <c r="C464" s="75">
        <f t="shared" si="96"/>
        <v>1</v>
      </c>
      <c r="D464" s="74">
        <f t="shared" si="97"/>
        <v>842</v>
      </c>
      <c r="E464" s="73">
        <f>VLOOKUP(B464,'114+840'!B465:AB465,3,FALSE)</f>
        <v>2077</v>
      </c>
      <c r="F464" s="70">
        <f t="shared" si="92"/>
        <v>2919</v>
      </c>
      <c r="G464" s="72">
        <f>VLOOKUP(B464,'114+840'!$B$15:$AB$516,20,FALSE)</f>
        <v>2305</v>
      </c>
      <c r="H464" s="72">
        <f>VLOOKUP(B464,'114+840'!$B$15:$AB$516,4,FALSE)</f>
        <v>794</v>
      </c>
      <c r="I464" s="69">
        <f t="shared" si="93"/>
        <v>2125</v>
      </c>
      <c r="J464" s="69">
        <f>VLOOKUP(B464,'114+840'!$B$15:$AB$516,13,FALSE)</f>
        <v>-875</v>
      </c>
      <c r="K464" s="67">
        <f>'114+840'!Q465</f>
        <v>4</v>
      </c>
      <c r="L464" s="66">
        <f t="shared" si="98"/>
        <v>795</v>
      </c>
      <c r="M464" s="71">
        <f>VLOOKUP(B464,'114+840'!$B$14:$AB$516,21,FALSE)</f>
        <v>1933</v>
      </c>
      <c r="N464" s="70">
        <f>VLOOKUP(B464,'114+840'!$B$15:$AB$516,5,FALSE)</f>
        <v>986</v>
      </c>
      <c r="O464" s="69">
        <f t="shared" si="94"/>
        <v>1933</v>
      </c>
      <c r="P464" s="69">
        <f>VLOOKUP(B464,'114+840'!$B$15:$AB$516,14,FALSE)</f>
        <v>-1067</v>
      </c>
      <c r="Q464" s="67">
        <f>'114+840'!R465</f>
        <v>7</v>
      </c>
      <c r="R464" s="66">
        <f t="shared" si="99"/>
        <v>1167</v>
      </c>
      <c r="S464" s="71">
        <f>VLOOKUP(B464,'114+840'!$B$14:$AB$516,22,FALSE)</f>
        <v>2603</v>
      </c>
      <c r="T464" s="70">
        <f>VLOOKUP(B464,'114+840'!$B$15:$AB$516,6,FALSE)</f>
        <v>806</v>
      </c>
      <c r="U464" s="69">
        <f t="shared" si="95"/>
        <v>2113</v>
      </c>
      <c r="V464" s="68">
        <f>VLOOKUP(B464,'114+840'!$B$15:$AB$516,15,FALSE)</f>
        <v>-887</v>
      </c>
      <c r="W464" s="67">
        <f>'114+840'!S465</f>
        <v>2</v>
      </c>
      <c r="X464" s="66">
        <f t="shared" si="100"/>
        <v>497</v>
      </c>
      <c r="Y464" s="65">
        <f t="shared" si="101"/>
        <v>-2</v>
      </c>
      <c r="Z464" s="64">
        <f t="shared" si="102"/>
        <v>0</v>
      </c>
      <c r="AA464" s="63">
        <f t="shared" si="103"/>
        <v>3.3879999999999999</v>
      </c>
      <c r="AB464" s="63">
        <f t="shared" si="104"/>
        <v>0.66600000000000004</v>
      </c>
    </row>
    <row r="465" spans="2:28">
      <c r="B465" s="104">
        <f>'114+840'!B466</f>
        <v>45722</v>
      </c>
      <c r="C465" s="75">
        <f t="shared" si="96"/>
        <v>1</v>
      </c>
      <c r="D465" s="74">
        <f t="shared" si="97"/>
        <v>842</v>
      </c>
      <c r="E465" s="73">
        <f>VLOOKUP(B465,'114+840'!B466:AB466,3,FALSE)</f>
        <v>2079</v>
      </c>
      <c r="F465" s="70">
        <f t="shared" si="92"/>
        <v>2921</v>
      </c>
      <c r="G465" s="72">
        <f>VLOOKUP(B465,'114+840'!$B$15:$AB$516,20,FALSE)</f>
        <v>2302</v>
      </c>
      <c r="H465" s="72">
        <f>VLOOKUP(B465,'114+840'!$B$15:$AB$516,4,FALSE)</f>
        <v>799</v>
      </c>
      <c r="I465" s="69">
        <f t="shared" si="93"/>
        <v>2122</v>
      </c>
      <c r="J465" s="69">
        <f>VLOOKUP(B465,'114+840'!$B$15:$AB$516,13,FALSE)</f>
        <v>-878</v>
      </c>
      <c r="K465" s="67">
        <f>'114+840'!Q466</f>
        <v>3</v>
      </c>
      <c r="L465" s="66">
        <f t="shared" si="98"/>
        <v>798</v>
      </c>
      <c r="M465" s="71">
        <f>VLOOKUP(B465,'114+840'!$B$14:$AB$516,21,FALSE)</f>
        <v>1926</v>
      </c>
      <c r="N465" s="70">
        <f>VLOOKUP(B465,'114+840'!$B$15:$AB$516,5,FALSE)</f>
        <v>995</v>
      </c>
      <c r="O465" s="69">
        <f t="shared" si="94"/>
        <v>1926</v>
      </c>
      <c r="P465" s="69">
        <f>VLOOKUP(B465,'114+840'!$B$15:$AB$516,14,FALSE)</f>
        <v>-1074</v>
      </c>
      <c r="Q465" s="67">
        <f>'114+840'!R466</f>
        <v>7</v>
      </c>
      <c r="R465" s="66">
        <f t="shared" si="99"/>
        <v>1174</v>
      </c>
      <c r="S465" s="71">
        <f>VLOOKUP(B465,'114+840'!$B$14:$AB$516,22,FALSE)</f>
        <v>2601</v>
      </c>
      <c r="T465" s="70">
        <f>VLOOKUP(B465,'114+840'!$B$15:$AB$516,6,FALSE)</f>
        <v>810</v>
      </c>
      <c r="U465" s="69">
        <f t="shared" si="95"/>
        <v>2111</v>
      </c>
      <c r="V465" s="68">
        <f>VLOOKUP(B465,'114+840'!$B$15:$AB$516,15,FALSE)</f>
        <v>-889</v>
      </c>
      <c r="W465" s="67">
        <f>'114+840'!S466</f>
        <v>2</v>
      </c>
      <c r="X465" s="66">
        <f t="shared" si="100"/>
        <v>499</v>
      </c>
      <c r="Y465" s="65">
        <f t="shared" si="101"/>
        <v>-2</v>
      </c>
      <c r="Z465" s="64">
        <f t="shared" si="102"/>
        <v>0</v>
      </c>
      <c r="AA465" s="63">
        <f t="shared" si="103"/>
        <v>3.3879999999999999</v>
      </c>
      <c r="AB465" s="63">
        <f t="shared" si="104"/>
        <v>0.65200000000000002</v>
      </c>
    </row>
    <row r="466" spans="2:28">
      <c r="B466" s="104">
        <f>'114+840'!B467</f>
        <v>45723</v>
      </c>
      <c r="C466" s="75">
        <f t="shared" si="96"/>
        <v>1</v>
      </c>
      <c r="D466" s="74">
        <f t="shared" si="97"/>
        <v>842</v>
      </c>
      <c r="E466" s="73">
        <f>VLOOKUP(B466,'114+840'!B467:AB467,3,FALSE)</f>
        <v>2081</v>
      </c>
      <c r="F466" s="70">
        <f t="shared" si="92"/>
        <v>2923</v>
      </c>
      <c r="G466" s="72">
        <f>VLOOKUP(B466,'114+840'!$B$15:$AB$516,20,FALSE)</f>
        <v>2298</v>
      </c>
      <c r="H466" s="72">
        <f>VLOOKUP(B466,'114+840'!$B$15:$AB$516,4,FALSE)</f>
        <v>805</v>
      </c>
      <c r="I466" s="69">
        <f t="shared" si="93"/>
        <v>2118</v>
      </c>
      <c r="J466" s="69">
        <f>VLOOKUP(B466,'114+840'!$B$15:$AB$516,13,FALSE)</f>
        <v>-882</v>
      </c>
      <c r="K466" s="67">
        <f>'114+840'!Q467</f>
        <v>4</v>
      </c>
      <c r="L466" s="66">
        <f t="shared" si="98"/>
        <v>802</v>
      </c>
      <c r="M466" s="71">
        <f>VLOOKUP(B466,'114+840'!$B$14:$AB$516,21,FALSE)</f>
        <v>1917</v>
      </c>
      <c r="N466" s="70">
        <f>VLOOKUP(B466,'114+840'!$B$15:$AB$516,5,FALSE)</f>
        <v>1006</v>
      </c>
      <c r="O466" s="69">
        <f t="shared" si="94"/>
        <v>1917</v>
      </c>
      <c r="P466" s="69">
        <f>VLOOKUP(B466,'114+840'!$B$15:$AB$516,14,FALSE)</f>
        <v>-1083</v>
      </c>
      <c r="Q466" s="67">
        <f>'114+840'!R467</f>
        <v>9</v>
      </c>
      <c r="R466" s="66">
        <f t="shared" si="99"/>
        <v>1183</v>
      </c>
      <c r="S466" s="71">
        <f>VLOOKUP(B466,'114+840'!$B$14:$AB$516,22,FALSE)</f>
        <v>2600</v>
      </c>
      <c r="T466" s="70">
        <f>VLOOKUP(B466,'114+840'!$B$15:$AB$516,6,FALSE)</f>
        <v>813</v>
      </c>
      <c r="U466" s="69">
        <f t="shared" si="95"/>
        <v>2110</v>
      </c>
      <c r="V466" s="68">
        <f>VLOOKUP(B466,'114+840'!$B$15:$AB$516,15,FALSE)</f>
        <v>-890</v>
      </c>
      <c r="W466" s="67">
        <f>'114+840'!S467</f>
        <v>1</v>
      </c>
      <c r="X466" s="66">
        <f t="shared" si="100"/>
        <v>500</v>
      </c>
      <c r="Y466" s="65">
        <f t="shared" si="101"/>
        <v>-1</v>
      </c>
      <c r="Z466" s="64">
        <f t="shared" si="102"/>
        <v>0</v>
      </c>
      <c r="AA466" s="63">
        <f t="shared" si="103"/>
        <v>3.3879999999999999</v>
      </c>
      <c r="AB466" s="63">
        <f t="shared" si="104"/>
        <v>0.63400000000000001</v>
      </c>
    </row>
    <row r="467" spans="2:28">
      <c r="B467" s="104">
        <f>'114+840'!B468</f>
        <v>45724</v>
      </c>
      <c r="C467" s="75">
        <f t="shared" si="96"/>
        <v>1</v>
      </c>
      <c r="D467" s="74">
        <f t="shared" si="97"/>
        <v>842</v>
      </c>
      <c r="E467" s="73">
        <f>VLOOKUP(B467,'114+840'!B468:AB468,3,FALSE)</f>
        <v>2083</v>
      </c>
      <c r="F467" s="70">
        <f t="shared" si="92"/>
        <v>2925</v>
      </c>
      <c r="G467" s="72">
        <f>VLOOKUP(B467,'114+840'!$B$15:$AB$516,20,FALSE)</f>
        <v>2291</v>
      </c>
      <c r="H467" s="72">
        <f>VLOOKUP(B467,'114+840'!$B$15:$AB$516,4,FALSE)</f>
        <v>814</v>
      </c>
      <c r="I467" s="69">
        <f t="shared" si="93"/>
        <v>2111</v>
      </c>
      <c r="J467" s="69">
        <f>VLOOKUP(B467,'114+840'!$B$15:$AB$516,13,FALSE)</f>
        <v>-889</v>
      </c>
      <c r="K467" s="67">
        <f>'114+840'!Q468</f>
        <v>7</v>
      </c>
      <c r="L467" s="66">
        <f t="shared" si="98"/>
        <v>809</v>
      </c>
      <c r="M467" s="71">
        <f>VLOOKUP(B467,'114+840'!$B$14:$AB$516,21,FALSE)</f>
        <v>1909</v>
      </c>
      <c r="N467" s="70">
        <f>VLOOKUP(B467,'114+840'!$B$15:$AB$516,5,FALSE)</f>
        <v>1016</v>
      </c>
      <c r="O467" s="69">
        <f t="shared" si="94"/>
        <v>1909</v>
      </c>
      <c r="P467" s="69">
        <f>VLOOKUP(B467,'114+840'!$B$15:$AB$516,14,FALSE)</f>
        <v>-1091</v>
      </c>
      <c r="Q467" s="67">
        <f>'114+840'!R468</f>
        <v>8</v>
      </c>
      <c r="R467" s="66">
        <f t="shared" si="99"/>
        <v>1191</v>
      </c>
      <c r="S467" s="71">
        <f>VLOOKUP(B467,'114+840'!$B$14:$AB$516,22,FALSE)</f>
        <v>2598</v>
      </c>
      <c r="T467" s="70">
        <f>VLOOKUP(B467,'114+840'!$B$15:$AB$516,6,FALSE)</f>
        <v>817</v>
      </c>
      <c r="U467" s="69">
        <f t="shared" si="95"/>
        <v>2108</v>
      </c>
      <c r="V467" s="68">
        <f>VLOOKUP(B467,'114+840'!$B$15:$AB$516,15,FALSE)</f>
        <v>-892</v>
      </c>
      <c r="W467" s="67">
        <f>'114+840'!S468</f>
        <v>2</v>
      </c>
      <c r="X467" s="66">
        <f t="shared" si="100"/>
        <v>502</v>
      </c>
      <c r="Y467" s="65">
        <f t="shared" si="101"/>
        <v>-2</v>
      </c>
      <c r="Z467" s="64">
        <f t="shared" si="102"/>
        <v>0</v>
      </c>
      <c r="AA467" s="63">
        <f t="shared" si="103"/>
        <v>3.3879999999999999</v>
      </c>
      <c r="AB467" s="63">
        <f t="shared" si="104"/>
        <v>0.61799999999999999</v>
      </c>
    </row>
    <row r="468" spans="2:28">
      <c r="B468" s="104">
        <f>'114+840'!B469</f>
        <v>45725</v>
      </c>
      <c r="C468" s="75">
        <f t="shared" si="96"/>
        <v>1</v>
      </c>
      <c r="D468" s="74">
        <f t="shared" si="97"/>
        <v>842</v>
      </c>
      <c r="E468" s="73">
        <f>VLOOKUP(B468,'114+840'!B469:AB469,3,FALSE)</f>
        <v>2085</v>
      </c>
      <c r="F468" s="70">
        <f t="shared" si="92"/>
        <v>2927</v>
      </c>
      <c r="G468" s="72">
        <f>VLOOKUP(B468,'114+840'!$B$15:$AB$516,20,FALSE)</f>
        <v>2286</v>
      </c>
      <c r="H468" s="72">
        <f>VLOOKUP(B468,'114+840'!$B$15:$AB$516,4,FALSE)</f>
        <v>821</v>
      </c>
      <c r="I468" s="69">
        <f t="shared" si="93"/>
        <v>2106</v>
      </c>
      <c r="J468" s="69">
        <f>VLOOKUP(B468,'114+840'!$B$15:$AB$516,13,FALSE)</f>
        <v>-894</v>
      </c>
      <c r="K468" s="67">
        <f>'114+840'!Q469</f>
        <v>5</v>
      </c>
      <c r="L468" s="66">
        <f t="shared" si="98"/>
        <v>814</v>
      </c>
      <c r="M468" s="71">
        <f>VLOOKUP(B468,'114+840'!$B$14:$AB$516,21,FALSE)</f>
        <v>1901</v>
      </c>
      <c r="N468" s="70">
        <f>VLOOKUP(B468,'114+840'!$B$15:$AB$516,5,FALSE)</f>
        <v>1026</v>
      </c>
      <c r="O468" s="69">
        <f t="shared" si="94"/>
        <v>1901</v>
      </c>
      <c r="P468" s="69">
        <f>VLOOKUP(B468,'114+840'!$B$15:$AB$516,14,FALSE)</f>
        <v>-1099</v>
      </c>
      <c r="Q468" s="67">
        <f>'114+840'!R469</f>
        <v>8</v>
      </c>
      <c r="R468" s="66">
        <f t="shared" si="99"/>
        <v>1199</v>
      </c>
      <c r="S468" s="71">
        <f>VLOOKUP(B468,'114+840'!$B$14:$AB$516,22,FALSE)</f>
        <v>2596</v>
      </c>
      <c r="T468" s="70">
        <f>VLOOKUP(B468,'114+840'!$B$15:$AB$516,6,FALSE)</f>
        <v>821</v>
      </c>
      <c r="U468" s="69">
        <f t="shared" si="95"/>
        <v>2106</v>
      </c>
      <c r="V468" s="68">
        <f>VLOOKUP(B468,'114+840'!$B$15:$AB$516,15,FALSE)</f>
        <v>-894</v>
      </c>
      <c r="W468" s="67">
        <f>'114+840'!S469</f>
        <v>2</v>
      </c>
      <c r="X468" s="66">
        <f t="shared" si="100"/>
        <v>504</v>
      </c>
      <c r="Y468" s="65">
        <f t="shared" si="101"/>
        <v>-2</v>
      </c>
      <c r="Z468" s="64">
        <f t="shared" si="102"/>
        <v>0</v>
      </c>
      <c r="AA468" s="63">
        <f t="shared" si="103"/>
        <v>3.3879999999999999</v>
      </c>
      <c r="AB468" s="63">
        <f t="shared" si="104"/>
        <v>0.60199999999999998</v>
      </c>
    </row>
    <row r="469" spans="2:28">
      <c r="B469" s="104">
        <f>'114+840'!B470</f>
        <v>45726</v>
      </c>
      <c r="C469" s="75">
        <f t="shared" si="96"/>
        <v>1</v>
      </c>
      <c r="D469" s="74">
        <f t="shared" si="97"/>
        <v>842</v>
      </c>
      <c r="E469" s="73">
        <f>VLOOKUP(B469,'114+840'!B470:AB470,3,FALSE)</f>
        <v>2087</v>
      </c>
      <c r="F469" s="70">
        <f t="shared" si="92"/>
        <v>2929</v>
      </c>
      <c r="G469" s="72">
        <f>VLOOKUP(B469,'114+840'!$B$15:$AB$516,20,FALSE)</f>
        <v>2281</v>
      </c>
      <c r="H469" s="72">
        <f>VLOOKUP(B469,'114+840'!$B$15:$AB$516,4,FALSE)</f>
        <v>828</v>
      </c>
      <c r="I469" s="69">
        <f t="shared" si="93"/>
        <v>2101</v>
      </c>
      <c r="J469" s="69">
        <f>VLOOKUP(B469,'114+840'!$B$15:$AB$516,13,FALSE)</f>
        <v>-899</v>
      </c>
      <c r="K469" s="67">
        <f>'114+840'!Q470</f>
        <v>5</v>
      </c>
      <c r="L469" s="66">
        <f t="shared" si="98"/>
        <v>819</v>
      </c>
      <c r="M469" s="71">
        <f>VLOOKUP(B469,'114+840'!$B$14:$AB$516,21,FALSE)</f>
        <v>1894</v>
      </c>
      <c r="N469" s="70">
        <f>VLOOKUP(B469,'114+840'!$B$15:$AB$516,5,FALSE)</f>
        <v>1035</v>
      </c>
      <c r="O469" s="69">
        <f t="shared" si="94"/>
        <v>1894</v>
      </c>
      <c r="P469" s="69">
        <f>VLOOKUP(B469,'114+840'!$B$15:$AB$516,14,FALSE)</f>
        <v>-1106</v>
      </c>
      <c r="Q469" s="67">
        <f>'114+840'!R470</f>
        <v>7</v>
      </c>
      <c r="R469" s="66">
        <f t="shared" si="99"/>
        <v>1206</v>
      </c>
      <c r="S469" s="71">
        <f>VLOOKUP(B469,'114+840'!$B$14:$AB$516,22,FALSE)</f>
        <v>2594</v>
      </c>
      <c r="T469" s="70">
        <f>VLOOKUP(B469,'114+840'!$B$15:$AB$516,6,FALSE)</f>
        <v>825</v>
      </c>
      <c r="U469" s="69">
        <f t="shared" si="95"/>
        <v>2104</v>
      </c>
      <c r="V469" s="68">
        <f>VLOOKUP(B469,'114+840'!$B$15:$AB$516,15,FALSE)</f>
        <v>-896</v>
      </c>
      <c r="W469" s="67">
        <f>'114+840'!S470</f>
        <v>2</v>
      </c>
      <c r="X469" s="66">
        <f t="shared" si="100"/>
        <v>506</v>
      </c>
      <c r="Y469" s="65">
        <f t="shared" si="101"/>
        <v>-2</v>
      </c>
      <c r="Z469" s="64">
        <f t="shared" si="102"/>
        <v>0</v>
      </c>
      <c r="AA469" s="63">
        <f t="shared" si="103"/>
        <v>3.3879999999999999</v>
      </c>
      <c r="AB469" s="63">
        <f t="shared" si="104"/>
        <v>0.58799999999999997</v>
      </c>
    </row>
    <row r="470" spans="2:28">
      <c r="B470" s="104">
        <f>'114+840'!B471</f>
        <v>45727</v>
      </c>
      <c r="C470" s="75">
        <f t="shared" si="96"/>
        <v>1</v>
      </c>
      <c r="D470" s="74">
        <f t="shared" si="97"/>
        <v>842</v>
      </c>
      <c r="E470" s="73">
        <f>VLOOKUP(B470,'114+840'!B471:AB471,3,FALSE)</f>
        <v>2089</v>
      </c>
      <c r="F470" s="70">
        <f t="shared" si="92"/>
        <v>2931</v>
      </c>
      <c r="G470" s="72">
        <f>VLOOKUP(B470,'114+840'!$B$15:$AB$516,20,FALSE)</f>
        <v>2277</v>
      </c>
      <c r="H470" s="72">
        <f>VLOOKUP(B470,'114+840'!$B$15:$AB$516,4,FALSE)</f>
        <v>834</v>
      </c>
      <c r="I470" s="69">
        <f t="shared" si="93"/>
        <v>2097</v>
      </c>
      <c r="J470" s="69">
        <f>VLOOKUP(B470,'114+840'!$B$15:$AB$516,13,FALSE)</f>
        <v>-903</v>
      </c>
      <c r="K470" s="67">
        <f>'114+840'!Q471</f>
        <v>4</v>
      </c>
      <c r="L470" s="66">
        <f t="shared" si="98"/>
        <v>823</v>
      </c>
      <c r="M470" s="71">
        <f>VLOOKUP(B470,'114+840'!$B$14:$AB$516,21,FALSE)</f>
        <v>1887</v>
      </c>
      <c r="N470" s="70">
        <f>VLOOKUP(B470,'114+840'!$B$15:$AB$516,5,FALSE)</f>
        <v>1044</v>
      </c>
      <c r="O470" s="69">
        <f t="shared" si="94"/>
        <v>1887</v>
      </c>
      <c r="P470" s="69">
        <f>VLOOKUP(B470,'114+840'!$B$15:$AB$516,14,FALSE)</f>
        <v>-1113</v>
      </c>
      <c r="Q470" s="67">
        <f>'114+840'!R471</f>
        <v>7</v>
      </c>
      <c r="R470" s="66">
        <f t="shared" si="99"/>
        <v>1213</v>
      </c>
      <c r="S470" s="71">
        <f>VLOOKUP(B470,'114+840'!$B$14:$AB$516,22,FALSE)</f>
        <v>2592</v>
      </c>
      <c r="T470" s="70">
        <f>VLOOKUP(B470,'114+840'!$B$15:$AB$516,6,FALSE)</f>
        <v>829</v>
      </c>
      <c r="U470" s="69">
        <f t="shared" si="95"/>
        <v>2102</v>
      </c>
      <c r="V470" s="68">
        <f>VLOOKUP(B470,'114+840'!$B$15:$AB$516,15,FALSE)</f>
        <v>-898</v>
      </c>
      <c r="W470" s="67">
        <f>'114+840'!S471</f>
        <v>2</v>
      </c>
      <c r="X470" s="66">
        <f t="shared" si="100"/>
        <v>508</v>
      </c>
      <c r="Y470" s="65">
        <f t="shared" si="101"/>
        <v>-2</v>
      </c>
      <c r="Z470" s="64">
        <f t="shared" si="102"/>
        <v>0</v>
      </c>
      <c r="AA470" s="63">
        <f t="shared" si="103"/>
        <v>3.3879999999999999</v>
      </c>
      <c r="AB470" s="63">
        <f t="shared" si="104"/>
        <v>0.57399999999999995</v>
      </c>
    </row>
    <row r="471" spans="2:28">
      <c r="B471" s="104">
        <f>'114+840'!B472</f>
        <v>45728</v>
      </c>
      <c r="C471" s="75">
        <f t="shared" si="96"/>
        <v>1</v>
      </c>
      <c r="D471" s="74">
        <f t="shared" si="97"/>
        <v>842</v>
      </c>
      <c r="E471" s="73">
        <f>VLOOKUP(B471,'114+840'!B472:AB472,3,FALSE)</f>
        <v>2091</v>
      </c>
      <c r="F471" s="70">
        <f t="shared" si="92"/>
        <v>2933</v>
      </c>
      <c r="G471" s="72">
        <f>VLOOKUP(B471,'114+840'!$B$15:$AB$516,20,FALSE)</f>
        <v>2274</v>
      </c>
      <c r="H471" s="72">
        <f>VLOOKUP(B471,'114+840'!$B$15:$AB$516,4,FALSE)</f>
        <v>839</v>
      </c>
      <c r="I471" s="69">
        <f t="shared" si="93"/>
        <v>2094</v>
      </c>
      <c r="J471" s="69">
        <f>VLOOKUP(B471,'114+840'!$B$15:$AB$516,13,FALSE)</f>
        <v>-906</v>
      </c>
      <c r="K471" s="67">
        <f>'114+840'!Q472</f>
        <v>3</v>
      </c>
      <c r="L471" s="66">
        <f t="shared" si="98"/>
        <v>826</v>
      </c>
      <c r="M471" s="71">
        <f>VLOOKUP(B471,'114+840'!$B$14:$AB$516,21,FALSE)</f>
        <v>1881</v>
      </c>
      <c r="N471" s="70">
        <f>VLOOKUP(B471,'114+840'!$B$15:$AB$516,5,FALSE)</f>
        <v>1052</v>
      </c>
      <c r="O471" s="69">
        <f t="shared" si="94"/>
        <v>1881</v>
      </c>
      <c r="P471" s="69">
        <f>VLOOKUP(B471,'114+840'!$B$15:$AB$516,14,FALSE)</f>
        <v>-1119</v>
      </c>
      <c r="Q471" s="67">
        <f>'114+840'!R472</f>
        <v>6</v>
      </c>
      <c r="R471" s="66">
        <f t="shared" si="99"/>
        <v>1219</v>
      </c>
      <c r="S471" s="71">
        <f>VLOOKUP(B471,'114+840'!$B$14:$AB$516,22,FALSE)</f>
        <v>2591</v>
      </c>
      <c r="T471" s="70">
        <f>VLOOKUP(B471,'114+840'!$B$15:$AB$516,6,FALSE)</f>
        <v>832</v>
      </c>
      <c r="U471" s="69">
        <f t="shared" si="95"/>
        <v>2101</v>
      </c>
      <c r="V471" s="68">
        <f>VLOOKUP(B471,'114+840'!$B$15:$AB$516,15,FALSE)</f>
        <v>-899</v>
      </c>
      <c r="W471" s="67">
        <f>'114+840'!S472</f>
        <v>1</v>
      </c>
      <c r="X471" s="66">
        <f t="shared" si="100"/>
        <v>509</v>
      </c>
      <c r="Y471" s="65">
        <f t="shared" si="101"/>
        <v>-1</v>
      </c>
      <c r="Z471" s="64">
        <f t="shared" si="102"/>
        <v>0</v>
      </c>
      <c r="AA471" s="63">
        <f t="shared" si="103"/>
        <v>3.3879999999999999</v>
      </c>
      <c r="AB471" s="63">
        <f t="shared" si="104"/>
        <v>0.56200000000000006</v>
      </c>
    </row>
    <row r="472" spans="2:28">
      <c r="B472" s="104">
        <f>'114+840'!B473</f>
        <v>45729</v>
      </c>
      <c r="C472" s="75">
        <f t="shared" si="96"/>
        <v>1</v>
      </c>
      <c r="D472" s="74">
        <f t="shared" si="97"/>
        <v>842</v>
      </c>
      <c r="E472" s="73">
        <f>VLOOKUP(B472,'114+840'!B473:AB473,3,FALSE)</f>
        <v>2093</v>
      </c>
      <c r="F472" s="70">
        <f t="shared" si="92"/>
        <v>2935</v>
      </c>
      <c r="G472" s="72">
        <f>VLOOKUP(B472,'114+840'!$B$15:$AB$516,20,FALSE)</f>
        <v>2272</v>
      </c>
      <c r="H472" s="72">
        <f>VLOOKUP(B472,'114+840'!$B$15:$AB$516,4,FALSE)</f>
        <v>843</v>
      </c>
      <c r="I472" s="69">
        <f t="shared" si="93"/>
        <v>2092</v>
      </c>
      <c r="J472" s="69">
        <f>VLOOKUP(B472,'114+840'!$B$15:$AB$516,13,FALSE)</f>
        <v>-908</v>
      </c>
      <c r="K472" s="67">
        <f>'114+840'!Q473</f>
        <v>2</v>
      </c>
      <c r="L472" s="66">
        <f t="shared" si="98"/>
        <v>828</v>
      </c>
      <c r="M472" s="71">
        <f>VLOOKUP(B472,'114+840'!$B$14:$AB$516,21,FALSE)</f>
        <v>1873</v>
      </c>
      <c r="N472" s="70">
        <f>VLOOKUP(B472,'114+840'!$B$15:$AB$516,5,FALSE)</f>
        <v>1062</v>
      </c>
      <c r="O472" s="69">
        <f t="shared" si="94"/>
        <v>1873</v>
      </c>
      <c r="P472" s="69">
        <f>VLOOKUP(B472,'114+840'!$B$15:$AB$516,14,FALSE)</f>
        <v>-1127</v>
      </c>
      <c r="Q472" s="67">
        <f>'114+840'!R473</f>
        <v>8</v>
      </c>
      <c r="R472" s="66">
        <f t="shared" si="99"/>
        <v>1227</v>
      </c>
      <c r="S472" s="71">
        <f>VLOOKUP(B472,'114+840'!$B$14:$AB$516,22,FALSE)</f>
        <v>2589</v>
      </c>
      <c r="T472" s="70">
        <f>VLOOKUP(B472,'114+840'!$B$15:$AB$516,6,FALSE)</f>
        <v>836</v>
      </c>
      <c r="U472" s="69">
        <f t="shared" si="95"/>
        <v>2099</v>
      </c>
      <c r="V472" s="68">
        <f>VLOOKUP(B472,'114+840'!$B$15:$AB$516,15,FALSE)</f>
        <v>-901</v>
      </c>
      <c r="W472" s="67">
        <f>'114+840'!S473</f>
        <v>2</v>
      </c>
      <c r="X472" s="66">
        <f t="shared" si="100"/>
        <v>511</v>
      </c>
      <c r="Y472" s="65">
        <f t="shared" si="101"/>
        <v>-2</v>
      </c>
      <c r="Z472" s="64">
        <f t="shared" si="102"/>
        <v>0</v>
      </c>
      <c r="AA472" s="63">
        <f t="shared" si="103"/>
        <v>3.3879999999999999</v>
      </c>
      <c r="AB472" s="63">
        <f t="shared" si="104"/>
        <v>0.54600000000000004</v>
      </c>
    </row>
    <row r="473" spans="2:28">
      <c r="B473" s="104">
        <f>'114+840'!B474</f>
        <v>45730</v>
      </c>
      <c r="C473" s="75">
        <f t="shared" si="96"/>
        <v>1</v>
      </c>
      <c r="D473" s="74">
        <f t="shared" si="97"/>
        <v>842</v>
      </c>
      <c r="E473" s="73">
        <f>VLOOKUP(B473,'114+840'!B474:AB474,3,FALSE)</f>
        <v>2095</v>
      </c>
      <c r="F473" s="70">
        <f t="shared" si="92"/>
        <v>2937</v>
      </c>
      <c r="G473" s="72">
        <f>VLOOKUP(B473,'114+840'!$B$15:$AB$516,20,FALSE)</f>
        <v>2268</v>
      </c>
      <c r="H473" s="72">
        <f>VLOOKUP(B473,'114+840'!$B$15:$AB$516,4,FALSE)</f>
        <v>849</v>
      </c>
      <c r="I473" s="69">
        <f t="shared" si="93"/>
        <v>2088</v>
      </c>
      <c r="J473" s="69">
        <f>VLOOKUP(B473,'114+840'!$B$15:$AB$516,13,FALSE)</f>
        <v>-912</v>
      </c>
      <c r="K473" s="67">
        <f>'114+840'!Q474</f>
        <v>4</v>
      </c>
      <c r="L473" s="66">
        <f t="shared" si="98"/>
        <v>832</v>
      </c>
      <c r="M473" s="71">
        <f>VLOOKUP(B473,'114+840'!$B$14:$AB$516,21,FALSE)</f>
        <v>1866</v>
      </c>
      <c r="N473" s="70">
        <f>VLOOKUP(B473,'114+840'!$B$15:$AB$516,5,FALSE)</f>
        <v>1071</v>
      </c>
      <c r="O473" s="69">
        <f t="shared" si="94"/>
        <v>1866</v>
      </c>
      <c r="P473" s="69">
        <f>VLOOKUP(B473,'114+840'!$B$15:$AB$516,14,FALSE)</f>
        <v>-1134</v>
      </c>
      <c r="Q473" s="67">
        <f>'114+840'!R474</f>
        <v>7</v>
      </c>
      <c r="R473" s="66">
        <f t="shared" si="99"/>
        <v>1234</v>
      </c>
      <c r="S473" s="71">
        <f>VLOOKUP(B473,'114+840'!$B$14:$AB$516,22,FALSE)</f>
        <v>2588</v>
      </c>
      <c r="T473" s="70">
        <f>VLOOKUP(B473,'114+840'!$B$15:$AB$516,6,FALSE)</f>
        <v>839</v>
      </c>
      <c r="U473" s="69">
        <f t="shared" si="95"/>
        <v>2098</v>
      </c>
      <c r="V473" s="68">
        <f>VLOOKUP(B473,'114+840'!$B$15:$AB$516,15,FALSE)</f>
        <v>-902</v>
      </c>
      <c r="W473" s="67">
        <f>'114+840'!S474</f>
        <v>1</v>
      </c>
      <c r="X473" s="66">
        <f t="shared" si="100"/>
        <v>512</v>
      </c>
      <c r="Y473" s="65">
        <f t="shared" si="101"/>
        <v>-1</v>
      </c>
      <c r="Z473" s="64">
        <f t="shared" si="102"/>
        <v>0</v>
      </c>
      <c r="AA473" s="63">
        <f t="shared" si="103"/>
        <v>3.3879999999999999</v>
      </c>
      <c r="AB473" s="63">
        <f t="shared" si="104"/>
        <v>0.53200000000000003</v>
      </c>
    </row>
    <row r="474" spans="2:28">
      <c r="B474" s="104">
        <f>'114+840'!B475</f>
        <v>45731</v>
      </c>
      <c r="C474" s="75">
        <f t="shared" si="96"/>
        <v>1</v>
      </c>
      <c r="D474" s="74">
        <f t="shared" si="97"/>
        <v>842</v>
      </c>
      <c r="E474" s="73">
        <f>VLOOKUP(B474,'114+840'!B475:AB475,3,FALSE)</f>
        <v>2097</v>
      </c>
      <c r="F474" s="70">
        <f t="shared" si="92"/>
        <v>2939</v>
      </c>
      <c r="G474" s="72">
        <f>VLOOKUP(B474,'114+840'!$B$15:$AB$516,20,FALSE)</f>
        <v>2265</v>
      </c>
      <c r="H474" s="72">
        <f>VLOOKUP(B474,'114+840'!$B$15:$AB$516,4,FALSE)</f>
        <v>854</v>
      </c>
      <c r="I474" s="69">
        <f t="shared" si="93"/>
        <v>2085</v>
      </c>
      <c r="J474" s="69">
        <f>VLOOKUP(B474,'114+840'!$B$15:$AB$516,13,FALSE)</f>
        <v>-915</v>
      </c>
      <c r="K474" s="67">
        <f>'114+840'!Q475</f>
        <v>3</v>
      </c>
      <c r="L474" s="66">
        <f t="shared" si="98"/>
        <v>835</v>
      </c>
      <c r="M474" s="71">
        <f>VLOOKUP(B474,'114+840'!$B$14:$AB$516,21,FALSE)</f>
        <v>1857</v>
      </c>
      <c r="N474" s="70">
        <f>VLOOKUP(B474,'114+840'!$B$15:$AB$516,5,FALSE)</f>
        <v>1082</v>
      </c>
      <c r="O474" s="69">
        <f t="shared" si="94"/>
        <v>1857</v>
      </c>
      <c r="P474" s="69">
        <f>VLOOKUP(B474,'114+840'!$B$15:$AB$516,14,FALSE)</f>
        <v>-1143</v>
      </c>
      <c r="Q474" s="67">
        <f>'114+840'!R475</f>
        <v>9</v>
      </c>
      <c r="R474" s="66">
        <f t="shared" si="99"/>
        <v>1243</v>
      </c>
      <c r="S474" s="71">
        <f>VLOOKUP(B474,'114+840'!$B$14:$AB$516,22,FALSE)</f>
        <v>2587</v>
      </c>
      <c r="T474" s="70">
        <f>VLOOKUP(B474,'114+840'!$B$15:$AB$516,6,FALSE)</f>
        <v>842</v>
      </c>
      <c r="U474" s="69">
        <f t="shared" si="95"/>
        <v>2097</v>
      </c>
      <c r="V474" s="68">
        <f>VLOOKUP(B474,'114+840'!$B$15:$AB$516,15,FALSE)</f>
        <v>-903</v>
      </c>
      <c r="W474" s="67">
        <f>'114+840'!S475</f>
        <v>1</v>
      </c>
      <c r="X474" s="66">
        <f t="shared" si="100"/>
        <v>513</v>
      </c>
      <c r="Y474" s="65">
        <f t="shared" si="101"/>
        <v>-1</v>
      </c>
      <c r="Z474" s="64">
        <f t="shared" si="102"/>
        <v>0</v>
      </c>
      <c r="AA474" s="63">
        <f t="shared" si="103"/>
        <v>3.3879999999999999</v>
      </c>
      <c r="AB474" s="63">
        <f t="shared" si="104"/>
        <v>0.51400000000000001</v>
      </c>
    </row>
    <row r="475" spans="2:28">
      <c r="B475" s="104">
        <f>'114+840'!B476</f>
        <v>45732</v>
      </c>
      <c r="C475" s="75">
        <f t="shared" si="96"/>
        <v>1</v>
      </c>
      <c r="D475" s="74">
        <f t="shared" si="97"/>
        <v>842</v>
      </c>
      <c r="E475" s="73">
        <f>VLOOKUP(B475,'114+840'!B476:AB476,3,FALSE)</f>
        <v>2099</v>
      </c>
      <c r="F475" s="70">
        <f t="shared" si="92"/>
        <v>2941</v>
      </c>
      <c r="G475" s="72">
        <f>VLOOKUP(B475,'114+840'!$B$15:$AB$516,20,FALSE)</f>
        <v>2263</v>
      </c>
      <c r="H475" s="72">
        <f>VLOOKUP(B475,'114+840'!$B$15:$AB$516,4,FALSE)</f>
        <v>858</v>
      </c>
      <c r="I475" s="69">
        <f t="shared" si="93"/>
        <v>2083</v>
      </c>
      <c r="J475" s="69">
        <f>VLOOKUP(B475,'114+840'!$B$15:$AB$516,13,FALSE)</f>
        <v>-917</v>
      </c>
      <c r="K475" s="67">
        <f>'114+840'!Q476</f>
        <v>2</v>
      </c>
      <c r="L475" s="66">
        <f t="shared" si="98"/>
        <v>837</v>
      </c>
      <c r="M475" s="71">
        <f>VLOOKUP(B475,'114+840'!$B$14:$AB$516,21,FALSE)</f>
        <v>1849</v>
      </c>
      <c r="N475" s="70">
        <f>VLOOKUP(B475,'114+840'!$B$15:$AB$516,5,FALSE)</f>
        <v>1092</v>
      </c>
      <c r="O475" s="69">
        <f t="shared" si="94"/>
        <v>1849</v>
      </c>
      <c r="P475" s="69">
        <f>VLOOKUP(B475,'114+840'!$B$15:$AB$516,14,FALSE)</f>
        <v>-1151</v>
      </c>
      <c r="Q475" s="67">
        <f>'114+840'!R476</f>
        <v>8</v>
      </c>
      <c r="R475" s="66">
        <f t="shared" si="99"/>
        <v>1251</v>
      </c>
      <c r="S475" s="71">
        <f>VLOOKUP(B475,'114+840'!$B$14:$AB$516,22,FALSE)</f>
        <v>2584</v>
      </c>
      <c r="T475" s="70">
        <f>VLOOKUP(B475,'114+840'!$B$15:$AB$516,6,FALSE)</f>
        <v>847</v>
      </c>
      <c r="U475" s="69">
        <f t="shared" si="95"/>
        <v>2094</v>
      </c>
      <c r="V475" s="68">
        <f>VLOOKUP(B475,'114+840'!$B$15:$AB$516,15,FALSE)</f>
        <v>-906</v>
      </c>
      <c r="W475" s="67">
        <f>'114+840'!S476</f>
        <v>3</v>
      </c>
      <c r="X475" s="66">
        <f t="shared" si="100"/>
        <v>516</v>
      </c>
      <c r="Y475" s="65">
        <f t="shared" si="101"/>
        <v>-3</v>
      </c>
      <c r="Z475" s="64">
        <f t="shared" si="102"/>
        <v>0</v>
      </c>
      <c r="AA475" s="63">
        <f t="shared" si="103"/>
        <v>3.3879999999999999</v>
      </c>
      <c r="AB475" s="63">
        <f t="shared" si="104"/>
        <v>0.498</v>
      </c>
    </row>
    <row r="476" spans="2:28">
      <c r="B476" s="104">
        <f>'114+840'!B477</f>
        <v>45733</v>
      </c>
      <c r="C476" s="75">
        <f t="shared" si="96"/>
        <v>1</v>
      </c>
      <c r="D476" s="74">
        <f t="shared" si="97"/>
        <v>842</v>
      </c>
      <c r="E476" s="73">
        <f>VLOOKUP(B476,'114+840'!B477:AB477,3,FALSE)</f>
        <v>2101</v>
      </c>
      <c r="F476" s="70">
        <f t="shared" si="92"/>
        <v>2943</v>
      </c>
      <c r="G476" s="72">
        <f>VLOOKUP(B476,'114+840'!$B$15:$AB$516,20,FALSE)</f>
        <v>2259</v>
      </c>
      <c r="H476" s="72">
        <f>VLOOKUP(B476,'114+840'!$B$15:$AB$516,4,FALSE)</f>
        <v>864</v>
      </c>
      <c r="I476" s="69">
        <f t="shared" si="93"/>
        <v>2079</v>
      </c>
      <c r="J476" s="69">
        <f>VLOOKUP(B476,'114+840'!$B$15:$AB$516,13,FALSE)</f>
        <v>-921</v>
      </c>
      <c r="K476" s="67">
        <f>'114+840'!Q477</f>
        <v>4</v>
      </c>
      <c r="L476" s="66">
        <f t="shared" si="98"/>
        <v>841</v>
      </c>
      <c r="M476" s="71">
        <f>VLOOKUP(B476,'114+840'!$B$14:$AB$516,21,FALSE)</f>
        <v>1842</v>
      </c>
      <c r="N476" s="70">
        <f>VLOOKUP(B476,'114+840'!$B$15:$AB$516,5,FALSE)</f>
        <v>1101</v>
      </c>
      <c r="O476" s="69">
        <f t="shared" si="94"/>
        <v>1842</v>
      </c>
      <c r="P476" s="69">
        <f>VLOOKUP(B476,'114+840'!$B$15:$AB$516,14,FALSE)</f>
        <v>-1158</v>
      </c>
      <c r="Q476" s="67">
        <f>'114+840'!R477</f>
        <v>7</v>
      </c>
      <c r="R476" s="66">
        <f t="shared" si="99"/>
        <v>1258</v>
      </c>
      <c r="S476" s="71">
        <f>VLOOKUP(B476,'114+840'!$B$14:$AB$516,22,FALSE)</f>
        <v>2583</v>
      </c>
      <c r="T476" s="70">
        <f>VLOOKUP(B476,'114+840'!$B$15:$AB$516,6,FALSE)</f>
        <v>850</v>
      </c>
      <c r="U476" s="69">
        <f t="shared" si="95"/>
        <v>2093</v>
      </c>
      <c r="V476" s="68">
        <f>VLOOKUP(B476,'114+840'!$B$15:$AB$516,15,FALSE)</f>
        <v>-907</v>
      </c>
      <c r="W476" s="67">
        <f>'114+840'!S477</f>
        <v>1</v>
      </c>
      <c r="X476" s="66">
        <f t="shared" si="100"/>
        <v>517</v>
      </c>
      <c r="Y476" s="65">
        <f t="shared" si="101"/>
        <v>-1</v>
      </c>
      <c r="Z476" s="64">
        <f t="shared" si="102"/>
        <v>0</v>
      </c>
      <c r="AA476" s="63">
        <f t="shared" si="103"/>
        <v>3.3879999999999999</v>
      </c>
      <c r="AB476" s="63">
        <f t="shared" si="104"/>
        <v>0.48399999999999999</v>
      </c>
    </row>
    <row r="477" spans="2:28">
      <c r="B477" s="104">
        <f>'114+840'!B478</f>
        <v>45734</v>
      </c>
      <c r="C477" s="75">
        <f t="shared" si="96"/>
        <v>1</v>
      </c>
      <c r="D477" s="74">
        <f t="shared" si="97"/>
        <v>842</v>
      </c>
      <c r="E477" s="73">
        <f>VLOOKUP(B477,'114+840'!B478:AB478,3,FALSE)</f>
        <v>2103</v>
      </c>
      <c r="F477" s="70">
        <f t="shared" si="92"/>
        <v>2945</v>
      </c>
      <c r="G477" s="72">
        <f>VLOOKUP(B477,'114+840'!$B$15:$AB$516,20,FALSE)</f>
        <v>2257</v>
      </c>
      <c r="H477" s="72">
        <f>VLOOKUP(B477,'114+840'!$B$15:$AB$516,4,FALSE)</f>
        <v>868</v>
      </c>
      <c r="I477" s="69">
        <f t="shared" si="93"/>
        <v>2077</v>
      </c>
      <c r="J477" s="69">
        <f>VLOOKUP(B477,'114+840'!$B$15:$AB$516,13,FALSE)</f>
        <v>-923</v>
      </c>
      <c r="K477" s="67">
        <f>'114+840'!Q478</f>
        <v>2</v>
      </c>
      <c r="L477" s="66">
        <f t="shared" si="98"/>
        <v>843</v>
      </c>
      <c r="M477" s="71">
        <f>VLOOKUP(B477,'114+840'!$B$14:$AB$516,21,FALSE)</f>
        <v>1835</v>
      </c>
      <c r="N477" s="70">
        <f>VLOOKUP(B477,'114+840'!$B$15:$AB$516,5,FALSE)</f>
        <v>1110</v>
      </c>
      <c r="O477" s="69">
        <f t="shared" si="94"/>
        <v>1835</v>
      </c>
      <c r="P477" s="69">
        <f>VLOOKUP(B477,'114+840'!$B$15:$AB$516,14,FALSE)</f>
        <v>-1165</v>
      </c>
      <c r="Q477" s="67">
        <f>'114+840'!R478</f>
        <v>7</v>
      </c>
      <c r="R477" s="66">
        <f t="shared" si="99"/>
        <v>1265</v>
      </c>
      <c r="S477" s="71">
        <f>VLOOKUP(B477,'114+840'!$B$14:$AB$516,22,FALSE)</f>
        <v>2581</v>
      </c>
      <c r="T477" s="70">
        <f>VLOOKUP(B477,'114+840'!$B$15:$AB$516,6,FALSE)</f>
        <v>854</v>
      </c>
      <c r="U477" s="69">
        <f t="shared" si="95"/>
        <v>2091</v>
      </c>
      <c r="V477" s="68">
        <f>VLOOKUP(B477,'114+840'!$B$15:$AB$516,15,FALSE)</f>
        <v>-909</v>
      </c>
      <c r="W477" s="67">
        <f>'114+840'!S478</f>
        <v>2</v>
      </c>
      <c r="X477" s="66">
        <f t="shared" si="100"/>
        <v>519</v>
      </c>
      <c r="Y477" s="65">
        <f t="shared" si="101"/>
        <v>-2</v>
      </c>
      <c r="Z477" s="64">
        <f t="shared" si="102"/>
        <v>0</v>
      </c>
      <c r="AA477" s="63">
        <f t="shared" si="103"/>
        <v>3.3879999999999999</v>
      </c>
      <c r="AB477" s="63">
        <f t="shared" si="104"/>
        <v>0.47</v>
      </c>
    </row>
    <row r="478" spans="2:28">
      <c r="B478" s="104">
        <f>'114+840'!B479</f>
        <v>45735</v>
      </c>
      <c r="C478" s="75">
        <f t="shared" si="96"/>
        <v>1</v>
      </c>
      <c r="D478" s="74">
        <f t="shared" si="97"/>
        <v>842</v>
      </c>
      <c r="E478" s="73">
        <f>VLOOKUP(B478,'114+840'!B479:AB479,3,FALSE)</f>
        <v>2105</v>
      </c>
      <c r="F478" s="70">
        <f t="shared" si="92"/>
        <v>2947</v>
      </c>
      <c r="G478" s="72">
        <f>VLOOKUP(B478,'114+840'!$B$15:$AB$516,20,FALSE)</f>
        <v>2252</v>
      </c>
      <c r="H478" s="72">
        <f>VLOOKUP(B478,'114+840'!$B$15:$AB$516,4,FALSE)</f>
        <v>875</v>
      </c>
      <c r="I478" s="69">
        <f t="shared" si="93"/>
        <v>2072</v>
      </c>
      <c r="J478" s="69">
        <f>VLOOKUP(B478,'114+840'!$B$15:$AB$516,13,FALSE)</f>
        <v>-928</v>
      </c>
      <c r="K478" s="67">
        <f>'114+840'!Q479</f>
        <v>5</v>
      </c>
      <c r="L478" s="66">
        <f t="shared" si="98"/>
        <v>848</v>
      </c>
      <c r="M478" s="71">
        <f>VLOOKUP(B478,'114+840'!$B$14:$AB$516,21,FALSE)</f>
        <v>1828</v>
      </c>
      <c r="N478" s="70">
        <f>VLOOKUP(B478,'114+840'!$B$15:$AB$516,5,FALSE)</f>
        <v>1119</v>
      </c>
      <c r="O478" s="69">
        <f t="shared" si="94"/>
        <v>1828</v>
      </c>
      <c r="P478" s="69">
        <f>VLOOKUP(B478,'114+840'!$B$15:$AB$516,14,FALSE)</f>
        <v>-1172</v>
      </c>
      <c r="Q478" s="67">
        <f>'114+840'!R479</f>
        <v>7</v>
      </c>
      <c r="R478" s="66">
        <f t="shared" si="99"/>
        <v>1272</v>
      </c>
      <c r="S478" s="71">
        <f>VLOOKUP(B478,'114+840'!$B$14:$AB$516,22,FALSE)</f>
        <v>2580</v>
      </c>
      <c r="T478" s="70">
        <f>VLOOKUP(B478,'114+840'!$B$15:$AB$516,6,FALSE)</f>
        <v>857</v>
      </c>
      <c r="U478" s="69">
        <f t="shared" si="95"/>
        <v>2090</v>
      </c>
      <c r="V478" s="68">
        <f>VLOOKUP(B478,'114+840'!$B$15:$AB$516,15,FALSE)</f>
        <v>-910</v>
      </c>
      <c r="W478" s="67">
        <f>'114+840'!S479</f>
        <v>1</v>
      </c>
      <c r="X478" s="66">
        <f t="shared" si="100"/>
        <v>520</v>
      </c>
      <c r="Y478" s="65">
        <f t="shared" si="101"/>
        <v>-1</v>
      </c>
      <c r="Z478" s="64">
        <f t="shared" si="102"/>
        <v>0</v>
      </c>
      <c r="AA478" s="63">
        <f t="shared" si="103"/>
        <v>3.3879999999999999</v>
      </c>
      <c r="AB478" s="63">
        <f t="shared" si="104"/>
        <v>0.45600000000000002</v>
      </c>
    </row>
    <row r="479" spans="2:28">
      <c r="B479" s="104">
        <f>'114+840'!B480</f>
        <v>45736</v>
      </c>
      <c r="C479" s="75">
        <f t="shared" si="96"/>
        <v>1</v>
      </c>
      <c r="D479" s="74">
        <f t="shared" si="97"/>
        <v>842</v>
      </c>
      <c r="E479" s="73">
        <f>VLOOKUP(B479,'114+840'!B480:AB480,3,FALSE)</f>
        <v>2107</v>
      </c>
      <c r="F479" s="70">
        <f t="shared" si="92"/>
        <v>2949</v>
      </c>
      <c r="G479" s="72">
        <f>VLOOKUP(B479,'114+840'!$B$15:$AB$516,20,FALSE)</f>
        <v>2247</v>
      </c>
      <c r="H479" s="72">
        <f>VLOOKUP(B479,'114+840'!$B$15:$AB$516,4,FALSE)</f>
        <v>882</v>
      </c>
      <c r="I479" s="69">
        <f t="shared" si="93"/>
        <v>2067</v>
      </c>
      <c r="J479" s="69">
        <f>VLOOKUP(B479,'114+840'!$B$15:$AB$516,13,FALSE)</f>
        <v>-933</v>
      </c>
      <c r="K479" s="67">
        <f>'114+840'!Q480</f>
        <v>5</v>
      </c>
      <c r="L479" s="66">
        <f t="shared" si="98"/>
        <v>853</v>
      </c>
      <c r="M479" s="71">
        <f>VLOOKUP(B479,'114+840'!$B$14:$AB$516,21,FALSE)</f>
        <v>1823</v>
      </c>
      <c r="N479" s="70">
        <f>VLOOKUP(B479,'114+840'!$B$15:$AB$516,5,FALSE)</f>
        <v>1126</v>
      </c>
      <c r="O479" s="69">
        <f t="shared" si="94"/>
        <v>1823</v>
      </c>
      <c r="P479" s="69">
        <f>VLOOKUP(B479,'114+840'!$B$15:$AB$516,14,FALSE)</f>
        <v>-1177</v>
      </c>
      <c r="Q479" s="67">
        <f>'114+840'!R480</f>
        <v>5</v>
      </c>
      <c r="R479" s="66">
        <f t="shared" si="99"/>
        <v>1277</v>
      </c>
      <c r="S479" s="71">
        <f>VLOOKUP(B479,'114+840'!$B$14:$AB$516,22,FALSE)</f>
        <v>2578</v>
      </c>
      <c r="T479" s="70">
        <f>VLOOKUP(B479,'114+840'!$B$15:$AB$516,6,FALSE)</f>
        <v>861</v>
      </c>
      <c r="U479" s="69">
        <f t="shared" si="95"/>
        <v>2088</v>
      </c>
      <c r="V479" s="68">
        <f>VLOOKUP(B479,'114+840'!$B$15:$AB$516,15,FALSE)</f>
        <v>-912</v>
      </c>
      <c r="W479" s="67">
        <f>'114+840'!S480</f>
        <v>2</v>
      </c>
      <c r="X479" s="66">
        <f t="shared" si="100"/>
        <v>522</v>
      </c>
      <c r="Y479" s="65">
        <f t="shared" si="101"/>
        <v>-2</v>
      </c>
      <c r="Z479" s="64">
        <f t="shared" si="102"/>
        <v>0</v>
      </c>
      <c r="AA479" s="63">
        <f t="shared" si="103"/>
        <v>3.3879999999999999</v>
      </c>
      <c r="AB479" s="63">
        <f t="shared" si="104"/>
        <v>0.44600000000000001</v>
      </c>
    </row>
    <row r="480" spans="2:28">
      <c r="B480" s="104">
        <f>'114+840'!B481</f>
        <v>45737</v>
      </c>
      <c r="C480" s="75">
        <f t="shared" si="96"/>
        <v>1</v>
      </c>
      <c r="D480" s="74">
        <f t="shared" si="97"/>
        <v>842</v>
      </c>
      <c r="E480" s="73">
        <f>VLOOKUP(B480,'114+840'!B481:AB481,3,FALSE)</f>
        <v>2109</v>
      </c>
      <c r="F480" s="70">
        <f t="shared" si="92"/>
        <v>2951</v>
      </c>
      <c r="G480" s="72">
        <f>VLOOKUP(B480,'114+840'!$B$15:$AB$516,20,FALSE)</f>
        <v>2243</v>
      </c>
      <c r="H480" s="72">
        <f>VLOOKUP(B480,'114+840'!$B$15:$AB$516,4,FALSE)</f>
        <v>888</v>
      </c>
      <c r="I480" s="69">
        <f t="shared" si="93"/>
        <v>2063</v>
      </c>
      <c r="J480" s="69">
        <f>VLOOKUP(B480,'114+840'!$B$15:$AB$516,13,FALSE)</f>
        <v>-937</v>
      </c>
      <c r="K480" s="67">
        <f>'114+840'!Q481</f>
        <v>4</v>
      </c>
      <c r="L480" s="66">
        <f t="shared" si="98"/>
        <v>857</v>
      </c>
      <c r="M480" s="71">
        <f>VLOOKUP(B480,'114+840'!$B$14:$AB$516,21,FALSE)</f>
        <v>1818</v>
      </c>
      <c r="N480" s="70">
        <f>VLOOKUP(B480,'114+840'!$B$15:$AB$516,5,FALSE)</f>
        <v>1133</v>
      </c>
      <c r="O480" s="69">
        <f t="shared" si="94"/>
        <v>1818</v>
      </c>
      <c r="P480" s="69">
        <f>VLOOKUP(B480,'114+840'!$B$15:$AB$516,14,FALSE)</f>
        <v>-1182</v>
      </c>
      <c r="Q480" s="67">
        <f>'114+840'!R481</f>
        <v>5</v>
      </c>
      <c r="R480" s="66">
        <f t="shared" si="99"/>
        <v>1282</v>
      </c>
      <c r="S480" s="71">
        <f>VLOOKUP(B480,'114+840'!$B$14:$AB$516,22,FALSE)</f>
        <v>2576</v>
      </c>
      <c r="T480" s="70">
        <f>VLOOKUP(B480,'114+840'!$B$15:$AB$516,6,FALSE)</f>
        <v>865</v>
      </c>
      <c r="U480" s="69">
        <f t="shared" si="95"/>
        <v>2086</v>
      </c>
      <c r="V480" s="68">
        <f>VLOOKUP(B480,'114+840'!$B$15:$AB$516,15,FALSE)</f>
        <v>-914</v>
      </c>
      <c r="W480" s="67">
        <f>'114+840'!S481</f>
        <v>2</v>
      </c>
      <c r="X480" s="66">
        <f t="shared" si="100"/>
        <v>524</v>
      </c>
      <c r="Y480" s="65">
        <f t="shared" si="101"/>
        <v>-2</v>
      </c>
      <c r="Z480" s="64">
        <f t="shared" si="102"/>
        <v>0</v>
      </c>
      <c r="AA480" s="63">
        <f t="shared" si="103"/>
        <v>3.3879999999999999</v>
      </c>
      <c r="AB480" s="63">
        <f t="shared" si="104"/>
        <v>0.436</v>
      </c>
    </row>
    <row r="481" spans="2:28">
      <c r="B481" s="104">
        <f>'114+840'!B482</f>
        <v>45738</v>
      </c>
      <c r="C481" s="75">
        <f t="shared" si="96"/>
        <v>1</v>
      </c>
      <c r="D481" s="74">
        <f t="shared" si="97"/>
        <v>842</v>
      </c>
      <c r="E481" s="73">
        <f>VLOOKUP(B481,'114+840'!B482:AB482,3,FALSE)</f>
        <v>2111</v>
      </c>
      <c r="F481" s="70">
        <f t="shared" si="92"/>
        <v>2953</v>
      </c>
      <c r="G481" s="72">
        <f>VLOOKUP(B481,'114+840'!$B$15:$AB$516,20,FALSE)</f>
        <v>2240</v>
      </c>
      <c r="H481" s="72">
        <f>VLOOKUP(B481,'114+840'!$B$15:$AB$516,4,FALSE)</f>
        <v>893</v>
      </c>
      <c r="I481" s="69">
        <f t="shared" si="93"/>
        <v>2060</v>
      </c>
      <c r="J481" s="69">
        <f>VLOOKUP(B481,'114+840'!$B$15:$AB$516,13,FALSE)</f>
        <v>-940</v>
      </c>
      <c r="K481" s="67">
        <f>'114+840'!Q482</f>
        <v>3</v>
      </c>
      <c r="L481" s="66">
        <f t="shared" si="98"/>
        <v>860</v>
      </c>
      <c r="M481" s="71">
        <f>VLOOKUP(B481,'114+840'!$B$14:$AB$516,21,FALSE)</f>
        <v>1811</v>
      </c>
      <c r="N481" s="70">
        <f>VLOOKUP(B481,'114+840'!$B$15:$AB$516,5,FALSE)</f>
        <v>1142</v>
      </c>
      <c r="O481" s="69">
        <f t="shared" si="94"/>
        <v>1811</v>
      </c>
      <c r="P481" s="69">
        <f>VLOOKUP(B481,'114+840'!$B$15:$AB$516,14,FALSE)</f>
        <v>-1189</v>
      </c>
      <c r="Q481" s="67">
        <f>'114+840'!R482</f>
        <v>7</v>
      </c>
      <c r="R481" s="66">
        <f t="shared" si="99"/>
        <v>1289</v>
      </c>
      <c r="S481" s="71">
        <f>VLOOKUP(B481,'114+840'!$B$14:$AB$516,22,FALSE)</f>
        <v>2573</v>
      </c>
      <c r="T481" s="70">
        <f>VLOOKUP(B481,'114+840'!$B$15:$AB$516,6,FALSE)</f>
        <v>870</v>
      </c>
      <c r="U481" s="69">
        <f t="shared" si="95"/>
        <v>2083</v>
      </c>
      <c r="V481" s="68">
        <f>VLOOKUP(B481,'114+840'!$B$15:$AB$516,15,FALSE)</f>
        <v>-917</v>
      </c>
      <c r="W481" s="67">
        <f>'114+840'!S482</f>
        <v>3</v>
      </c>
      <c r="X481" s="66">
        <f t="shared" si="100"/>
        <v>527</v>
      </c>
      <c r="Y481" s="65">
        <f t="shared" si="101"/>
        <v>-3</v>
      </c>
      <c r="Z481" s="64">
        <f t="shared" si="102"/>
        <v>0</v>
      </c>
      <c r="AA481" s="63">
        <f t="shared" si="103"/>
        <v>3.3879999999999999</v>
      </c>
      <c r="AB481" s="63">
        <f t="shared" si="104"/>
        <v>0.42199999999999999</v>
      </c>
    </row>
    <row r="482" spans="2:28">
      <c r="B482" s="104">
        <f>'114+840'!B483</f>
        <v>45739</v>
      </c>
      <c r="C482" s="75">
        <f t="shared" si="96"/>
        <v>1</v>
      </c>
      <c r="D482" s="74">
        <f t="shared" si="97"/>
        <v>842</v>
      </c>
      <c r="E482" s="73">
        <f>VLOOKUP(B482,'114+840'!B483:AB483,3,FALSE)</f>
        <v>2113</v>
      </c>
      <c r="F482" s="70">
        <f t="shared" si="92"/>
        <v>2955</v>
      </c>
      <c r="G482" s="72">
        <f>VLOOKUP(B482,'114+840'!$B$15:$AB$516,20,FALSE)</f>
        <v>2238</v>
      </c>
      <c r="H482" s="72">
        <f>VLOOKUP(B482,'114+840'!$B$15:$AB$516,4,FALSE)</f>
        <v>897</v>
      </c>
      <c r="I482" s="69">
        <f t="shared" si="93"/>
        <v>2058</v>
      </c>
      <c r="J482" s="69">
        <f>VLOOKUP(B482,'114+840'!$B$15:$AB$516,13,FALSE)</f>
        <v>-942</v>
      </c>
      <c r="K482" s="67">
        <f>'114+840'!Q483</f>
        <v>2</v>
      </c>
      <c r="L482" s="66">
        <f t="shared" si="98"/>
        <v>862</v>
      </c>
      <c r="M482" s="71">
        <f>VLOOKUP(B482,'114+840'!$B$14:$AB$516,21,FALSE)</f>
        <v>1807</v>
      </c>
      <c r="N482" s="70">
        <f>VLOOKUP(B482,'114+840'!$B$15:$AB$516,5,FALSE)</f>
        <v>1148</v>
      </c>
      <c r="O482" s="69">
        <f t="shared" si="94"/>
        <v>1807</v>
      </c>
      <c r="P482" s="69">
        <f>VLOOKUP(B482,'114+840'!$B$15:$AB$516,14,FALSE)</f>
        <v>-1193</v>
      </c>
      <c r="Q482" s="67">
        <f>'114+840'!R483</f>
        <v>4</v>
      </c>
      <c r="R482" s="66">
        <f t="shared" si="99"/>
        <v>1293</v>
      </c>
      <c r="S482" s="71">
        <f>VLOOKUP(B482,'114+840'!$B$14:$AB$516,22,FALSE)</f>
        <v>2572</v>
      </c>
      <c r="T482" s="70">
        <f>VLOOKUP(B482,'114+840'!$B$15:$AB$516,6,FALSE)</f>
        <v>873</v>
      </c>
      <c r="U482" s="69">
        <f t="shared" si="95"/>
        <v>2082</v>
      </c>
      <c r="V482" s="68">
        <f>VLOOKUP(B482,'114+840'!$B$15:$AB$516,15,FALSE)</f>
        <v>-918</v>
      </c>
      <c r="W482" s="67">
        <f>'114+840'!S483</f>
        <v>1</v>
      </c>
      <c r="X482" s="66">
        <f t="shared" si="100"/>
        <v>528</v>
      </c>
      <c r="Y482" s="65">
        <f t="shared" si="101"/>
        <v>-1</v>
      </c>
      <c r="Z482" s="64">
        <f t="shared" si="102"/>
        <v>0</v>
      </c>
      <c r="AA482" s="63">
        <f t="shared" si="103"/>
        <v>3.3879999999999999</v>
      </c>
      <c r="AB482" s="63">
        <f t="shared" si="104"/>
        <v>0.41399999999999998</v>
      </c>
    </row>
    <row r="483" spans="2:28">
      <c r="B483" s="104">
        <f>'114+840'!B484</f>
        <v>45740</v>
      </c>
      <c r="C483" s="75">
        <f t="shared" si="96"/>
        <v>1</v>
      </c>
      <c r="D483" s="74">
        <f t="shared" si="97"/>
        <v>842</v>
      </c>
      <c r="E483" s="73">
        <f>VLOOKUP(B483,'114+840'!B484:AB484,3,FALSE)</f>
        <v>2115</v>
      </c>
      <c r="F483" s="70">
        <f t="shared" si="92"/>
        <v>2957</v>
      </c>
      <c r="G483" s="72">
        <f>VLOOKUP(B483,'114+840'!$B$15:$AB$516,20,FALSE)</f>
        <v>2234</v>
      </c>
      <c r="H483" s="72">
        <f>VLOOKUP(B483,'114+840'!$B$15:$AB$516,4,FALSE)</f>
        <v>903</v>
      </c>
      <c r="I483" s="69">
        <f t="shared" si="93"/>
        <v>2054</v>
      </c>
      <c r="J483" s="69">
        <f>VLOOKUP(B483,'114+840'!$B$15:$AB$516,13,FALSE)</f>
        <v>-946</v>
      </c>
      <c r="K483" s="67">
        <f>'114+840'!Q484</f>
        <v>4</v>
      </c>
      <c r="L483" s="66">
        <f t="shared" si="98"/>
        <v>866</v>
      </c>
      <c r="M483" s="71">
        <f>VLOOKUP(B483,'114+840'!$B$14:$AB$516,21,FALSE)</f>
        <v>1803</v>
      </c>
      <c r="N483" s="70">
        <f>VLOOKUP(B483,'114+840'!$B$15:$AB$516,5,FALSE)</f>
        <v>1154</v>
      </c>
      <c r="O483" s="69">
        <f t="shared" si="94"/>
        <v>1803</v>
      </c>
      <c r="P483" s="69">
        <f>VLOOKUP(B483,'114+840'!$B$15:$AB$516,14,FALSE)</f>
        <v>-1197</v>
      </c>
      <c r="Q483" s="67">
        <f>'114+840'!R484</f>
        <v>4</v>
      </c>
      <c r="R483" s="66">
        <f t="shared" si="99"/>
        <v>1297</v>
      </c>
      <c r="S483" s="71">
        <f>VLOOKUP(B483,'114+840'!$B$14:$AB$516,22,FALSE)</f>
        <v>2570</v>
      </c>
      <c r="T483" s="70">
        <f>VLOOKUP(B483,'114+840'!$B$15:$AB$516,6,FALSE)</f>
        <v>877</v>
      </c>
      <c r="U483" s="69">
        <f t="shared" si="95"/>
        <v>2080</v>
      </c>
      <c r="V483" s="68">
        <f>VLOOKUP(B483,'114+840'!$B$15:$AB$516,15,FALSE)</f>
        <v>-920</v>
      </c>
      <c r="W483" s="67">
        <f>'114+840'!S484</f>
        <v>2</v>
      </c>
      <c r="X483" s="66">
        <f t="shared" si="100"/>
        <v>530</v>
      </c>
      <c r="Y483" s="65">
        <f t="shared" si="101"/>
        <v>-2</v>
      </c>
      <c r="Z483" s="64">
        <f t="shared" si="102"/>
        <v>0</v>
      </c>
      <c r="AA483" s="63">
        <f t="shared" si="103"/>
        <v>3.3879999999999999</v>
      </c>
      <c r="AB483" s="63">
        <f t="shared" si="104"/>
        <v>0.40600000000000003</v>
      </c>
    </row>
    <row r="484" spans="2:28">
      <c r="B484" s="104">
        <f>'114+840'!B485</f>
        <v>45741</v>
      </c>
      <c r="C484" s="75">
        <f t="shared" si="96"/>
        <v>1</v>
      </c>
      <c r="D484" s="74">
        <f t="shared" si="97"/>
        <v>842</v>
      </c>
      <c r="E484" s="73">
        <f>VLOOKUP(B484,'114+840'!B485:AB485,3,FALSE)</f>
        <v>2117</v>
      </c>
      <c r="F484" s="70">
        <f t="shared" si="92"/>
        <v>2959</v>
      </c>
      <c r="G484" s="72">
        <f>VLOOKUP(B484,'114+840'!$B$15:$AB$516,20,FALSE)</f>
        <v>2231</v>
      </c>
      <c r="H484" s="72">
        <f>VLOOKUP(B484,'114+840'!$B$15:$AB$516,4,FALSE)</f>
        <v>908</v>
      </c>
      <c r="I484" s="69">
        <f t="shared" si="93"/>
        <v>2051</v>
      </c>
      <c r="J484" s="69">
        <f>VLOOKUP(B484,'114+840'!$B$15:$AB$516,13,FALSE)</f>
        <v>-949</v>
      </c>
      <c r="K484" s="67">
        <f>'114+840'!Q485</f>
        <v>3</v>
      </c>
      <c r="L484" s="66">
        <f t="shared" si="98"/>
        <v>869</v>
      </c>
      <c r="M484" s="71">
        <f>VLOOKUP(B484,'114+840'!$B$14:$AB$516,21,FALSE)</f>
        <v>1798</v>
      </c>
      <c r="N484" s="70">
        <f>VLOOKUP(B484,'114+840'!$B$15:$AB$516,5,FALSE)</f>
        <v>1161</v>
      </c>
      <c r="O484" s="69">
        <f t="shared" si="94"/>
        <v>1798</v>
      </c>
      <c r="P484" s="69">
        <f>VLOOKUP(B484,'114+840'!$B$15:$AB$516,14,FALSE)</f>
        <v>-1202</v>
      </c>
      <c r="Q484" s="67">
        <f>'114+840'!R485</f>
        <v>5</v>
      </c>
      <c r="R484" s="66">
        <f t="shared" si="99"/>
        <v>1302</v>
      </c>
      <c r="S484" s="71">
        <f>VLOOKUP(B484,'114+840'!$B$14:$AB$516,22,FALSE)</f>
        <v>2568</v>
      </c>
      <c r="T484" s="70">
        <f>VLOOKUP(B484,'114+840'!$B$15:$AB$516,6,FALSE)</f>
        <v>881</v>
      </c>
      <c r="U484" s="69">
        <f t="shared" si="95"/>
        <v>2078</v>
      </c>
      <c r="V484" s="68">
        <f>VLOOKUP(B484,'114+840'!$B$15:$AB$516,15,FALSE)</f>
        <v>-922</v>
      </c>
      <c r="W484" s="67">
        <f>'114+840'!S485</f>
        <v>2</v>
      </c>
      <c r="X484" s="66">
        <f t="shared" si="100"/>
        <v>532</v>
      </c>
      <c r="Y484" s="65">
        <f t="shared" si="101"/>
        <v>-2</v>
      </c>
      <c r="Z484" s="64">
        <f t="shared" si="102"/>
        <v>0</v>
      </c>
      <c r="AA484" s="63">
        <f t="shared" si="103"/>
        <v>3.3879999999999999</v>
      </c>
      <c r="AB484" s="63">
        <f t="shared" si="104"/>
        <v>0.39600000000000002</v>
      </c>
    </row>
    <row r="485" spans="2:28">
      <c r="B485" s="104">
        <f>'114+840'!B486</f>
        <v>45742</v>
      </c>
      <c r="C485" s="75">
        <f t="shared" si="96"/>
        <v>1</v>
      </c>
      <c r="D485" s="74">
        <f t="shared" si="97"/>
        <v>842</v>
      </c>
      <c r="E485" s="73">
        <f>VLOOKUP(B485,'114+840'!B486:AB486,3,FALSE)</f>
        <v>2119</v>
      </c>
      <c r="F485" s="70">
        <f t="shared" si="92"/>
        <v>2961</v>
      </c>
      <c r="G485" s="72">
        <f>VLOOKUP(B485,'114+840'!$B$15:$AB$516,20,FALSE)</f>
        <v>2227</v>
      </c>
      <c r="H485" s="72">
        <f>VLOOKUP(B485,'114+840'!$B$15:$AB$516,4,FALSE)</f>
        <v>914</v>
      </c>
      <c r="I485" s="69">
        <f t="shared" si="93"/>
        <v>2047</v>
      </c>
      <c r="J485" s="69">
        <f>VLOOKUP(B485,'114+840'!$B$15:$AB$516,13,FALSE)</f>
        <v>-953</v>
      </c>
      <c r="K485" s="67">
        <f>'114+840'!Q486</f>
        <v>4</v>
      </c>
      <c r="L485" s="66">
        <f t="shared" si="98"/>
        <v>873</v>
      </c>
      <c r="M485" s="71">
        <f>VLOOKUP(B485,'114+840'!$B$14:$AB$516,21,FALSE)</f>
        <v>1794</v>
      </c>
      <c r="N485" s="70">
        <f>VLOOKUP(B485,'114+840'!$B$15:$AB$516,5,FALSE)</f>
        <v>1167</v>
      </c>
      <c r="O485" s="69">
        <f t="shared" si="94"/>
        <v>1794</v>
      </c>
      <c r="P485" s="69">
        <f>VLOOKUP(B485,'114+840'!$B$15:$AB$516,14,FALSE)</f>
        <v>-1206</v>
      </c>
      <c r="Q485" s="67">
        <f>'114+840'!R486</f>
        <v>4</v>
      </c>
      <c r="R485" s="66">
        <f t="shared" si="99"/>
        <v>1306</v>
      </c>
      <c r="S485" s="71">
        <f>VLOOKUP(B485,'114+840'!$B$14:$AB$516,22,FALSE)</f>
        <v>2567</v>
      </c>
      <c r="T485" s="70">
        <f>VLOOKUP(B485,'114+840'!$B$15:$AB$516,6,FALSE)</f>
        <v>884</v>
      </c>
      <c r="U485" s="69">
        <f t="shared" si="95"/>
        <v>2077</v>
      </c>
      <c r="V485" s="68">
        <f>VLOOKUP(B485,'114+840'!$B$15:$AB$516,15,FALSE)</f>
        <v>-923</v>
      </c>
      <c r="W485" s="67">
        <f>'114+840'!S486</f>
        <v>1</v>
      </c>
      <c r="X485" s="66">
        <f t="shared" si="100"/>
        <v>533</v>
      </c>
      <c r="Y485" s="65">
        <f t="shared" si="101"/>
        <v>-1</v>
      </c>
      <c r="Z485" s="64">
        <f t="shared" si="102"/>
        <v>0</v>
      </c>
      <c r="AA485" s="63">
        <f t="shared" si="103"/>
        <v>3.3879999999999999</v>
      </c>
      <c r="AB485" s="63">
        <f t="shared" si="104"/>
        <v>0.38800000000000001</v>
      </c>
    </row>
    <row r="486" spans="2:28">
      <c r="B486" s="104">
        <f>'114+840'!B487</f>
        <v>45743</v>
      </c>
      <c r="C486" s="75">
        <f t="shared" si="96"/>
        <v>1</v>
      </c>
      <c r="D486" s="74">
        <f t="shared" si="97"/>
        <v>842</v>
      </c>
      <c r="E486" s="73">
        <f>VLOOKUP(B486,'114+840'!B487:AB487,3,FALSE)</f>
        <v>2121</v>
      </c>
      <c r="F486" s="70">
        <f t="shared" si="92"/>
        <v>2963</v>
      </c>
      <c r="G486" s="72">
        <f>VLOOKUP(B486,'114+840'!$B$15:$AB$516,20,FALSE)</f>
        <v>2225</v>
      </c>
      <c r="H486" s="72">
        <f>VLOOKUP(B486,'114+840'!$B$15:$AB$516,4,FALSE)</f>
        <v>918</v>
      </c>
      <c r="I486" s="69">
        <f t="shared" si="93"/>
        <v>2045</v>
      </c>
      <c r="J486" s="69">
        <f>VLOOKUP(B486,'114+840'!$B$15:$AB$516,13,FALSE)</f>
        <v>-955</v>
      </c>
      <c r="K486" s="67">
        <f>'114+840'!Q487</f>
        <v>2</v>
      </c>
      <c r="L486" s="66">
        <f t="shared" si="98"/>
        <v>875</v>
      </c>
      <c r="M486" s="71">
        <f>VLOOKUP(B486,'114+840'!$B$14:$AB$516,21,FALSE)</f>
        <v>1790</v>
      </c>
      <c r="N486" s="70">
        <f>VLOOKUP(B486,'114+840'!$B$15:$AB$516,5,FALSE)</f>
        <v>1173</v>
      </c>
      <c r="O486" s="69">
        <f t="shared" si="94"/>
        <v>1790</v>
      </c>
      <c r="P486" s="69">
        <f>VLOOKUP(B486,'114+840'!$B$15:$AB$516,14,FALSE)</f>
        <v>-1210</v>
      </c>
      <c r="Q486" s="67">
        <f>'114+840'!R487</f>
        <v>4</v>
      </c>
      <c r="R486" s="66">
        <f t="shared" si="99"/>
        <v>1310</v>
      </c>
      <c r="S486" s="71">
        <f>VLOOKUP(B486,'114+840'!$B$14:$AB$516,22,FALSE)</f>
        <v>2565</v>
      </c>
      <c r="T486" s="70">
        <f>VLOOKUP(B486,'114+840'!$B$15:$AB$516,6,FALSE)</f>
        <v>888</v>
      </c>
      <c r="U486" s="69">
        <f t="shared" si="95"/>
        <v>2075</v>
      </c>
      <c r="V486" s="68">
        <f>VLOOKUP(B486,'114+840'!$B$15:$AB$516,15,FALSE)</f>
        <v>-925</v>
      </c>
      <c r="W486" s="67">
        <f>'114+840'!S487</f>
        <v>2</v>
      </c>
      <c r="X486" s="66">
        <f t="shared" si="100"/>
        <v>535</v>
      </c>
      <c r="Y486" s="65">
        <f t="shared" si="101"/>
        <v>-2</v>
      </c>
      <c r="Z486" s="64">
        <f t="shared" si="102"/>
        <v>0</v>
      </c>
      <c r="AA486" s="63">
        <f t="shared" si="103"/>
        <v>3.3879999999999999</v>
      </c>
      <c r="AB486" s="63">
        <f t="shared" si="104"/>
        <v>0.38</v>
      </c>
    </row>
    <row r="487" spans="2:28">
      <c r="B487" s="104">
        <f>'114+840'!B488</f>
        <v>45744</v>
      </c>
      <c r="C487" s="75">
        <f t="shared" si="96"/>
        <v>1</v>
      </c>
      <c r="D487" s="74">
        <f t="shared" si="97"/>
        <v>842</v>
      </c>
      <c r="E487" s="73">
        <f>VLOOKUP(B487,'114+840'!B488:AB488,3,FALSE)</f>
        <v>2123</v>
      </c>
      <c r="F487" s="70">
        <f t="shared" si="92"/>
        <v>2965</v>
      </c>
      <c r="G487" s="72">
        <f>VLOOKUP(B487,'114+840'!$B$15:$AB$516,20,FALSE)</f>
        <v>2220</v>
      </c>
      <c r="H487" s="72">
        <f>VLOOKUP(B487,'114+840'!$B$15:$AB$516,4,FALSE)</f>
        <v>925</v>
      </c>
      <c r="I487" s="69">
        <f t="shared" si="93"/>
        <v>2040</v>
      </c>
      <c r="J487" s="69">
        <f>VLOOKUP(B487,'114+840'!$B$15:$AB$516,13,FALSE)</f>
        <v>-960</v>
      </c>
      <c r="K487" s="67">
        <f>'114+840'!Q488</f>
        <v>5</v>
      </c>
      <c r="L487" s="66">
        <f t="shared" si="98"/>
        <v>880</v>
      </c>
      <c r="M487" s="71">
        <f>VLOOKUP(B487,'114+840'!$B$14:$AB$516,21,FALSE)</f>
        <v>1787</v>
      </c>
      <c r="N487" s="70">
        <f>VLOOKUP(B487,'114+840'!$B$15:$AB$516,5,FALSE)</f>
        <v>1178</v>
      </c>
      <c r="O487" s="69">
        <f t="shared" si="94"/>
        <v>1787</v>
      </c>
      <c r="P487" s="69">
        <f>VLOOKUP(B487,'114+840'!$B$15:$AB$516,14,FALSE)</f>
        <v>-1213</v>
      </c>
      <c r="Q487" s="67">
        <f>'114+840'!R488</f>
        <v>3</v>
      </c>
      <c r="R487" s="66">
        <f t="shared" si="99"/>
        <v>1313</v>
      </c>
      <c r="S487" s="71">
        <f>VLOOKUP(B487,'114+840'!$B$14:$AB$516,22,FALSE)</f>
        <v>2563</v>
      </c>
      <c r="T487" s="70">
        <f>VLOOKUP(B487,'114+840'!$B$15:$AB$516,6,FALSE)</f>
        <v>892</v>
      </c>
      <c r="U487" s="69">
        <f t="shared" si="95"/>
        <v>2073</v>
      </c>
      <c r="V487" s="68">
        <f>VLOOKUP(B487,'114+840'!$B$15:$AB$516,15,FALSE)</f>
        <v>-927</v>
      </c>
      <c r="W487" s="67">
        <f>'114+840'!S488</f>
        <v>2</v>
      </c>
      <c r="X487" s="66">
        <f t="shared" si="100"/>
        <v>537</v>
      </c>
      <c r="Y487" s="65">
        <f t="shared" si="101"/>
        <v>-2</v>
      </c>
      <c r="Z487" s="64">
        <f t="shared" si="102"/>
        <v>0</v>
      </c>
      <c r="AA487" s="63">
        <f t="shared" si="103"/>
        <v>3.3879999999999999</v>
      </c>
      <c r="AB487" s="63">
        <f t="shared" si="104"/>
        <v>0.374</v>
      </c>
    </row>
    <row r="488" spans="2:28">
      <c r="B488" s="104">
        <f>'114+840'!B489</f>
        <v>45745</v>
      </c>
      <c r="C488" s="75">
        <f t="shared" si="96"/>
        <v>1</v>
      </c>
      <c r="D488" s="74">
        <f t="shared" si="97"/>
        <v>842</v>
      </c>
      <c r="E488" s="73">
        <f>VLOOKUP(B488,'114+840'!B489:AB489,3,FALSE)</f>
        <v>2125</v>
      </c>
      <c r="F488" s="70">
        <f t="shared" si="92"/>
        <v>2967</v>
      </c>
      <c r="G488" s="72">
        <f>VLOOKUP(B488,'114+840'!$B$15:$AB$516,20,FALSE)</f>
        <v>2217</v>
      </c>
      <c r="H488" s="72">
        <f>VLOOKUP(B488,'114+840'!$B$15:$AB$516,4,FALSE)</f>
        <v>930</v>
      </c>
      <c r="I488" s="69">
        <f t="shared" si="93"/>
        <v>2037</v>
      </c>
      <c r="J488" s="69">
        <f>VLOOKUP(B488,'114+840'!$B$15:$AB$516,13,FALSE)</f>
        <v>-963</v>
      </c>
      <c r="K488" s="67">
        <f>'114+840'!Q489</f>
        <v>3</v>
      </c>
      <c r="L488" s="66">
        <f t="shared" si="98"/>
        <v>883</v>
      </c>
      <c r="M488" s="71">
        <f>VLOOKUP(B488,'114+840'!$B$14:$AB$516,21,FALSE)</f>
        <v>1784</v>
      </c>
      <c r="N488" s="70">
        <f>VLOOKUP(B488,'114+840'!$B$15:$AB$516,5,FALSE)</f>
        <v>1183</v>
      </c>
      <c r="O488" s="69">
        <f t="shared" si="94"/>
        <v>1784</v>
      </c>
      <c r="P488" s="69">
        <f>VLOOKUP(B488,'114+840'!$B$15:$AB$516,14,FALSE)</f>
        <v>-1216</v>
      </c>
      <c r="Q488" s="67">
        <f>'114+840'!R489</f>
        <v>3</v>
      </c>
      <c r="R488" s="66">
        <f t="shared" si="99"/>
        <v>1316</v>
      </c>
      <c r="S488" s="71">
        <f>VLOOKUP(B488,'114+840'!$B$14:$AB$516,22,FALSE)</f>
        <v>2561</v>
      </c>
      <c r="T488" s="70">
        <f>VLOOKUP(B488,'114+840'!$B$15:$AB$516,6,FALSE)</f>
        <v>896</v>
      </c>
      <c r="U488" s="69">
        <f t="shared" si="95"/>
        <v>2071</v>
      </c>
      <c r="V488" s="68">
        <f>VLOOKUP(B488,'114+840'!$B$15:$AB$516,15,FALSE)</f>
        <v>-929</v>
      </c>
      <c r="W488" s="67">
        <f>'114+840'!S489</f>
        <v>2</v>
      </c>
      <c r="X488" s="66">
        <f t="shared" si="100"/>
        <v>539</v>
      </c>
      <c r="Y488" s="65">
        <f t="shared" si="101"/>
        <v>-2</v>
      </c>
      <c r="Z488" s="64">
        <f t="shared" si="102"/>
        <v>0</v>
      </c>
      <c r="AA488" s="63">
        <f t="shared" si="103"/>
        <v>3.3879999999999999</v>
      </c>
      <c r="AB488" s="63">
        <f t="shared" si="104"/>
        <v>0.36799999999999999</v>
      </c>
    </row>
    <row r="489" spans="2:28">
      <c r="B489" s="104">
        <f>'114+840'!B490</f>
        <v>45746</v>
      </c>
      <c r="C489" s="75">
        <f t="shared" si="96"/>
        <v>1</v>
      </c>
      <c r="D489" s="74">
        <f t="shared" si="97"/>
        <v>842</v>
      </c>
      <c r="E489" s="73">
        <f>VLOOKUP(B489,'114+840'!B490:AB490,3,FALSE)</f>
        <v>2127</v>
      </c>
      <c r="F489" s="70">
        <f t="shared" si="92"/>
        <v>2969</v>
      </c>
      <c r="G489" s="72">
        <f>VLOOKUP(B489,'114+840'!$B$15:$AB$516,20,FALSE)</f>
        <v>2213</v>
      </c>
      <c r="H489" s="72">
        <f>VLOOKUP(B489,'114+840'!$B$15:$AB$516,4,FALSE)</f>
        <v>936</v>
      </c>
      <c r="I489" s="69">
        <f t="shared" si="93"/>
        <v>2033</v>
      </c>
      <c r="J489" s="69">
        <f>VLOOKUP(B489,'114+840'!$B$15:$AB$516,13,FALSE)</f>
        <v>-967</v>
      </c>
      <c r="K489" s="67">
        <f>'114+840'!Q490</f>
        <v>4</v>
      </c>
      <c r="L489" s="66">
        <f t="shared" si="98"/>
        <v>887</v>
      </c>
      <c r="M489" s="71">
        <f>VLOOKUP(B489,'114+840'!$B$14:$AB$516,21,FALSE)</f>
        <v>1780</v>
      </c>
      <c r="N489" s="70">
        <f>VLOOKUP(B489,'114+840'!$B$15:$AB$516,5,FALSE)</f>
        <v>1189</v>
      </c>
      <c r="O489" s="69">
        <f t="shared" si="94"/>
        <v>1780</v>
      </c>
      <c r="P489" s="69">
        <f>VLOOKUP(B489,'114+840'!$B$15:$AB$516,14,FALSE)</f>
        <v>-1220</v>
      </c>
      <c r="Q489" s="67">
        <f>'114+840'!R490</f>
        <v>4</v>
      </c>
      <c r="R489" s="66">
        <f t="shared" si="99"/>
        <v>1320</v>
      </c>
      <c r="S489" s="71">
        <f>VLOOKUP(B489,'114+840'!$B$14:$AB$516,22,FALSE)</f>
        <v>2559</v>
      </c>
      <c r="T489" s="70">
        <f>VLOOKUP(B489,'114+840'!$B$15:$AB$516,6,FALSE)</f>
        <v>900</v>
      </c>
      <c r="U489" s="69">
        <f t="shared" si="95"/>
        <v>2069</v>
      </c>
      <c r="V489" s="68">
        <f>VLOOKUP(B489,'114+840'!$B$15:$AB$516,15,FALSE)</f>
        <v>-931</v>
      </c>
      <c r="W489" s="67">
        <f>'114+840'!S490</f>
        <v>2</v>
      </c>
      <c r="X489" s="66">
        <f t="shared" si="100"/>
        <v>541</v>
      </c>
      <c r="Y489" s="65">
        <f t="shared" si="101"/>
        <v>-2</v>
      </c>
      <c r="Z489" s="64">
        <f t="shared" si="102"/>
        <v>0</v>
      </c>
      <c r="AA489" s="63">
        <f t="shared" si="103"/>
        <v>3.3879999999999999</v>
      </c>
      <c r="AB489" s="63">
        <f t="shared" si="104"/>
        <v>0.36</v>
      </c>
    </row>
    <row r="490" spans="2:28">
      <c r="B490" s="104">
        <f>'114+840'!B491</f>
        <v>45747</v>
      </c>
      <c r="C490" s="75">
        <f t="shared" si="96"/>
        <v>1</v>
      </c>
      <c r="D490" s="74">
        <f t="shared" si="97"/>
        <v>842</v>
      </c>
      <c r="E490" s="73">
        <f>VLOOKUP(B490,'114+840'!B491:AB491,3,FALSE)</f>
        <v>2129</v>
      </c>
      <c r="F490" s="70">
        <f t="shared" si="92"/>
        <v>2971</v>
      </c>
      <c r="G490" s="72">
        <f>VLOOKUP(B490,'114+840'!$B$15:$AB$516,20,FALSE)</f>
        <v>2210</v>
      </c>
      <c r="H490" s="72">
        <f>VLOOKUP(B490,'114+840'!$B$15:$AB$516,4,FALSE)</f>
        <v>941</v>
      </c>
      <c r="I490" s="69">
        <f t="shared" si="93"/>
        <v>2030</v>
      </c>
      <c r="J490" s="69">
        <f>VLOOKUP(B490,'114+840'!$B$15:$AB$516,13,FALSE)</f>
        <v>-970</v>
      </c>
      <c r="K490" s="67">
        <f>'114+840'!Q491</f>
        <v>3</v>
      </c>
      <c r="L490" s="66">
        <f t="shared" si="98"/>
        <v>890</v>
      </c>
      <c r="M490" s="71">
        <f>VLOOKUP(B490,'114+840'!$B$14:$AB$516,21,FALSE)</f>
        <v>1777</v>
      </c>
      <c r="N490" s="70">
        <f>VLOOKUP(B490,'114+840'!$B$15:$AB$516,5,FALSE)</f>
        <v>1194</v>
      </c>
      <c r="O490" s="69">
        <f t="shared" si="94"/>
        <v>1777</v>
      </c>
      <c r="P490" s="69">
        <f>VLOOKUP(B490,'114+840'!$B$15:$AB$516,14,FALSE)</f>
        <v>-1223</v>
      </c>
      <c r="Q490" s="67">
        <f>'114+840'!R491</f>
        <v>3</v>
      </c>
      <c r="R490" s="66">
        <f t="shared" si="99"/>
        <v>1323</v>
      </c>
      <c r="S490" s="71">
        <f>VLOOKUP(B490,'114+840'!$B$14:$AB$516,22,FALSE)</f>
        <v>2555</v>
      </c>
      <c r="T490" s="70">
        <f>VLOOKUP(B490,'114+840'!$B$15:$AB$516,6,FALSE)</f>
        <v>906</v>
      </c>
      <c r="U490" s="69">
        <f t="shared" si="95"/>
        <v>2065</v>
      </c>
      <c r="V490" s="68">
        <f>VLOOKUP(B490,'114+840'!$B$15:$AB$516,15,FALSE)</f>
        <v>-935</v>
      </c>
      <c r="W490" s="67">
        <f>'114+840'!S491</f>
        <v>4</v>
      </c>
      <c r="X490" s="66">
        <f t="shared" si="100"/>
        <v>545</v>
      </c>
      <c r="Y490" s="65">
        <f t="shared" si="101"/>
        <v>-4</v>
      </c>
      <c r="Z490" s="64">
        <f t="shared" si="102"/>
        <v>0</v>
      </c>
      <c r="AA490" s="63">
        <f t="shared" si="103"/>
        <v>3.3879999999999999</v>
      </c>
      <c r="AB490" s="63">
        <f t="shared" si="104"/>
        <v>0.35399999999999998</v>
      </c>
    </row>
    <row r="491" spans="2:28">
      <c r="B491" s="104">
        <f>'114+840'!B492</f>
        <v>45748</v>
      </c>
      <c r="C491" s="75">
        <f t="shared" si="96"/>
        <v>1</v>
      </c>
      <c r="D491" s="74">
        <f t="shared" ref="D491:D506" si="105">D490</f>
        <v>842</v>
      </c>
      <c r="E491" s="73">
        <f>VLOOKUP(B491,'114+840'!B492:AB492,3,FALSE)</f>
        <v>2131</v>
      </c>
      <c r="F491" s="70">
        <f t="shared" ref="F491:F506" si="106">D491+E491</f>
        <v>2973</v>
      </c>
      <c r="G491" s="72">
        <f>VLOOKUP(B491,'114+840'!$B$15:$AB$516,20,FALSE)</f>
        <v>2210</v>
      </c>
      <c r="H491" s="72">
        <f>VLOOKUP(B491,'114+840'!$B$15:$AB$516,4,FALSE)</f>
        <v>943</v>
      </c>
      <c r="I491" s="69">
        <f t="shared" ref="I491:I506" si="107">F491-H491</f>
        <v>2030</v>
      </c>
      <c r="J491" s="69">
        <f>VLOOKUP(B491,'114+840'!$B$15:$AB$516,13,FALSE)</f>
        <v>-970</v>
      </c>
      <c r="K491" s="67">
        <f>'114+840'!Q492</f>
        <v>0</v>
      </c>
      <c r="L491" s="66">
        <f t="shared" ref="L491:L506" si="108">+K491+L490</f>
        <v>890</v>
      </c>
      <c r="M491" s="71">
        <f>VLOOKUP(B491,'114+840'!$B$14:$AB$516,21,FALSE)</f>
        <v>1770</v>
      </c>
      <c r="N491" s="70">
        <f>VLOOKUP(B491,'114+840'!$B$15:$AB$516,5,FALSE)</f>
        <v>1203</v>
      </c>
      <c r="O491" s="69">
        <f t="shared" ref="O491:O506" si="109">F491-N491</f>
        <v>1770</v>
      </c>
      <c r="P491" s="69">
        <f>VLOOKUP(B491,'114+840'!$B$15:$AB$516,14,FALSE)</f>
        <v>-1230</v>
      </c>
      <c r="Q491" s="67">
        <f>'114+840'!R492</f>
        <v>7</v>
      </c>
      <c r="R491" s="66">
        <f t="shared" ref="R491:R506" si="110">+Q491+R490</f>
        <v>1330</v>
      </c>
      <c r="S491" s="71">
        <f>VLOOKUP(B491,'114+840'!$B$14:$AB$516,22,FALSE)</f>
        <v>2555</v>
      </c>
      <c r="T491" s="70">
        <f>VLOOKUP(B491,'114+840'!$B$15:$AB$516,6,FALSE)</f>
        <v>908</v>
      </c>
      <c r="U491" s="69">
        <f t="shared" ref="U491:U506" si="111">F491-T491</f>
        <v>2065</v>
      </c>
      <c r="V491" s="68">
        <f>VLOOKUP(B491,'114+840'!$B$15:$AB$516,15,FALSE)</f>
        <v>-935</v>
      </c>
      <c r="W491" s="67">
        <f>'114+840'!S492</f>
        <v>0</v>
      </c>
      <c r="X491" s="66">
        <f t="shared" ref="X491:X506" si="112">+W491+X490</f>
        <v>545</v>
      </c>
      <c r="Y491" s="65">
        <f t="shared" ref="Y491:Y506" si="113">S491-S490</f>
        <v>0</v>
      </c>
      <c r="Z491" s="64">
        <f t="shared" si="102"/>
        <v>0</v>
      </c>
      <c r="AA491" s="63">
        <f t="shared" ref="AA491:AA506" si="114">AA490+Z491</f>
        <v>3.3879999999999999</v>
      </c>
      <c r="AB491" s="63">
        <f t="shared" ref="AB491:AB506" si="115">(M491-$M$13-R491)/1000</f>
        <v>0.34</v>
      </c>
    </row>
    <row r="492" spans="2:28">
      <c r="B492" s="104">
        <f>'114+840'!B493</f>
        <v>45749</v>
      </c>
      <c r="C492" s="75">
        <f t="shared" si="96"/>
        <v>1</v>
      </c>
      <c r="D492" s="74">
        <f t="shared" si="105"/>
        <v>842</v>
      </c>
      <c r="E492" s="73">
        <f>VLOOKUP(B492,'114+840'!B493:AB493,3,FALSE)</f>
        <v>2133</v>
      </c>
      <c r="F492" s="70">
        <f t="shared" si="106"/>
        <v>2975</v>
      </c>
      <c r="G492" s="72">
        <f>VLOOKUP(B492,'114+840'!$B$15:$AB$516,20,FALSE)</f>
        <v>2210</v>
      </c>
      <c r="H492" s="72">
        <f>VLOOKUP(B492,'114+840'!$B$15:$AB$516,4,FALSE)</f>
        <v>945</v>
      </c>
      <c r="I492" s="69">
        <f t="shared" si="107"/>
        <v>2030</v>
      </c>
      <c r="J492" s="69">
        <f>VLOOKUP(B492,'114+840'!$B$15:$AB$516,13,FALSE)</f>
        <v>-970</v>
      </c>
      <c r="K492" s="67">
        <f>'114+840'!Q493</f>
        <v>0</v>
      </c>
      <c r="L492" s="66">
        <f t="shared" si="108"/>
        <v>890</v>
      </c>
      <c r="M492" s="71">
        <f>VLOOKUP(B492,'114+840'!$B$14:$AB$516,21,FALSE)</f>
        <v>1765</v>
      </c>
      <c r="N492" s="70">
        <f>VLOOKUP(B492,'114+840'!$B$15:$AB$516,5,FALSE)</f>
        <v>1210</v>
      </c>
      <c r="O492" s="69">
        <f t="shared" si="109"/>
        <v>1765</v>
      </c>
      <c r="P492" s="69">
        <f>VLOOKUP(B492,'114+840'!$B$15:$AB$516,14,FALSE)</f>
        <v>-1235</v>
      </c>
      <c r="Q492" s="67">
        <f>'114+840'!R493</f>
        <v>5</v>
      </c>
      <c r="R492" s="66">
        <f t="shared" si="110"/>
        <v>1335</v>
      </c>
      <c r="S492" s="71">
        <f>VLOOKUP(B492,'114+840'!$B$14:$AB$516,22,FALSE)</f>
        <v>2555</v>
      </c>
      <c r="T492" s="70">
        <f>VLOOKUP(B492,'114+840'!$B$15:$AB$516,6,FALSE)</f>
        <v>910</v>
      </c>
      <c r="U492" s="69">
        <f t="shared" si="111"/>
        <v>2065</v>
      </c>
      <c r="V492" s="68">
        <f>VLOOKUP(B492,'114+840'!$B$15:$AB$516,15,FALSE)</f>
        <v>-935</v>
      </c>
      <c r="W492" s="67">
        <f>'114+840'!S493</f>
        <v>0</v>
      </c>
      <c r="X492" s="66">
        <f t="shared" si="112"/>
        <v>545</v>
      </c>
      <c r="Y492" s="65">
        <f t="shared" si="113"/>
        <v>0</v>
      </c>
      <c r="Z492" s="64">
        <f t="shared" si="102"/>
        <v>0</v>
      </c>
      <c r="AA492" s="63">
        <f t="shared" si="114"/>
        <v>3.3879999999999999</v>
      </c>
      <c r="AB492" s="63">
        <f t="shared" si="115"/>
        <v>0.33</v>
      </c>
    </row>
    <row r="493" spans="2:28">
      <c r="B493" s="104">
        <f>'114+840'!B494</f>
        <v>45750</v>
      </c>
      <c r="C493" s="75">
        <f t="shared" si="96"/>
        <v>1</v>
      </c>
      <c r="D493" s="74">
        <f t="shared" si="105"/>
        <v>842</v>
      </c>
      <c r="E493" s="73">
        <f>VLOOKUP(B493,'114+840'!B494:AB494,3,FALSE)</f>
        <v>2135</v>
      </c>
      <c r="F493" s="70">
        <f t="shared" si="106"/>
        <v>2977</v>
      </c>
      <c r="G493" s="72">
        <f>VLOOKUP(B493,'114+840'!$B$15:$AB$516,20,FALSE)</f>
        <v>2210</v>
      </c>
      <c r="H493" s="72">
        <f>VLOOKUP(B493,'114+840'!$B$15:$AB$516,4,FALSE)</f>
        <v>947</v>
      </c>
      <c r="I493" s="69">
        <f t="shared" si="107"/>
        <v>2030</v>
      </c>
      <c r="J493" s="69">
        <f>VLOOKUP(B493,'114+840'!$B$15:$AB$516,13,FALSE)</f>
        <v>-970</v>
      </c>
      <c r="K493" s="67">
        <f>'114+840'!Q494</f>
        <v>0</v>
      </c>
      <c r="L493" s="66">
        <f t="shared" si="108"/>
        <v>890</v>
      </c>
      <c r="M493" s="71">
        <f>VLOOKUP(B493,'114+840'!$B$14:$AB$516,21,FALSE)</f>
        <v>1760</v>
      </c>
      <c r="N493" s="70">
        <f>VLOOKUP(B493,'114+840'!$B$15:$AB$516,5,FALSE)</f>
        <v>1217</v>
      </c>
      <c r="O493" s="69">
        <f t="shared" si="109"/>
        <v>1760</v>
      </c>
      <c r="P493" s="69">
        <f>VLOOKUP(B493,'114+840'!$B$15:$AB$516,14,FALSE)</f>
        <v>-1240</v>
      </c>
      <c r="Q493" s="67">
        <f>'114+840'!R494</f>
        <v>5</v>
      </c>
      <c r="R493" s="66">
        <f t="shared" si="110"/>
        <v>1340</v>
      </c>
      <c r="S493" s="71">
        <f>VLOOKUP(B493,'114+840'!$B$14:$AB$516,22,FALSE)</f>
        <v>2555</v>
      </c>
      <c r="T493" s="70">
        <f>VLOOKUP(B493,'114+840'!$B$15:$AB$516,6,FALSE)</f>
        <v>912</v>
      </c>
      <c r="U493" s="69">
        <f t="shared" si="111"/>
        <v>2065</v>
      </c>
      <c r="V493" s="68">
        <f>VLOOKUP(B493,'114+840'!$B$15:$AB$516,15,FALSE)</f>
        <v>-935</v>
      </c>
      <c r="W493" s="67">
        <f>'114+840'!S494</f>
        <v>0</v>
      </c>
      <c r="X493" s="66">
        <f t="shared" si="112"/>
        <v>545</v>
      </c>
      <c r="Y493" s="65">
        <f t="shared" si="113"/>
        <v>0</v>
      </c>
      <c r="Z493" s="64">
        <f t="shared" si="102"/>
        <v>0</v>
      </c>
      <c r="AA493" s="63">
        <f t="shared" si="114"/>
        <v>3.3879999999999999</v>
      </c>
      <c r="AB493" s="63">
        <f t="shared" si="115"/>
        <v>0.32</v>
      </c>
    </row>
    <row r="494" spans="2:28">
      <c r="B494" s="104">
        <f>'114+840'!B495</f>
        <v>45751</v>
      </c>
      <c r="C494" s="75">
        <f t="shared" si="96"/>
        <v>1</v>
      </c>
      <c r="D494" s="74">
        <f t="shared" si="105"/>
        <v>842</v>
      </c>
      <c r="E494" s="73">
        <f>VLOOKUP(B494,'114+840'!B495:AB495,3,FALSE)</f>
        <v>2137</v>
      </c>
      <c r="F494" s="70">
        <f t="shared" si="106"/>
        <v>2979</v>
      </c>
      <c r="G494" s="72">
        <f>VLOOKUP(B494,'114+840'!$B$15:$AB$516,20,FALSE)</f>
        <v>2210</v>
      </c>
      <c r="H494" s="72">
        <f>VLOOKUP(B494,'114+840'!$B$15:$AB$516,4,FALSE)</f>
        <v>949</v>
      </c>
      <c r="I494" s="69">
        <f t="shared" si="107"/>
        <v>2030</v>
      </c>
      <c r="J494" s="69">
        <f>VLOOKUP(B494,'114+840'!$B$15:$AB$516,13,FALSE)</f>
        <v>-970</v>
      </c>
      <c r="K494" s="67">
        <f>'114+840'!Q495</f>
        <v>0</v>
      </c>
      <c r="L494" s="66">
        <f t="shared" si="108"/>
        <v>890</v>
      </c>
      <c r="M494" s="71">
        <f>VLOOKUP(B494,'114+840'!$B$14:$AB$516,21,FALSE)</f>
        <v>1753</v>
      </c>
      <c r="N494" s="70">
        <f>VLOOKUP(B494,'114+840'!$B$15:$AB$516,5,FALSE)</f>
        <v>1226</v>
      </c>
      <c r="O494" s="69">
        <f t="shared" si="109"/>
        <v>1753</v>
      </c>
      <c r="P494" s="69">
        <f>VLOOKUP(B494,'114+840'!$B$15:$AB$516,14,FALSE)</f>
        <v>-1247</v>
      </c>
      <c r="Q494" s="67">
        <f>'114+840'!R495</f>
        <v>7</v>
      </c>
      <c r="R494" s="66">
        <f t="shared" si="110"/>
        <v>1347</v>
      </c>
      <c r="S494" s="71">
        <f>VLOOKUP(B494,'114+840'!$B$14:$AB$516,22,FALSE)</f>
        <v>2555</v>
      </c>
      <c r="T494" s="70">
        <f>VLOOKUP(B494,'114+840'!$B$15:$AB$516,6,FALSE)</f>
        <v>914</v>
      </c>
      <c r="U494" s="69">
        <f t="shared" si="111"/>
        <v>2065</v>
      </c>
      <c r="V494" s="68">
        <f>VLOOKUP(B494,'114+840'!$B$15:$AB$516,15,FALSE)</f>
        <v>-935</v>
      </c>
      <c r="W494" s="67">
        <f>'114+840'!S495</f>
        <v>0</v>
      </c>
      <c r="X494" s="66">
        <f t="shared" si="112"/>
        <v>545</v>
      </c>
      <c r="Y494" s="65">
        <f t="shared" si="113"/>
        <v>0</v>
      </c>
      <c r="Z494" s="64">
        <f t="shared" si="102"/>
        <v>0</v>
      </c>
      <c r="AA494" s="63">
        <f t="shared" si="114"/>
        <v>3.3879999999999999</v>
      </c>
      <c r="AB494" s="63">
        <f t="shared" si="115"/>
        <v>0.30599999999999999</v>
      </c>
    </row>
    <row r="495" spans="2:28">
      <c r="B495" s="104">
        <f>'114+840'!B496</f>
        <v>45752</v>
      </c>
      <c r="C495" s="75">
        <f t="shared" si="96"/>
        <v>1</v>
      </c>
      <c r="D495" s="74">
        <f t="shared" si="105"/>
        <v>842</v>
      </c>
      <c r="E495" s="73">
        <f>VLOOKUP(B495,'114+840'!B496:AB496,3,FALSE)</f>
        <v>2139</v>
      </c>
      <c r="F495" s="70">
        <f t="shared" si="106"/>
        <v>2981</v>
      </c>
      <c r="G495" s="72">
        <f>VLOOKUP(B495,'114+840'!$B$15:$AB$516,20,FALSE)</f>
        <v>2210</v>
      </c>
      <c r="H495" s="72">
        <f>VLOOKUP(B495,'114+840'!$B$15:$AB$516,4,FALSE)</f>
        <v>951</v>
      </c>
      <c r="I495" s="69">
        <f t="shared" si="107"/>
        <v>2030</v>
      </c>
      <c r="J495" s="69">
        <f>VLOOKUP(B495,'114+840'!$B$15:$AB$516,13,FALSE)</f>
        <v>-970</v>
      </c>
      <c r="K495" s="67">
        <f>'114+840'!Q496</f>
        <v>0</v>
      </c>
      <c r="L495" s="66">
        <f t="shared" si="108"/>
        <v>890</v>
      </c>
      <c r="M495" s="71">
        <f>VLOOKUP(B495,'114+840'!$B$14:$AB$516,21,FALSE)</f>
        <v>1749</v>
      </c>
      <c r="N495" s="70">
        <f>VLOOKUP(B495,'114+840'!$B$15:$AB$516,5,FALSE)</f>
        <v>1232</v>
      </c>
      <c r="O495" s="69">
        <f t="shared" si="109"/>
        <v>1749</v>
      </c>
      <c r="P495" s="69">
        <f>VLOOKUP(B495,'114+840'!$B$15:$AB$516,14,FALSE)</f>
        <v>-1251</v>
      </c>
      <c r="Q495" s="67">
        <f>'114+840'!R496</f>
        <v>4</v>
      </c>
      <c r="R495" s="66">
        <f t="shared" si="110"/>
        <v>1351</v>
      </c>
      <c r="S495" s="71">
        <f>VLOOKUP(B495,'114+840'!$B$14:$AB$516,22,FALSE)</f>
        <v>2555</v>
      </c>
      <c r="T495" s="70">
        <f>VLOOKUP(B495,'114+840'!$B$15:$AB$516,6,FALSE)</f>
        <v>916</v>
      </c>
      <c r="U495" s="69">
        <f t="shared" si="111"/>
        <v>2065</v>
      </c>
      <c r="V495" s="68">
        <f>VLOOKUP(B495,'114+840'!$B$15:$AB$516,15,FALSE)</f>
        <v>-935</v>
      </c>
      <c r="W495" s="67">
        <f>'114+840'!S496</f>
        <v>0</v>
      </c>
      <c r="X495" s="66">
        <f t="shared" si="112"/>
        <v>545</v>
      </c>
      <c r="Y495" s="65">
        <f t="shared" si="113"/>
        <v>0</v>
      </c>
      <c r="Z495" s="64">
        <f t="shared" si="102"/>
        <v>0</v>
      </c>
      <c r="AA495" s="63">
        <f t="shared" si="114"/>
        <v>3.3879999999999999</v>
      </c>
      <c r="AB495" s="63">
        <f t="shared" si="115"/>
        <v>0.29799999999999999</v>
      </c>
    </row>
    <row r="496" spans="2:28">
      <c r="B496" s="104">
        <f>'114+840'!B497</f>
        <v>45753</v>
      </c>
      <c r="C496" s="75">
        <f t="shared" si="96"/>
        <v>1</v>
      </c>
      <c r="D496" s="74">
        <f t="shared" si="105"/>
        <v>842</v>
      </c>
      <c r="E496" s="73">
        <f>VLOOKUP(B496,'114+840'!B497:AB497,3,FALSE)</f>
        <v>2141</v>
      </c>
      <c r="F496" s="70">
        <f t="shared" si="106"/>
        <v>2983</v>
      </c>
      <c r="G496" s="72">
        <f>VLOOKUP(B496,'114+840'!$B$15:$AB$516,20,FALSE)</f>
        <v>2210</v>
      </c>
      <c r="H496" s="72">
        <f>VLOOKUP(B496,'114+840'!$B$15:$AB$516,4,FALSE)</f>
        <v>953</v>
      </c>
      <c r="I496" s="69">
        <f t="shared" si="107"/>
        <v>2030</v>
      </c>
      <c r="J496" s="69">
        <f>VLOOKUP(B496,'114+840'!$B$15:$AB$516,13,FALSE)</f>
        <v>-970</v>
      </c>
      <c r="K496" s="67">
        <f>'114+840'!Q497</f>
        <v>0</v>
      </c>
      <c r="L496" s="66">
        <f t="shared" si="108"/>
        <v>890</v>
      </c>
      <c r="M496" s="71">
        <f>VLOOKUP(B496,'114+840'!$B$14:$AB$516,21,FALSE)</f>
        <v>1745</v>
      </c>
      <c r="N496" s="70">
        <f>VLOOKUP(B496,'114+840'!$B$15:$AB$516,5,FALSE)</f>
        <v>1238</v>
      </c>
      <c r="O496" s="69">
        <f t="shared" si="109"/>
        <v>1745</v>
      </c>
      <c r="P496" s="69">
        <f>VLOOKUP(B496,'114+840'!$B$15:$AB$516,14,FALSE)</f>
        <v>-1255</v>
      </c>
      <c r="Q496" s="67">
        <f>'114+840'!R497</f>
        <v>4</v>
      </c>
      <c r="R496" s="66">
        <f t="shared" si="110"/>
        <v>1355</v>
      </c>
      <c r="S496" s="71">
        <f>VLOOKUP(B496,'114+840'!$B$14:$AB$516,22,FALSE)</f>
        <v>2555</v>
      </c>
      <c r="T496" s="70">
        <f>VLOOKUP(B496,'114+840'!$B$15:$AB$516,6,FALSE)</f>
        <v>918</v>
      </c>
      <c r="U496" s="69">
        <f t="shared" si="111"/>
        <v>2065</v>
      </c>
      <c r="V496" s="68">
        <f>VLOOKUP(B496,'114+840'!$B$15:$AB$516,15,FALSE)</f>
        <v>-935</v>
      </c>
      <c r="W496" s="67">
        <f>'114+840'!S497</f>
        <v>0</v>
      </c>
      <c r="X496" s="66">
        <f t="shared" si="112"/>
        <v>545</v>
      </c>
      <c r="Y496" s="65">
        <f t="shared" si="113"/>
        <v>0</v>
      </c>
      <c r="Z496" s="64">
        <f t="shared" si="102"/>
        <v>0</v>
      </c>
      <c r="AA496" s="63">
        <f t="shared" si="114"/>
        <v>3.3879999999999999</v>
      </c>
      <c r="AB496" s="63">
        <f t="shared" si="115"/>
        <v>0.28999999999999998</v>
      </c>
    </row>
    <row r="497" spans="2:28">
      <c r="B497" s="104">
        <f>'114+840'!B498</f>
        <v>45754</v>
      </c>
      <c r="C497" s="75">
        <f t="shared" si="96"/>
        <v>1</v>
      </c>
      <c r="D497" s="74">
        <f t="shared" si="105"/>
        <v>842</v>
      </c>
      <c r="E497" s="73">
        <f>VLOOKUP(B497,'114+840'!B498:AB498,3,FALSE)</f>
        <v>2143</v>
      </c>
      <c r="F497" s="70">
        <f t="shared" si="106"/>
        <v>2985</v>
      </c>
      <c r="G497" s="72">
        <f>VLOOKUP(B497,'114+840'!$B$15:$AB$516,20,FALSE)</f>
        <v>2210</v>
      </c>
      <c r="H497" s="72">
        <f>VLOOKUP(B497,'114+840'!$B$15:$AB$516,4,FALSE)</f>
        <v>955</v>
      </c>
      <c r="I497" s="69">
        <f t="shared" si="107"/>
        <v>2030</v>
      </c>
      <c r="J497" s="69">
        <f>VLOOKUP(B497,'114+840'!$B$15:$AB$516,13,FALSE)</f>
        <v>-970</v>
      </c>
      <c r="K497" s="67">
        <f>'114+840'!Q498</f>
        <v>0</v>
      </c>
      <c r="L497" s="66">
        <f t="shared" si="108"/>
        <v>890</v>
      </c>
      <c r="M497" s="71">
        <f>VLOOKUP(B497,'114+840'!$B$14:$AB$516,21,FALSE)</f>
        <v>1740</v>
      </c>
      <c r="N497" s="70">
        <f>VLOOKUP(B497,'114+840'!$B$15:$AB$516,5,FALSE)</f>
        <v>1245</v>
      </c>
      <c r="O497" s="69">
        <f t="shared" si="109"/>
        <v>1740</v>
      </c>
      <c r="P497" s="69">
        <f>VLOOKUP(B497,'114+840'!$B$15:$AB$516,14,FALSE)</f>
        <v>-1260</v>
      </c>
      <c r="Q497" s="67">
        <f>'114+840'!R498</f>
        <v>5</v>
      </c>
      <c r="R497" s="66">
        <f t="shared" si="110"/>
        <v>1360</v>
      </c>
      <c r="S497" s="71">
        <f>VLOOKUP(B497,'114+840'!$B$14:$AB$516,22,FALSE)</f>
        <v>2555</v>
      </c>
      <c r="T497" s="70">
        <f>VLOOKUP(B497,'114+840'!$B$15:$AB$516,6,FALSE)</f>
        <v>920</v>
      </c>
      <c r="U497" s="69">
        <f t="shared" si="111"/>
        <v>2065</v>
      </c>
      <c r="V497" s="68">
        <f>VLOOKUP(B497,'114+840'!$B$15:$AB$516,15,FALSE)</f>
        <v>-935</v>
      </c>
      <c r="W497" s="67">
        <f>'114+840'!S498</f>
        <v>0</v>
      </c>
      <c r="X497" s="66">
        <f t="shared" si="112"/>
        <v>545</v>
      </c>
      <c r="Y497" s="65">
        <f t="shared" si="113"/>
        <v>0</v>
      </c>
      <c r="Z497" s="64">
        <f t="shared" si="102"/>
        <v>0</v>
      </c>
      <c r="AA497" s="63">
        <f t="shared" si="114"/>
        <v>3.3879999999999999</v>
      </c>
      <c r="AB497" s="63">
        <f t="shared" si="115"/>
        <v>0.28000000000000003</v>
      </c>
    </row>
    <row r="498" spans="2:28">
      <c r="B498" s="104">
        <f>'114+840'!B499</f>
        <v>45755</v>
      </c>
      <c r="C498" s="75">
        <f t="shared" si="96"/>
        <v>1</v>
      </c>
      <c r="D498" s="74">
        <f t="shared" si="105"/>
        <v>842</v>
      </c>
      <c r="E498" s="73">
        <f>VLOOKUP(B498,'114+840'!B499:AB499,3,FALSE)</f>
        <v>2145</v>
      </c>
      <c r="F498" s="70">
        <f t="shared" si="106"/>
        <v>2987</v>
      </c>
      <c r="G498" s="72">
        <f>VLOOKUP(B498,'114+840'!$B$15:$AB$516,20,FALSE)</f>
        <v>2210</v>
      </c>
      <c r="H498" s="72">
        <f>VLOOKUP(B498,'114+840'!$B$15:$AB$516,4,FALSE)</f>
        <v>957</v>
      </c>
      <c r="I498" s="69">
        <f t="shared" si="107"/>
        <v>2030</v>
      </c>
      <c r="J498" s="69">
        <f>VLOOKUP(B498,'114+840'!$B$15:$AB$516,13,FALSE)</f>
        <v>-970</v>
      </c>
      <c r="K498" s="67">
        <f>'114+840'!Q499</f>
        <v>0</v>
      </c>
      <c r="L498" s="66">
        <f t="shared" si="108"/>
        <v>890</v>
      </c>
      <c r="M498" s="71">
        <f>VLOOKUP(B498,'114+840'!$B$14:$AB$516,21,FALSE)</f>
        <v>1736</v>
      </c>
      <c r="N498" s="70">
        <f>VLOOKUP(B498,'114+840'!$B$15:$AB$516,5,FALSE)</f>
        <v>1251</v>
      </c>
      <c r="O498" s="69">
        <f t="shared" si="109"/>
        <v>1736</v>
      </c>
      <c r="P498" s="69">
        <f>VLOOKUP(B498,'114+840'!$B$15:$AB$516,14,FALSE)</f>
        <v>-1264</v>
      </c>
      <c r="Q498" s="67">
        <f>'114+840'!R499</f>
        <v>4</v>
      </c>
      <c r="R498" s="66">
        <f t="shared" si="110"/>
        <v>1364</v>
      </c>
      <c r="S498" s="71">
        <f>VLOOKUP(B498,'114+840'!$B$14:$AB$516,22,FALSE)</f>
        <v>2555</v>
      </c>
      <c r="T498" s="70">
        <f>VLOOKUP(B498,'114+840'!$B$15:$AB$516,6,FALSE)</f>
        <v>922</v>
      </c>
      <c r="U498" s="69">
        <f t="shared" si="111"/>
        <v>2065</v>
      </c>
      <c r="V498" s="68">
        <f>VLOOKUP(B498,'114+840'!$B$15:$AB$516,15,FALSE)</f>
        <v>-935</v>
      </c>
      <c r="W498" s="67">
        <f>'114+840'!S499</f>
        <v>0</v>
      </c>
      <c r="X498" s="66">
        <f t="shared" si="112"/>
        <v>545</v>
      </c>
      <c r="Y498" s="65">
        <f t="shared" si="113"/>
        <v>0</v>
      </c>
      <c r="Z498" s="64">
        <f t="shared" si="102"/>
        <v>0</v>
      </c>
      <c r="AA498" s="63">
        <f t="shared" si="114"/>
        <v>3.3879999999999999</v>
      </c>
      <c r="AB498" s="63">
        <f t="shared" si="115"/>
        <v>0.27200000000000002</v>
      </c>
    </row>
    <row r="499" spans="2:28">
      <c r="B499" s="104">
        <f>'114+840'!B500</f>
        <v>45756</v>
      </c>
      <c r="C499" s="75">
        <f t="shared" si="96"/>
        <v>1</v>
      </c>
      <c r="D499" s="74">
        <f t="shared" si="105"/>
        <v>842</v>
      </c>
      <c r="E499" s="73">
        <f>VLOOKUP(B499,'114+840'!B500:AB500,3,FALSE)</f>
        <v>2147</v>
      </c>
      <c r="F499" s="70">
        <f t="shared" si="106"/>
        <v>2989</v>
      </c>
      <c r="G499" s="72">
        <f>VLOOKUP(B499,'114+840'!$B$15:$AB$516,20,FALSE)</f>
        <v>2210</v>
      </c>
      <c r="H499" s="72">
        <f>VLOOKUP(B499,'114+840'!$B$15:$AB$516,4,FALSE)</f>
        <v>959</v>
      </c>
      <c r="I499" s="69">
        <f t="shared" si="107"/>
        <v>2030</v>
      </c>
      <c r="J499" s="69">
        <f>VLOOKUP(B499,'114+840'!$B$15:$AB$516,13,FALSE)</f>
        <v>-970</v>
      </c>
      <c r="K499" s="67">
        <f>'114+840'!Q500</f>
        <v>0</v>
      </c>
      <c r="L499" s="66">
        <f t="shared" si="108"/>
        <v>890</v>
      </c>
      <c r="M499" s="71">
        <f>VLOOKUP(B499,'114+840'!$B$14:$AB$516,21,FALSE)</f>
        <v>1726</v>
      </c>
      <c r="N499" s="70">
        <f>VLOOKUP(B499,'114+840'!$B$15:$AB$516,5,FALSE)</f>
        <v>1263</v>
      </c>
      <c r="O499" s="69">
        <f t="shared" si="109"/>
        <v>1726</v>
      </c>
      <c r="P499" s="69">
        <f>VLOOKUP(B499,'114+840'!$B$15:$AB$516,14,FALSE)</f>
        <v>-1274</v>
      </c>
      <c r="Q499" s="67">
        <f>'114+840'!R500</f>
        <v>10</v>
      </c>
      <c r="R499" s="66">
        <f t="shared" si="110"/>
        <v>1374</v>
      </c>
      <c r="S499" s="71">
        <f>VLOOKUP(B499,'114+840'!$B$14:$AB$516,22,FALSE)</f>
        <v>2555</v>
      </c>
      <c r="T499" s="70">
        <f>VLOOKUP(B499,'114+840'!$B$15:$AB$516,6,FALSE)</f>
        <v>924</v>
      </c>
      <c r="U499" s="69">
        <f t="shared" si="111"/>
        <v>2065</v>
      </c>
      <c r="V499" s="68">
        <f>VLOOKUP(B499,'114+840'!$B$15:$AB$516,15,FALSE)</f>
        <v>-935</v>
      </c>
      <c r="W499" s="67">
        <f>'114+840'!S500</f>
        <v>0</v>
      </c>
      <c r="X499" s="66">
        <f t="shared" si="112"/>
        <v>545</v>
      </c>
      <c r="Y499" s="65">
        <f t="shared" si="113"/>
        <v>0</v>
      </c>
      <c r="Z499" s="64">
        <f t="shared" si="102"/>
        <v>0</v>
      </c>
      <c r="AA499" s="63">
        <f t="shared" si="114"/>
        <v>3.3879999999999999</v>
      </c>
      <c r="AB499" s="63">
        <f t="shared" si="115"/>
        <v>0.252</v>
      </c>
    </row>
    <row r="500" spans="2:28">
      <c r="B500" s="104">
        <f>'114+840'!B501</f>
        <v>45757</v>
      </c>
      <c r="C500" s="75">
        <f t="shared" si="96"/>
        <v>1</v>
      </c>
      <c r="D500" s="74">
        <f t="shared" si="105"/>
        <v>842</v>
      </c>
      <c r="E500" s="73">
        <f>VLOOKUP(B500,'114+840'!B501:AB501,3,FALSE)</f>
        <v>2149</v>
      </c>
      <c r="F500" s="70">
        <f t="shared" si="106"/>
        <v>2991</v>
      </c>
      <c r="G500" s="72">
        <f>VLOOKUP(B500,'114+840'!$B$15:$AB$516,20,FALSE)</f>
        <v>2210</v>
      </c>
      <c r="H500" s="72">
        <f>VLOOKUP(B500,'114+840'!$B$15:$AB$516,4,FALSE)</f>
        <v>961</v>
      </c>
      <c r="I500" s="69">
        <f t="shared" si="107"/>
        <v>2030</v>
      </c>
      <c r="J500" s="69">
        <f>VLOOKUP(B500,'114+840'!$B$15:$AB$516,13,FALSE)</f>
        <v>-970</v>
      </c>
      <c r="K500" s="67">
        <f>'114+840'!Q501</f>
        <v>0</v>
      </c>
      <c r="L500" s="66">
        <f t="shared" si="108"/>
        <v>890</v>
      </c>
      <c r="M500" s="71">
        <f>VLOOKUP(B500,'114+840'!$B$14:$AB$516,21,FALSE)</f>
        <v>1716</v>
      </c>
      <c r="N500" s="70">
        <f>VLOOKUP(B500,'114+840'!$B$15:$AB$516,5,FALSE)</f>
        <v>1275</v>
      </c>
      <c r="O500" s="69">
        <f t="shared" si="109"/>
        <v>1716</v>
      </c>
      <c r="P500" s="69">
        <f>VLOOKUP(B500,'114+840'!$B$15:$AB$516,14,FALSE)</f>
        <v>-1284</v>
      </c>
      <c r="Q500" s="67">
        <f>'114+840'!R501</f>
        <v>10</v>
      </c>
      <c r="R500" s="66">
        <f t="shared" si="110"/>
        <v>1384</v>
      </c>
      <c r="S500" s="71">
        <f>VLOOKUP(B500,'114+840'!$B$14:$AB$516,22,FALSE)</f>
        <v>2555</v>
      </c>
      <c r="T500" s="70">
        <f>VLOOKUP(B500,'114+840'!$B$15:$AB$516,6,FALSE)</f>
        <v>926</v>
      </c>
      <c r="U500" s="69">
        <f t="shared" si="111"/>
        <v>2065</v>
      </c>
      <c r="V500" s="68">
        <f>VLOOKUP(B500,'114+840'!$B$15:$AB$516,15,FALSE)</f>
        <v>-935</v>
      </c>
      <c r="W500" s="67">
        <f>'114+840'!S501</f>
        <v>0</v>
      </c>
      <c r="X500" s="66">
        <f t="shared" si="112"/>
        <v>545</v>
      </c>
      <c r="Y500" s="65">
        <f t="shared" si="113"/>
        <v>0</v>
      </c>
      <c r="Z500" s="64">
        <f t="shared" si="102"/>
        <v>0</v>
      </c>
      <c r="AA500" s="63">
        <f t="shared" si="114"/>
        <v>3.3879999999999999</v>
      </c>
      <c r="AB500" s="63">
        <f t="shared" si="115"/>
        <v>0.23200000000000001</v>
      </c>
    </row>
    <row r="501" spans="2:28">
      <c r="B501" s="104">
        <f>'114+840'!B502</f>
        <v>45758</v>
      </c>
      <c r="C501" s="75">
        <f t="shared" si="96"/>
        <v>1</v>
      </c>
      <c r="D501" s="74">
        <f t="shared" si="105"/>
        <v>842</v>
      </c>
      <c r="E501" s="73">
        <f>VLOOKUP(B501,'114+840'!B502:AB502,3,FALSE)</f>
        <v>2151</v>
      </c>
      <c r="F501" s="70">
        <f t="shared" si="106"/>
        <v>2993</v>
      </c>
      <c r="G501" s="72">
        <f>VLOOKUP(B501,'114+840'!$B$15:$AB$516,20,FALSE)</f>
        <v>2210</v>
      </c>
      <c r="H501" s="72">
        <f>VLOOKUP(B501,'114+840'!$B$15:$AB$516,4,FALSE)</f>
        <v>963</v>
      </c>
      <c r="I501" s="69">
        <f t="shared" si="107"/>
        <v>2030</v>
      </c>
      <c r="J501" s="69">
        <f>VLOOKUP(B501,'114+840'!$B$15:$AB$516,13,FALSE)</f>
        <v>-970</v>
      </c>
      <c r="K501" s="67">
        <f>'114+840'!Q502</f>
        <v>0</v>
      </c>
      <c r="L501" s="66">
        <f t="shared" si="108"/>
        <v>890</v>
      </c>
      <c r="M501" s="71">
        <f>VLOOKUP(B501,'114+840'!$B$14:$AB$516,21,FALSE)</f>
        <v>1706</v>
      </c>
      <c r="N501" s="70">
        <f>VLOOKUP(B501,'114+840'!$B$15:$AB$516,5,FALSE)</f>
        <v>1287</v>
      </c>
      <c r="O501" s="69">
        <f t="shared" si="109"/>
        <v>1706</v>
      </c>
      <c r="P501" s="69">
        <f>VLOOKUP(B501,'114+840'!$B$15:$AB$516,14,FALSE)</f>
        <v>-1294</v>
      </c>
      <c r="Q501" s="67">
        <f>'114+840'!R502</f>
        <v>10</v>
      </c>
      <c r="R501" s="66">
        <f t="shared" si="110"/>
        <v>1394</v>
      </c>
      <c r="S501" s="71">
        <f>VLOOKUP(B501,'114+840'!$B$14:$AB$516,22,FALSE)</f>
        <v>2555</v>
      </c>
      <c r="T501" s="70">
        <f>VLOOKUP(B501,'114+840'!$B$15:$AB$516,6,FALSE)</f>
        <v>928</v>
      </c>
      <c r="U501" s="69">
        <f t="shared" si="111"/>
        <v>2065</v>
      </c>
      <c r="V501" s="68">
        <f>VLOOKUP(B501,'114+840'!$B$15:$AB$516,15,FALSE)</f>
        <v>-935</v>
      </c>
      <c r="W501" s="67">
        <f>'114+840'!S502</f>
        <v>0</v>
      </c>
      <c r="X501" s="66">
        <f t="shared" si="112"/>
        <v>545</v>
      </c>
      <c r="Y501" s="65">
        <f t="shared" si="113"/>
        <v>0</v>
      </c>
      <c r="Z501" s="64">
        <f t="shared" si="102"/>
        <v>0</v>
      </c>
      <c r="AA501" s="63">
        <f t="shared" si="114"/>
        <v>3.3879999999999999</v>
      </c>
      <c r="AB501" s="63">
        <f t="shared" si="115"/>
        <v>0.21199999999999999</v>
      </c>
    </row>
    <row r="502" spans="2:28">
      <c r="B502" s="104">
        <f>'114+840'!B503</f>
        <v>45759</v>
      </c>
      <c r="C502" s="75">
        <f t="shared" si="96"/>
        <v>1</v>
      </c>
      <c r="D502" s="74">
        <f t="shared" si="105"/>
        <v>842</v>
      </c>
      <c r="E502" s="73">
        <f>VLOOKUP(B502,'114+840'!B503:AB503,3,FALSE)</f>
        <v>2153</v>
      </c>
      <c r="F502" s="70">
        <f t="shared" si="106"/>
        <v>2995</v>
      </c>
      <c r="G502" s="72">
        <f>VLOOKUP(B502,'114+840'!$B$15:$AB$516,20,FALSE)</f>
        <v>2430</v>
      </c>
      <c r="H502" s="72">
        <f>VLOOKUP(B502,'114+840'!$B$15:$AB$516,4,FALSE)</f>
        <v>965</v>
      </c>
      <c r="I502" s="69">
        <f t="shared" si="107"/>
        <v>2030</v>
      </c>
      <c r="J502" s="69">
        <f>VLOOKUP(B502,'114+840'!$B$15:$AB$516,13,FALSE)</f>
        <v>-970</v>
      </c>
      <c r="K502" s="67">
        <f>'114+840'!Q503</f>
        <v>0</v>
      </c>
      <c r="L502" s="66">
        <f t="shared" si="108"/>
        <v>890</v>
      </c>
      <c r="M502" s="71">
        <f>VLOOKUP(B502,'114+840'!$B$14:$AB$516,21,FALSE)</f>
        <v>1919</v>
      </c>
      <c r="N502" s="70">
        <f>VLOOKUP(B502,'114+840'!$B$15:$AB$516,5,FALSE)</f>
        <v>1296</v>
      </c>
      <c r="O502" s="69">
        <f t="shared" si="109"/>
        <v>1699</v>
      </c>
      <c r="P502" s="69">
        <f>VLOOKUP(B502,'114+840'!$B$15:$AB$516,14,FALSE)</f>
        <v>-1301</v>
      </c>
      <c r="Q502" s="67">
        <f>'114+840'!R503</f>
        <v>7</v>
      </c>
      <c r="R502" s="66">
        <f t="shared" si="110"/>
        <v>1401</v>
      </c>
      <c r="S502" s="71">
        <f>VLOOKUP(B502,'114+840'!$B$14:$AB$516,22,FALSE)</f>
        <v>2775</v>
      </c>
      <c r="T502" s="70">
        <f>VLOOKUP(B502,'114+840'!$B$15:$AB$516,6,FALSE)</f>
        <v>930</v>
      </c>
      <c r="U502" s="69">
        <f t="shared" si="111"/>
        <v>2065</v>
      </c>
      <c r="V502" s="68">
        <f>VLOOKUP(B502,'114+840'!$B$15:$AB$516,15,FALSE)</f>
        <v>-935</v>
      </c>
      <c r="W502" s="67">
        <f>'114+840'!S503</f>
        <v>0</v>
      </c>
      <c r="X502" s="66">
        <f t="shared" si="112"/>
        <v>545</v>
      </c>
      <c r="Y502" s="65">
        <f t="shared" si="113"/>
        <v>220</v>
      </c>
      <c r="Z502" s="64">
        <f t="shared" si="102"/>
        <v>0.22</v>
      </c>
      <c r="AA502" s="63">
        <f t="shared" si="114"/>
        <v>3.6080000000000001</v>
      </c>
      <c r="AB502" s="63">
        <f t="shared" si="115"/>
        <v>0.41799999999999998</v>
      </c>
    </row>
    <row r="503" spans="2:28">
      <c r="B503" s="104">
        <f>'114+840'!B504</f>
        <v>45760</v>
      </c>
      <c r="C503" s="75">
        <f t="shared" si="96"/>
        <v>1</v>
      </c>
      <c r="D503" s="74">
        <f t="shared" si="105"/>
        <v>842</v>
      </c>
      <c r="E503" s="73">
        <f>VLOOKUP(B503,'114+840'!B504:AB504,3,FALSE)</f>
        <v>2155</v>
      </c>
      <c r="F503" s="70">
        <f t="shared" si="106"/>
        <v>2997</v>
      </c>
      <c r="G503" s="72">
        <f>VLOOKUP(B503,'114+840'!$B$15:$AB$516,20,FALSE)</f>
        <v>2430</v>
      </c>
      <c r="H503" s="72">
        <f>VLOOKUP(B503,'114+840'!$B$15:$AB$516,4,FALSE)</f>
        <v>967</v>
      </c>
      <c r="I503" s="69">
        <f t="shared" si="107"/>
        <v>2030</v>
      </c>
      <c r="J503" s="69">
        <f>VLOOKUP(B503,'114+840'!$B$15:$AB$516,13,FALSE)</f>
        <v>-970</v>
      </c>
      <c r="K503" s="67">
        <f>'114+840'!Q504</f>
        <v>0</v>
      </c>
      <c r="L503" s="66">
        <f t="shared" si="108"/>
        <v>890</v>
      </c>
      <c r="M503" s="71">
        <f>VLOOKUP(B503,'114+840'!$B$14:$AB$516,21,FALSE)</f>
        <v>1909</v>
      </c>
      <c r="N503" s="70">
        <f>VLOOKUP(B503,'114+840'!$B$15:$AB$516,5,FALSE)</f>
        <v>1308</v>
      </c>
      <c r="O503" s="69">
        <f t="shared" si="109"/>
        <v>1689</v>
      </c>
      <c r="P503" s="69">
        <f>VLOOKUP(B503,'114+840'!$B$15:$AB$516,14,FALSE)</f>
        <v>-1311</v>
      </c>
      <c r="Q503" s="67">
        <f>'114+840'!R504</f>
        <v>10</v>
      </c>
      <c r="R503" s="66">
        <f t="shared" si="110"/>
        <v>1411</v>
      </c>
      <c r="S503" s="71">
        <f>VLOOKUP(B503,'114+840'!$B$14:$AB$516,22,FALSE)</f>
        <v>2775</v>
      </c>
      <c r="T503" s="70">
        <f>VLOOKUP(B503,'114+840'!$B$15:$AB$516,6,FALSE)</f>
        <v>932</v>
      </c>
      <c r="U503" s="69">
        <f t="shared" si="111"/>
        <v>2065</v>
      </c>
      <c r="V503" s="68">
        <f>VLOOKUP(B503,'114+840'!$B$15:$AB$516,15,FALSE)</f>
        <v>-935</v>
      </c>
      <c r="W503" s="67">
        <f>'114+840'!S504</f>
        <v>0</v>
      </c>
      <c r="X503" s="66">
        <f t="shared" si="112"/>
        <v>545</v>
      </c>
      <c r="Y503" s="65">
        <f t="shared" si="113"/>
        <v>0</v>
      </c>
      <c r="Z503" s="64">
        <f t="shared" si="102"/>
        <v>0</v>
      </c>
      <c r="AA503" s="63">
        <f t="shared" si="114"/>
        <v>3.6080000000000001</v>
      </c>
      <c r="AB503" s="63">
        <f t="shared" si="115"/>
        <v>0.39800000000000002</v>
      </c>
    </row>
    <row r="504" spans="2:28">
      <c r="B504" s="104">
        <f>'114+840'!B505</f>
        <v>45761</v>
      </c>
      <c r="C504" s="75">
        <f t="shared" si="96"/>
        <v>1</v>
      </c>
      <c r="D504" s="74">
        <f t="shared" si="105"/>
        <v>842</v>
      </c>
      <c r="E504" s="73">
        <f>VLOOKUP(B504,'114+840'!B505:AB505,3,FALSE)</f>
        <v>2157</v>
      </c>
      <c r="F504" s="70">
        <f t="shared" si="106"/>
        <v>2999</v>
      </c>
      <c r="G504" s="72">
        <f>VLOOKUP(B504,'114+840'!$B$15:$AB$516,20,FALSE)</f>
        <v>2430</v>
      </c>
      <c r="H504" s="72">
        <f>VLOOKUP(B504,'114+840'!$B$15:$AB$516,4,FALSE)</f>
        <v>969</v>
      </c>
      <c r="I504" s="69">
        <f t="shared" si="107"/>
        <v>2030</v>
      </c>
      <c r="J504" s="69">
        <f>VLOOKUP(B504,'114+840'!$B$15:$AB$516,13,FALSE)</f>
        <v>-970</v>
      </c>
      <c r="K504" s="67">
        <f>'114+840'!Q505</f>
        <v>0</v>
      </c>
      <c r="L504" s="66">
        <f t="shared" si="108"/>
        <v>890</v>
      </c>
      <c r="M504" s="71">
        <f>VLOOKUP(B504,'114+840'!$B$14:$AB$516,21,FALSE)</f>
        <v>1899</v>
      </c>
      <c r="N504" s="70">
        <f>VLOOKUP(B504,'114+840'!$B$15:$AB$516,5,FALSE)</f>
        <v>1320</v>
      </c>
      <c r="O504" s="69">
        <f t="shared" si="109"/>
        <v>1679</v>
      </c>
      <c r="P504" s="69">
        <f>VLOOKUP(B504,'114+840'!$B$15:$AB$516,14,FALSE)</f>
        <v>-1321</v>
      </c>
      <c r="Q504" s="67">
        <f>'114+840'!R505</f>
        <v>10</v>
      </c>
      <c r="R504" s="66">
        <f t="shared" si="110"/>
        <v>1421</v>
      </c>
      <c r="S504" s="71">
        <f>VLOOKUP(B504,'114+840'!$B$14:$AB$516,22,FALSE)</f>
        <v>2775</v>
      </c>
      <c r="T504" s="70">
        <f>VLOOKUP(B504,'114+840'!$B$15:$AB$516,6,FALSE)</f>
        <v>934</v>
      </c>
      <c r="U504" s="69">
        <f t="shared" si="111"/>
        <v>2065</v>
      </c>
      <c r="V504" s="68">
        <f>VLOOKUP(B504,'114+840'!$B$15:$AB$516,15,FALSE)</f>
        <v>-935</v>
      </c>
      <c r="W504" s="67">
        <f>'114+840'!S505</f>
        <v>0</v>
      </c>
      <c r="X504" s="66">
        <f t="shared" si="112"/>
        <v>545</v>
      </c>
      <c r="Y504" s="65">
        <f t="shared" si="113"/>
        <v>0</v>
      </c>
      <c r="Z504" s="64">
        <f t="shared" si="102"/>
        <v>0</v>
      </c>
      <c r="AA504" s="63">
        <f t="shared" si="114"/>
        <v>3.6080000000000001</v>
      </c>
      <c r="AB504" s="63">
        <f t="shared" si="115"/>
        <v>0.378</v>
      </c>
    </row>
    <row r="505" spans="2:28">
      <c r="B505" s="104">
        <f>'114+840'!B506</f>
        <v>45762</v>
      </c>
      <c r="C505" s="75">
        <f t="shared" si="96"/>
        <v>1</v>
      </c>
      <c r="D505" s="74">
        <f t="shared" si="105"/>
        <v>842</v>
      </c>
      <c r="E505" s="73">
        <f>VLOOKUP(B505,'114+840'!B506:AB506,3,FALSE)</f>
        <v>2159</v>
      </c>
      <c r="F505" s="70">
        <f t="shared" si="106"/>
        <v>3001</v>
      </c>
      <c r="G505" s="72">
        <f>VLOOKUP(B505,'114+840'!$B$15:$AB$516,20,FALSE)</f>
        <v>2730</v>
      </c>
      <c r="H505" s="72">
        <f>VLOOKUP(B505,'114+840'!$B$15:$AB$516,4,FALSE)</f>
        <v>971</v>
      </c>
      <c r="I505" s="69">
        <f t="shared" si="107"/>
        <v>2030</v>
      </c>
      <c r="J505" s="69">
        <f>VLOOKUP(B505,'114+840'!$B$15:$AB$516,13,FALSE)</f>
        <v>-970</v>
      </c>
      <c r="K505" s="67">
        <f>'114+840'!Q506</f>
        <v>0</v>
      </c>
      <c r="L505" s="66">
        <f t="shared" si="108"/>
        <v>890</v>
      </c>
      <c r="M505" s="71">
        <f>VLOOKUP(B505,'114+840'!$B$14:$AB$516,21,FALSE)</f>
        <v>2191</v>
      </c>
      <c r="N505" s="70">
        <f>VLOOKUP(B505,'114+840'!$B$15:$AB$516,5,FALSE)</f>
        <v>1330</v>
      </c>
      <c r="O505" s="69">
        <f t="shared" si="109"/>
        <v>1671</v>
      </c>
      <c r="P505" s="69">
        <f>VLOOKUP(B505,'114+840'!$B$15:$AB$516,14,FALSE)</f>
        <v>-1329</v>
      </c>
      <c r="Q505" s="67">
        <f>'114+840'!R506</f>
        <v>8</v>
      </c>
      <c r="R505" s="66">
        <f t="shared" si="110"/>
        <v>1429</v>
      </c>
      <c r="S505" s="71">
        <f>VLOOKUP(B505,'114+840'!$B$14:$AB$516,22,FALSE)</f>
        <v>3075</v>
      </c>
      <c r="T505" s="70">
        <f>VLOOKUP(B505,'114+840'!$B$15:$AB$516,6,FALSE)</f>
        <v>936</v>
      </c>
      <c r="U505" s="69">
        <f t="shared" si="111"/>
        <v>2065</v>
      </c>
      <c r="V505" s="68">
        <f>VLOOKUP(B505,'114+840'!$B$15:$AB$516,15,FALSE)</f>
        <v>-935</v>
      </c>
      <c r="W505" s="67">
        <f>'114+840'!S506</f>
        <v>0</v>
      </c>
      <c r="X505" s="66">
        <f t="shared" si="112"/>
        <v>545</v>
      </c>
      <c r="Y505" s="65">
        <f t="shared" si="113"/>
        <v>300</v>
      </c>
      <c r="Z505" s="64">
        <f t="shared" si="102"/>
        <v>0.3</v>
      </c>
      <c r="AA505" s="63">
        <f t="shared" si="114"/>
        <v>3.9079999999999999</v>
      </c>
      <c r="AB505" s="63">
        <f t="shared" si="115"/>
        <v>0.66200000000000003</v>
      </c>
    </row>
    <row r="506" spans="2:28">
      <c r="B506" s="104">
        <f>'114+840'!B507</f>
        <v>45763</v>
      </c>
      <c r="C506" s="75">
        <f t="shared" si="96"/>
        <v>1</v>
      </c>
      <c r="D506" s="74">
        <f t="shared" si="105"/>
        <v>842</v>
      </c>
      <c r="E506" s="73">
        <f>VLOOKUP(B506,'114+840'!B507:AB507,3,FALSE)</f>
        <v>2161</v>
      </c>
      <c r="F506" s="70">
        <f t="shared" si="106"/>
        <v>3003</v>
      </c>
      <c r="G506" s="72">
        <f>VLOOKUP(B506,'114+840'!$B$15:$AB$516,20,FALSE)</f>
        <v>2730</v>
      </c>
      <c r="H506" s="72">
        <f>VLOOKUP(B506,'114+840'!$B$15:$AB$516,4,FALSE)</f>
        <v>973</v>
      </c>
      <c r="I506" s="69">
        <f t="shared" si="107"/>
        <v>2030</v>
      </c>
      <c r="J506" s="69">
        <f>VLOOKUP(B506,'114+840'!$B$15:$AB$516,13,FALSE)</f>
        <v>-970</v>
      </c>
      <c r="K506" s="67">
        <f>'114+840'!Q507</f>
        <v>0</v>
      </c>
      <c r="L506" s="66">
        <f t="shared" si="108"/>
        <v>890</v>
      </c>
      <c r="M506" s="71">
        <f>VLOOKUP(B506,'114+840'!$B$14:$AB$516,21,FALSE)</f>
        <v>2181</v>
      </c>
      <c r="N506" s="70">
        <f>VLOOKUP(B506,'114+840'!$B$15:$AB$516,5,FALSE)</f>
        <v>1342</v>
      </c>
      <c r="O506" s="69">
        <f t="shared" si="109"/>
        <v>1661</v>
      </c>
      <c r="P506" s="69">
        <f>VLOOKUP(B506,'114+840'!$B$15:$AB$516,14,FALSE)</f>
        <v>-1339</v>
      </c>
      <c r="Q506" s="67">
        <f>'114+840'!R507</f>
        <v>10</v>
      </c>
      <c r="R506" s="66">
        <f t="shared" si="110"/>
        <v>1439</v>
      </c>
      <c r="S506" s="71">
        <f>VLOOKUP(B506,'114+840'!$B$14:$AB$516,22,FALSE)</f>
        <v>3075</v>
      </c>
      <c r="T506" s="70">
        <f>VLOOKUP(B506,'114+840'!$B$15:$AB$516,6,FALSE)</f>
        <v>938</v>
      </c>
      <c r="U506" s="69">
        <f t="shared" si="111"/>
        <v>2065</v>
      </c>
      <c r="V506" s="68">
        <f>VLOOKUP(B506,'114+840'!$B$15:$AB$516,15,FALSE)</f>
        <v>-935</v>
      </c>
      <c r="W506" s="67">
        <f>'114+840'!S507</f>
        <v>0</v>
      </c>
      <c r="X506" s="66">
        <f t="shared" si="112"/>
        <v>545</v>
      </c>
      <c r="Y506" s="65">
        <f t="shared" si="113"/>
        <v>0</v>
      </c>
      <c r="Z506" s="64">
        <f t="shared" si="102"/>
        <v>0</v>
      </c>
      <c r="AA506" s="63">
        <f t="shared" si="114"/>
        <v>3.9079999999999999</v>
      </c>
      <c r="AB506" s="63">
        <f t="shared" si="115"/>
        <v>0.64200000000000002</v>
      </c>
    </row>
    <row r="507" spans="2:28">
      <c r="B507" s="104">
        <f>'114+840'!B508</f>
        <v>45764</v>
      </c>
      <c r="C507" s="75">
        <f t="shared" si="96"/>
        <v>1</v>
      </c>
      <c r="D507" s="74">
        <f t="shared" ref="D507:D520" si="116">D506</f>
        <v>842</v>
      </c>
      <c r="E507" s="73">
        <f>VLOOKUP(B507,'114+840'!B508:AB508,3,FALSE)</f>
        <v>2163</v>
      </c>
      <c r="F507" s="70">
        <f t="shared" ref="F507:F520" si="117">D507+E507</f>
        <v>3005</v>
      </c>
      <c r="G507" s="72">
        <f>VLOOKUP(B507,'114+840'!$B$15:$AB$516,20,FALSE)</f>
        <v>2730</v>
      </c>
      <c r="H507" s="72">
        <f>VLOOKUP(B507,'114+840'!$B$15:$AB$516,4,FALSE)</f>
        <v>975</v>
      </c>
      <c r="I507" s="69">
        <f t="shared" ref="I507:I520" si="118">F507-H507</f>
        <v>2030</v>
      </c>
      <c r="J507" s="69">
        <f>VLOOKUP(B507,'114+840'!$B$15:$AB$516,13,FALSE)</f>
        <v>-970</v>
      </c>
      <c r="K507" s="67">
        <f>'114+840'!Q508</f>
        <v>0</v>
      </c>
      <c r="L507" s="66">
        <f t="shared" ref="L507:L520" si="119">+K507+L506</f>
        <v>890</v>
      </c>
      <c r="M507" s="71">
        <f>VLOOKUP(B507,'114+840'!$B$14:$AB$516,21,FALSE)</f>
        <v>2171</v>
      </c>
      <c r="N507" s="70">
        <f>VLOOKUP(B507,'114+840'!$B$15:$AB$516,5,FALSE)</f>
        <v>1354</v>
      </c>
      <c r="O507" s="69">
        <f t="shared" ref="O507:O520" si="120">F507-N507</f>
        <v>1651</v>
      </c>
      <c r="P507" s="69">
        <f>VLOOKUP(B507,'114+840'!$B$15:$AB$516,14,FALSE)</f>
        <v>-1349</v>
      </c>
      <c r="Q507" s="67">
        <f>'114+840'!R508</f>
        <v>10</v>
      </c>
      <c r="R507" s="66">
        <f t="shared" ref="R507:R520" si="121">+Q507+R506</f>
        <v>1449</v>
      </c>
      <c r="S507" s="71">
        <f>VLOOKUP(B507,'114+840'!$B$14:$AB$516,22,FALSE)</f>
        <v>3075</v>
      </c>
      <c r="T507" s="70">
        <f>VLOOKUP(B507,'114+840'!$B$15:$AB$516,6,FALSE)</f>
        <v>940</v>
      </c>
      <c r="U507" s="69">
        <f t="shared" ref="U507:U520" si="122">F507-T507</f>
        <v>2065</v>
      </c>
      <c r="V507" s="68">
        <f>VLOOKUP(B507,'114+840'!$B$15:$AB$516,15,FALSE)</f>
        <v>-935</v>
      </c>
      <c r="W507" s="67">
        <f>'114+840'!S508</f>
        <v>0</v>
      </c>
      <c r="X507" s="66">
        <f t="shared" ref="X507:X520" si="123">+W507+X506</f>
        <v>545</v>
      </c>
      <c r="Y507" s="65">
        <f t="shared" ref="Y507:Y520" si="124">S507-S506</f>
        <v>0</v>
      </c>
      <c r="Z507" s="64">
        <f t="shared" si="102"/>
        <v>0</v>
      </c>
      <c r="AA507" s="63">
        <f t="shared" ref="AA507:AA520" si="125">AA506+Z507</f>
        <v>3.9079999999999999</v>
      </c>
      <c r="AB507" s="63">
        <f t="shared" ref="AB507:AB520" si="126">(M507-$M$13-R507)/1000</f>
        <v>0.622</v>
      </c>
    </row>
    <row r="508" spans="2:28">
      <c r="B508" s="104">
        <f>'114+840'!B509</f>
        <v>45765</v>
      </c>
      <c r="C508" s="75">
        <f t="shared" si="96"/>
        <v>1</v>
      </c>
      <c r="D508" s="74">
        <f t="shared" si="116"/>
        <v>842</v>
      </c>
      <c r="E508" s="73">
        <f>VLOOKUP(B508,'114+840'!B509:AB509,3,FALSE)</f>
        <v>2165</v>
      </c>
      <c r="F508" s="70">
        <f t="shared" si="117"/>
        <v>3007</v>
      </c>
      <c r="G508" s="72">
        <f>VLOOKUP(B508,'114+840'!$B$15:$AB$516,20,FALSE)</f>
        <v>3030</v>
      </c>
      <c r="H508" s="72">
        <f>VLOOKUP(B508,'114+840'!$B$15:$AB$516,4,FALSE)</f>
        <v>977</v>
      </c>
      <c r="I508" s="69">
        <f t="shared" si="118"/>
        <v>2030</v>
      </c>
      <c r="J508" s="69">
        <f>VLOOKUP(B508,'114+840'!$B$15:$AB$516,13,FALSE)</f>
        <v>-970</v>
      </c>
      <c r="K508" s="67">
        <f>'114+840'!Q509</f>
        <v>0</v>
      </c>
      <c r="L508" s="66">
        <f t="shared" si="119"/>
        <v>890</v>
      </c>
      <c r="M508" s="71">
        <f>VLOOKUP(B508,'114+840'!$B$14:$AB$516,21,FALSE)</f>
        <v>2462</v>
      </c>
      <c r="N508" s="70">
        <f>VLOOKUP(B508,'114+840'!$B$15:$AB$516,5,FALSE)</f>
        <v>1365</v>
      </c>
      <c r="O508" s="69">
        <f t="shared" si="120"/>
        <v>1642</v>
      </c>
      <c r="P508" s="69">
        <f>VLOOKUP(B508,'114+840'!$B$15:$AB$516,14,FALSE)</f>
        <v>-1358</v>
      </c>
      <c r="Q508" s="67">
        <f>'114+840'!R509</f>
        <v>9</v>
      </c>
      <c r="R508" s="66">
        <f t="shared" si="121"/>
        <v>1458</v>
      </c>
      <c r="S508" s="71">
        <f>VLOOKUP(B508,'114+840'!$B$14:$AB$516,22,FALSE)</f>
        <v>3375</v>
      </c>
      <c r="T508" s="70">
        <f>VLOOKUP(B508,'114+840'!$B$15:$AB$516,6,FALSE)</f>
        <v>942</v>
      </c>
      <c r="U508" s="69">
        <f t="shared" si="122"/>
        <v>2065</v>
      </c>
      <c r="V508" s="68">
        <f>VLOOKUP(B508,'114+840'!$B$15:$AB$516,15,FALSE)</f>
        <v>-935</v>
      </c>
      <c r="W508" s="67">
        <f>'114+840'!S509</f>
        <v>0</v>
      </c>
      <c r="X508" s="66">
        <f t="shared" si="123"/>
        <v>545</v>
      </c>
      <c r="Y508" s="65">
        <f t="shared" si="124"/>
        <v>300</v>
      </c>
      <c r="Z508" s="64">
        <f t="shared" si="102"/>
        <v>0.3</v>
      </c>
      <c r="AA508" s="63">
        <f t="shared" si="125"/>
        <v>4.2080000000000002</v>
      </c>
      <c r="AB508" s="63">
        <f t="shared" si="126"/>
        <v>0.90400000000000003</v>
      </c>
    </row>
    <row r="509" spans="2:28">
      <c r="B509" s="104">
        <f>'114+840'!B510</f>
        <v>45766</v>
      </c>
      <c r="C509" s="75">
        <f t="shared" si="96"/>
        <v>1</v>
      </c>
      <c r="D509" s="74">
        <f t="shared" si="116"/>
        <v>842</v>
      </c>
      <c r="E509" s="73">
        <f>VLOOKUP(B509,'114+840'!B510:AB510,3,FALSE)</f>
        <v>2167</v>
      </c>
      <c r="F509" s="70">
        <f t="shared" si="117"/>
        <v>3009</v>
      </c>
      <c r="G509" s="72">
        <f>VLOOKUP(B509,'114+840'!$B$15:$AB$516,20,FALSE)</f>
        <v>3030</v>
      </c>
      <c r="H509" s="72">
        <f>VLOOKUP(B509,'114+840'!$B$15:$AB$516,4,FALSE)</f>
        <v>979</v>
      </c>
      <c r="I509" s="69">
        <f t="shared" si="118"/>
        <v>2030</v>
      </c>
      <c r="J509" s="69">
        <f>VLOOKUP(B509,'114+840'!$B$15:$AB$516,13,FALSE)</f>
        <v>-970</v>
      </c>
      <c r="K509" s="67">
        <f>'114+840'!Q510</f>
        <v>0</v>
      </c>
      <c r="L509" s="66">
        <f t="shared" si="119"/>
        <v>890</v>
      </c>
      <c r="M509" s="71">
        <f>VLOOKUP(B509,'114+840'!$B$14:$AB$516,21,FALSE)</f>
        <v>2454</v>
      </c>
      <c r="N509" s="70">
        <f>VLOOKUP(B509,'114+840'!$B$15:$AB$516,5,FALSE)</f>
        <v>1375</v>
      </c>
      <c r="O509" s="69">
        <f t="shared" si="120"/>
        <v>1634</v>
      </c>
      <c r="P509" s="69">
        <f>VLOOKUP(B509,'114+840'!$B$15:$AB$516,14,FALSE)</f>
        <v>-1366</v>
      </c>
      <c r="Q509" s="67">
        <f>'114+840'!R510</f>
        <v>8</v>
      </c>
      <c r="R509" s="66">
        <f t="shared" si="121"/>
        <v>1466</v>
      </c>
      <c r="S509" s="71">
        <f>VLOOKUP(B509,'114+840'!$B$14:$AB$516,22,FALSE)</f>
        <v>3375</v>
      </c>
      <c r="T509" s="70">
        <f>VLOOKUP(B509,'114+840'!$B$15:$AB$516,6,FALSE)</f>
        <v>944</v>
      </c>
      <c r="U509" s="69">
        <f t="shared" si="122"/>
        <v>2065</v>
      </c>
      <c r="V509" s="68">
        <f>VLOOKUP(B509,'114+840'!$B$15:$AB$516,15,FALSE)</f>
        <v>-935</v>
      </c>
      <c r="W509" s="67">
        <f>'114+840'!S510</f>
        <v>0</v>
      </c>
      <c r="X509" s="66">
        <f t="shared" si="123"/>
        <v>545</v>
      </c>
      <c r="Y509" s="65">
        <f t="shared" si="124"/>
        <v>0</v>
      </c>
      <c r="Z509" s="64">
        <f t="shared" si="102"/>
        <v>0</v>
      </c>
      <c r="AA509" s="63">
        <f t="shared" si="125"/>
        <v>4.2080000000000002</v>
      </c>
      <c r="AB509" s="63">
        <f t="shared" si="126"/>
        <v>0.88800000000000001</v>
      </c>
    </row>
    <row r="510" spans="2:28">
      <c r="B510" s="104">
        <f>'114+840'!B511</f>
        <v>45767</v>
      </c>
      <c r="C510" s="75">
        <f t="shared" si="96"/>
        <v>1</v>
      </c>
      <c r="D510" s="74">
        <f t="shared" si="116"/>
        <v>842</v>
      </c>
      <c r="E510" s="73">
        <f>VLOOKUP(B510,'114+840'!B511:AB511,3,FALSE)</f>
        <v>2169</v>
      </c>
      <c r="F510" s="70">
        <f t="shared" si="117"/>
        <v>3011</v>
      </c>
      <c r="G510" s="72">
        <f>VLOOKUP(B510,'114+840'!$B$15:$AB$516,20,FALSE)</f>
        <v>3030</v>
      </c>
      <c r="H510" s="72">
        <f>VLOOKUP(B510,'114+840'!$B$15:$AB$516,4,FALSE)</f>
        <v>981</v>
      </c>
      <c r="I510" s="69">
        <f t="shared" si="118"/>
        <v>2030</v>
      </c>
      <c r="J510" s="69">
        <f>VLOOKUP(B510,'114+840'!$B$15:$AB$516,13,FALSE)</f>
        <v>-970</v>
      </c>
      <c r="K510" s="67">
        <f>'114+840'!Q511</f>
        <v>0</v>
      </c>
      <c r="L510" s="66">
        <f t="shared" si="119"/>
        <v>890</v>
      </c>
      <c r="M510" s="71">
        <f>VLOOKUP(B510,'114+840'!$B$14:$AB$516,21,FALSE)</f>
        <v>2448</v>
      </c>
      <c r="N510" s="70">
        <f>VLOOKUP(B510,'114+840'!$B$15:$AB$516,5,FALSE)</f>
        <v>1383</v>
      </c>
      <c r="O510" s="69">
        <f t="shared" si="120"/>
        <v>1628</v>
      </c>
      <c r="P510" s="69">
        <f>VLOOKUP(B510,'114+840'!$B$15:$AB$516,14,FALSE)</f>
        <v>-1372</v>
      </c>
      <c r="Q510" s="67">
        <f>'114+840'!R511</f>
        <v>6</v>
      </c>
      <c r="R510" s="66">
        <f t="shared" si="121"/>
        <v>1472</v>
      </c>
      <c r="S510" s="71">
        <f>VLOOKUP(B510,'114+840'!$B$14:$AB$516,22,FALSE)</f>
        <v>3375</v>
      </c>
      <c r="T510" s="70">
        <f>VLOOKUP(B510,'114+840'!$B$15:$AB$516,6,FALSE)</f>
        <v>946</v>
      </c>
      <c r="U510" s="69">
        <f t="shared" si="122"/>
        <v>2065</v>
      </c>
      <c r="V510" s="68">
        <f>VLOOKUP(B510,'114+840'!$B$15:$AB$516,15,FALSE)</f>
        <v>-935</v>
      </c>
      <c r="W510" s="67">
        <f>'114+840'!S511</f>
        <v>0</v>
      </c>
      <c r="X510" s="66">
        <f t="shared" si="123"/>
        <v>545</v>
      </c>
      <c r="Y510" s="65">
        <f t="shared" si="124"/>
        <v>0</v>
      </c>
      <c r="Z510" s="64">
        <f t="shared" si="102"/>
        <v>0</v>
      </c>
      <c r="AA510" s="63">
        <f t="shared" si="125"/>
        <v>4.2080000000000002</v>
      </c>
      <c r="AB510" s="63">
        <f t="shared" si="126"/>
        <v>0.876</v>
      </c>
    </row>
    <row r="511" spans="2:28">
      <c r="B511" s="104">
        <f>'114+840'!B512</f>
        <v>45768</v>
      </c>
      <c r="C511" s="75">
        <f t="shared" si="96"/>
        <v>1</v>
      </c>
      <c r="D511" s="74">
        <f t="shared" si="116"/>
        <v>842</v>
      </c>
      <c r="E511" s="73">
        <f>VLOOKUP(B511,'114+840'!B512:AB512,3,FALSE)</f>
        <v>2171</v>
      </c>
      <c r="F511" s="70">
        <f t="shared" si="117"/>
        <v>3013</v>
      </c>
      <c r="G511" s="72">
        <f>VLOOKUP(B511,'114+840'!$B$15:$AB$516,20,FALSE)</f>
        <v>3330</v>
      </c>
      <c r="H511" s="72">
        <f>VLOOKUP(B511,'114+840'!$B$15:$AB$516,4,FALSE)</f>
        <v>983</v>
      </c>
      <c r="I511" s="69">
        <f t="shared" si="118"/>
        <v>2030</v>
      </c>
      <c r="J511" s="69">
        <f>VLOOKUP(B511,'114+840'!$B$15:$AB$516,13,FALSE)</f>
        <v>-970</v>
      </c>
      <c r="K511" s="67">
        <f>'114+840'!Q512</f>
        <v>0</v>
      </c>
      <c r="L511" s="66">
        <f t="shared" si="119"/>
        <v>890</v>
      </c>
      <c r="M511" s="71">
        <f>VLOOKUP(B511,'114+840'!$B$14:$AB$516,21,FALSE)</f>
        <v>2743</v>
      </c>
      <c r="N511" s="70">
        <f>VLOOKUP(B511,'114+840'!$B$15:$AB$516,5,FALSE)</f>
        <v>1390</v>
      </c>
      <c r="O511" s="69">
        <f t="shared" si="120"/>
        <v>1623</v>
      </c>
      <c r="P511" s="69">
        <f>VLOOKUP(B511,'114+840'!$B$15:$AB$516,14,FALSE)</f>
        <v>-1377</v>
      </c>
      <c r="Q511" s="67">
        <f>'114+840'!R512</f>
        <v>5</v>
      </c>
      <c r="R511" s="66">
        <f t="shared" si="121"/>
        <v>1477</v>
      </c>
      <c r="S511" s="71">
        <f>VLOOKUP(B511,'114+840'!$B$14:$AB$516,22,FALSE)</f>
        <v>3675</v>
      </c>
      <c r="T511" s="70">
        <f>VLOOKUP(B511,'114+840'!$B$15:$AB$516,6,FALSE)</f>
        <v>948</v>
      </c>
      <c r="U511" s="69">
        <f t="shared" si="122"/>
        <v>2065</v>
      </c>
      <c r="V511" s="68">
        <f>VLOOKUP(B511,'114+840'!$B$15:$AB$516,15,FALSE)</f>
        <v>-935</v>
      </c>
      <c r="W511" s="67">
        <f>'114+840'!S512</f>
        <v>0</v>
      </c>
      <c r="X511" s="66">
        <f t="shared" si="123"/>
        <v>545</v>
      </c>
      <c r="Y511" s="65">
        <f t="shared" si="124"/>
        <v>300</v>
      </c>
      <c r="Z511" s="64">
        <f t="shared" si="102"/>
        <v>0.3</v>
      </c>
      <c r="AA511" s="63">
        <f t="shared" si="125"/>
        <v>4.508</v>
      </c>
      <c r="AB511" s="63">
        <f t="shared" si="126"/>
        <v>1.1659999999999999</v>
      </c>
    </row>
    <row r="512" spans="2:28">
      <c r="B512" s="104">
        <f>'114+840'!B513</f>
        <v>45771</v>
      </c>
      <c r="C512" s="75">
        <f t="shared" si="96"/>
        <v>3</v>
      </c>
      <c r="D512" s="74">
        <f t="shared" si="116"/>
        <v>842</v>
      </c>
      <c r="E512" s="73">
        <f>VLOOKUP(B512,'114+840'!B513:AB513,3,FALSE)</f>
        <v>2173</v>
      </c>
      <c r="F512" s="70">
        <f t="shared" si="117"/>
        <v>3015</v>
      </c>
      <c r="G512" s="72">
        <f>VLOOKUP(B512,'114+840'!$B$15:$AB$516,20,FALSE)</f>
        <v>3308</v>
      </c>
      <c r="H512" s="72">
        <f>VLOOKUP(B512,'114+840'!$B$15:$AB$516,4,FALSE)</f>
        <v>1007</v>
      </c>
      <c r="I512" s="69">
        <f t="shared" si="118"/>
        <v>2008</v>
      </c>
      <c r="J512" s="69">
        <f>VLOOKUP(B512,'114+840'!$B$15:$AB$516,13,FALSE)</f>
        <v>-992</v>
      </c>
      <c r="K512" s="67">
        <f>'114+840'!Q513</f>
        <v>22</v>
      </c>
      <c r="L512" s="66">
        <f t="shared" si="119"/>
        <v>912</v>
      </c>
      <c r="M512" s="71">
        <f>VLOOKUP(B512,'114+840'!$B$14:$AB$516,21,FALSE)</f>
        <v>2723</v>
      </c>
      <c r="N512" s="70">
        <f>VLOOKUP(B512,'114+840'!$B$15:$AB$516,5,FALSE)</f>
        <v>1412</v>
      </c>
      <c r="O512" s="69">
        <f t="shared" si="120"/>
        <v>1603</v>
      </c>
      <c r="P512" s="69">
        <f>VLOOKUP(B512,'114+840'!$B$15:$AB$516,14,FALSE)</f>
        <v>-1397</v>
      </c>
      <c r="Q512" s="67">
        <f>'114+840'!R513</f>
        <v>20</v>
      </c>
      <c r="R512" s="66">
        <f t="shared" si="121"/>
        <v>1497</v>
      </c>
      <c r="S512" s="71">
        <f>VLOOKUP(B512,'114+840'!$B$14:$AB$516,22,FALSE)</f>
        <v>3658</v>
      </c>
      <c r="T512" s="70">
        <f>VLOOKUP(B512,'114+840'!$B$15:$AB$516,6,FALSE)</f>
        <v>967</v>
      </c>
      <c r="U512" s="69">
        <f t="shared" si="122"/>
        <v>2048</v>
      </c>
      <c r="V512" s="68">
        <f>VLOOKUP(B512,'114+840'!$B$15:$AB$516,15,FALSE)</f>
        <v>-952</v>
      </c>
      <c r="W512" s="67">
        <f>'114+840'!S513</f>
        <v>17</v>
      </c>
      <c r="X512" s="66">
        <f t="shared" si="123"/>
        <v>562</v>
      </c>
      <c r="Y512" s="65">
        <f t="shared" si="124"/>
        <v>-17</v>
      </c>
      <c r="Z512" s="64">
        <f t="shared" si="102"/>
        <v>0</v>
      </c>
      <c r="AA512" s="63">
        <f t="shared" si="125"/>
        <v>4.508</v>
      </c>
      <c r="AB512" s="63">
        <f t="shared" si="126"/>
        <v>1.1259999999999999</v>
      </c>
    </row>
    <row r="513" spans="2:28">
      <c r="B513" s="104">
        <f>'114+840'!B514</f>
        <v>45775</v>
      </c>
      <c r="C513" s="75">
        <f t="shared" si="96"/>
        <v>4</v>
      </c>
      <c r="D513" s="74">
        <f t="shared" si="116"/>
        <v>842</v>
      </c>
      <c r="E513" s="73">
        <f>VLOOKUP(B513,'114+840'!B514:AB514,3,FALSE)</f>
        <v>2175</v>
      </c>
      <c r="F513" s="70">
        <f t="shared" si="117"/>
        <v>3017</v>
      </c>
      <c r="G513" s="72">
        <f>VLOOKUP(B513,'114+840'!$B$15:$AB$516,20,FALSE)</f>
        <v>3283</v>
      </c>
      <c r="H513" s="72">
        <f>VLOOKUP(B513,'114+840'!$B$15:$AB$516,4,FALSE)</f>
        <v>1034</v>
      </c>
      <c r="I513" s="69">
        <f t="shared" si="118"/>
        <v>1983</v>
      </c>
      <c r="J513" s="69">
        <f>VLOOKUP(B513,'114+840'!$B$15:$AB$516,13,FALSE)</f>
        <v>-1017</v>
      </c>
      <c r="K513" s="67">
        <f>'114+840'!Q514</f>
        <v>25</v>
      </c>
      <c r="L513" s="66">
        <f t="shared" si="119"/>
        <v>937</v>
      </c>
      <c r="M513" s="71">
        <f>VLOOKUP(B513,'114+840'!$B$14:$AB$516,21,FALSE)</f>
        <v>2698</v>
      </c>
      <c r="N513" s="70">
        <f>VLOOKUP(B513,'114+840'!$B$15:$AB$516,5,FALSE)</f>
        <v>1439</v>
      </c>
      <c r="O513" s="69">
        <f t="shared" si="120"/>
        <v>1578</v>
      </c>
      <c r="P513" s="69">
        <f>VLOOKUP(B513,'114+840'!$B$15:$AB$516,14,FALSE)</f>
        <v>-1422</v>
      </c>
      <c r="Q513" s="67">
        <f>'114+840'!R514</f>
        <v>25</v>
      </c>
      <c r="R513" s="66">
        <f t="shared" si="121"/>
        <v>1522</v>
      </c>
      <c r="S513" s="71">
        <f>VLOOKUP(B513,'114+840'!$B$14:$AB$516,22,FALSE)</f>
        <v>3632</v>
      </c>
      <c r="T513" s="70">
        <f>VLOOKUP(B513,'114+840'!$B$15:$AB$516,6,FALSE)</f>
        <v>995</v>
      </c>
      <c r="U513" s="69">
        <f t="shared" si="122"/>
        <v>2022</v>
      </c>
      <c r="V513" s="68">
        <f>VLOOKUP(B513,'114+840'!$B$15:$AB$516,15,FALSE)</f>
        <v>-978</v>
      </c>
      <c r="W513" s="67">
        <f>'114+840'!S514</f>
        <v>26</v>
      </c>
      <c r="X513" s="66">
        <f t="shared" si="123"/>
        <v>588</v>
      </c>
      <c r="Y513" s="65">
        <f t="shared" si="124"/>
        <v>-26</v>
      </c>
      <c r="Z513" s="64">
        <f t="shared" si="102"/>
        <v>0</v>
      </c>
      <c r="AA513" s="63">
        <f t="shared" si="125"/>
        <v>4.508</v>
      </c>
      <c r="AB513" s="63">
        <f t="shared" si="126"/>
        <v>1.0760000000000001</v>
      </c>
    </row>
    <row r="514" spans="2:28">
      <c r="B514" s="104">
        <f>'114+840'!B515</f>
        <v>45778</v>
      </c>
      <c r="C514" s="75">
        <f t="shared" si="96"/>
        <v>3</v>
      </c>
      <c r="D514" s="74">
        <f t="shared" si="116"/>
        <v>842</v>
      </c>
      <c r="E514" s="73">
        <f>VLOOKUP(B514,'114+840'!B515:AB515,3,FALSE)</f>
        <v>2177</v>
      </c>
      <c r="F514" s="70">
        <f t="shared" si="117"/>
        <v>3019</v>
      </c>
      <c r="G514" s="72">
        <f>VLOOKUP(B514,'114+840'!$B$15:$AB$516,20,FALSE)</f>
        <v>3261</v>
      </c>
      <c r="H514" s="72">
        <f>VLOOKUP(B514,'114+840'!$B$15:$AB$516,4,FALSE)</f>
        <v>1058</v>
      </c>
      <c r="I514" s="69">
        <f t="shared" si="118"/>
        <v>1961</v>
      </c>
      <c r="J514" s="69">
        <f>VLOOKUP(B514,'114+840'!$B$15:$AB$516,13,FALSE)</f>
        <v>-1039</v>
      </c>
      <c r="K514" s="67">
        <f>'114+840'!Q515</f>
        <v>22</v>
      </c>
      <c r="L514" s="66">
        <f t="shared" si="119"/>
        <v>959</v>
      </c>
      <c r="M514" s="71">
        <f>VLOOKUP(B514,'114+840'!$B$14:$AB$516,21,FALSE)</f>
        <v>2683</v>
      </c>
      <c r="N514" s="70">
        <f>VLOOKUP(B514,'114+840'!$B$15:$AB$516,5,FALSE)</f>
        <v>1456</v>
      </c>
      <c r="O514" s="69">
        <f t="shared" si="120"/>
        <v>1563</v>
      </c>
      <c r="P514" s="69">
        <f>VLOOKUP(B514,'114+840'!$B$15:$AB$516,14,FALSE)</f>
        <v>-1437</v>
      </c>
      <c r="Q514" s="67">
        <f>'114+840'!R515</f>
        <v>15</v>
      </c>
      <c r="R514" s="66">
        <f t="shared" si="121"/>
        <v>1537</v>
      </c>
      <c r="S514" s="71">
        <f>VLOOKUP(B514,'114+840'!$B$14:$AB$516,22,FALSE)</f>
        <v>3614</v>
      </c>
      <c r="T514" s="70">
        <f>VLOOKUP(B514,'114+840'!$B$15:$AB$516,6,FALSE)</f>
        <v>1015</v>
      </c>
      <c r="U514" s="69">
        <f t="shared" si="122"/>
        <v>2004</v>
      </c>
      <c r="V514" s="68">
        <f>VLOOKUP(B514,'114+840'!$B$15:$AB$516,15,FALSE)</f>
        <v>-996</v>
      </c>
      <c r="W514" s="67">
        <f>'114+840'!S515</f>
        <v>18</v>
      </c>
      <c r="X514" s="66">
        <f t="shared" si="123"/>
        <v>606</v>
      </c>
      <c r="Y514" s="65">
        <f t="shared" si="124"/>
        <v>-18</v>
      </c>
      <c r="Z514" s="64">
        <f t="shared" si="102"/>
        <v>0</v>
      </c>
      <c r="AA514" s="63">
        <f t="shared" si="125"/>
        <v>4.508</v>
      </c>
      <c r="AB514" s="63">
        <f t="shared" si="126"/>
        <v>1.046</v>
      </c>
    </row>
    <row r="515" spans="2:28">
      <c r="B515" s="104">
        <f>'114+840'!B516</f>
        <v>45782</v>
      </c>
      <c r="C515" s="75">
        <f t="shared" si="96"/>
        <v>4</v>
      </c>
      <c r="D515" s="74">
        <f t="shared" si="116"/>
        <v>842</v>
      </c>
      <c r="E515" s="73">
        <f>VLOOKUP(B515,'114+840'!B516:AB516,3,FALSE)</f>
        <v>2179</v>
      </c>
      <c r="F515" s="70">
        <f t="shared" si="117"/>
        <v>3021</v>
      </c>
      <c r="G515" s="72">
        <f>VLOOKUP(B515,'114+840'!$B$15:$AB$5160,20,FALSE)</f>
        <v>3231</v>
      </c>
      <c r="H515" s="72">
        <f>VLOOKUP(B515,'114+840'!$B$15:$AB$5006,4,FALSE)</f>
        <v>1090</v>
      </c>
      <c r="I515" s="69">
        <f t="shared" si="118"/>
        <v>1931</v>
      </c>
      <c r="J515" s="69">
        <f>VLOOKUP(B515,'114+840'!$B$15:$AB$5016,13,FALSE)</f>
        <v>-1069</v>
      </c>
      <c r="K515" s="67">
        <f>'114+840'!Q516</f>
        <v>30</v>
      </c>
      <c r="L515" s="66">
        <f t="shared" si="119"/>
        <v>989</v>
      </c>
      <c r="M515" s="71">
        <f>VLOOKUP(B515,'114+840'!$B$14:$AB$5016,21,FALSE)</f>
        <v>2659</v>
      </c>
      <c r="N515" s="70">
        <f>VLOOKUP(B515,'114+840'!$B$15:$AB$5016,5,FALSE)</f>
        <v>1482</v>
      </c>
      <c r="O515" s="69">
        <f t="shared" si="120"/>
        <v>1539</v>
      </c>
      <c r="P515" s="69">
        <f>VLOOKUP(B515,'114+840'!$B$15:$AB$5016,14,FALSE)</f>
        <v>-1461</v>
      </c>
      <c r="Q515" s="67">
        <f>'114+840'!R516</f>
        <v>24</v>
      </c>
      <c r="R515" s="66">
        <f t="shared" si="121"/>
        <v>1561</v>
      </c>
      <c r="S515" s="71">
        <f>VLOOKUP(B515,'114+840'!$B$14:$AB$516,22,FALSE)</f>
        <v>3592</v>
      </c>
      <c r="T515" s="70">
        <f>VLOOKUP(B515,'114+840'!$B$15:$AB$516,6,FALSE)</f>
        <v>1039</v>
      </c>
      <c r="U515" s="69">
        <f t="shared" si="122"/>
        <v>1982</v>
      </c>
      <c r="V515" s="68">
        <f>VLOOKUP(B515,'114+840'!$B$15:$AB$5016,15,FALSE)</f>
        <v>-1018</v>
      </c>
      <c r="W515" s="67">
        <f>'114+840'!S516</f>
        <v>22</v>
      </c>
      <c r="X515" s="66">
        <f t="shared" si="123"/>
        <v>628</v>
      </c>
      <c r="Y515" s="65">
        <f t="shared" si="124"/>
        <v>-22</v>
      </c>
      <c r="Z515" s="64">
        <f t="shared" si="102"/>
        <v>0</v>
      </c>
      <c r="AA515" s="63">
        <f t="shared" si="125"/>
        <v>4.508</v>
      </c>
      <c r="AB515" s="63">
        <f t="shared" si="126"/>
        <v>0.998</v>
      </c>
    </row>
    <row r="516" spans="2:28">
      <c r="B516" s="104">
        <f>'114+840'!B517</f>
        <v>45785</v>
      </c>
      <c r="C516" s="75">
        <f t="shared" si="96"/>
        <v>3</v>
      </c>
      <c r="D516" s="74">
        <f t="shared" si="116"/>
        <v>842</v>
      </c>
      <c r="E516" s="73">
        <f>VLOOKUP(B516,'114+840'!B517:AB517,3,FALSE)</f>
        <v>2181</v>
      </c>
      <c r="F516" s="70">
        <f t="shared" si="117"/>
        <v>3023</v>
      </c>
      <c r="G516" s="72">
        <f>VLOOKUP(B516,'114+840'!$B$15:$AB$5160,20,FALSE)</f>
        <v>3215</v>
      </c>
      <c r="H516" s="72">
        <f>VLOOKUP(B516,'114+840'!$B$15:$AB$5006,4,FALSE)</f>
        <v>1108</v>
      </c>
      <c r="I516" s="69">
        <f t="shared" si="118"/>
        <v>1915</v>
      </c>
      <c r="J516" s="69">
        <f>VLOOKUP(B516,'114+840'!$B$15:$AB$5016,13,FALSE)</f>
        <v>-1085</v>
      </c>
      <c r="K516" s="67">
        <f>'114+840'!Q517</f>
        <v>16</v>
      </c>
      <c r="L516" s="66">
        <f t="shared" si="119"/>
        <v>1005</v>
      </c>
      <c r="M516" s="71">
        <f>VLOOKUP(B516,'114+840'!$B$14:$AB$5016,21,FALSE)</f>
        <v>2647</v>
      </c>
      <c r="N516" s="70">
        <f>VLOOKUP(B516,'114+840'!$B$15:$AB$5016,5,FALSE)</f>
        <v>1496</v>
      </c>
      <c r="O516" s="69">
        <f t="shared" si="120"/>
        <v>1527</v>
      </c>
      <c r="P516" s="69">
        <f>VLOOKUP(B516,'114+840'!$B$15:$AB$5016,14,FALSE)</f>
        <v>-1473</v>
      </c>
      <c r="Q516" s="67">
        <f>'114+840'!R517</f>
        <v>12</v>
      </c>
      <c r="R516" s="66">
        <f t="shared" si="121"/>
        <v>1573</v>
      </c>
      <c r="S516" s="71">
        <f>VLOOKUP(B516,'114+840'!$B$14:$AB$5016,22,FALSE)</f>
        <v>3577</v>
      </c>
      <c r="T516" s="70">
        <f>VLOOKUP(B516,'114+840'!$B$15:$AB$5016,6,FALSE)</f>
        <v>1056</v>
      </c>
      <c r="U516" s="69">
        <f t="shared" si="122"/>
        <v>1967</v>
      </c>
      <c r="V516" s="68">
        <f>VLOOKUP(B516,'114+840'!$B$15:$AB$5016,15,FALSE)</f>
        <v>-1033</v>
      </c>
      <c r="W516" s="67">
        <f>'114+840'!S517</f>
        <v>15</v>
      </c>
      <c r="X516" s="66">
        <f t="shared" si="123"/>
        <v>643</v>
      </c>
      <c r="Y516" s="65">
        <f t="shared" si="124"/>
        <v>-15</v>
      </c>
      <c r="Z516" s="64">
        <f t="shared" si="102"/>
        <v>0</v>
      </c>
      <c r="AA516" s="63">
        <f t="shared" si="125"/>
        <v>4.508</v>
      </c>
      <c r="AB516" s="63">
        <f t="shared" si="126"/>
        <v>0.97399999999999998</v>
      </c>
    </row>
    <row r="517" spans="2:28">
      <c r="B517" s="104">
        <f>'114+840'!B518</f>
        <v>45789</v>
      </c>
      <c r="C517" s="75">
        <f t="shared" si="96"/>
        <v>4</v>
      </c>
      <c r="D517" s="74">
        <f t="shared" si="116"/>
        <v>842</v>
      </c>
      <c r="E517" s="73">
        <f>VLOOKUP(B517,'114+840'!B518:AB518,3,FALSE)</f>
        <v>2183</v>
      </c>
      <c r="F517" s="70">
        <f t="shared" si="117"/>
        <v>3025</v>
      </c>
      <c r="G517" s="72">
        <f>VLOOKUP(B517,'114+840'!$B$15:$AB$5160,20,FALSE)</f>
        <v>3189</v>
      </c>
      <c r="H517" s="72">
        <f>VLOOKUP(B517,'114+840'!$B$15:$AB$5006,4,FALSE)</f>
        <v>1136</v>
      </c>
      <c r="I517" s="69">
        <f t="shared" si="118"/>
        <v>1889</v>
      </c>
      <c r="J517" s="69">
        <f>VLOOKUP(B517,'114+840'!$B$15:$AB$5016,13,FALSE)</f>
        <v>-1111</v>
      </c>
      <c r="K517" s="67">
        <f>'114+840'!Q518</f>
        <v>26</v>
      </c>
      <c r="L517" s="66">
        <f t="shared" si="119"/>
        <v>1031</v>
      </c>
      <c r="M517" s="71">
        <f>VLOOKUP(B517,'114+840'!$B$14:$AB$5016,21,FALSE)</f>
        <v>2622</v>
      </c>
      <c r="N517" s="70">
        <f>VLOOKUP(B517,'114+840'!$B$15:$AB$5016,5,FALSE)</f>
        <v>1523</v>
      </c>
      <c r="O517" s="69">
        <f t="shared" si="120"/>
        <v>1502</v>
      </c>
      <c r="P517" s="69">
        <f>VLOOKUP(B517,'114+840'!$B$15:$AB$5016,14,FALSE)</f>
        <v>-1498</v>
      </c>
      <c r="Q517" s="67">
        <f>'114+840'!R518</f>
        <v>25</v>
      </c>
      <c r="R517" s="66">
        <f t="shared" si="121"/>
        <v>1598</v>
      </c>
      <c r="S517" s="71">
        <f>VLOOKUP(B517,'114+840'!$B$14:$AB$5016,22,FALSE)</f>
        <v>3557</v>
      </c>
      <c r="T517" s="70">
        <f>VLOOKUP(B517,'114+840'!$B$15:$AB$5016,6,FALSE)</f>
        <v>1078</v>
      </c>
      <c r="U517" s="69">
        <f t="shared" si="122"/>
        <v>1947</v>
      </c>
      <c r="V517" s="68">
        <f>VLOOKUP(B517,'114+840'!$B$15:$AB$5016,15,FALSE)</f>
        <v>-1053</v>
      </c>
      <c r="W517" s="67">
        <f>'114+840'!S518</f>
        <v>20</v>
      </c>
      <c r="X517" s="66">
        <f t="shared" si="123"/>
        <v>663</v>
      </c>
      <c r="Y517" s="65">
        <f t="shared" si="124"/>
        <v>-20</v>
      </c>
      <c r="Z517" s="64">
        <f t="shared" si="102"/>
        <v>0</v>
      </c>
      <c r="AA517" s="63">
        <f t="shared" si="125"/>
        <v>4.508</v>
      </c>
      <c r="AB517" s="63">
        <f t="shared" si="126"/>
        <v>0.92400000000000004</v>
      </c>
    </row>
    <row r="518" spans="2:28">
      <c r="B518" s="104">
        <f>'114+840'!B519</f>
        <v>45792</v>
      </c>
      <c r="C518" s="75">
        <f t="shared" si="96"/>
        <v>3</v>
      </c>
      <c r="D518" s="74">
        <f t="shared" si="116"/>
        <v>842</v>
      </c>
      <c r="E518" s="73">
        <f>VLOOKUP(B518,'114+840'!B519:AB519,3,FALSE)</f>
        <v>2185</v>
      </c>
      <c r="F518" s="70">
        <f t="shared" si="117"/>
        <v>3027</v>
      </c>
      <c r="G518" s="72">
        <f>VLOOKUP(B518,'114+840'!$B$15:$AB$5160,20,FALSE)</f>
        <v>3177</v>
      </c>
      <c r="H518" s="72">
        <f>VLOOKUP(B518,'114+840'!$B$15:$AB$5006,4,FALSE)</f>
        <v>1150</v>
      </c>
      <c r="I518" s="69">
        <f t="shared" si="118"/>
        <v>1877</v>
      </c>
      <c r="J518" s="69">
        <f>VLOOKUP(B518,'114+840'!$B$15:$AB$5016,13,FALSE)</f>
        <v>-1123</v>
      </c>
      <c r="K518" s="67">
        <f>'114+840'!Q519</f>
        <v>12</v>
      </c>
      <c r="L518" s="66">
        <f t="shared" si="119"/>
        <v>1043</v>
      </c>
      <c r="M518" s="71">
        <f>VLOOKUP(B518,'114+840'!$B$14:$AB$5016,21,FALSE)</f>
        <v>2612</v>
      </c>
      <c r="N518" s="70">
        <f>VLOOKUP(B518,'114+840'!$B$15:$AB$5016,5,FALSE)</f>
        <v>1535</v>
      </c>
      <c r="O518" s="69">
        <f t="shared" si="120"/>
        <v>1492</v>
      </c>
      <c r="P518" s="69">
        <f>VLOOKUP(B518,'114+840'!$B$15:$AB$5016,14,FALSE)</f>
        <v>-1508</v>
      </c>
      <c r="Q518" s="67">
        <f>'114+840'!R519</f>
        <v>10</v>
      </c>
      <c r="R518" s="66">
        <f t="shared" si="121"/>
        <v>1608</v>
      </c>
      <c r="S518" s="71">
        <f>VLOOKUP(B518,'114+840'!$B$14:$AB$5016,22,FALSE)</f>
        <v>3547</v>
      </c>
      <c r="T518" s="70">
        <f>VLOOKUP(B518,'114+840'!$B$15:$AB$5016,6,FALSE)</f>
        <v>1090</v>
      </c>
      <c r="U518" s="69">
        <f t="shared" si="122"/>
        <v>1937</v>
      </c>
      <c r="V518" s="68">
        <f>VLOOKUP(B518,'114+840'!$B$15:$AB$5016,15,FALSE)</f>
        <v>-1063</v>
      </c>
      <c r="W518" s="67">
        <f>'114+840'!S519</f>
        <v>10</v>
      </c>
      <c r="X518" s="66">
        <f t="shared" si="123"/>
        <v>673</v>
      </c>
      <c r="Y518" s="65">
        <f t="shared" si="124"/>
        <v>-10</v>
      </c>
      <c r="Z518" s="64">
        <f t="shared" si="102"/>
        <v>0</v>
      </c>
      <c r="AA518" s="63">
        <f t="shared" si="125"/>
        <v>4.508</v>
      </c>
      <c r="AB518" s="63">
        <f t="shared" si="126"/>
        <v>0.90400000000000003</v>
      </c>
    </row>
    <row r="519" spans="2:28">
      <c r="B519" s="104">
        <f>'114+840'!B520</f>
        <v>45796</v>
      </c>
      <c r="C519" s="75">
        <f t="shared" si="96"/>
        <v>4</v>
      </c>
      <c r="D519" s="74">
        <f t="shared" si="116"/>
        <v>842</v>
      </c>
      <c r="E519" s="73">
        <f>VLOOKUP(B519,'114+840'!B520:AB520,3,FALSE)</f>
        <v>2187</v>
      </c>
      <c r="F519" s="70">
        <f t="shared" si="117"/>
        <v>3029</v>
      </c>
      <c r="G519" s="72">
        <f>VLOOKUP(B519,'114+840'!$B$15:$AB$5160,20,FALSE)</f>
        <v>3155</v>
      </c>
      <c r="H519" s="72">
        <f>VLOOKUP(B519,'114+840'!$B$15:$AB$5006,4,FALSE)</f>
        <v>1174</v>
      </c>
      <c r="I519" s="69">
        <f t="shared" si="118"/>
        <v>1855</v>
      </c>
      <c r="J519" s="69">
        <f>VLOOKUP(B519,'114+840'!$B$15:$AB$5016,13,FALSE)</f>
        <v>-1145</v>
      </c>
      <c r="K519" s="67">
        <f>'114+840'!Q520</f>
        <v>22</v>
      </c>
      <c r="L519" s="66">
        <f t="shared" si="119"/>
        <v>1065</v>
      </c>
      <c r="M519" s="71">
        <f>VLOOKUP(B519,'114+840'!$B$14:$AB$5016,21,FALSE)</f>
        <v>2590</v>
      </c>
      <c r="N519" s="70">
        <f>VLOOKUP(B519,'114+840'!$B$15:$AB$5016,5,FALSE)</f>
        <v>1559</v>
      </c>
      <c r="O519" s="69">
        <f t="shared" si="120"/>
        <v>1470</v>
      </c>
      <c r="P519" s="69">
        <f>VLOOKUP(B519,'114+840'!$B$15:$AB$5016,14,FALSE)</f>
        <v>-1530</v>
      </c>
      <c r="Q519" s="67">
        <f>'114+840'!R520</f>
        <v>21.999999999999886</v>
      </c>
      <c r="R519" s="66">
        <f t="shared" si="121"/>
        <v>1630</v>
      </c>
      <c r="S519" s="71">
        <f>VLOOKUP(B519,'114+840'!$B$14:$AB$5016,22,FALSE)</f>
        <v>3528</v>
      </c>
      <c r="T519" s="70">
        <f>VLOOKUP(B519,'114+840'!$B$15:$AB$5016,6,FALSE)</f>
        <v>1111</v>
      </c>
      <c r="U519" s="69">
        <f t="shared" si="122"/>
        <v>1918</v>
      </c>
      <c r="V519" s="68">
        <f>VLOOKUP(B519,'114+840'!$B$15:$AB$5016,15,FALSE)</f>
        <v>-1082</v>
      </c>
      <c r="W519" s="67">
        <f>'114+840'!S520</f>
        <v>19</v>
      </c>
      <c r="X519" s="66">
        <f t="shared" si="123"/>
        <v>692</v>
      </c>
      <c r="Y519" s="65">
        <f t="shared" si="124"/>
        <v>-19</v>
      </c>
      <c r="Z519" s="64">
        <f t="shared" si="102"/>
        <v>0</v>
      </c>
      <c r="AA519" s="63">
        <f t="shared" si="125"/>
        <v>4.508</v>
      </c>
      <c r="AB519" s="63">
        <f t="shared" si="126"/>
        <v>0.86</v>
      </c>
    </row>
    <row r="520" spans="2:28">
      <c r="B520" s="104">
        <f>'114+840'!B521</f>
        <v>45803</v>
      </c>
      <c r="C520" s="75">
        <f t="shared" si="96"/>
        <v>7</v>
      </c>
      <c r="D520" s="74">
        <f t="shared" si="116"/>
        <v>842</v>
      </c>
      <c r="E520" s="73">
        <f>VLOOKUP(B520,'114+840'!B521:AB521,3,FALSE)</f>
        <v>2189</v>
      </c>
      <c r="F520" s="70">
        <f t="shared" si="117"/>
        <v>3031</v>
      </c>
      <c r="G520" s="72">
        <f>VLOOKUP(B520,'114+840'!$B$15:$AB$5160,20,FALSE)</f>
        <v>3130</v>
      </c>
      <c r="H520" s="72">
        <f>VLOOKUP(B520,'114+840'!$B$15:$AB$5006,4,FALSE)</f>
        <v>1201</v>
      </c>
      <c r="I520" s="69">
        <f t="shared" si="118"/>
        <v>1830</v>
      </c>
      <c r="J520" s="69">
        <f>VLOOKUP(B520,'114+840'!$B$15:$AB$5016,13,FALSE)</f>
        <v>-1170</v>
      </c>
      <c r="K520" s="67">
        <f>'114+840'!Q521</f>
        <v>25</v>
      </c>
      <c r="L520" s="66">
        <f t="shared" si="119"/>
        <v>1090</v>
      </c>
      <c r="M520" s="71">
        <f>VLOOKUP(B520,'114+840'!$B$14:$AB$5016,21,FALSE)</f>
        <v>2570</v>
      </c>
      <c r="N520" s="70">
        <f>VLOOKUP(B520,'114+840'!$B$15:$AB$5016,5,FALSE)</f>
        <v>1581</v>
      </c>
      <c r="O520" s="69">
        <f t="shared" si="120"/>
        <v>1450</v>
      </c>
      <c r="P520" s="69">
        <f>VLOOKUP(B520,'114+840'!$B$15:$AB$5016,14,FALSE)</f>
        <v>-1550</v>
      </c>
      <c r="Q520" s="67">
        <f>'114+840'!R521</f>
        <v>20.000000000000114</v>
      </c>
      <c r="R520" s="66">
        <f t="shared" si="121"/>
        <v>1650</v>
      </c>
      <c r="S520" s="71">
        <f>VLOOKUP(B520,'114+840'!$B$14:$AB$5016,22,FALSE)</f>
        <v>3504</v>
      </c>
      <c r="T520" s="70">
        <f>VLOOKUP(B520,'114+840'!$B$15:$AB$5016,6,FALSE)</f>
        <v>1137</v>
      </c>
      <c r="U520" s="69">
        <f t="shared" si="122"/>
        <v>1894</v>
      </c>
      <c r="V520" s="68">
        <f>VLOOKUP(B520,'114+840'!$B$15:$AB$5016,15,FALSE)</f>
        <v>-1106</v>
      </c>
      <c r="W520" s="67">
        <f>'114+840'!S521</f>
        <v>24</v>
      </c>
      <c r="X520" s="66">
        <f t="shared" si="123"/>
        <v>716</v>
      </c>
      <c r="Y520" s="65">
        <f t="shared" si="124"/>
        <v>-24</v>
      </c>
      <c r="Z520" s="64">
        <f t="shared" si="102"/>
        <v>0</v>
      </c>
      <c r="AA520" s="63">
        <f t="shared" si="125"/>
        <v>4.508</v>
      </c>
      <c r="AB520" s="63">
        <f t="shared" si="126"/>
        <v>0.82</v>
      </c>
    </row>
    <row r="521" spans="2:28">
      <c r="B521" s="104">
        <f>'114+840'!B522</f>
        <v>45810</v>
      </c>
      <c r="C521" s="75">
        <f t="shared" si="96"/>
        <v>7</v>
      </c>
      <c r="D521" s="74">
        <f t="shared" ref="D521:D532" si="127">D520</f>
        <v>842</v>
      </c>
      <c r="E521" s="73">
        <f>VLOOKUP(B521,'114+840'!B522:AB522,3,FALSE)</f>
        <v>2191</v>
      </c>
      <c r="F521" s="70">
        <f t="shared" ref="F521:F532" si="128">D521+E521</f>
        <v>3033</v>
      </c>
      <c r="G521" s="72">
        <f>VLOOKUP(B521,'114+840'!$B$15:$AB$5160,20,FALSE)</f>
        <v>3110</v>
      </c>
      <c r="H521" s="72">
        <f>VLOOKUP(B521,'114+840'!$B$15:$AB$5006,4,FALSE)</f>
        <v>1223</v>
      </c>
      <c r="I521" s="69">
        <f t="shared" ref="I521:I532" si="129">F521-H521</f>
        <v>1810</v>
      </c>
      <c r="J521" s="69">
        <f>VLOOKUP(B521,'114+840'!$B$15:$AB$5016,13,FALSE)</f>
        <v>-1190</v>
      </c>
      <c r="K521" s="67">
        <f>'114+840'!Q522</f>
        <v>20</v>
      </c>
      <c r="L521" s="66">
        <f t="shared" ref="L521:L532" si="130">+K521+L520</f>
        <v>1110</v>
      </c>
      <c r="M521" s="71">
        <f>VLOOKUP(B521,'114+840'!$B$14:$AB$5016,21,FALSE)</f>
        <v>2552</v>
      </c>
      <c r="N521" s="70">
        <f>VLOOKUP(B521,'114+840'!$B$15:$AB$5016,5,FALSE)</f>
        <v>1601</v>
      </c>
      <c r="O521" s="69">
        <f t="shared" ref="O521:O532" si="131">F521-N521</f>
        <v>1432</v>
      </c>
      <c r="P521" s="69">
        <f>VLOOKUP(B521,'114+840'!$B$15:$AB$5016,14,FALSE)</f>
        <v>-1568</v>
      </c>
      <c r="Q521" s="67">
        <f>'114+840'!R522</f>
        <v>18</v>
      </c>
      <c r="R521" s="66">
        <f t="shared" ref="R521:R532" si="132">+Q521+R520</f>
        <v>1668</v>
      </c>
      <c r="S521" s="71">
        <f>VLOOKUP(B521,'114+840'!$B$14:$AB$5016,22,FALSE)</f>
        <v>3484</v>
      </c>
      <c r="T521" s="70">
        <f>VLOOKUP(B521,'114+840'!$B$15:$AB$5016,6,FALSE)</f>
        <v>1159</v>
      </c>
      <c r="U521" s="69">
        <f t="shared" ref="U521:U532" si="133">F521-T521</f>
        <v>1874</v>
      </c>
      <c r="V521" s="68">
        <f>VLOOKUP(B521,'114+840'!$B$15:$AB$5016,15,FALSE)</f>
        <v>-1126</v>
      </c>
      <c r="W521" s="67">
        <f>'114+840'!S522</f>
        <v>20</v>
      </c>
      <c r="X521" s="66">
        <f t="shared" ref="X521:X532" si="134">+W521+X520</f>
        <v>736</v>
      </c>
      <c r="Y521" s="65">
        <f t="shared" ref="Y521:Y532" si="135">S521-S520</f>
        <v>-20</v>
      </c>
      <c r="Z521" s="64">
        <f t="shared" si="102"/>
        <v>0</v>
      </c>
      <c r="AA521" s="63">
        <f t="shared" ref="AA521:AA532" si="136">AA520+Z521</f>
        <v>4.508</v>
      </c>
      <c r="AB521" s="63">
        <f t="shared" ref="AB521:AB532" si="137">(M521-$M$13-R521)/1000</f>
        <v>0.78400000000000003</v>
      </c>
    </row>
    <row r="522" spans="2:28">
      <c r="B522" s="104">
        <f>'114+840'!B523</f>
        <v>45817</v>
      </c>
      <c r="C522" s="75">
        <f t="shared" si="96"/>
        <v>7</v>
      </c>
      <c r="D522" s="74">
        <f t="shared" si="127"/>
        <v>842</v>
      </c>
      <c r="E522" s="73">
        <f>VLOOKUP(B522,'114+840'!B523:AB523,3,FALSE)</f>
        <v>2193</v>
      </c>
      <c r="F522" s="70">
        <f t="shared" si="128"/>
        <v>3035</v>
      </c>
      <c r="G522" s="72">
        <f>VLOOKUP(B522,'114+840'!$B$15:$AB$5160,20,FALSE)</f>
        <v>3095</v>
      </c>
      <c r="H522" s="72">
        <f>VLOOKUP(B522,'114+840'!$B$15:$AB$5006,4,FALSE)</f>
        <v>1240</v>
      </c>
      <c r="I522" s="69">
        <f t="shared" si="129"/>
        <v>1795</v>
      </c>
      <c r="J522" s="69">
        <f>VLOOKUP(B522,'114+840'!$B$15:$AB$5016,13,FALSE)</f>
        <v>-1205</v>
      </c>
      <c r="K522" s="67">
        <f>'114+840'!Q523</f>
        <v>15</v>
      </c>
      <c r="L522" s="66">
        <f t="shared" si="130"/>
        <v>1125</v>
      </c>
      <c r="M522" s="71">
        <f>VLOOKUP(B522,'114+840'!$B$14:$AB$5016,21,FALSE)</f>
        <v>2536</v>
      </c>
      <c r="N522" s="70">
        <f>VLOOKUP(B522,'114+840'!$B$15:$AB$5016,5,FALSE)</f>
        <v>1619</v>
      </c>
      <c r="O522" s="69">
        <f t="shared" si="131"/>
        <v>1416</v>
      </c>
      <c r="P522" s="69">
        <f>VLOOKUP(B522,'114+840'!$B$15:$AB$5016,14,FALSE)</f>
        <v>-1584</v>
      </c>
      <c r="Q522" s="67">
        <f>'114+840'!R523</f>
        <v>16</v>
      </c>
      <c r="R522" s="66">
        <f t="shared" si="132"/>
        <v>1684</v>
      </c>
      <c r="S522" s="71">
        <f>VLOOKUP(B522,'114+840'!$B$14:$AB$5016,22,FALSE)</f>
        <v>3464</v>
      </c>
      <c r="T522" s="70">
        <f>VLOOKUP(B522,'114+840'!$B$15:$AB$5016,6,FALSE)</f>
        <v>1181</v>
      </c>
      <c r="U522" s="69">
        <f t="shared" si="133"/>
        <v>1854</v>
      </c>
      <c r="V522" s="68">
        <f>VLOOKUP(B522,'114+840'!$B$15:$AB$5016,15,FALSE)</f>
        <v>-1146</v>
      </c>
      <c r="W522" s="67">
        <f>'114+840'!S523</f>
        <v>20</v>
      </c>
      <c r="X522" s="66">
        <f t="shared" si="134"/>
        <v>756</v>
      </c>
      <c r="Y522" s="65">
        <f t="shared" si="135"/>
        <v>-20</v>
      </c>
      <c r="Z522" s="64">
        <f t="shared" si="102"/>
        <v>0</v>
      </c>
      <c r="AA522" s="63">
        <f t="shared" si="136"/>
        <v>4.508</v>
      </c>
      <c r="AB522" s="63">
        <f t="shared" si="137"/>
        <v>0.752</v>
      </c>
    </row>
    <row r="523" spans="2:28">
      <c r="B523" s="104">
        <f>'114+840'!B524</f>
        <v>45824</v>
      </c>
      <c r="C523" s="75">
        <f t="shared" si="96"/>
        <v>7</v>
      </c>
      <c r="D523" s="74">
        <f t="shared" si="127"/>
        <v>842</v>
      </c>
      <c r="E523" s="73">
        <f>VLOOKUP(B523,'114+840'!B524:AB524,3,FALSE)</f>
        <v>2195</v>
      </c>
      <c r="F523" s="70">
        <f t="shared" si="128"/>
        <v>3037</v>
      </c>
      <c r="G523" s="72">
        <f>VLOOKUP(B523,'114+840'!$B$15:$AB$5160,20,FALSE)</f>
        <v>3082</v>
      </c>
      <c r="H523" s="72">
        <f>VLOOKUP(B523,'114+840'!$B$15:$AB$5006,4,FALSE)</f>
        <v>1255</v>
      </c>
      <c r="I523" s="69">
        <f t="shared" si="129"/>
        <v>1782</v>
      </c>
      <c r="J523" s="69">
        <f>VLOOKUP(B523,'114+840'!$B$15:$AB$5016,13,FALSE)</f>
        <v>-1218</v>
      </c>
      <c r="K523" s="67">
        <f>'114+840'!Q524</f>
        <v>13</v>
      </c>
      <c r="L523" s="66">
        <f t="shared" si="130"/>
        <v>1138</v>
      </c>
      <c r="M523" s="71">
        <f>VLOOKUP(B523,'114+840'!$B$14:$AB$5016,21,FALSE)</f>
        <v>2520</v>
      </c>
      <c r="N523" s="70">
        <f>VLOOKUP(B523,'114+840'!$B$15:$AB$5016,5,FALSE)</f>
        <v>1637</v>
      </c>
      <c r="O523" s="69">
        <f t="shared" si="131"/>
        <v>1400</v>
      </c>
      <c r="P523" s="69">
        <f>VLOOKUP(B523,'114+840'!$B$15:$AB$5016,14,FALSE)</f>
        <v>-1600</v>
      </c>
      <c r="Q523" s="67">
        <f>'114+840'!R524</f>
        <v>16</v>
      </c>
      <c r="R523" s="66">
        <f t="shared" si="132"/>
        <v>1700</v>
      </c>
      <c r="S523" s="71">
        <f>VLOOKUP(B523,'114+840'!$B$14:$AB$5016,22,FALSE)</f>
        <v>3448</v>
      </c>
      <c r="T523" s="70">
        <f>VLOOKUP(B523,'114+840'!$B$15:$AB$5016,6,FALSE)</f>
        <v>1199</v>
      </c>
      <c r="U523" s="69">
        <f t="shared" si="133"/>
        <v>1838</v>
      </c>
      <c r="V523" s="68">
        <f>VLOOKUP(B523,'114+840'!$B$15:$AB$5016,15,FALSE)</f>
        <v>-1162</v>
      </c>
      <c r="W523" s="67">
        <f>'114+840'!S524</f>
        <v>16</v>
      </c>
      <c r="X523" s="66">
        <f t="shared" si="134"/>
        <v>772</v>
      </c>
      <c r="Y523" s="65">
        <f t="shared" si="135"/>
        <v>-16</v>
      </c>
      <c r="Z523" s="64">
        <f t="shared" si="102"/>
        <v>0</v>
      </c>
      <c r="AA523" s="63">
        <f t="shared" si="136"/>
        <v>4.508</v>
      </c>
      <c r="AB523" s="63">
        <f t="shared" si="137"/>
        <v>0.72</v>
      </c>
    </row>
    <row r="524" spans="2:28">
      <c r="B524" s="104">
        <f>'114+840'!B525</f>
        <v>45831</v>
      </c>
      <c r="C524" s="75">
        <f t="shared" si="96"/>
        <v>7</v>
      </c>
      <c r="D524" s="74">
        <f t="shared" si="127"/>
        <v>842</v>
      </c>
      <c r="E524" s="73">
        <f>VLOOKUP(B524,'114+840'!B525:AB525,3,FALSE)</f>
        <v>2197</v>
      </c>
      <c r="F524" s="70">
        <f t="shared" si="128"/>
        <v>3039</v>
      </c>
      <c r="G524" s="72">
        <f>VLOOKUP(B524,'114+840'!$B$15:$AB$5160,20,FALSE)</f>
        <v>3070</v>
      </c>
      <c r="H524" s="72">
        <f>VLOOKUP(B524,'114+840'!$B$15:$AB$5006,4,FALSE)</f>
        <v>1269</v>
      </c>
      <c r="I524" s="69">
        <f t="shared" si="129"/>
        <v>1770</v>
      </c>
      <c r="J524" s="69">
        <f>VLOOKUP(B524,'114+840'!$B$15:$AB$5016,13,FALSE)</f>
        <v>-1230</v>
      </c>
      <c r="K524" s="67">
        <f>'114+840'!Q525</f>
        <v>12</v>
      </c>
      <c r="L524" s="66">
        <f t="shared" si="130"/>
        <v>1150</v>
      </c>
      <c r="M524" s="71">
        <f>VLOOKUP(B524,'114+840'!$B$14:$AB$5016,21,FALSE)</f>
        <v>2505</v>
      </c>
      <c r="N524" s="70">
        <f>VLOOKUP(B524,'114+840'!$B$15:$AB$5016,5,FALSE)</f>
        <v>1654</v>
      </c>
      <c r="O524" s="69">
        <f t="shared" si="131"/>
        <v>1385</v>
      </c>
      <c r="P524" s="69">
        <f>VLOOKUP(B524,'114+840'!$B$15:$AB$5016,14,FALSE)</f>
        <v>-1615</v>
      </c>
      <c r="Q524" s="67">
        <f>'114+840'!R525</f>
        <v>15</v>
      </c>
      <c r="R524" s="66">
        <f t="shared" si="132"/>
        <v>1715</v>
      </c>
      <c r="S524" s="71">
        <f>VLOOKUP(B524,'114+840'!$B$14:$AB$5016,22,FALSE)</f>
        <v>3432</v>
      </c>
      <c r="T524" s="70">
        <f>VLOOKUP(B524,'114+840'!$B$15:$AB$5016,6,FALSE)</f>
        <v>1217</v>
      </c>
      <c r="U524" s="69">
        <f t="shared" si="133"/>
        <v>1822</v>
      </c>
      <c r="V524" s="68">
        <f>VLOOKUP(B524,'114+840'!$B$15:$AB$5016,15,FALSE)</f>
        <v>-1178</v>
      </c>
      <c r="W524" s="67">
        <f>'114+840'!S525</f>
        <v>16</v>
      </c>
      <c r="X524" s="66">
        <f t="shared" si="134"/>
        <v>788</v>
      </c>
      <c r="Y524" s="65">
        <f t="shared" si="135"/>
        <v>-16</v>
      </c>
      <c r="Z524" s="64">
        <f t="shared" si="102"/>
        <v>0</v>
      </c>
      <c r="AA524" s="63">
        <f t="shared" si="136"/>
        <v>4.508</v>
      </c>
      <c r="AB524" s="63">
        <f t="shared" si="137"/>
        <v>0.69</v>
      </c>
    </row>
    <row r="525" spans="2:28">
      <c r="B525" s="104">
        <f>'114+840'!B526</f>
        <v>45838</v>
      </c>
      <c r="C525" s="75">
        <f t="shared" si="96"/>
        <v>7</v>
      </c>
      <c r="D525" s="74">
        <f t="shared" si="127"/>
        <v>842</v>
      </c>
      <c r="E525" s="73">
        <f>VLOOKUP(B525,'114+840'!B526:AB526,3,FALSE)</f>
        <v>2199</v>
      </c>
      <c r="F525" s="70">
        <f t="shared" si="128"/>
        <v>3041</v>
      </c>
      <c r="G525" s="72">
        <f>VLOOKUP(B525,'114+840'!$B$15:$AB$5160,20,FALSE)</f>
        <v>3060</v>
      </c>
      <c r="H525" s="72">
        <f>VLOOKUP(B525,'114+840'!$B$15:$AB$5006,4,FALSE)</f>
        <v>1281</v>
      </c>
      <c r="I525" s="69">
        <f t="shared" si="129"/>
        <v>1760</v>
      </c>
      <c r="J525" s="69">
        <f>VLOOKUP(B525,'114+840'!$B$15:$AB$5016,13,FALSE)</f>
        <v>-1240</v>
      </c>
      <c r="K525" s="67">
        <f>'114+840'!Q526</f>
        <v>10</v>
      </c>
      <c r="L525" s="66">
        <f t="shared" si="130"/>
        <v>1160</v>
      </c>
      <c r="M525" s="71">
        <f>VLOOKUP(B525,'114+840'!$B$14:$AB$5016,21,FALSE)</f>
        <v>2490</v>
      </c>
      <c r="N525" s="70">
        <f>VLOOKUP(B525,'114+840'!$B$15:$AB$5016,5,FALSE)</f>
        <v>1671</v>
      </c>
      <c r="O525" s="69">
        <f t="shared" si="131"/>
        <v>1370</v>
      </c>
      <c r="P525" s="69">
        <f>VLOOKUP(B525,'114+840'!$B$15:$AB$5016,14,FALSE)</f>
        <v>-1630</v>
      </c>
      <c r="Q525" s="67">
        <f>'114+840'!R526</f>
        <v>15</v>
      </c>
      <c r="R525" s="66">
        <f t="shared" si="132"/>
        <v>1730</v>
      </c>
      <c r="S525" s="71">
        <f>VLOOKUP(B525,'114+840'!$B$14:$AB$5016,22,FALSE)</f>
        <v>3418</v>
      </c>
      <c r="T525" s="70">
        <f>VLOOKUP(B525,'114+840'!$B$15:$AB$5016,6,FALSE)</f>
        <v>1233</v>
      </c>
      <c r="U525" s="69">
        <f t="shared" si="133"/>
        <v>1808</v>
      </c>
      <c r="V525" s="68">
        <f>VLOOKUP(B525,'114+840'!$B$15:$AB$5016,15,FALSE)</f>
        <v>-1192</v>
      </c>
      <c r="W525" s="67">
        <f>'114+840'!S526</f>
        <v>14</v>
      </c>
      <c r="X525" s="66">
        <f t="shared" si="134"/>
        <v>802</v>
      </c>
      <c r="Y525" s="65">
        <f t="shared" si="135"/>
        <v>-14</v>
      </c>
      <c r="Z525" s="64">
        <f t="shared" si="102"/>
        <v>0</v>
      </c>
      <c r="AA525" s="63">
        <f t="shared" si="136"/>
        <v>4.508</v>
      </c>
      <c r="AB525" s="63">
        <f t="shared" si="137"/>
        <v>0.66</v>
      </c>
    </row>
    <row r="526" spans="2:28">
      <c r="B526" s="104">
        <f>'114+840'!B527</f>
        <v>45845</v>
      </c>
      <c r="C526" s="75">
        <f t="shared" ref="C526:C532" si="138">B526-B525</f>
        <v>7</v>
      </c>
      <c r="D526" s="74">
        <f t="shared" si="127"/>
        <v>842</v>
      </c>
      <c r="E526" s="73">
        <f>VLOOKUP(B526,'114+840'!B527:AB527,3,FALSE)</f>
        <v>2201</v>
      </c>
      <c r="F526" s="70">
        <f t="shared" si="128"/>
        <v>3043</v>
      </c>
      <c r="G526" s="72">
        <f>VLOOKUP(B526,'114+840'!$B$15:$AB$5160,20,FALSE)</f>
        <v>3050</v>
      </c>
      <c r="H526" s="72">
        <f>VLOOKUP(B526,'114+840'!$B$15:$AB$5006,4,FALSE)</f>
        <v>1293</v>
      </c>
      <c r="I526" s="69">
        <f t="shared" si="129"/>
        <v>1750</v>
      </c>
      <c r="J526" s="69">
        <f>VLOOKUP(B526,'114+840'!$B$15:$AB$5016,13,FALSE)</f>
        <v>-1250</v>
      </c>
      <c r="K526" s="67">
        <f>'114+840'!Q527</f>
        <v>10</v>
      </c>
      <c r="L526" s="66">
        <f t="shared" si="130"/>
        <v>1170</v>
      </c>
      <c r="M526" s="71">
        <f>VLOOKUP(B526,'114+840'!$B$14:$AB$5016,21,FALSE)</f>
        <v>2477</v>
      </c>
      <c r="N526" s="70">
        <f>VLOOKUP(B526,'114+840'!$B$15:$AB$5016,5,FALSE)</f>
        <v>1686</v>
      </c>
      <c r="O526" s="69">
        <f t="shared" si="131"/>
        <v>1357</v>
      </c>
      <c r="P526" s="69">
        <f>VLOOKUP(B526,'114+840'!$B$15:$AB$5016,14,FALSE)</f>
        <v>-1643</v>
      </c>
      <c r="Q526" s="67">
        <f>'114+840'!R527</f>
        <v>13</v>
      </c>
      <c r="R526" s="66">
        <f t="shared" si="132"/>
        <v>1743</v>
      </c>
      <c r="S526" s="71">
        <f>VLOOKUP(B526,'114+840'!$B$14:$AB$5016,22,FALSE)</f>
        <v>3406</v>
      </c>
      <c r="T526" s="70">
        <f>VLOOKUP(B526,'114+840'!$B$15:$AB$5016,6,FALSE)</f>
        <v>1247</v>
      </c>
      <c r="U526" s="69">
        <f t="shared" si="133"/>
        <v>1796</v>
      </c>
      <c r="V526" s="68">
        <f>VLOOKUP(B526,'114+840'!$B$15:$AB$5016,15,FALSE)</f>
        <v>-1204</v>
      </c>
      <c r="W526" s="67">
        <f>'114+840'!S527</f>
        <v>12</v>
      </c>
      <c r="X526" s="66">
        <f t="shared" si="134"/>
        <v>814</v>
      </c>
      <c r="Y526" s="65">
        <f t="shared" si="135"/>
        <v>-12</v>
      </c>
      <c r="Z526" s="64">
        <f t="shared" ref="Z526:Z532" si="139">IF(Y526&gt;0,Y526,0)/1000</f>
        <v>0</v>
      </c>
      <c r="AA526" s="63">
        <f t="shared" si="136"/>
        <v>4.508</v>
      </c>
      <c r="AB526" s="63">
        <f t="shared" si="137"/>
        <v>0.63400000000000001</v>
      </c>
    </row>
    <row r="527" spans="2:28">
      <c r="B527" s="104">
        <f>'114+840'!B528</f>
        <v>45852</v>
      </c>
      <c r="C527" s="75">
        <f t="shared" si="138"/>
        <v>7</v>
      </c>
      <c r="D527" s="74">
        <f t="shared" si="127"/>
        <v>842</v>
      </c>
      <c r="E527" s="73">
        <f>VLOOKUP(B527,'114+840'!B528:AB528,3,FALSE)</f>
        <v>2203</v>
      </c>
      <c r="F527" s="70">
        <f t="shared" si="128"/>
        <v>3045</v>
      </c>
      <c r="G527" s="72">
        <f>VLOOKUP(B527,'114+840'!$B$15:$AB$5160,20,FALSE)</f>
        <v>3040</v>
      </c>
      <c r="H527" s="72">
        <f>VLOOKUP(B527,'114+840'!$B$15:$AB$5006,4,FALSE)</f>
        <v>1305</v>
      </c>
      <c r="I527" s="69">
        <f t="shared" si="129"/>
        <v>1740</v>
      </c>
      <c r="J527" s="69">
        <f>VLOOKUP(B527,'114+840'!$B$15:$AB$5016,13,FALSE)</f>
        <v>-1260</v>
      </c>
      <c r="K527" s="67">
        <f>'114+840'!Q528</f>
        <v>10</v>
      </c>
      <c r="L527" s="66">
        <f t="shared" si="130"/>
        <v>1180</v>
      </c>
      <c r="M527" s="71">
        <f>VLOOKUP(B527,'114+840'!$B$14:$AB$5016,21,FALSE)</f>
        <v>2465</v>
      </c>
      <c r="N527" s="70">
        <f>VLOOKUP(B527,'114+840'!$B$15:$AB$5016,5,FALSE)</f>
        <v>1700</v>
      </c>
      <c r="O527" s="69">
        <f t="shared" si="131"/>
        <v>1345</v>
      </c>
      <c r="P527" s="69">
        <f>VLOOKUP(B527,'114+840'!$B$15:$AB$5016,14,FALSE)</f>
        <v>-1655</v>
      </c>
      <c r="Q527" s="67">
        <f>'114+840'!R528</f>
        <v>12</v>
      </c>
      <c r="R527" s="66">
        <f t="shared" si="132"/>
        <v>1755</v>
      </c>
      <c r="S527" s="71">
        <f>VLOOKUP(B527,'114+840'!$B$14:$AB$5016,22,FALSE)</f>
        <v>3396</v>
      </c>
      <c r="T527" s="70">
        <f>VLOOKUP(B527,'114+840'!$B$15:$AB$5016,6,FALSE)</f>
        <v>1259</v>
      </c>
      <c r="U527" s="69">
        <f t="shared" si="133"/>
        <v>1786</v>
      </c>
      <c r="V527" s="68">
        <f>VLOOKUP(B527,'114+840'!$B$15:$AB$5016,15,FALSE)</f>
        <v>-1214</v>
      </c>
      <c r="W527" s="67">
        <f>'114+840'!S528</f>
        <v>10</v>
      </c>
      <c r="X527" s="66">
        <f t="shared" si="134"/>
        <v>824</v>
      </c>
      <c r="Y527" s="65">
        <f t="shared" si="135"/>
        <v>-10</v>
      </c>
      <c r="Z527" s="64">
        <f t="shared" si="139"/>
        <v>0</v>
      </c>
      <c r="AA527" s="63">
        <f t="shared" si="136"/>
        <v>4.508</v>
      </c>
      <c r="AB527" s="63">
        <f t="shared" si="137"/>
        <v>0.61</v>
      </c>
    </row>
    <row r="528" spans="2:28">
      <c r="B528" s="104">
        <f>'114+840'!B529</f>
        <v>45859</v>
      </c>
      <c r="C528" s="75">
        <f t="shared" si="138"/>
        <v>7</v>
      </c>
      <c r="D528" s="74">
        <f t="shared" si="127"/>
        <v>842</v>
      </c>
      <c r="E528" s="73">
        <f>VLOOKUP(B528,'114+840'!B529:AB529,3,FALSE)</f>
        <v>2205</v>
      </c>
      <c r="F528" s="70">
        <f t="shared" si="128"/>
        <v>3047</v>
      </c>
      <c r="G528" s="72">
        <f>VLOOKUP(B528,'114+840'!$B$15:$AB$5160,20,FALSE)</f>
        <v>3031</v>
      </c>
      <c r="H528" s="72">
        <f>VLOOKUP(B528,'114+840'!$B$15:$AB$5006,4,FALSE)</f>
        <v>1316</v>
      </c>
      <c r="I528" s="69">
        <f t="shared" si="129"/>
        <v>1731</v>
      </c>
      <c r="J528" s="69">
        <f>VLOOKUP(B528,'114+840'!$B$15:$AB$5016,13,FALSE)</f>
        <v>-1269</v>
      </c>
      <c r="K528" s="67">
        <f>'114+840'!Q529</f>
        <v>9</v>
      </c>
      <c r="L528" s="66">
        <f t="shared" si="130"/>
        <v>1189</v>
      </c>
      <c r="M528" s="71">
        <f>VLOOKUP(B528,'114+840'!$B$14:$AB$5016,21,FALSE)</f>
        <v>2455</v>
      </c>
      <c r="N528" s="70">
        <f>VLOOKUP(B528,'114+840'!$B$15:$AB$5016,5,FALSE)</f>
        <v>1712</v>
      </c>
      <c r="O528" s="69">
        <f t="shared" si="131"/>
        <v>1335</v>
      </c>
      <c r="P528" s="69">
        <f>VLOOKUP(B528,'114+840'!$B$15:$AB$5016,14,FALSE)</f>
        <v>-1665</v>
      </c>
      <c r="Q528" s="67">
        <f>'114+840'!R529</f>
        <v>10</v>
      </c>
      <c r="R528" s="66">
        <f t="shared" si="132"/>
        <v>1765</v>
      </c>
      <c r="S528" s="71">
        <f>VLOOKUP(B528,'114+840'!$B$14:$AB$5016,22,FALSE)</f>
        <v>3386</v>
      </c>
      <c r="T528" s="70">
        <f>VLOOKUP(B528,'114+840'!$B$15:$AB$5016,6,FALSE)</f>
        <v>1271</v>
      </c>
      <c r="U528" s="69">
        <f t="shared" si="133"/>
        <v>1776</v>
      </c>
      <c r="V528" s="68">
        <f>VLOOKUP(B528,'114+840'!$B$15:$AB$5016,15,FALSE)</f>
        <v>-1224</v>
      </c>
      <c r="W528" s="67">
        <f>'114+840'!S529</f>
        <v>10</v>
      </c>
      <c r="X528" s="66">
        <f t="shared" si="134"/>
        <v>834</v>
      </c>
      <c r="Y528" s="65">
        <f t="shared" si="135"/>
        <v>-10</v>
      </c>
      <c r="Z528" s="64">
        <f t="shared" si="139"/>
        <v>0</v>
      </c>
      <c r="AA528" s="63">
        <f t="shared" si="136"/>
        <v>4.508</v>
      </c>
      <c r="AB528" s="63">
        <f t="shared" si="137"/>
        <v>0.59</v>
      </c>
    </row>
    <row r="529" spans="2:28">
      <c r="B529" s="104">
        <f>'114+840'!B530</f>
        <v>45866</v>
      </c>
      <c r="C529" s="75">
        <f t="shared" si="138"/>
        <v>7</v>
      </c>
      <c r="D529" s="74">
        <f t="shared" si="127"/>
        <v>842</v>
      </c>
      <c r="E529" s="73">
        <f>VLOOKUP(B529,'114+840'!B530:AB530,3,FALSE)</f>
        <v>2207</v>
      </c>
      <c r="F529" s="70">
        <f t="shared" si="128"/>
        <v>3049</v>
      </c>
      <c r="G529" s="72">
        <f>VLOOKUP(B529,'114+840'!$B$15:$AB$5160,20,FALSE)</f>
        <v>3022</v>
      </c>
      <c r="H529" s="72">
        <f>VLOOKUP(B529,'114+840'!$B$15:$AB$5006,4,FALSE)</f>
        <v>1327</v>
      </c>
      <c r="I529" s="69">
        <f t="shared" si="129"/>
        <v>1722</v>
      </c>
      <c r="J529" s="69">
        <f>VLOOKUP(B529,'114+840'!$B$15:$AB$5016,13,FALSE)</f>
        <v>-1278</v>
      </c>
      <c r="K529" s="67">
        <f>'114+840'!Q530</f>
        <v>9</v>
      </c>
      <c r="L529" s="66">
        <f t="shared" si="130"/>
        <v>1198</v>
      </c>
      <c r="M529" s="71">
        <f>VLOOKUP(B529,'114+840'!$B$14:$AB$5016,21,FALSE)</f>
        <v>2445</v>
      </c>
      <c r="N529" s="70">
        <f>VLOOKUP(B529,'114+840'!$B$15:$AB$5016,5,FALSE)</f>
        <v>1724</v>
      </c>
      <c r="O529" s="69">
        <f t="shared" si="131"/>
        <v>1325</v>
      </c>
      <c r="P529" s="69">
        <f>VLOOKUP(B529,'114+840'!$B$15:$AB$5016,14,FALSE)</f>
        <v>-1675</v>
      </c>
      <c r="Q529" s="67">
        <f>'114+840'!R530</f>
        <v>10</v>
      </c>
      <c r="R529" s="66">
        <f t="shared" si="132"/>
        <v>1775</v>
      </c>
      <c r="S529" s="71">
        <f>VLOOKUP(B529,'114+840'!$B$14:$AB$5016,22,FALSE)</f>
        <v>3377</v>
      </c>
      <c r="T529" s="70">
        <f>VLOOKUP(B529,'114+840'!$B$15:$AB$5016,6,FALSE)</f>
        <v>1282</v>
      </c>
      <c r="U529" s="69">
        <f t="shared" si="133"/>
        <v>1767</v>
      </c>
      <c r="V529" s="68">
        <f>VLOOKUP(B529,'114+840'!$B$15:$AB$5016,15,FALSE)</f>
        <v>-1233</v>
      </c>
      <c r="W529" s="67">
        <f>'114+840'!S530</f>
        <v>9</v>
      </c>
      <c r="X529" s="66">
        <f t="shared" si="134"/>
        <v>843</v>
      </c>
      <c r="Y529" s="65">
        <f t="shared" si="135"/>
        <v>-9</v>
      </c>
      <c r="Z529" s="64">
        <f t="shared" si="139"/>
        <v>0</v>
      </c>
      <c r="AA529" s="63">
        <f t="shared" si="136"/>
        <v>4.508</v>
      </c>
      <c r="AB529" s="63">
        <f t="shared" si="137"/>
        <v>0.56999999999999995</v>
      </c>
    </row>
    <row r="530" spans="2:28">
      <c r="B530" s="104">
        <f>'114+840'!B531</f>
        <v>0</v>
      </c>
      <c r="C530" s="75">
        <f t="shared" si="138"/>
        <v>-45866</v>
      </c>
      <c r="D530" s="74">
        <f t="shared" si="127"/>
        <v>842</v>
      </c>
      <c r="E530" s="73" t="e">
        <f>VLOOKUP(B530,'114+840'!B531:AB531,3,FALSE)</f>
        <v>#N/A</v>
      </c>
      <c r="F530" s="70" t="e">
        <f t="shared" si="128"/>
        <v>#N/A</v>
      </c>
      <c r="G530" s="72" t="e">
        <f>VLOOKUP(B530,'114+840'!$B$15:$AB$5160,20,FALSE)</f>
        <v>#N/A</v>
      </c>
      <c r="H530" s="72" t="e">
        <f>VLOOKUP(B530,'114+840'!$B$15:$AB$5006,4,FALSE)</f>
        <v>#N/A</v>
      </c>
      <c r="I530" s="69" t="e">
        <f t="shared" si="129"/>
        <v>#N/A</v>
      </c>
      <c r="J530" s="69" t="e">
        <f>VLOOKUP(B530,'114+840'!$B$15:$AB$5016,13,FALSE)</f>
        <v>#N/A</v>
      </c>
      <c r="K530" s="67">
        <f>'114+840'!Q531</f>
        <v>0</v>
      </c>
      <c r="L530" s="66">
        <f t="shared" si="130"/>
        <v>1198</v>
      </c>
      <c r="M530" s="71" t="e">
        <f>VLOOKUP(B530,'114+840'!$B$14:$AB$5016,21,FALSE)</f>
        <v>#N/A</v>
      </c>
      <c r="N530" s="70" t="e">
        <f>VLOOKUP(B530,'114+840'!$B$15:$AB$5016,5,FALSE)</f>
        <v>#N/A</v>
      </c>
      <c r="O530" s="69" t="e">
        <f t="shared" si="131"/>
        <v>#N/A</v>
      </c>
      <c r="P530" s="69" t="e">
        <f>VLOOKUP(B530,'114+840'!$B$15:$AB$5016,14,FALSE)</f>
        <v>#N/A</v>
      </c>
      <c r="Q530" s="67">
        <f>'114+840'!R531</f>
        <v>0</v>
      </c>
      <c r="R530" s="66">
        <f t="shared" si="132"/>
        <v>1775</v>
      </c>
      <c r="S530" s="71" t="e">
        <f>VLOOKUP(B530,'114+840'!$B$14:$AB$5016,22,FALSE)</f>
        <v>#N/A</v>
      </c>
      <c r="T530" s="70" t="e">
        <f>VLOOKUP(B530,'114+840'!$B$15:$AB$5016,6,FALSE)</f>
        <v>#N/A</v>
      </c>
      <c r="U530" s="69" t="e">
        <f t="shared" si="133"/>
        <v>#N/A</v>
      </c>
      <c r="V530" s="68" t="e">
        <f>VLOOKUP(B530,'114+840'!$B$15:$AB$5016,15,FALSE)</f>
        <v>#N/A</v>
      </c>
      <c r="W530" s="67">
        <f>'114+840'!S531</f>
        <v>0</v>
      </c>
      <c r="X530" s="66">
        <f t="shared" si="134"/>
        <v>843</v>
      </c>
      <c r="Y530" s="65" t="e">
        <f t="shared" si="135"/>
        <v>#N/A</v>
      </c>
      <c r="Z530" s="64" t="e">
        <f t="shared" si="139"/>
        <v>#N/A</v>
      </c>
      <c r="AA530" s="63" t="e">
        <f t="shared" si="136"/>
        <v>#N/A</v>
      </c>
      <c r="AB530" s="63" t="e">
        <f t="shared" si="137"/>
        <v>#N/A</v>
      </c>
    </row>
    <row r="531" spans="2:28">
      <c r="B531" s="104">
        <f>'114+840'!B532</f>
        <v>0</v>
      </c>
      <c r="C531" s="75">
        <f t="shared" si="138"/>
        <v>0</v>
      </c>
      <c r="D531" s="74">
        <f t="shared" si="127"/>
        <v>842</v>
      </c>
      <c r="E531" s="73" t="e">
        <f>VLOOKUP(B531,'114+840'!B532:AB532,3,FALSE)</f>
        <v>#N/A</v>
      </c>
      <c r="F531" s="70" t="e">
        <f t="shared" si="128"/>
        <v>#N/A</v>
      </c>
      <c r="G531" s="72" t="e">
        <f>VLOOKUP(B531,'114+840'!$B$15:$AB$5160,20,FALSE)</f>
        <v>#N/A</v>
      </c>
      <c r="H531" s="72" t="e">
        <f>VLOOKUP(B531,'114+840'!$B$15:$AB$5006,4,FALSE)</f>
        <v>#N/A</v>
      </c>
      <c r="I531" s="69" t="e">
        <f t="shared" si="129"/>
        <v>#N/A</v>
      </c>
      <c r="J531" s="69" t="e">
        <f>VLOOKUP(B531,'114+840'!$B$15:$AB$5016,13,FALSE)</f>
        <v>#N/A</v>
      </c>
      <c r="K531" s="67">
        <f>'114+840'!Q532</f>
        <v>0</v>
      </c>
      <c r="L531" s="66">
        <f t="shared" si="130"/>
        <v>1198</v>
      </c>
      <c r="M531" s="71" t="e">
        <f>VLOOKUP(B531,'114+840'!$B$14:$AB$5016,21,FALSE)</f>
        <v>#N/A</v>
      </c>
      <c r="N531" s="70" t="e">
        <f>VLOOKUP(B531,'114+840'!$B$15:$AB$5016,5,FALSE)</f>
        <v>#N/A</v>
      </c>
      <c r="O531" s="69" t="e">
        <f t="shared" si="131"/>
        <v>#N/A</v>
      </c>
      <c r="P531" s="69" t="e">
        <f>VLOOKUP(B531,'114+840'!$B$15:$AB$5016,14,FALSE)</f>
        <v>#N/A</v>
      </c>
      <c r="Q531" s="67">
        <f>'114+840'!R532</f>
        <v>0</v>
      </c>
      <c r="R531" s="66">
        <f t="shared" si="132"/>
        <v>1775</v>
      </c>
      <c r="S531" s="71" t="e">
        <f>VLOOKUP(B531,'114+840'!$B$14:$AB$5016,22,FALSE)</f>
        <v>#N/A</v>
      </c>
      <c r="T531" s="70" t="e">
        <f>VLOOKUP(B531,'114+840'!$B$15:$AB$5016,6,FALSE)</f>
        <v>#N/A</v>
      </c>
      <c r="U531" s="69" t="e">
        <f t="shared" si="133"/>
        <v>#N/A</v>
      </c>
      <c r="V531" s="68" t="e">
        <f>VLOOKUP(B531,'114+840'!$B$15:$AB$5016,15,FALSE)</f>
        <v>#N/A</v>
      </c>
      <c r="W531" s="67">
        <f>'114+840'!S532</f>
        <v>0</v>
      </c>
      <c r="X531" s="66">
        <f t="shared" si="134"/>
        <v>843</v>
      </c>
      <c r="Y531" s="65" t="e">
        <f t="shared" si="135"/>
        <v>#N/A</v>
      </c>
      <c r="Z531" s="64" t="e">
        <f t="shared" si="139"/>
        <v>#N/A</v>
      </c>
      <c r="AA531" s="63" t="e">
        <f t="shared" si="136"/>
        <v>#N/A</v>
      </c>
      <c r="AB531" s="63" t="e">
        <f t="shared" si="137"/>
        <v>#N/A</v>
      </c>
    </row>
    <row r="532" spans="2:28">
      <c r="B532" s="104">
        <f>'114+840'!B533</f>
        <v>0</v>
      </c>
      <c r="C532" s="75">
        <f t="shared" si="138"/>
        <v>0</v>
      </c>
      <c r="D532" s="74">
        <f t="shared" si="127"/>
        <v>842</v>
      </c>
      <c r="E532" s="73" t="e">
        <f>VLOOKUP(B532,'114+840'!B533:AB533,3,FALSE)</f>
        <v>#N/A</v>
      </c>
      <c r="F532" s="70" t="e">
        <f t="shared" si="128"/>
        <v>#N/A</v>
      </c>
      <c r="G532" s="72" t="e">
        <f>VLOOKUP(B532,'114+840'!$B$15:$AB$5160,20,FALSE)</f>
        <v>#N/A</v>
      </c>
      <c r="H532" s="72" t="e">
        <f>VLOOKUP(B532,'114+840'!$B$15:$AB$5006,4,FALSE)</f>
        <v>#N/A</v>
      </c>
      <c r="I532" s="69" t="e">
        <f t="shared" si="129"/>
        <v>#N/A</v>
      </c>
      <c r="J532" s="69" t="e">
        <f>VLOOKUP(B532,'114+840'!$B$15:$AB$5016,13,FALSE)</f>
        <v>#N/A</v>
      </c>
      <c r="K532" s="67">
        <f>'114+840'!Q533</f>
        <v>0</v>
      </c>
      <c r="L532" s="66">
        <f t="shared" si="130"/>
        <v>1198</v>
      </c>
      <c r="M532" s="71" t="e">
        <f>VLOOKUP(B532,'114+840'!$B$14:$AB$5016,21,FALSE)</f>
        <v>#N/A</v>
      </c>
      <c r="N532" s="70" t="e">
        <f>VLOOKUP(B532,'114+840'!$B$15:$AB$5016,5,FALSE)</f>
        <v>#N/A</v>
      </c>
      <c r="O532" s="69" t="e">
        <f t="shared" si="131"/>
        <v>#N/A</v>
      </c>
      <c r="P532" s="69" t="e">
        <f>VLOOKUP(B532,'114+840'!$B$15:$AB$5016,14,FALSE)</f>
        <v>#N/A</v>
      </c>
      <c r="Q532" s="67">
        <f>'114+840'!R533</f>
        <v>5</v>
      </c>
      <c r="R532" s="66">
        <f t="shared" si="132"/>
        <v>1780</v>
      </c>
      <c r="S532" s="71" t="e">
        <f>VLOOKUP(B532,'114+840'!$B$14:$AB$5016,22,FALSE)</f>
        <v>#N/A</v>
      </c>
      <c r="T532" s="70" t="e">
        <f>VLOOKUP(B532,'114+840'!$B$15:$AB$5016,6,FALSE)</f>
        <v>#N/A</v>
      </c>
      <c r="U532" s="69" t="e">
        <f t="shared" si="133"/>
        <v>#N/A</v>
      </c>
      <c r="V532" s="68" t="e">
        <f>VLOOKUP(B532,'114+840'!$B$15:$AB$5016,15,FALSE)</f>
        <v>#N/A</v>
      </c>
      <c r="W532" s="67">
        <f>'114+840'!S533</f>
        <v>9</v>
      </c>
      <c r="X532" s="66">
        <f t="shared" si="134"/>
        <v>852</v>
      </c>
      <c r="Y532" s="65" t="e">
        <f t="shared" si="135"/>
        <v>#N/A</v>
      </c>
      <c r="Z532" s="64" t="e">
        <f t="shared" si="139"/>
        <v>#N/A</v>
      </c>
      <c r="AA532" s="63" t="e">
        <f t="shared" si="136"/>
        <v>#N/A</v>
      </c>
      <c r="AB532" s="63" t="e">
        <f t="shared" si="137"/>
        <v>#N/A</v>
      </c>
    </row>
  </sheetData>
  <mergeCells count="23">
    <mergeCell ref="AA11:AA12"/>
    <mergeCell ref="J5:S5"/>
    <mergeCell ref="T5:AB5"/>
    <mergeCell ref="B6:AB6"/>
    <mergeCell ref="N9:O9"/>
    <mergeCell ref="AB11:AB12"/>
    <mergeCell ref="G11:L11"/>
    <mergeCell ref="M11:R11"/>
    <mergeCell ref="S11:X11"/>
    <mergeCell ref="Y11:Y12"/>
    <mergeCell ref="Z11:Z12"/>
    <mergeCell ref="B11:B12"/>
    <mergeCell ref="C11:C12"/>
    <mergeCell ref="D11:D12"/>
    <mergeCell ref="E11:E12"/>
    <mergeCell ref="F11:F12"/>
    <mergeCell ref="B5:I5"/>
    <mergeCell ref="B1:AB1"/>
    <mergeCell ref="B2:AB2"/>
    <mergeCell ref="B3:AB3"/>
    <mergeCell ref="B4:I4"/>
    <mergeCell ref="J4:S4"/>
    <mergeCell ref="T4:AB4"/>
  </mergeCells>
  <printOptions horizontalCentered="1"/>
  <pageMargins left="0.39370078740157483" right="0.39370078740157483" top="0.78740157480314965" bottom="0.39370078740157483" header="0.31496062992125984" footer="0.31496062992125984"/>
  <pageSetup paperSize="9" scale="61" fitToHeight="0" orientation="landscape" blackAndWhite="1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D337D-F06B-4A80-A1A7-122220214D39}">
  <sheetPr codeName="Sheet18">
    <tabColor rgb="FFFFFF00"/>
  </sheetPr>
  <dimension ref="A1:AA939"/>
  <sheetViews>
    <sheetView tabSelected="1" topLeftCell="A510" zoomScaleNormal="100" zoomScaleSheetLayoutView="85" workbookViewId="0">
      <selection activeCell="V536" sqref="V536"/>
    </sheetView>
  </sheetViews>
  <sheetFormatPr defaultColWidth="9.140625" defaultRowHeight="14.25"/>
  <cols>
    <col min="1" max="1" width="11.5703125" style="136" customWidth="1"/>
    <col min="2" max="2" width="6.85546875" style="134" customWidth="1"/>
    <col min="3" max="11" width="9" style="135" customWidth="1"/>
    <col min="12" max="12" width="9.28515625" style="134" customWidth="1"/>
    <col min="13" max="13" width="8.7109375" style="134" customWidth="1"/>
    <col min="14" max="14" width="8.7109375" style="133" customWidth="1"/>
    <col min="15" max="15" width="14.42578125" style="133" customWidth="1"/>
    <col min="16" max="18" width="9.140625" style="131"/>
    <col min="19" max="19" width="12.140625" style="131" customWidth="1"/>
    <col min="20" max="20" width="9.140625" style="131"/>
    <col min="21" max="21" width="0" style="131" hidden="1" customWidth="1"/>
    <col min="22" max="22" width="10.28515625" style="132" customWidth="1"/>
    <col min="23" max="16384" width="9.140625" style="131"/>
  </cols>
  <sheetData>
    <row r="1" spans="1:27" ht="17.25" customHeight="1">
      <c r="A1" s="242" t="s">
        <v>41</v>
      </c>
      <c r="B1" s="242"/>
      <c r="C1" s="242"/>
      <c r="D1" s="242"/>
      <c r="E1" s="242"/>
      <c r="F1" s="242"/>
      <c r="G1" s="242"/>
      <c r="H1" s="242"/>
      <c r="I1" s="242"/>
      <c r="J1" s="242"/>
      <c r="K1" s="242"/>
      <c r="L1" s="242"/>
      <c r="M1" s="242"/>
      <c r="N1" s="242"/>
      <c r="O1" s="242"/>
      <c r="P1" s="162"/>
      <c r="Q1" s="162"/>
      <c r="R1" s="162"/>
      <c r="S1" s="162"/>
      <c r="T1" s="162"/>
      <c r="U1" s="162"/>
      <c r="V1" s="162"/>
      <c r="W1" s="162"/>
      <c r="X1" s="162"/>
      <c r="Y1" s="162"/>
      <c r="Z1" s="162"/>
      <c r="AA1" s="161"/>
    </row>
    <row r="2" spans="1:27" ht="17.25" customHeight="1">
      <c r="A2" s="242" t="s">
        <v>40</v>
      </c>
      <c r="B2" s="242"/>
      <c r="C2" s="242"/>
      <c r="D2" s="242"/>
      <c r="E2" s="242"/>
      <c r="F2" s="242"/>
      <c r="G2" s="242"/>
      <c r="H2" s="242"/>
      <c r="I2" s="242"/>
      <c r="J2" s="242"/>
      <c r="K2" s="242"/>
      <c r="L2" s="242"/>
      <c r="M2" s="242"/>
      <c r="N2" s="242"/>
      <c r="O2" s="242"/>
      <c r="P2" s="160"/>
      <c r="Q2" s="160"/>
      <c r="R2" s="160"/>
      <c r="S2" s="160"/>
      <c r="T2" s="160"/>
      <c r="U2" s="160"/>
      <c r="V2" s="160"/>
      <c r="W2" s="160"/>
      <c r="X2" s="160"/>
      <c r="Y2" s="160"/>
      <c r="Z2" s="160"/>
      <c r="AA2" s="159"/>
    </row>
    <row r="3" spans="1:27" ht="29.25" customHeight="1">
      <c r="A3" s="243" t="str">
        <f>UPPER("GÓI THẦU XL03 :Thi Công Xây Dựng Đoạn Tuyến Km114+200 - Km126+223 Bao Gồm Tuyến Nối Nút Giao IC12  Với QL1 (bao gồm khảo sát, thiết kế BVTC)")</f>
        <v>GÓI THẦU XL03 :THI CÔNG XÂY DỰNG ĐOẠN TUYẾN KM114+200 - KM126+223 BAO GỒM TUYẾN NỐI NÚT GIAO IC12  VỚI QL1 (BAO GỒM KHẢO SÁT, THIẾT KẾ BVTC)</v>
      </c>
      <c r="B3" s="244"/>
      <c r="C3" s="244"/>
      <c r="D3" s="244"/>
      <c r="E3" s="244"/>
      <c r="F3" s="244"/>
      <c r="G3" s="244"/>
      <c r="H3" s="244"/>
      <c r="I3" s="244"/>
      <c r="J3" s="244"/>
      <c r="K3" s="244"/>
      <c r="L3" s="244"/>
      <c r="M3" s="244"/>
      <c r="N3" s="244"/>
      <c r="O3" s="245"/>
      <c r="P3" s="158"/>
      <c r="Q3" s="158"/>
      <c r="R3" s="158"/>
      <c r="S3" s="158"/>
      <c r="T3" s="158"/>
      <c r="U3" s="158"/>
      <c r="V3" s="158"/>
      <c r="W3" s="158"/>
      <c r="X3" s="158"/>
      <c r="Y3" s="158"/>
      <c r="Z3" s="158"/>
      <c r="AA3" s="157"/>
    </row>
    <row r="4" spans="1:27" ht="14.25" customHeight="1">
      <c r="A4" s="207" t="s">
        <v>39</v>
      </c>
      <c r="B4" s="208"/>
      <c r="C4" s="208"/>
      <c r="D4" s="208"/>
      <c r="E4" s="209"/>
      <c r="F4" s="220" t="s">
        <v>38</v>
      </c>
      <c r="G4" s="220"/>
      <c r="H4" s="220"/>
      <c r="I4" s="220"/>
      <c r="J4" s="221"/>
      <c r="K4" s="219" t="s">
        <v>37</v>
      </c>
      <c r="L4" s="220"/>
      <c r="M4" s="220"/>
      <c r="N4" s="220"/>
      <c r="O4" s="221"/>
      <c r="Q4" s="142"/>
    </row>
    <row r="5" spans="1:27" ht="57" customHeight="1">
      <c r="A5" s="187" t="s">
        <v>36</v>
      </c>
      <c r="B5" s="188"/>
      <c r="C5" s="188"/>
      <c r="D5" s="188"/>
      <c r="E5" s="189"/>
      <c r="F5" s="224" t="str">
        <f>UPPER("Liên danh Phân viện KHCN GTVT phía Nam - Công ty Cổ phần Tư vấn kỹ thuật và xây dựng Hồng Hà")</f>
        <v>LIÊN DANH PHÂN VIỆN KHCN GTVT PHÍA NAM - CÔNG TY CỔ PHẦN TƯ VẤN KỸ THUẬT VÀ XÂY DỰNG HỒNG HÀ</v>
      </c>
      <c r="G5" s="224"/>
      <c r="H5" s="224"/>
      <c r="I5" s="224"/>
      <c r="J5" s="225"/>
      <c r="K5" s="223" t="s">
        <v>35</v>
      </c>
      <c r="L5" s="224"/>
      <c r="M5" s="224"/>
      <c r="N5" s="224"/>
      <c r="O5" s="225"/>
      <c r="Q5" s="142"/>
    </row>
    <row r="6" spans="1:27" ht="24.75" customHeight="1">
      <c r="A6" s="190" t="s">
        <v>34</v>
      </c>
      <c r="B6" s="191"/>
      <c r="C6" s="191"/>
      <c r="D6" s="191"/>
      <c r="E6" s="191"/>
      <c r="F6" s="191"/>
      <c r="G6" s="191"/>
      <c r="H6" s="191"/>
      <c r="I6" s="191"/>
      <c r="J6" s="191"/>
      <c r="K6" s="191"/>
      <c r="L6" s="191"/>
      <c r="M6" s="191"/>
      <c r="N6" s="191"/>
      <c r="O6" s="192"/>
      <c r="P6" s="147"/>
    </row>
    <row r="7" spans="1:27" ht="15.75">
      <c r="A7" s="49" t="s">
        <v>33</v>
      </c>
      <c r="B7" s="47">
        <f>'[4]BC.95+020'!C7</f>
        <v>0</v>
      </c>
      <c r="C7" s="47"/>
      <c r="D7" s="47"/>
      <c r="E7" s="47"/>
      <c r="F7" s="47"/>
      <c r="G7" s="47"/>
      <c r="H7" s="47"/>
      <c r="I7" s="47"/>
      <c r="J7" s="48"/>
      <c r="K7" s="48" t="s">
        <v>32</v>
      </c>
      <c r="L7" s="48"/>
      <c r="M7" s="48">
        <f>'[4]BC.95+020'!N7</f>
        <v>0</v>
      </c>
      <c r="N7" s="48"/>
      <c r="O7" s="156"/>
      <c r="P7" s="145"/>
      <c r="S7" s="146"/>
    </row>
    <row r="8" spans="1:27" ht="15.75">
      <c r="A8" s="43" t="s">
        <v>31</v>
      </c>
      <c r="B8" s="41" t="str">
        <f>'[4]BC.95+020'!C8</f>
        <v>năng</v>
      </c>
      <c r="C8" s="41"/>
      <c r="D8" s="41"/>
      <c r="E8" s="41"/>
      <c r="F8" s="41"/>
      <c r="G8" s="41"/>
      <c r="H8" s="41"/>
      <c r="I8" s="41"/>
      <c r="J8" s="42"/>
      <c r="K8" s="42" t="s">
        <v>29</v>
      </c>
      <c r="L8" s="42"/>
      <c r="M8" s="44">
        <f>'114+840'!M9</f>
        <v>842</v>
      </c>
      <c r="N8" s="42"/>
      <c r="O8" s="155"/>
      <c r="P8" s="145"/>
      <c r="S8" s="146"/>
    </row>
    <row r="9" spans="1:27" ht="15.75">
      <c r="A9" s="125" t="s">
        <v>28</v>
      </c>
      <c r="B9" s="123" t="str">
        <f>'114+840'!C10</f>
        <v>Km114+840</v>
      </c>
      <c r="C9" s="123"/>
      <c r="D9" s="123"/>
      <c r="E9" s="123"/>
      <c r="F9" s="123"/>
      <c r="G9" s="123"/>
      <c r="H9" s="123"/>
      <c r="I9" s="123"/>
      <c r="J9" s="124"/>
      <c r="K9" s="124" t="s">
        <v>26</v>
      </c>
      <c r="L9" s="124"/>
      <c r="M9" s="246">
        <f>'114+840'!M10</f>
        <v>45270</v>
      </c>
      <c r="N9" s="247"/>
      <c r="O9" s="154"/>
      <c r="P9" s="145"/>
      <c r="Q9" s="144"/>
      <c r="R9" s="143"/>
      <c r="S9" s="142"/>
      <c r="T9" s="142"/>
    </row>
    <row r="10" spans="1:27" ht="14.25" customHeight="1">
      <c r="A10" s="153"/>
      <c r="B10" s="151"/>
      <c r="C10" s="151"/>
      <c r="D10" s="151"/>
      <c r="E10" s="151"/>
      <c r="F10" s="151"/>
      <c r="G10" s="151"/>
      <c r="H10" s="151"/>
      <c r="I10" s="151"/>
      <c r="J10" s="152"/>
      <c r="K10" s="152"/>
      <c r="L10" s="152"/>
      <c r="M10" s="152"/>
      <c r="N10" s="152"/>
      <c r="O10" s="151"/>
      <c r="P10" s="150"/>
      <c r="Q10" s="150"/>
      <c r="R10" s="150"/>
      <c r="S10" s="150"/>
      <c r="T10" s="150"/>
      <c r="U10" s="149"/>
      <c r="V10" s="149"/>
      <c r="W10" s="149"/>
      <c r="X10" s="149"/>
      <c r="Y10" s="149"/>
      <c r="Z10" s="52"/>
      <c r="AA10" s="52"/>
    </row>
    <row r="11" spans="1:27" ht="26.45" customHeight="1">
      <c r="A11" s="254" t="s">
        <v>72</v>
      </c>
      <c r="B11" s="254"/>
      <c r="C11" s="254"/>
      <c r="D11" s="254"/>
      <c r="E11" s="254"/>
      <c r="F11" s="254"/>
      <c r="G11" s="254"/>
      <c r="H11" s="254"/>
      <c r="I11" s="254"/>
      <c r="J11" s="254"/>
      <c r="K11" s="254"/>
      <c r="L11" s="254"/>
      <c r="M11" s="254"/>
      <c r="N11" s="254"/>
      <c r="O11" s="254"/>
      <c r="Q11" s="142"/>
    </row>
    <row r="12" spans="1:27" ht="28.9" customHeight="1">
      <c r="A12" s="249" t="s">
        <v>71</v>
      </c>
      <c r="B12" s="241" t="s">
        <v>70</v>
      </c>
      <c r="C12" s="250" t="s">
        <v>69</v>
      </c>
      <c r="D12" s="251" t="s">
        <v>53</v>
      </c>
      <c r="E12" s="253" t="s">
        <v>68</v>
      </c>
      <c r="F12" s="240" t="s">
        <v>9</v>
      </c>
      <c r="G12" s="240"/>
      <c r="H12" s="240" t="s">
        <v>67</v>
      </c>
      <c r="I12" s="240"/>
      <c r="J12" s="240" t="s">
        <v>7</v>
      </c>
      <c r="K12" s="240"/>
      <c r="L12" s="241" t="s">
        <v>66</v>
      </c>
      <c r="M12" s="241" t="s">
        <v>65</v>
      </c>
      <c r="N12" s="241" t="s">
        <v>64</v>
      </c>
      <c r="O12" s="248" t="s">
        <v>63</v>
      </c>
      <c r="Q12" s="142"/>
    </row>
    <row r="13" spans="1:27" ht="72.599999999999994" customHeight="1">
      <c r="A13" s="249"/>
      <c r="B13" s="241"/>
      <c r="C13" s="250"/>
      <c r="D13" s="252"/>
      <c r="E13" s="253"/>
      <c r="F13" s="148" t="s">
        <v>62</v>
      </c>
      <c r="G13" s="148" t="s">
        <v>61</v>
      </c>
      <c r="H13" s="148" t="s">
        <v>62</v>
      </c>
      <c r="I13" s="148" t="s">
        <v>61</v>
      </c>
      <c r="J13" s="148" t="s">
        <v>62</v>
      </c>
      <c r="K13" s="148" t="s">
        <v>61</v>
      </c>
      <c r="L13" s="241"/>
      <c r="M13" s="241"/>
      <c r="N13" s="241"/>
      <c r="O13" s="248"/>
      <c r="P13" s="147"/>
    </row>
    <row r="14" spans="1:27">
      <c r="A14" s="76">
        <f>'BC.114+840'!B13</f>
        <v>45270</v>
      </c>
      <c r="B14" s="137">
        <v>0</v>
      </c>
      <c r="C14" s="139">
        <f>'BC.114+840'!M13/1000</f>
        <v>0.1</v>
      </c>
      <c r="D14" s="139">
        <f>'BC.114+840'!AA13</f>
        <v>0</v>
      </c>
      <c r="E14" s="140">
        <f>'BC.114+840'!AB13</f>
        <v>0</v>
      </c>
      <c r="F14" s="139">
        <f>VLOOKUP($A14,'BC.114+840'!$B$13:$X$470,8,0)/1000</f>
        <v>1.92</v>
      </c>
      <c r="G14" s="139">
        <f>VLOOKUP($A14,'BC.114+840'!$B$13:$X$470,9,0)/1000</f>
        <v>-0.08</v>
      </c>
      <c r="H14" s="139">
        <f>VLOOKUP($A14,'BC.114+840'!$B$13:$X$470,14,0)/1000</f>
        <v>2.1</v>
      </c>
      <c r="I14" s="139">
        <f>VLOOKUP($A14,'BC.114+840'!$B$13:$X$470,15,0)/1000</f>
        <v>0.1</v>
      </c>
      <c r="J14" s="139">
        <f>VLOOKUP($A14,'BC.114+840'!$B$13:$X$470,20,0)/1000</f>
        <v>1.61</v>
      </c>
      <c r="K14" s="139">
        <f>VLOOKUP($A14,'BC.114+840'!$B$13:$X$470,21,0)/1000</f>
        <v>-0.39</v>
      </c>
      <c r="L14" s="137">
        <f t="shared" ref="L14:L77" si="0">(G14-$G$14)*1000</f>
        <v>0</v>
      </c>
      <c r="M14" s="137">
        <f t="shared" ref="M14:M77" si="1">(I14-$I$14)*1000</f>
        <v>0</v>
      </c>
      <c r="N14" s="137">
        <v>0</v>
      </c>
      <c r="O14" s="137"/>
      <c r="P14" s="145"/>
      <c r="S14" s="146"/>
    </row>
    <row r="15" spans="1:27">
      <c r="A15" s="76">
        <f>'BC.114+840'!B14</f>
        <v>45271</v>
      </c>
      <c r="B15" s="137">
        <v>1</v>
      </c>
      <c r="C15" s="139">
        <f>'BC.114+840'!M14/1000</f>
        <v>0.1</v>
      </c>
      <c r="D15" s="139">
        <f>'BC.114+840'!AA14</f>
        <v>0</v>
      </c>
      <c r="E15" s="140">
        <f>'BC.114+840'!AB14</f>
        <v>0</v>
      </c>
      <c r="F15" s="139">
        <f>VLOOKUP($A15,'BC.114+840'!$B$13:$X$470,8,0)/1000</f>
        <v>1.92</v>
      </c>
      <c r="G15" s="139">
        <f>VLOOKUP($A15,'BC.114+840'!$B$13:$X$470,9,0)/1000</f>
        <v>-0.08</v>
      </c>
      <c r="H15" s="139">
        <f>VLOOKUP($A15,'BC.114+840'!$B$13:$X$470,14,0)/1000</f>
        <v>2.1</v>
      </c>
      <c r="I15" s="139">
        <f>VLOOKUP($A15,'BC.114+840'!$B$13:$X$470,15,0)/1000</f>
        <v>0.1</v>
      </c>
      <c r="J15" s="139">
        <f>VLOOKUP($A15,'BC.114+840'!$B$13:$X$470,20,0)/1000</f>
        <v>1.61</v>
      </c>
      <c r="K15" s="139">
        <f>VLOOKUP($A15,'BC.114+840'!$B$13:$X$470,21,0)/1000</f>
        <v>-0.39</v>
      </c>
      <c r="L15" s="137">
        <f t="shared" si="0"/>
        <v>0</v>
      </c>
      <c r="M15" s="138">
        <f t="shared" si="1"/>
        <v>0</v>
      </c>
      <c r="N15" s="137">
        <f t="shared" ref="N15:N78" si="2">(K15-$K$14)*1000</f>
        <v>0</v>
      </c>
      <c r="O15" s="137"/>
      <c r="P15" s="145"/>
      <c r="S15" s="146"/>
    </row>
    <row r="16" spans="1:27">
      <c r="A16" s="76">
        <f>'BC.114+840'!B15</f>
        <v>45272</v>
      </c>
      <c r="B16" s="137">
        <v>2</v>
      </c>
      <c r="C16" s="139">
        <f>'BC.114+840'!M15/1000</f>
        <v>0.1</v>
      </c>
      <c r="D16" s="139">
        <f>'BC.114+840'!AA15</f>
        <v>0</v>
      </c>
      <c r="E16" s="140">
        <f>'BC.114+840'!AB15</f>
        <v>0</v>
      </c>
      <c r="F16" s="139">
        <f>VLOOKUP($A16,'BC.114+840'!$B$13:$X$470,8,0)/1000</f>
        <v>1.92</v>
      </c>
      <c r="G16" s="139">
        <f>VLOOKUP($A16,'BC.114+840'!$B$13:$X$470,9,0)/1000</f>
        <v>-0.08</v>
      </c>
      <c r="H16" s="139">
        <f>VLOOKUP($A16,'BC.114+840'!$B$13:$X$470,14,0)/1000</f>
        <v>2.1</v>
      </c>
      <c r="I16" s="139">
        <f>VLOOKUP($A16,'BC.114+840'!$B$13:$X$470,15,0)/1000</f>
        <v>0.1</v>
      </c>
      <c r="J16" s="139">
        <f>VLOOKUP($A16,'BC.114+840'!$B$13:$X$470,20,0)/1000</f>
        <v>1.61</v>
      </c>
      <c r="K16" s="139">
        <f>VLOOKUP($A16,'BC.114+840'!$B$13:$X$470,21,0)/1000</f>
        <v>-0.39</v>
      </c>
      <c r="L16" s="137">
        <f t="shared" si="0"/>
        <v>0</v>
      </c>
      <c r="M16" s="138">
        <f t="shared" si="1"/>
        <v>0</v>
      </c>
      <c r="N16" s="137">
        <f t="shared" si="2"/>
        <v>0</v>
      </c>
      <c r="O16" s="137"/>
      <c r="P16" s="145"/>
      <c r="Q16" s="144"/>
      <c r="R16" s="143"/>
      <c r="S16" s="142"/>
      <c r="T16" s="142"/>
    </row>
    <row r="17" spans="1:20">
      <c r="A17" s="76">
        <f>'BC.114+840'!B16</f>
        <v>45273</v>
      </c>
      <c r="B17" s="137">
        <v>3</v>
      </c>
      <c r="C17" s="139">
        <f>'BC.114+840'!M16/1000</f>
        <v>0.1</v>
      </c>
      <c r="D17" s="139">
        <f>'BC.114+840'!AA16</f>
        <v>0</v>
      </c>
      <c r="E17" s="140">
        <f>'BC.114+840'!AB16</f>
        <v>0</v>
      </c>
      <c r="F17" s="139">
        <f>VLOOKUP($A17,'BC.114+840'!$B$13:$X$470,8,0)/1000</f>
        <v>1.92</v>
      </c>
      <c r="G17" s="139">
        <f>VLOOKUP($A17,'BC.114+840'!$B$13:$X$470,9,0)/1000</f>
        <v>-0.08</v>
      </c>
      <c r="H17" s="139">
        <f>VLOOKUP($A17,'BC.114+840'!$B$13:$X$470,14,0)/1000</f>
        <v>2.1</v>
      </c>
      <c r="I17" s="139">
        <f>VLOOKUP($A17,'BC.114+840'!$B$13:$X$470,15,0)/1000</f>
        <v>0.1</v>
      </c>
      <c r="J17" s="139">
        <f>VLOOKUP($A17,'BC.114+840'!$B$13:$X$470,20,0)/1000</f>
        <v>1.61</v>
      </c>
      <c r="K17" s="139">
        <f>VLOOKUP($A17,'BC.114+840'!$B$13:$X$470,21,0)/1000</f>
        <v>-0.39</v>
      </c>
      <c r="L17" s="137">
        <f t="shared" si="0"/>
        <v>0</v>
      </c>
      <c r="M17" s="138">
        <f t="shared" si="1"/>
        <v>0</v>
      </c>
      <c r="N17" s="137">
        <f t="shared" si="2"/>
        <v>0</v>
      </c>
      <c r="O17" s="137"/>
      <c r="P17" s="145"/>
      <c r="Q17" s="144"/>
      <c r="R17" s="143"/>
      <c r="S17" s="142"/>
      <c r="T17" s="142"/>
    </row>
    <row r="18" spans="1:20">
      <c r="A18" s="76">
        <f>'BC.114+840'!B17</f>
        <v>45274</v>
      </c>
      <c r="B18" s="137">
        <v>4</v>
      </c>
      <c r="C18" s="139">
        <f>'BC.114+840'!M17/1000</f>
        <v>0.1</v>
      </c>
      <c r="D18" s="139">
        <f>'BC.114+840'!AA17</f>
        <v>0</v>
      </c>
      <c r="E18" s="140">
        <f>'BC.114+840'!AB17</f>
        <v>0</v>
      </c>
      <c r="F18" s="139">
        <f>VLOOKUP($A18,'BC.114+840'!$B$13:$X$470,8,0)/1000</f>
        <v>1.92</v>
      </c>
      <c r="G18" s="139">
        <f>VLOOKUP($A18,'BC.114+840'!$B$13:$X$470,9,0)/1000</f>
        <v>-0.08</v>
      </c>
      <c r="H18" s="139">
        <f>VLOOKUP($A18,'BC.114+840'!$B$13:$X$470,14,0)/1000</f>
        <v>2.1</v>
      </c>
      <c r="I18" s="139">
        <f>VLOOKUP($A18,'BC.114+840'!$B$13:$X$470,15,0)/1000</f>
        <v>0.1</v>
      </c>
      <c r="J18" s="139">
        <f>VLOOKUP($A18,'BC.114+840'!$B$13:$X$470,20,0)/1000</f>
        <v>1.61</v>
      </c>
      <c r="K18" s="139">
        <f>VLOOKUP($A18,'BC.114+840'!$B$13:$X$470,21,0)/1000</f>
        <v>-0.39</v>
      </c>
      <c r="L18" s="137">
        <f t="shared" si="0"/>
        <v>0</v>
      </c>
      <c r="M18" s="138">
        <f t="shared" si="1"/>
        <v>0</v>
      </c>
      <c r="N18" s="137">
        <f t="shared" si="2"/>
        <v>0</v>
      </c>
      <c r="O18" s="137"/>
      <c r="P18" s="145"/>
      <c r="Q18" s="144"/>
      <c r="R18" s="143"/>
      <c r="S18" s="142"/>
      <c r="T18" s="142"/>
    </row>
    <row r="19" spans="1:20">
      <c r="A19" s="76">
        <f>'BC.114+840'!B18</f>
        <v>45275</v>
      </c>
      <c r="B19" s="137">
        <v>5</v>
      </c>
      <c r="C19" s="139">
        <f>'BC.114+840'!M18/1000</f>
        <v>0.1</v>
      </c>
      <c r="D19" s="139">
        <f>'BC.114+840'!AA18</f>
        <v>0</v>
      </c>
      <c r="E19" s="140">
        <f>'BC.114+840'!AB18</f>
        <v>0</v>
      </c>
      <c r="F19" s="139">
        <f>VLOOKUP($A19,'BC.114+840'!$B$13:$X$470,8,0)/1000</f>
        <v>1.92</v>
      </c>
      <c r="G19" s="139">
        <f>VLOOKUP($A19,'BC.114+840'!$B$13:$X$470,9,0)/1000</f>
        <v>-0.08</v>
      </c>
      <c r="H19" s="139">
        <f>VLOOKUP($A19,'BC.114+840'!$B$13:$X$470,14,0)/1000</f>
        <v>2.1</v>
      </c>
      <c r="I19" s="139">
        <f>VLOOKUP($A19,'BC.114+840'!$B$13:$X$470,15,0)/1000</f>
        <v>0.1</v>
      </c>
      <c r="J19" s="139">
        <f>VLOOKUP($A19,'BC.114+840'!$B$13:$X$470,20,0)/1000</f>
        <v>1.61</v>
      </c>
      <c r="K19" s="139">
        <f>VLOOKUP($A19,'BC.114+840'!$B$13:$X$470,21,0)/1000</f>
        <v>-0.39</v>
      </c>
      <c r="L19" s="137">
        <f t="shared" si="0"/>
        <v>0</v>
      </c>
      <c r="M19" s="138">
        <f t="shared" si="1"/>
        <v>0</v>
      </c>
      <c r="N19" s="137">
        <f t="shared" si="2"/>
        <v>0</v>
      </c>
      <c r="O19" s="137"/>
      <c r="P19" s="145"/>
      <c r="Q19" s="144"/>
      <c r="R19" s="143"/>
      <c r="S19" s="142"/>
      <c r="T19" s="142"/>
    </row>
    <row r="20" spans="1:20">
      <c r="A20" s="76">
        <f>'BC.114+840'!B19</f>
        <v>45276</v>
      </c>
      <c r="B20" s="137">
        <v>6</v>
      </c>
      <c r="C20" s="139">
        <f>'BC.114+840'!M19/1000</f>
        <v>0.1</v>
      </c>
      <c r="D20" s="139">
        <f>'BC.114+840'!AA19</f>
        <v>0</v>
      </c>
      <c r="E20" s="140">
        <f>'BC.114+840'!AB19</f>
        <v>0</v>
      </c>
      <c r="F20" s="139">
        <f>VLOOKUP($A20,'BC.114+840'!$B$13:$X$470,8,0)/1000</f>
        <v>1.92</v>
      </c>
      <c r="G20" s="139">
        <f>VLOOKUP($A20,'BC.114+840'!$B$13:$X$470,9,0)/1000</f>
        <v>-0.08</v>
      </c>
      <c r="H20" s="139">
        <f>VLOOKUP($A20,'BC.114+840'!$B$13:$X$470,14,0)/1000</f>
        <v>2.1</v>
      </c>
      <c r="I20" s="139">
        <f>VLOOKUP($A20,'BC.114+840'!$B$13:$X$470,15,0)/1000</f>
        <v>0.1</v>
      </c>
      <c r="J20" s="139">
        <f>VLOOKUP($A20,'BC.114+840'!$B$13:$X$470,20,0)/1000</f>
        <v>1.61</v>
      </c>
      <c r="K20" s="139">
        <f>VLOOKUP($A20,'BC.114+840'!$B$13:$X$470,21,0)/1000</f>
        <v>-0.39</v>
      </c>
      <c r="L20" s="137">
        <f t="shared" si="0"/>
        <v>0</v>
      </c>
      <c r="M20" s="138">
        <f t="shared" si="1"/>
        <v>0</v>
      </c>
      <c r="N20" s="137">
        <f t="shared" si="2"/>
        <v>0</v>
      </c>
      <c r="O20" s="137"/>
      <c r="P20" s="145"/>
      <c r="Q20" s="144"/>
      <c r="R20" s="143"/>
      <c r="S20" s="142"/>
      <c r="T20" s="142"/>
    </row>
    <row r="21" spans="1:20">
      <c r="A21" s="76">
        <f>'BC.114+840'!B20</f>
        <v>45277</v>
      </c>
      <c r="B21" s="137">
        <v>7</v>
      </c>
      <c r="C21" s="139">
        <f>'BC.114+840'!M20/1000</f>
        <v>0.1</v>
      </c>
      <c r="D21" s="139">
        <f>'BC.114+840'!AA20</f>
        <v>0</v>
      </c>
      <c r="E21" s="140">
        <f>'BC.114+840'!AB20</f>
        <v>0</v>
      </c>
      <c r="F21" s="139">
        <f>VLOOKUP($A21,'BC.114+840'!$B$13:$X$470,8,0)/1000</f>
        <v>1.92</v>
      </c>
      <c r="G21" s="139">
        <f>VLOOKUP($A21,'BC.114+840'!$B$13:$X$470,9,0)/1000</f>
        <v>-0.08</v>
      </c>
      <c r="H21" s="139">
        <f>VLOOKUP($A21,'BC.114+840'!$B$13:$X$470,14,0)/1000</f>
        <v>2.1</v>
      </c>
      <c r="I21" s="139">
        <f>VLOOKUP($A21,'BC.114+840'!$B$13:$X$470,15,0)/1000</f>
        <v>0.1</v>
      </c>
      <c r="J21" s="139">
        <f>VLOOKUP($A21,'BC.114+840'!$B$13:$X$470,20,0)/1000</f>
        <v>1.61</v>
      </c>
      <c r="K21" s="139">
        <f>VLOOKUP($A21,'BC.114+840'!$B$13:$X$470,21,0)/1000</f>
        <v>-0.39</v>
      </c>
      <c r="L21" s="137">
        <f t="shared" si="0"/>
        <v>0</v>
      </c>
      <c r="M21" s="138">
        <f t="shared" si="1"/>
        <v>0</v>
      </c>
      <c r="N21" s="137">
        <f t="shared" si="2"/>
        <v>0</v>
      </c>
      <c r="O21" s="137"/>
      <c r="P21" s="145"/>
      <c r="Q21" s="144"/>
      <c r="R21" s="143"/>
      <c r="S21" s="142"/>
      <c r="T21" s="142"/>
    </row>
    <row r="22" spans="1:20">
      <c r="A22" s="76">
        <f>'BC.114+840'!B21</f>
        <v>45278</v>
      </c>
      <c r="B22" s="137">
        <v>8</v>
      </c>
      <c r="C22" s="139">
        <f>'BC.114+840'!M21/1000</f>
        <v>0.1</v>
      </c>
      <c r="D22" s="139">
        <f>'BC.114+840'!AA21</f>
        <v>0</v>
      </c>
      <c r="E22" s="140">
        <f>'BC.114+840'!AB21</f>
        <v>0</v>
      </c>
      <c r="F22" s="139">
        <f>VLOOKUP($A22,'BC.114+840'!$B$13:$X$470,8,0)/1000</f>
        <v>1.92</v>
      </c>
      <c r="G22" s="139">
        <f>VLOOKUP($A22,'BC.114+840'!$B$13:$X$470,9,0)/1000</f>
        <v>-0.08</v>
      </c>
      <c r="H22" s="139">
        <f>VLOOKUP($A22,'BC.114+840'!$B$13:$X$470,14,0)/1000</f>
        <v>2.1</v>
      </c>
      <c r="I22" s="139">
        <f>VLOOKUP($A22,'BC.114+840'!$B$13:$X$470,15,0)/1000</f>
        <v>0.1</v>
      </c>
      <c r="J22" s="139">
        <f>VLOOKUP($A22,'BC.114+840'!$B$13:$X$470,20,0)/1000</f>
        <v>1.61</v>
      </c>
      <c r="K22" s="139">
        <f>VLOOKUP($A22,'BC.114+840'!$B$13:$X$470,21,0)/1000</f>
        <v>-0.39</v>
      </c>
      <c r="L22" s="137">
        <f t="shared" si="0"/>
        <v>0</v>
      </c>
      <c r="M22" s="138">
        <f t="shared" si="1"/>
        <v>0</v>
      </c>
      <c r="N22" s="137">
        <f t="shared" si="2"/>
        <v>0</v>
      </c>
      <c r="O22" s="137"/>
      <c r="P22" s="145"/>
      <c r="Q22" s="144"/>
      <c r="R22" s="143"/>
      <c r="S22" s="142"/>
      <c r="T22" s="142"/>
    </row>
    <row r="23" spans="1:20">
      <c r="A23" s="76">
        <f>'BC.114+840'!B22</f>
        <v>45279</v>
      </c>
      <c r="B23" s="137">
        <v>9</v>
      </c>
      <c r="C23" s="139">
        <f>'BC.114+840'!M22/1000</f>
        <v>0.1</v>
      </c>
      <c r="D23" s="139">
        <f>'BC.114+840'!AA22</f>
        <v>0</v>
      </c>
      <c r="E23" s="140">
        <f>'BC.114+840'!AB22</f>
        <v>0</v>
      </c>
      <c r="F23" s="139">
        <f>VLOOKUP($A23,'BC.114+840'!$B$13:$X$470,8,0)/1000</f>
        <v>1.92</v>
      </c>
      <c r="G23" s="139">
        <f>VLOOKUP($A23,'BC.114+840'!$B$13:$X$470,9,0)/1000</f>
        <v>-0.08</v>
      </c>
      <c r="H23" s="139">
        <f>VLOOKUP($A23,'BC.114+840'!$B$13:$X$470,14,0)/1000</f>
        <v>2.1</v>
      </c>
      <c r="I23" s="139">
        <f>VLOOKUP($A23,'BC.114+840'!$B$13:$X$470,15,0)/1000</f>
        <v>0.1</v>
      </c>
      <c r="J23" s="139">
        <f>VLOOKUP($A23,'BC.114+840'!$B$13:$X$470,20,0)/1000</f>
        <v>1.61</v>
      </c>
      <c r="K23" s="139">
        <f>VLOOKUP($A23,'BC.114+840'!$B$13:$X$470,21,0)/1000</f>
        <v>-0.39</v>
      </c>
      <c r="L23" s="137">
        <f t="shared" si="0"/>
        <v>0</v>
      </c>
      <c r="M23" s="138">
        <f t="shared" si="1"/>
        <v>0</v>
      </c>
      <c r="N23" s="137">
        <f t="shared" si="2"/>
        <v>0</v>
      </c>
      <c r="O23" s="137"/>
      <c r="P23" s="145"/>
      <c r="Q23" s="144"/>
      <c r="R23" s="143"/>
      <c r="S23" s="142"/>
      <c r="T23" s="142"/>
    </row>
    <row r="24" spans="1:20">
      <c r="A24" s="76">
        <f>'BC.114+840'!B23</f>
        <v>45280</v>
      </c>
      <c r="B24" s="137">
        <v>10</v>
      </c>
      <c r="C24" s="139">
        <f>'BC.114+840'!M23/1000</f>
        <v>0.1</v>
      </c>
      <c r="D24" s="139">
        <f>'BC.114+840'!AA23</f>
        <v>0</v>
      </c>
      <c r="E24" s="140">
        <f>'BC.114+840'!AB23</f>
        <v>0</v>
      </c>
      <c r="F24" s="139">
        <f>VLOOKUP($A24,'BC.114+840'!$B$13:$X$470,8,0)/1000</f>
        <v>1.92</v>
      </c>
      <c r="G24" s="139">
        <f>VLOOKUP($A24,'BC.114+840'!$B$13:$X$470,9,0)/1000</f>
        <v>-0.08</v>
      </c>
      <c r="H24" s="139">
        <f>VLOOKUP($A24,'BC.114+840'!$B$13:$X$470,14,0)/1000</f>
        <v>2.1</v>
      </c>
      <c r="I24" s="139">
        <f>VLOOKUP($A24,'BC.114+840'!$B$13:$X$470,15,0)/1000</f>
        <v>0.1</v>
      </c>
      <c r="J24" s="139">
        <f>VLOOKUP($A24,'BC.114+840'!$B$13:$X$470,20,0)/1000</f>
        <v>1.61</v>
      </c>
      <c r="K24" s="139">
        <f>VLOOKUP($A24,'BC.114+840'!$B$13:$X$470,21,0)/1000</f>
        <v>-0.39</v>
      </c>
      <c r="L24" s="137">
        <f t="shared" si="0"/>
        <v>0</v>
      </c>
      <c r="M24" s="138">
        <f t="shared" si="1"/>
        <v>0</v>
      </c>
      <c r="N24" s="137">
        <f t="shared" si="2"/>
        <v>0</v>
      </c>
      <c r="O24" s="137"/>
      <c r="P24" s="145"/>
      <c r="Q24" s="144"/>
      <c r="R24" s="143"/>
      <c r="S24" s="142"/>
      <c r="T24" s="142"/>
    </row>
    <row r="25" spans="1:20">
      <c r="A25" s="76">
        <f>'BC.114+840'!B24</f>
        <v>45281</v>
      </c>
      <c r="B25" s="137">
        <v>11</v>
      </c>
      <c r="C25" s="139">
        <f>'BC.114+840'!M24/1000</f>
        <v>0.1</v>
      </c>
      <c r="D25" s="139">
        <f>'BC.114+840'!AA24</f>
        <v>0</v>
      </c>
      <c r="E25" s="140">
        <f>'BC.114+840'!AB24</f>
        <v>0</v>
      </c>
      <c r="F25" s="139">
        <f>VLOOKUP($A25,'BC.114+840'!$B$13:$X$470,8,0)/1000</f>
        <v>1.92</v>
      </c>
      <c r="G25" s="139">
        <f>VLOOKUP($A25,'BC.114+840'!$B$13:$X$470,9,0)/1000</f>
        <v>-0.08</v>
      </c>
      <c r="H25" s="139">
        <f>VLOOKUP($A25,'BC.114+840'!$B$13:$X$470,14,0)/1000</f>
        <v>2.1</v>
      </c>
      <c r="I25" s="139">
        <f>VLOOKUP($A25,'BC.114+840'!$B$13:$X$470,15,0)/1000</f>
        <v>0.1</v>
      </c>
      <c r="J25" s="139">
        <f>VLOOKUP($A25,'BC.114+840'!$B$13:$X$470,20,0)/1000</f>
        <v>1.61</v>
      </c>
      <c r="K25" s="139">
        <f>VLOOKUP($A25,'BC.114+840'!$B$13:$X$470,21,0)/1000</f>
        <v>-0.39</v>
      </c>
      <c r="L25" s="137">
        <f t="shared" si="0"/>
        <v>0</v>
      </c>
      <c r="M25" s="138">
        <f t="shared" si="1"/>
        <v>0</v>
      </c>
      <c r="N25" s="137">
        <f t="shared" si="2"/>
        <v>0</v>
      </c>
      <c r="O25" s="137"/>
      <c r="P25" s="145"/>
      <c r="Q25" s="144"/>
      <c r="R25" s="143"/>
      <c r="S25" s="142"/>
      <c r="T25" s="142"/>
    </row>
    <row r="26" spans="1:20">
      <c r="A26" s="76">
        <f>'BC.114+840'!B25</f>
        <v>45282</v>
      </c>
      <c r="B26" s="137">
        <v>12</v>
      </c>
      <c r="C26" s="139">
        <f>'BC.114+840'!M25/1000</f>
        <v>0.1</v>
      </c>
      <c r="D26" s="139">
        <f>'BC.114+840'!AA25</f>
        <v>0</v>
      </c>
      <c r="E26" s="140">
        <f>'BC.114+840'!AB25</f>
        <v>0</v>
      </c>
      <c r="F26" s="139">
        <f>VLOOKUP($A26,'BC.114+840'!$B$13:$X$470,8,0)/1000</f>
        <v>1.92</v>
      </c>
      <c r="G26" s="139">
        <f>VLOOKUP($A26,'BC.114+840'!$B$13:$X$470,9,0)/1000</f>
        <v>-0.08</v>
      </c>
      <c r="H26" s="139">
        <f>VLOOKUP($A26,'BC.114+840'!$B$13:$X$470,14,0)/1000</f>
        <v>2.1</v>
      </c>
      <c r="I26" s="139">
        <f>VLOOKUP($A26,'BC.114+840'!$B$13:$X$470,15,0)/1000</f>
        <v>0.1</v>
      </c>
      <c r="J26" s="139">
        <f>VLOOKUP($A26,'BC.114+840'!$B$13:$X$470,20,0)/1000</f>
        <v>1.61</v>
      </c>
      <c r="K26" s="139">
        <f>VLOOKUP($A26,'BC.114+840'!$B$13:$X$470,21,0)/1000</f>
        <v>-0.39</v>
      </c>
      <c r="L26" s="137">
        <f t="shared" si="0"/>
        <v>0</v>
      </c>
      <c r="M26" s="138">
        <f t="shared" si="1"/>
        <v>0</v>
      </c>
      <c r="N26" s="137">
        <f t="shared" si="2"/>
        <v>0</v>
      </c>
      <c r="O26" s="137"/>
      <c r="P26" s="145"/>
      <c r="Q26" s="144"/>
      <c r="R26" s="143"/>
      <c r="S26" s="142"/>
      <c r="T26" s="142"/>
    </row>
    <row r="27" spans="1:20">
      <c r="A27" s="76">
        <f>'BC.114+840'!B26</f>
        <v>45283</v>
      </c>
      <c r="B27" s="137">
        <v>13</v>
      </c>
      <c r="C27" s="139">
        <f>'BC.114+840'!M26/1000</f>
        <v>0.1</v>
      </c>
      <c r="D27" s="139">
        <f>'BC.114+840'!AA26</f>
        <v>0</v>
      </c>
      <c r="E27" s="140">
        <f>'BC.114+840'!AB26</f>
        <v>0</v>
      </c>
      <c r="F27" s="139">
        <f>VLOOKUP($A27,'BC.114+840'!$B$13:$X$470,8,0)/1000</f>
        <v>1.92</v>
      </c>
      <c r="G27" s="139">
        <f>VLOOKUP($A27,'BC.114+840'!$B$13:$X$470,9,0)/1000</f>
        <v>-0.08</v>
      </c>
      <c r="H27" s="139">
        <f>VLOOKUP($A27,'BC.114+840'!$B$13:$X$470,14,0)/1000</f>
        <v>2.1</v>
      </c>
      <c r="I27" s="139">
        <f>VLOOKUP($A27,'BC.114+840'!$B$13:$X$470,15,0)/1000</f>
        <v>0.1</v>
      </c>
      <c r="J27" s="139">
        <f>VLOOKUP($A27,'BC.114+840'!$B$13:$X$470,20,0)/1000</f>
        <v>1.61</v>
      </c>
      <c r="K27" s="139">
        <f>VLOOKUP($A27,'BC.114+840'!$B$13:$X$470,21,0)/1000</f>
        <v>-0.39</v>
      </c>
      <c r="L27" s="137">
        <f t="shared" si="0"/>
        <v>0</v>
      </c>
      <c r="M27" s="138">
        <f t="shared" si="1"/>
        <v>0</v>
      </c>
      <c r="N27" s="137">
        <f t="shared" si="2"/>
        <v>0</v>
      </c>
      <c r="O27" s="137"/>
      <c r="P27" s="145"/>
      <c r="Q27" s="144"/>
      <c r="R27" s="143"/>
      <c r="S27" s="142"/>
      <c r="T27" s="142"/>
    </row>
    <row r="28" spans="1:20">
      <c r="A28" s="76">
        <f>'BC.114+840'!B27</f>
        <v>45284</v>
      </c>
      <c r="B28" s="137">
        <v>14</v>
      </c>
      <c r="C28" s="139">
        <f>'BC.114+840'!M27/1000</f>
        <v>0.1</v>
      </c>
      <c r="D28" s="139">
        <f>'BC.114+840'!AA27</f>
        <v>0</v>
      </c>
      <c r="E28" s="140">
        <f>'BC.114+840'!AB27</f>
        <v>0</v>
      </c>
      <c r="F28" s="139">
        <f>VLOOKUP($A28,'BC.114+840'!$B$13:$X$470,8,0)/1000</f>
        <v>1.92</v>
      </c>
      <c r="G28" s="139">
        <f>VLOOKUP($A28,'BC.114+840'!$B$13:$X$470,9,0)/1000</f>
        <v>-0.08</v>
      </c>
      <c r="H28" s="139">
        <f>VLOOKUP($A28,'BC.114+840'!$B$13:$X$470,14,0)/1000</f>
        <v>2.1</v>
      </c>
      <c r="I28" s="139">
        <f>VLOOKUP($A28,'BC.114+840'!$B$13:$X$470,15,0)/1000</f>
        <v>0.1</v>
      </c>
      <c r="J28" s="139">
        <f>VLOOKUP($A28,'BC.114+840'!$B$13:$X$470,20,0)/1000</f>
        <v>1.61</v>
      </c>
      <c r="K28" s="139">
        <f>VLOOKUP($A28,'BC.114+840'!$B$13:$X$470,21,0)/1000</f>
        <v>-0.39</v>
      </c>
      <c r="L28" s="137">
        <f t="shared" si="0"/>
        <v>0</v>
      </c>
      <c r="M28" s="138">
        <f t="shared" si="1"/>
        <v>0</v>
      </c>
      <c r="N28" s="137">
        <f t="shared" si="2"/>
        <v>0</v>
      </c>
      <c r="O28" s="137"/>
      <c r="P28" s="145"/>
      <c r="Q28" s="144"/>
      <c r="R28" s="143"/>
      <c r="S28" s="142"/>
      <c r="T28" s="142"/>
    </row>
    <row r="29" spans="1:20">
      <c r="A29" s="76">
        <f>'BC.114+840'!B28</f>
        <v>45285</v>
      </c>
      <c r="B29" s="137">
        <v>15</v>
      </c>
      <c r="C29" s="139">
        <f>'BC.114+840'!M28/1000</f>
        <v>0.1</v>
      </c>
      <c r="D29" s="139">
        <f>'BC.114+840'!AA28</f>
        <v>0</v>
      </c>
      <c r="E29" s="140">
        <f>'BC.114+840'!AB28</f>
        <v>0</v>
      </c>
      <c r="F29" s="139">
        <f>VLOOKUP($A29,'BC.114+840'!$B$13:$X$470,8,0)/1000</f>
        <v>1.92</v>
      </c>
      <c r="G29" s="139">
        <f>VLOOKUP($A29,'BC.114+840'!$B$13:$X$470,9,0)/1000</f>
        <v>-0.08</v>
      </c>
      <c r="H29" s="139">
        <f>VLOOKUP($A29,'BC.114+840'!$B$13:$X$470,14,0)/1000</f>
        <v>2.1</v>
      </c>
      <c r="I29" s="139">
        <f>VLOOKUP($A29,'BC.114+840'!$B$13:$X$470,15,0)/1000</f>
        <v>0.1</v>
      </c>
      <c r="J29" s="139">
        <f>VLOOKUP($A29,'BC.114+840'!$B$13:$X$470,20,0)/1000</f>
        <v>1.61</v>
      </c>
      <c r="K29" s="139">
        <f>VLOOKUP($A29,'BC.114+840'!$B$13:$X$470,21,0)/1000</f>
        <v>-0.39</v>
      </c>
      <c r="L29" s="137">
        <f t="shared" si="0"/>
        <v>0</v>
      </c>
      <c r="M29" s="138">
        <f t="shared" si="1"/>
        <v>0</v>
      </c>
      <c r="N29" s="137">
        <f t="shared" si="2"/>
        <v>0</v>
      </c>
      <c r="O29" s="137"/>
      <c r="P29" s="145"/>
      <c r="Q29" s="144"/>
      <c r="R29" s="143"/>
      <c r="S29" s="142"/>
      <c r="T29" s="142"/>
    </row>
    <row r="30" spans="1:20">
      <c r="A30" s="76">
        <f>'BC.114+840'!B29</f>
        <v>45286</v>
      </c>
      <c r="B30" s="137">
        <v>16</v>
      </c>
      <c r="C30" s="139">
        <f>'BC.114+840'!M29/1000</f>
        <v>0.1</v>
      </c>
      <c r="D30" s="139">
        <f>'BC.114+840'!AA29</f>
        <v>0</v>
      </c>
      <c r="E30" s="140">
        <f>'BC.114+840'!AB29</f>
        <v>0</v>
      </c>
      <c r="F30" s="139">
        <f>VLOOKUP($A30,'BC.114+840'!$B$13:$X$470,8,0)/1000</f>
        <v>1.92</v>
      </c>
      <c r="G30" s="139">
        <f>VLOOKUP($A30,'BC.114+840'!$B$13:$X$470,9,0)/1000</f>
        <v>-0.08</v>
      </c>
      <c r="H30" s="139">
        <f>VLOOKUP($A30,'BC.114+840'!$B$13:$X$470,14,0)/1000</f>
        <v>2.1</v>
      </c>
      <c r="I30" s="139">
        <f>VLOOKUP($A30,'BC.114+840'!$B$13:$X$470,15,0)/1000</f>
        <v>0.1</v>
      </c>
      <c r="J30" s="139">
        <f>VLOOKUP($A30,'BC.114+840'!$B$13:$X$470,20,0)/1000</f>
        <v>1.61</v>
      </c>
      <c r="K30" s="139">
        <f>VLOOKUP($A30,'BC.114+840'!$B$13:$X$470,21,0)/1000</f>
        <v>-0.39</v>
      </c>
      <c r="L30" s="137">
        <f t="shared" si="0"/>
        <v>0</v>
      </c>
      <c r="M30" s="138">
        <f t="shared" si="1"/>
        <v>0</v>
      </c>
      <c r="N30" s="137">
        <f t="shared" si="2"/>
        <v>0</v>
      </c>
      <c r="O30" s="137"/>
      <c r="P30" s="145"/>
      <c r="Q30" s="144"/>
      <c r="R30" s="143"/>
      <c r="S30" s="142"/>
      <c r="T30" s="142"/>
    </row>
    <row r="31" spans="1:20">
      <c r="A31" s="76">
        <f>'BC.114+840'!B30</f>
        <v>45287</v>
      </c>
      <c r="B31" s="137">
        <v>17</v>
      </c>
      <c r="C31" s="139">
        <f>'BC.114+840'!M30/1000</f>
        <v>0.1</v>
      </c>
      <c r="D31" s="139">
        <f>'BC.114+840'!AA30</f>
        <v>0.28199999999999997</v>
      </c>
      <c r="E31" s="140">
        <f>'BC.114+840'!AB30</f>
        <v>0</v>
      </c>
      <c r="F31" s="139">
        <f>VLOOKUP($A31,'BC.114+840'!$B$13:$X$470,8,0)/1000</f>
        <v>1.92</v>
      </c>
      <c r="G31" s="139">
        <f>VLOOKUP($A31,'BC.114+840'!$B$13:$X$470,9,0)/1000</f>
        <v>-0.08</v>
      </c>
      <c r="H31" s="139">
        <f>VLOOKUP($A31,'BC.114+840'!$B$13:$X$470,14,0)/1000</f>
        <v>2.1</v>
      </c>
      <c r="I31" s="139">
        <f>VLOOKUP($A31,'BC.114+840'!$B$13:$X$470,15,0)/1000</f>
        <v>0.1</v>
      </c>
      <c r="J31" s="139">
        <f>VLOOKUP($A31,'BC.114+840'!$B$13:$X$470,20,0)/1000</f>
        <v>1.6020000000000001</v>
      </c>
      <c r="K31" s="139">
        <f>VLOOKUP($A31,'BC.114+840'!$B$13:$X$470,21,0)/1000</f>
        <v>-0.39800000000000002</v>
      </c>
      <c r="L31" s="137">
        <f t="shared" si="0"/>
        <v>0</v>
      </c>
      <c r="M31" s="138">
        <f t="shared" si="1"/>
        <v>0</v>
      </c>
      <c r="N31" s="137">
        <f t="shared" si="2"/>
        <v>-8.0000000000000071</v>
      </c>
      <c r="O31" s="137"/>
      <c r="P31" s="145"/>
      <c r="Q31" s="144"/>
      <c r="R31" s="143"/>
      <c r="S31" s="142"/>
      <c r="T31" s="142"/>
    </row>
    <row r="32" spans="1:20">
      <c r="A32" s="76">
        <f>'BC.114+840'!B31</f>
        <v>45288</v>
      </c>
      <c r="B32" s="137">
        <v>18</v>
      </c>
      <c r="C32" s="139">
        <f>'BC.114+840'!M31/1000</f>
        <v>0.1</v>
      </c>
      <c r="D32" s="139">
        <f>'BC.114+840'!AA31</f>
        <v>0.28199999999999997</v>
      </c>
      <c r="E32" s="140">
        <f>'BC.114+840'!AB31</f>
        <v>0</v>
      </c>
      <c r="F32" s="139">
        <f>VLOOKUP($A32,'BC.114+840'!$B$13:$X$470,8,0)/1000</f>
        <v>1.92</v>
      </c>
      <c r="G32" s="139">
        <f>VLOOKUP($A32,'BC.114+840'!$B$13:$X$470,9,0)/1000</f>
        <v>-0.08</v>
      </c>
      <c r="H32" s="139">
        <f>VLOOKUP($A32,'BC.114+840'!$B$13:$X$470,14,0)/1000</f>
        <v>2.1</v>
      </c>
      <c r="I32" s="139">
        <f>VLOOKUP($A32,'BC.114+840'!$B$13:$X$470,15,0)/1000</f>
        <v>0.1</v>
      </c>
      <c r="J32" s="139">
        <f>VLOOKUP($A32,'BC.114+840'!$B$13:$X$470,20,0)/1000</f>
        <v>1.5960000000000001</v>
      </c>
      <c r="K32" s="139">
        <f>VLOOKUP($A32,'BC.114+840'!$B$13:$X$470,21,0)/1000</f>
        <v>-0.40400000000000003</v>
      </c>
      <c r="L32" s="137">
        <f t="shared" si="0"/>
        <v>0</v>
      </c>
      <c r="M32" s="138">
        <f t="shared" si="1"/>
        <v>0</v>
      </c>
      <c r="N32" s="137">
        <f t="shared" si="2"/>
        <v>-14.000000000000012</v>
      </c>
      <c r="O32" s="137"/>
      <c r="P32" s="145"/>
      <c r="Q32" s="144"/>
      <c r="R32" s="143"/>
      <c r="S32" s="142"/>
      <c r="T32" s="142"/>
    </row>
    <row r="33" spans="1:20">
      <c r="A33" s="76">
        <f>'BC.114+840'!B32</f>
        <v>45289</v>
      </c>
      <c r="B33" s="137">
        <v>19</v>
      </c>
      <c r="C33" s="139">
        <f>'BC.114+840'!M32/1000</f>
        <v>0.1</v>
      </c>
      <c r="D33" s="139">
        <f>'BC.114+840'!AA32</f>
        <v>0.28199999999999997</v>
      </c>
      <c r="E33" s="140">
        <f>'BC.114+840'!AB32</f>
        <v>0</v>
      </c>
      <c r="F33" s="139">
        <f>VLOOKUP($A33,'BC.114+840'!$B$13:$X$470,8,0)/1000</f>
        <v>1.92</v>
      </c>
      <c r="G33" s="139">
        <f>VLOOKUP($A33,'BC.114+840'!$B$13:$X$470,9,0)/1000</f>
        <v>-0.08</v>
      </c>
      <c r="H33" s="139">
        <f>VLOOKUP($A33,'BC.114+840'!$B$13:$X$470,14,0)/1000</f>
        <v>2.1</v>
      </c>
      <c r="I33" s="139">
        <f>VLOOKUP($A33,'BC.114+840'!$B$13:$X$470,15,0)/1000</f>
        <v>0.1</v>
      </c>
      <c r="J33" s="139">
        <f>VLOOKUP($A33,'BC.114+840'!$B$13:$X$470,20,0)/1000</f>
        <v>1.59</v>
      </c>
      <c r="K33" s="139">
        <f>VLOOKUP($A33,'BC.114+840'!$B$13:$X$470,21,0)/1000</f>
        <v>-0.41</v>
      </c>
      <c r="L33" s="137">
        <f t="shared" si="0"/>
        <v>0</v>
      </c>
      <c r="M33" s="138">
        <f t="shared" si="1"/>
        <v>0</v>
      </c>
      <c r="N33" s="137">
        <f t="shared" si="2"/>
        <v>-19.999999999999961</v>
      </c>
      <c r="O33" s="137"/>
      <c r="P33" s="145"/>
      <c r="Q33" s="144"/>
      <c r="R33" s="143"/>
      <c r="S33" s="142"/>
      <c r="T33" s="142"/>
    </row>
    <row r="34" spans="1:20">
      <c r="A34" s="76">
        <f>'BC.114+840'!B33</f>
        <v>45290</v>
      </c>
      <c r="B34" s="137">
        <v>20</v>
      </c>
      <c r="C34" s="139">
        <f>'BC.114+840'!M33/1000</f>
        <v>0.1</v>
      </c>
      <c r="D34" s="139">
        <f>'BC.114+840'!AA33</f>
        <v>0.28199999999999997</v>
      </c>
      <c r="E34" s="140">
        <f>'BC.114+840'!AB33</f>
        <v>0</v>
      </c>
      <c r="F34" s="139">
        <f>VLOOKUP($A34,'BC.114+840'!$B$13:$X$470,8,0)/1000</f>
        <v>1.92</v>
      </c>
      <c r="G34" s="139">
        <f>VLOOKUP($A34,'BC.114+840'!$B$13:$X$470,9,0)/1000</f>
        <v>-0.08</v>
      </c>
      <c r="H34" s="139">
        <f>VLOOKUP($A34,'BC.114+840'!$B$13:$X$470,14,0)/1000</f>
        <v>2.1</v>
      </c>
      <c r="I34" s="139">
        <f>VLOOKUP($A34,'BC.114+840'!$B$13:$X$470,15,0)/1000</f>
        <v>0.1</v>
      </c>
      <c r="J34" s="139">
        <f>VLOOKUP($A34,'BC.114+840'!$B$13:$X$470,20,0)/1000</f>
        <v>1.5840000000000001</v>
      </c>
      <c r="K34" s="139">
        <f>VLOOKUP($A34,'BC.114+840'!$B$13:$X$470,21,0)/1000</f>
        <v>-0.41599999999999998</v>
      </c>
      <c r="L34" s="137">
        <f t="shared" si="0"/>
        <v>0</v>
      </c>
      <c r="M34" s="138">
        <f t="shared" si="1"/>
        <v>0</v>
      </c>
      <c r="N34" s="137">
        <f t="shared" si="2"/>
        <v>-25.999999999999968</v>
      </c>
      <c r="O34" s="137"/>
      <c r="P34" s="145"/>
      <c r="Q34" s="144"/>
      <c r="R34" s="143"/>
      <c r="S34" s="142"/>
      <c r="T34" s="142"/>
    </row>
    <row r="35" spans="1:20">
      <c r="A35" s="76">
        <f>'BC.114+840'!B34</f>
        <v>45291</v>
      </c>
      <c r="B35" s="137">
        <v>21</v>
      </c>
      <c r="C35" s="139">
        <f>'BC.114+840'!M34/1000</f>
        <v>0.1</v>
      </c>
      <c r="D35" s="139">
        <f>'BC.114+840'!AA34</f>
        <v>0.28199999999999997</v>
      </c>
      <c r="E35" s="140">
        <f>'BC.114+840'!AB34</f>
        <v>0</v>
      </c>
      <c r="F35" s="139">
        <f>VLOOKUP($A35,'BC.114+840'!$B$13:$X$470,8,0)/1000</f>
        <v>1.92</v>
      </c>
      <c r="G35" s="139">
        <f>VLOOKUP($A35,'BC.114+840'!$B$13:$X$470,9,0)/1000</f>
        <v>-0.08</v>
      </c>
      <c r="H35" s="139">
        <f>VLOOKUP($A35,'BC.114+840'!$B$13:$X$470,14,0)/1000</f>
        <v>2.1</v>
      </c>
      <c r="I35" s="139">
        <f>VLOOKUP($A35,'BC.114+840'!$B$13:$X$470,15,0)/1000</f>
        <v>0.1</v>
      </c>
      <c r="J35" s="139">
        <f>VLOOKUP($A35,'BC.114+840'!$B$13:$X$470,20,0)/1000</f>
        <v>1.575</v>
      </c>
      <c r="K35" s="139">
        <f>VLOOKUP($A35,'BC.114+840'!$B$13:$X$470,21,0)/1000</f>
        <v>-0.42499999999999999</v>
      </c>
      <c r="L35" s="137">
        <f t="shared" si="0"/>
        <v>0</v>
      </c>
      <c r="M35" s="138">
        <f t="shared" si="1"/>
        <v>0</v>
      </c>
      <c r="N35" s="137">
        <f t="shared" si="2"/>
        <v>-34.999999999999979</v>
      </c>
      <c r="O35" s="137"/>
      <c r="P35" s="145"/>
      <c r="Q35" s="144"/>
      <c r="R35" s="143"/>
      <c r="S35" s="142"/>
      <c r="T35" s="142"/>
    </row>
    <row r="36" spans="1:20">
      <c r="A36" s="76">
        <f>'BC.114+840'!B35</f>
        <v>45292</v>
      </c>
      <c r="B36" s="137">
        <v>22</v>
      </c>
      <c r="C36" s="139">
        <f>'BC.114+840'!M35/1000</f>
        <v>0.1</v>
      </c>
      <c r="D36" s="139">
        <f>'BC.114+840'!AA35</f>
        <v>0.28199999999999997</v>
      </c>
      <c r="E36" s="140">
        <f>'BC.114+840'!AB35</f>
        <v>0</v>
      </c>
      <c r="F36" s="139">
        <f>VLOOKUP($A36,'BC.114+840'!$B$13:$X$470,8,0)/1000</f>
        <v>1.92</v>
      </c>
      <c r="G36" s="139">
        <f>VLOOKUP($A36,'BC.114+840'!$B$13:$X$470,9,0)/1000</f>
        <v>-0.08</v>
      </c>
      <c r="H36" s="139">
        <f>VLOOKUP($A36,'BC.114+840'!$B$13:$X$470,14,0)/1000</f>
        <v>2.1</v>
      </c>
      <c r="I36" s="139">
        <f>VLOOKUP($A36,'BC.114+840'!$B$13:$X$470,15,0)/1000</f>
        <v>0.1</v>
      </c>
      <c r="J36" s="139">
        <f>VLOOKUP($A36,'BC.114+840'!$B$13:$X$470,20,0)/1000</f>
        <v>1.5720000000000001</v>
      </c>
      <c r="K36" s="139">
        <f>VLOOKUP($A36,'BC.114+840'!$B$13:$X$470,21,0)/1000</f>
        <v>-0.42799999999999999</v>
      </c>
      <c r="L36" s="137">
        <f t="shared" si="0"/>
        <v>0</v>
      </c>
      <c r="M36" s="138">
        <f t="shared" si="1"/>
        <v>0</v>
      </c>
      <c r="N36" s="137">
        <f t="shared" si="2"/>
        <v>-37.999999999999979</v>
      </c>
      <c r="O36" s="137"/>
      <c r="P36" s="145"/>
      <c r="Q36" s="144"/>
      <c r="R36" s="143"/>
      <c r="S36" s="142"/>
      <c r="T36" s="142"/>
    </row>
    <row r="37" spans="1:20">
      <c r="A37" s="76">
        <f>'BC.114+840'!B36</f>
        <v>45293</v>
      </c>
      <c r="B37" s="137">
        <v>23</v>
      </c>
      <c r="C37" s="139">
        <f>'BC.114+840'!M36/1000</f>
        <v>0.192</v>
      </c>
      <c r="D37" s="139">
        <f>'BC.114+840'!AA36</f>
        <v>0.57499999999999996</v>
      </c>
      <c r="E37" s="140">
        <f>'BC.114+840'!AB36</f>
        <v>8.4000000000000005E-2</v>
      </c>
      <c r="F37" s="139">
        <f>VLOOKUP($A37,'BC.114+840'!$B$13:$X$470,8,0)/1000</f>
        <v>1.9119999999999999</v>
      </c>
      <c r="G37" s="139">
        <f>VLOOKUP($A37,'BC.114+840'!$B$13:$X$470,9,0)/1000</f>
        <v>-8.7999999999999995E-2</v>
      </c>
      <c r="H37" s="139">
        <f>VLOOKUP($A37,'BC.114+840'!$B$13:$X$470,14,0)/1000</f>
        <v>2.0920000000000001</v>
      </c>
      <c r="I37" s="139">
        <f>VLOOKUP($A37,'BC.114+840'!$B$13:$X$470,15,0)/1000</f>
        <v>9.1999999999999998E-2</v>
      </c>
      <c r="J37" s="139">
        <f>VLOOKUP($A37,'BC.114+840'!$B$13:$X$470,20,0)/1000</f>
        <v>1.5649999999999999</v>
      </c>
      <c r="K37" s="139">
        <f>VLOOKUP($A37,'BC.114+840'!$B$13:$X$470,21,0)/1000</f>
        <v>-0.435</v>
      </c>
      <c r="L37" s="137">
        <f t="shared" si="0"/>
        <v>-7.9999999999999929</v>
      </c>
      <c r="M37" s="138">
        <f t="shared" si="1"/>
        <v>-8.0000000000000071</v>
      </c>
      <c r="N37" s="137">
        <f t="shared" si="2"/>
        <v>-44.999999999999986</v>
      </c>
      <c r="O37" s="137"/>
      <c r="P37" s="145"/>
      <c r="Q37" s="144"/>
      <c r="R37" s="143"/>
      <c r="S37" s="142"/>
      <c r="T37" s="142"/>
    </row>
    <row r="38" spans="1:20">
      <c r="A38" s="76">
        <f>'BC.114+840'!B37</f>
        <v>45294</v>
      </c>
      <c r="B38" s="137">
        <v>24</v>
      </c>
      <c r="C38" s="139">
        <f>'BC.114+840'!M37/1000</f>
        <v>0.186</v>
      </c>
      <c r="D38" s="139">
        <f>'BC.114+840'!AA37</f>
        <v>0.57499999999999996</v>
      </c>
      <c r="E38" s="140">
        <f>'BC.114+840'!AB37</f>
        <v>7.1999999999999995E-2</v>
      </c>
      <c r="F38" s="139">
        <f>VLOOKUP($A38,'BC.114+840'!$B$13:$X$470,8,0)/1000</f>
        <v>1.909</v>
      </c>
      <c r="G38" s="139">
        <f>VLOOKUP($A38,'BC.114+840'!$B$13:$X$470,9,0)/1000</f>
        <v>-9.0999999999999998E-2</v>
      </c>
      <c r="H38" s="139">
        <f>VLOOKUP($A38,'BC.114+840'!$B$13:$X$470,14,0)/1000</f>
        <v>2.0859999999999999</v>
      </c>
      <c r="I38" s="139">
        <f>VLOOKUP($A38,'BC.114+840'!$B$13:$X$470,15,0)/1000</f>
        <v>8.5999999999999993E-2</v>
      </c>
      <c r="J38" s="139">
        <f>VLOOKUP($A38,'BC.114+840'!$B$13:$X$470,20,0)/1000</f>
        <v>1.5620000000000001</v>
      </c>
      <c r="K38" s="139">
        <f>VLOOKUP($A38,'BC.114+840'!$B$13:$X$470,21,0)/1000</f>
        <v>-0.438</v>
      </c>
      <c r="L38" s="137">
        <f t="shared" si="0"/>
        <v>-10.999999999999996</v>
      </c>
      <c r="M38" s="138">
        <f t="shared" si="1"/>
        <v>-14.000000000000012</v>
      </c>
      <c r="N38" s="137">
        <f t="shared" si="2"/>
        <v>-47.999999999999986</v>
      </c>
      <c r="O38" s="137"/>
      <c r="P38" s="145"/>
      <c r="Q38" s="144"/>
      <c r="R38" s="143"/>
      <c r="S38" s="142"/>
      <c r="T38" s="142"/>
    </row>
    <row r="39" spans="1:20">
      <c r="A39" s="76">
        <f>'BC.114+840'!B38</f>
        <v>45295</v>
      </c>
      <c r="B39" s="137">
        <v>25</v>
      </c>
      <c r="C39" s="139">
        <f>'BC.114+840'!M38/1000</f>
        <v>0.18</v>
      </c>
      <c r="D39" s="139">
        <f>'BC.114+840'!AA38</f>
        <v>0.57499999999999996</v>
      </c>
      <c r="E39" s="140">
        <f>'BC.114+840'!AB38</f>
        <v>0.06</v>
      </c>
      <c r="F39" s="139">
        <f>VLOOKUP($A39,'BC.114+840'!$B$13:$X$470,8,0)/1000</f>
        <v>1.905</v>
      </c>
      <c r="G39" s="139">
        <f>VLOOKUP($A39,'BC.114+840'!$B$13:$X$470,9,0)/1000</f>
        <v>-9.5000000000000001E-2</v>
      </c>
      <c r="H39" s="139">
        <f>VLOOKUP($A39,'BC.114+840'!$B$13:$X$470,14,0)/1000</f>
        <v>2.08</v>
      </c>
      <c r="I39" s="139">
        <f>VLOOKUP($A39,'BC.114+840'!$B$13:$X$470,15,0)/1000</f>
        <v>0.08</v>
      </c>
      <c r="J39" s="139">
        <f>VLOOKUP($A39,'BC.114+840'!$B$13:$X$470,20,0)/1000</f>
        <v>1.5580000000000001</v>
      </c>
      <c r="K39" s="139">
        <f>VLOOKUP($A39,'BC.114+840'!$B$13:$X$470,21,0)/1000</f>
        <v>-0.442</v>
      </c>
      <c r="L39" s="137">
        <f t="shared" si="0"/>
        <v>-15</v>
      </c>
      <c r="M39" s="138">
        <f t="shared" si="1"/>
        <v>-20.000000000000004</v>
      </c>
      <c r="N39" s="137">
        <f t="shared" si="2"/>
        <v>-51.999999999999993</v>
      </c>
      <c r="O39" s="137"/>
      <c r="P39" s="145"/>
      <c r="Q39" s="144"/>
      <c r="R39" s="143"/>
      <c r="S39" s="142"/>
      <c r="T39" s="142"/>
    </row>
    <row r="40" spans="1:20">
      <c r="A40" s="76">
        <f>'BC.114+840'!B39</f>
        <v>45296</v>
      </c>
      <c r="B40" s="137">
        <v>26</v>
      </c>
      <c r="C40" s="139">
        <f>'BC.114+840'!M39/1000</f>
        <v>0.17399999999999999</v>
      </c>
      <c r="D40" s="139">
        <f>'BC.114+840'!AA39</f>
        <v>0.57499999999999996</v>
      </c>
      <c r="E40" s="140">
        <f>'BC.114+840'!AB39</f>
        <v>4.8000000000000001E-2</v>
      </c>
      <c r="F40" s="139">
        <f>VLOOKUP($A40,'BC.114+840'!$B$13:$X$470,8,0)/1000</f>
        <v>1.903</v>
      </c>
      <c r="G40" s="139">
        <f>VLOOKUP($A40,'BC.114+840'!$B$13:$X$470,9,0)/1000</f>
        <v>-9.7000000000000003E-2</v>
      </c>
      <c r="H40" s="139">
        <f>VLOOKUP($A40,'BC.114+840'!$B$13:$X$470,14,0)/1000</f>
        <v>2.0739999999999998</v>
      </c>
      <c r="I40" s="139">
        <f>VLOOKUP($A40,'BC.114+840'!$B$13:$X$470,15,0)/1000</f>
        <v>7.3999999999999996E-2</v>
      </c>
      <c r="J40" s="139">
        <f>VLOOKUP($A40,'BC.114+840'!$B$13:$X$470,20,0)/1000</f>
        <v>1.5529999999999999</v>
      </c>
      <c r="K40" s="139">
        <f>VLOOKUP($A40,'BC.114+840'!$B$13:$X$470,21,0)/1000</f>
        <v>-0.44700000000000001</v>
      </c>
      <c r="L40" s="137">
        <f t="shared" si="0"/>
        <v>-17</v>
      </c>
      <c r="M40" s="138">
        <f t="shared" si="1"/>
        <v>-26.000000000000011</v>
      </c>
      <c r="N40" s="137">
        <f t="shared" si="2"/>
        <v>-56.999999999999993</v>
      </c>
      <c r="O40" s="137"/>
      <c r="P40" s="145"/>
      <c r="Q40" s="144"/>
      <c r="R40" s="143"/>
      <c r="S40" s="142"/>
      <c r="T40" s="142"/>
    </row>
    <row r="41" spans="1:20">
      <c r="A41" s="76">
        <f>'BC.114+840'!B40</f>
        <v>45297</v>
      </c>
      <c r="B41" s="137">
        <v>27</v>
      </c>
      <c r="C41" s="139">
        <f>'BC.114+840'!M40/1000</f>
        <v>0.16500000000000001</v>
      </c>
      <c r="D41" s="139">
        <f>'BC.114+840'!AA40</f>
        <v>0.57499999999999996</v>
      </c>
      <c r="E41" s="140">
        <f>'BC.114+840'!AB40</f>
        <v>0.03</v>
      </c>
      <c r="F41" s="139">
        <f>VLOOKUP($A41,'BC.114+840'!$B$13:$X$470,8,0)/1000</f>
        <v>1.895</v>
      </c>
      <c r="G41" s="139">
        <f>VLOOKUP($A41,'BC.114+840'!$B$13:$X$470,9,0)/1000</f>
        <v>-0.105</v>
      </c>
      <c r="H41" s="139">
        <f>VLOOKUP($A41,'BC.114+840'!$B$13:$X$470,14,0)/1000</f>
        <v>2.0649999999999999</v>
      </c>
      <c r="I41" s="139">
        <f>VLOOKUP($A41,'BC.114+840'!$B$13:$X$470,15,0)/1000</f>
        <v>6.5000000000000002E-2</v>
      </c>
      <c r="J41" s="139">
        <f>VLOOKUP($A41,'BC.114+840'!$B$13:$X$470,20,0)/1000</f>
        <v>1.544</v>
      </c>
      <c r="K41" s="139">
        <f>VLOOKUP($A41,'BC.114+840'!$B$13:$X$470,21,0)/1000</f>
        <v>-0.45600000000000002</v>
      </c>
      <c r="L41" s="137">
        <f t="shared" si="0"/>
        <v>-24.999999999999993</v>
      </c>
      <c r="M41" s="138">
        <f t="shared" si="1"/>
        <v>-35</v>
      </c>
      <c r="N41" s="137">
        <f t="shared" si="2"/>
        <v>-66</v>
      </c>
      <c r="O41" s="137"/>
      <c r="P41" s="145"/>
      <c r="Q41" s="144"/>
      <c r="R41" s="143"/>
      <c r="S41" s="142"/>
      <c r="T41" s="142"/>
    </row>
    <row r="42" spans="1:20">
      <c r="A42" s="76">
        <f>'BC.114+840'!B41</f>
        <v>45298</v>
      </c>
      <c r="B42" s="137">
        <v>28</v>
      </c>
      <c r="C42" s="139">
        <f>'BC.114+840'!M41/1000</f>
        <v>0.16200000000000001</v>
      </c>
      <c r="D42" s="139">
        <f>'BC.114+840'!AA41</f>
        <v>0.57499999999999996</v>
      </c>
      <c r="E42" s="140">
        <f>'BC.114+840'!AB41</f>
        <v>2.4E-2</v>
      </c>
      <c r="F42" s="139">
        <f>VLOOKUP($A42,'BC.114+840'!$B$13:$X$470,8,0)/1000</f>
        <v>1.8919999999999999</v>
      </c>
      <c r="G42" s="139">
        <f>VLOOKUP($A42,'BC.114+840'!$B$13:$X$470,9,0)/1000</f>
        <v>-0.108</v>
      </c>
      <c r="H42" s="139">
        <f>VLOOKUP($A42,'BC.114+840'!$B$13:$X$470,14,0)/1000</f>
        <v>2.0619999999999998</v>
      </c>
      <c r="I42" s="139">
        <f>VLOOKUP($A42,'BC.114+840'!$B$13:$X$470,15,0)/1000</f>
        <v>6.2E-2</v>
      </c>
      <c r="J42" s="139">
        <f>VLOOKUP($A42,'BC.114+840'!$B$13:$X$470,20,0)/1000</f>
        <v>1.54</v>
      </c>
      <c r="K42" s="139">
        <f>VLOOKUP($A42,'BC.114+840'!$B$13:$X$470,21,0)/1000</f>
        <v>-0.46</v>
      </c>
      <c r="L42" s="137">
        <f t="shared" si="0"/>
        <v>-27.999999999999996</v>
      </c>
      <c r="M42" s="138">
        <f t="shared" si="1"/>
        <v>-38.000000000000007</v>
      </c>
      <c r="N42" s="137">
        <f t="shared" si="2"/>
        <v>-70</v>
      </c>
      <c r="O42" s="137"/>
      <c r="P42" s="145"/>
      <c r="Q42" s="144"/>
      <c r="R42" s="143"/>
      <c r="S42" s="142"/>
      <c r="T42" s="142"/>
    </row>
    <row r="43" spans="1:20">
      <c r="A43" s="76">
        <f>'BC.114+840'!B42</f>
        <v>45299</v>
      </c>
      <c r="B43" s="137">
        <v>29</v>
      </c>
      <c r="C43" s="139">
        <f>'BC.114+840'!M42/1000</f>
        <v>0.45300000000000001</v>
      </c>
      <c r="D43" s="139">
        <f>'BC.114+840'!AA42</f>
        <v>0.86599999999999988</v>
      </c>
      <c r="E43" s="140">
        <f>'BC.114+840'!AB42</f>
        <v>0.30599999999999999</v>
      </c>
      <c r="F43" s="139">
        <f>VLOOKUP($A43,'BC.114+840'!$B$13:$X$470,8,0)/1000</f>
        <v>1.8839999999999999</v>
      </c>
      <c r="G43" s="139">
        <f>VLOOKUP($A43,'BC.114+840'!$B$13:$X$470,9,0)/1000</f>
        <v>-0.11600000000000001</v>
      </c>
      <c r="H43" s="139">
        <f>VLOOKUP($A43,'BC.114+840'!$B$13:$X$470,14,0)/1000</f>
        <v>2.0529999999999999</v>
      </c>
      <c r="I43" s="139">
        <f>VLOOKUP($A43,'BC.114+840'!$B$13:$X$470,15,0)/1000</f>
        <v>5.2999999999999999E-2</v>
      </c>
      <c r="J43" s="139">
        <f>VLOOKUP($A43,'BC.114+840'!$B$13:$X$470,20,0)/1000</f>
        <v>1.5309999999999999</v>
      </c>
      <c r="K43" s="139">
        <f>VLOOKUP($A43,'BC.114+840'!$B$13:$X$470,21,0)/1000</f>
        <v>-0.46899999999999997</v>
      </c>
      <c r="L43" s="137">
        <f t="shared" si="0"/>
        <v>-36.000000000000007</v>
      </c>
      <c r="M43" s="138">
        <f t="shared" si="1"/>
        <v>-47.000000000000007</v>
      </c>
      <c r="N43" s="137">
        <f t="shared" si="2"/>
        <v>-78.999999999999957</v>
      </c>
      <c r="O43" s="137"/>
      <c r="P43" s="145"/>
      <c r="Q43" s="144"/>
      <c r="R43" s="143"/>
      <c r="S43" s="142"/>
      <c r="T43" s="142"/>
    </row>
    <row r="44" spans="1:20">
      <c r="A44" s="76">
        <f>'BC.114+840'!B43</f>
        <v>45300</v>
      </c>
      <c r="B44" s="137">
        <v>30</v>
      </c>
      <c r="C44" s="139">
        <f>'BC.114+840'!M43/1000</f>
        <v>0.45</v>
      </c>
      <c r="D44" s="139">
        <f>'BC.114+840'!AA43</f>
        <v>0.86599999999999988</v>
      </c>
      <c r="E44" s="140">
        <f>'BC.114+840'!AB43</f>
        <v>0.3</v>
      </c>
      <c r="F44" s="139">
        <f>VLOOKUP($A44,'BC.114+840'!$B$13:$X$470,8,0)/1000</f>
        <v>1.881</v>
      </c>
      <c r="G44" s="139">
        <f>VLOOKUP($A44,'BC.114+840'!$B$13:$X$470,9,0)/1000</f>
        <v>-0.11899999999999999</v>
      </c>
      <c r="H44" s="139">
        <f>VLOOKUP($A44,'BC.114+840'!$B$13:$X$470,14,0)/1000</f>
        <v>2.0499999999999998</v>
      </c>
      <c r="I44" s="139">
        <f>VLOOKUP($A44,'BC.114+840'!$B$13:$X$470,15,0)/1000</f>
        <v>0.05</v>
      </c>
      <c r="J44" s="139">
        <f>VLOOKUP($A44,'BC.114+840'!$B$13:$X$470,20,0)/1000</f>
        <v>1.5269999999999999</v>
      </c>
      <c r="K44" s="139">
        <f>VLOOKUP($A44,'BC.114+840'!$B$13:$X$470,21,0)/1000</f>
        <v>-0.47299999999999998</v>
      </c>
      <c r="L44" s="137">
        <f t="shared" si="0"/>
        <v>-38.999999999999993</v>
      </c>
      <c r="M44" s="138">
        <f t="shared" si="1"/>
        <v>-50</v>
      </c>
      <c r="N44" s="137">
        <f t="shared" si="2"/>
        <v>-82.999999999999957</v>
      </c>
      <c r="O44" s="137"/>
      <c r="P44" s="145"/>
      <c r="Q44" s="144"/>
      <c r="R44" s="143"/>
      <c r="S44" s="142"/>
      <c r="T44" s="142"/>
    </row>
    <row r="45" spans="1:20">
      <c r="A45" s="76">
        <f>'BC.114+840'!B44</f>
        <v>45301</v>
      </c>
      <c r="B45" s="137">
        <v>31</v>
      </c>
      <c r="C45" s="139">
        <f>'BC.114+840'!M44/1000</f>
        <v>0.442</v>
      </c>
      <c r="D45" s="139">
        <f>'BC.114+840'!AA44</f>
        <v>0.86599999999999988</v>
      </c>
      <c r="E45" s="140">
        <f>'BC.114+840'!AB44</f>
        <v>0.28399999999999997</v>
      </c>
      <c r="F45" s="139">
        <f>VLOOKUP($A45,'BC.114+840'!$B$13:$X$470,8,0)/1000</f>
        <v>1.873</v>
      </c>
      <c r="G45" s="139">
        <f>VLOOKUP($A45,'BC.114+840'!$B$13:$X$470,9,0)/1000</f>
        <v>-0.127</v>
      </c>
      <c r="H45" s="139">
        <f>VLOOKUP($A45,'BC.114+840'!$B$13:$X$470,14,0)/1000</f>
        <v>2.0419999999999998</v>
      </c>
      <c r="I45" s="139">
        <f>VLOOKUP($A45,'BC.114+840'!$B$13:$X$470,15,0)/1000</f>
        <v>4.2000000000000003E-2</v>
      </c>
      <c r="J45" s="139">
        <f>VLOOKUP($A45,'BC.114+840'!$B$13:$X$470,20,0)/1000</f>
        <v>1.52</v>
      </c>
      <c r="K45" s="139">
        <f>VLOOKUP($A45,'BC.114+840'!$B$13:$X$470,21,0)/1000</f>
        <v>-0.48</v>
      </c>
      <c r="L45" s="137">
        <f t="shared" si="0"/>
        <v>-47</v>
      </c>
      <c r="M45" s="138">
        <f t="shared" si="1"/>
        <v>-58</v>
      </c>
      <c r="N45" s="137">
        <f t="shared" si="2"/>
        <v>-89.999999999999972</v>
      </c>
      <c r="O45" s="137"/>
      <c r="P45" s="145"/>
      <c r="Q45" s="144"/>
      <c r="R45" s="143"/>
      <c r="S45" s="142"/>
      <c r="T45" s="142"/>
    </row>
    <row r="46" spans="1:20">
      <c r="A46" s="76">
        <f>'BC.114+840'!B45</f>
        <v>45302</v>
      </c>
      <c r="B46" s="137">
        <v>32</v>
      </c>
      <c r="C46" s="139">
        <f>'BC.114+840'!M45/1000</f>
        <v>0.436</v>
      </c>
      <c r="D46" s="139">
        <f>'BC.114+840'!AA45</f>
        <v>0.86599999999999988</v>
      </c>
      <c r="E46" s="140">
        <f>'BC.114+840'!AB45</f>
        <v>0.27200000000000002</v>
      </c>
      <c r="F46" s="139">
        <f>VLOOKUP($A46,'BC.114+840'!$B$13:$X$470,8,0)/1000</f>
        <v>1.87</v>
      </c>
      <c r="G46" s="139">
        <f>VLOOKUP($A46,'BC.114+840'!$B$13:$X$470,9,0)/1000</f>
        <v>-0.13</v>
      </c>
      <c r="H46" s="139">
        <f>VLOOKUP($A46,'BC.114+840'!$B$13:$X$470,14,0)/1000</f>
        <v>2.036</v>
      </c>
      <c r="I46" s="139">
        <f>VLOOKUP($A46,'BC.114+840'!$B$13:$X$470,15,0)/1000</f>
        <v>3.5999999999999997E-2</v>
      </c>
      <c r="J46" s="139">
        <f>VLOOKUP($A46,'BC.114+840'!$B$13:$X$470,20,0)/1000</f>
        <v>1.5169999999999999</v>
      </c>
      <c r="K46" s="139">
        <f>VLOOKUP($A46,'BC.114+840'!$B$13:$X$470,21,0)/1000</f>
        <v>-0.48299999999999998</v>
      </c>
      <c r="L46" s="137">
        <f t="shared" si="0"/>
        <v>-50</v>
      </c>
      <c r="M46" s="138">
        <f t="shared" si="1"/>
        <v>-64</v>
      </c>
      <c r="N46" s="137">
        <f t="shared" si="2"/>
        <v>-92.999999999999972</v>
      </c>
      <c r="O46" s="137"/>
      <c r="P46" s="145"/>
      <c r="Q46" s="144"/>
      <c r="R46" s="143"/>
      <c r="S46" s="142"/>
      <c r="T46" s="142"/>
    </row>
    <row r="47" spans="1:20">
      <c r="A47" s="76">
        <f>'BC.114+840'!B46</f>
        <v>45303</v>
      </c>
      <c r="B47" s="137">
        <v>33</v>
      </c>
      <c r="C47" s="139">
        <f>'BC.114+840'!M46/1000</f>
        <v>0.42899999999999999</v>
      </c>
      <c r="D47" s="139">
        <f>'BC.114+840'!AA46</f>
        <v>0.86599999999999988</v>
      </c>
      <c r="E47" s="140">
        <f>'BC.114+840'!AB46</f>
        <v>0.25800000000000001</v>
      </c>
      <c r="F47" s="139">
        <f>VLOOKUP($A47,'BC.114+840'!$B$13:$X$470,8,0)/1000</f>
        <v>1.8660000000000001</v>
      </c>
      <c r="G47" s="139">
        <f>VLOOKUP($A47,'BC.114+840'!$B$13:$X$470,9,0)/1000</f>
        <v>-0.13400000000000001</v>
      </c>
      <c r="H47" s="139">
        <f>VLOOKUP($A47,'BC.114+840'!$B$13:$X$470,14,0)/1000</f>
        <v>2.0289999999999999</v>
      </c>
      <c r="I47" s="139">
        <f>VLOOKUP($A47,'BC.114+840'!$B$13:$X$470,15,0)/1000</f>
        <v>2.9000000000000001E-2</v>
      </c>
      <c r="J47" s="139">
        <f>VLOOKUP($A47,'BC.114+840'!$B$13:$X$470,20,0)/1000</f>
        <v>1.5129999999999999</v>
      </c>
      <c r="K47" s="139">
        <f>VLOOKUP($A47,'BC.114+840'!$B$13:$X$470,21,0)/1000</f>
        <v>-0.48699999999999999</v>
      </c>
      <c r="L47" s="137">
        <f t="shared" si="0"/>
        <v>-54.000000000000007</v>
      </c>
      <c r="M47" s="138">
        <f t="shared" si="1"/>
        <v>-71.000000000000014</v>
      </c>
      <c r="N47" s="137">
        <f t="shared" si="2"/>
        <v>-96.999999999999972</v>
      </c>
      <c r="O47" s="137"/>
      <c r="P47" s="145"/>
      <c r="Q47" s="144"/>
      <c r="R47" s="143"/>
      <c r="S47" s="142"/>
      <c r="T47" s="142"/>
    </row>
    <row r="48" spans="1:20">
      <c r="A48" s="76">
        <f>'BC.114+840'!B47</f>
        <v>45304</v>
      </c>
      <c r="B48" s="137">
        <v>34</v>
      </c>
      <c r="C48" s="139">
        <f>'BC.114+840'!M47/1000</f>
        <v>0.42299999999999999</v>
      </c>
      <c r="D48" s="139">
        <f>'BC.114+840'!AA47</f>
        <v>0.86599999999999988</v>
      </c>
      <c r="E48" s="140">
        <f>'BC.114+840'!AB47</f>
        <v>0.246</v>
      </c>
      <c r="F48" s="139">
        <f>VLOOKUP($A48,'BC.114+840'!$B$13:$X$470,8,0)/1000</f>
        <v>1.8640000000000001</v>
      </c>
      <c r="G48" s="139">
        <f>VLOOKUP($A48,'BC.114+840'!$B$13:$X$470,9,0)/1000</f>
        <v>-0.13600000000000001</v>
      </c>
      <c r="H48" s="139">
        <f>VLOOKUP($A48,'BC.114+840'!$B$13:$X$470,14,0)/1000</f>
        <v>2.0230000000000001</v>
      </c>
      <c r="I48" s="139">
        <f>VLOOKUP($A48,'BC.114+840'!$B$13:$X$470,15,0)/1000</f>
        <v>2.3E-2</v>
      </c>
      <c r="J48" s="139">
        <f>VLOOKUP($A48,'BC.114+840'!$B$13:$X$470,20,0)/1000</f>
        <v>1.508</v>
      </c>
      <c r="K48" s="139">
        <f>VLOOKUP($A48,'BC.114+840'!$B$13:$X$470,21,0)/1000</f>
        <v>-0.49199999999999999</v>
      </c>
      <c r="L48" s="137">
        <f t="shared" si="0"/>
        <v>-56.000000000000007</v>
      </c>
      <c r="M48" s="138">
        <f t="shared" si="1"/>
        <v>-77.000000000000014</v>
      </c>
      <c r="N48" s="137">
        <f t="shared" si="2"/>
        <v>-101.99999999999999</v>
      </c>
      <c r="O48" s="137"/>
      <c r="P48" s="145"/>
      <c r="Q48" s="144"/>
      <c r="R48" s="143"/>
      <c r="S48" s="142"/>
      <c r="T48" s="142"/>
    </row>
    <row r="49" spans="1:20">
      <c r="A49" s="76">
        <f>'BC.114+840'!B48</f>
        <v>45305</v>
      </c>
      <c r="B49" s="137">
        <v>35</v>
      </c>
      <c r="C49" s="139">
        <f>'BC.114+840'!M48/1000</f>
        <v>0.71399999999999997</v>
      </c>
      <c r="D49" s="139">
        <f>'BC.114+840'!AA48</f>
        <v>1.1569999999999998</v>
      </c>
      <c r="E49" s="140">
        <f>'BC.114+840'!AB48</f>
        <v>0.52800000000000002</v>
      </c>
      <c r="F49" s="139">
        <f>VLOOKUP($A49,'BC.114+840'!$B$13:$X$470,8,0)/1000</f>
        <v>1.8560000000000001</v>
      </c>
      <c r="G49" s="139">
        <f>VLOOKUP($A49,'BC.114+840'!$B$13:$X$470,9,0)/1000</f>
        <v>-0.14399999999999999</v>
      </c>
      <c r="H49" s="139">
        <f>VLOOKUP($A49,'BC.114+840'!$B$13:$X$470,14,0)/1000</f>
        <v>2.0139999999999998</v>
      </c>
      <c r="I49" s="139">
        <f>VLOOKUP($A49,'BC.114+840'!$B$13:$X$470,15,0)/1000</f>
        <v>1.4E-2</v>
      </c>
      <c r="J49" s="139">
        <f>VLOOKUP($A49,'BC.114+840'!$B$13:$X$470,20,0)/1000</f>
        <v>1.4990000000000001</v>
      </c>
      <c r="K49" s="139">
        <f>VLOOKUP($A49,'BC.114+840'!$B$13:$X$470,21,0)/1000</f>
        <v>-0.501</v>
      </c>
      <c r="L49" s="137">
        <f t="shared" si="0"/>
        <v>-63.999999999999986</v>
      </c>
      <c r="M49" s="138">
        <f t="shared" si="1"/>
        <v>-86</v>
      </c>
      <c r="N49" s="137">
        <f t="shared" si="2"/>
        <v>-110.99999999999999</v>
      </c>
      <c r="O49" s="137"/>
      <c r="P49" s="145"/>
      <c r="Q49" s="144"/>
      <c r="R49" s="143"/>
      <c r="S49" s="142"/>
      <c r="T49" s="142"/>
    </row>
    <row r="50" spans="1:20">
      <c r="A50" s="76">
        <f>'BC.114+840'!B49</f>
        <v>45306</v>
      </c>
      <c r="B50" s="137">
        <v>36</v>
      </c>
      <c r="C50" s="139">
        <f>'BC.114+840'!M49/1000</f>
        <v>0.71099999999999997</v>
      </c>
      <c r="D50" s="139">
        <f>'BC.114+840'!AA49</f>
        <v>1.1569999999999998</v>
      </c>
      <c r="E50" s="140">
        <f>'BC.114+840'!AB49</f>
        <v>0.52200000000000002</v>
      </c>
      <c r="F50" s="139">
        <f>VLOOKUP($A50,'BC.114+840'!$B$13:$X$470,8,0)/1000</f>
        <v>1.853</v>
      </c>
      <c r="G50" s="139">
        <f>VLOOKUP($A50,'BC.114+840'!$B$13:$X$470,9,0)/1000</f>
        <v>-0.14699999999999999</v>
      </c>
      <c r="H50" s="139">
        <f>VLOOKUP($A50,'BC.114+840'!$B$13:$X$470,14,0)/1000</f>
        <v>2.0110000000000001</v>
      </c>
      <c r="I50" s="139">
        <f>VLOOKUP($A50,'BC.114+840'!$B$13:$X$470,15,0)/1000</f>
        <v>1.0999999999999999E-2</v>
      </c>
      <c r="J50" s="139">
        <f>VLOOKUP($A50,'BC.114+840'!$B$13:$X$470,20,0)/1000</f>
        <v>1.4950000000000001</v>
      </c>
      <c r="K50" s="139">
        <f>VLOOKUP($A50,'BC.114+840'!$B$13:$X$470,21,0)/1000</f>
        <v>-0.505</v>
      </c>
      <c r="L50" s="137">
        <f t="shared" si="0"/>
        <v>-66.999999999999986</v>
      </c>
      <c r="M50" s="138">
        <f t="shared" si="1"/>
        <v>-89.000000000000014</v>
      </c>
      <c r="N50" s="137">
        <f t="shared" si="2"/>
        <v>-114.99999999999999</v>
      </c>
      <c r="O50" s="137"/>
      <c r="P50" s="145"/>
      <c r="Q50" s="144"/>
      <c r="R50" s="143"/>
      <c r="S50" s="142"/>
      <c r="T50" s="142"/>
    </row>
    <row r="51" spans="1:20">
      <c r="A51" s="76">
        <f>'BC.114+840'!B50</f>
        <v>45307</v>
      </c>
      <c r="B51" s="137">
        <v>37</v>
      </c>
      <c r="C51" s="139">
        <f>'BC.114+840'!M50/1000</f>
        <v>0.70699999999999996</v>
      </c>
      <c r="D51" s="139">
        <f>'BC.114+840'!AA50</f>
        <v>1.1569999999999998</v>
      </c>
      <c r="E51" s="140">
        <f>'BC.114+840'!AB50</f>
        <v>0.51400000000000001</v>
      </c>
      <c r="F51" s="139">
        <f>VLOOKUP($A51,'BC.114+840'!$B$13:$X$470,8,0)/1000</f>
        <v>1.849</v>
      </c>
      <c r="G51" s="139">
        <f>VLOOKUP($A51,'BC.114+840'!$B$13:$X$470,9,0)/1000</f>
        <v>-0.151</v>
      </c>
      <c r="H51" s="139">
        <f>VLOOKUP($A51,'BC.114+840'!$B$13:$X$470,14,0)/1000</f>
        <v>2.0070000000000001</v>
      </c>
      <c r="I51" s="139">
        <f>VLOOKUP($A51,'BC.114+840'!$B$13:$X$470,15,0)/1000</f>
        <v>7.0000000000000001E-3</v>
      </c>
      <c r="J51" s="139">
        <f>VLOOKUP($A51,'BC.114+840'!$B$13:$X$470,20,0)/1000</f>
        <v>1.492</v>
      </c>
      <c r="K51" s="139">
        <f>VLOOKUP($A51,'BC.114+840'!$B$13:$X$470,21,0)/1000</f>
        <v>-0.50800000000000001</v>
      </c>
      <c r="L51" s="137">
        <f t="shared" si="0"/>
        <v>-71</v>
      </c>
      <c r="M51" s="138">
        <f t="shared" si="1"/>
        <v>-93</v>
      </c>
      <c r="N51" s="137">
        <f t="shared" si="2"/>
        <v>-118</v>
      </c>
      <c r="O51" s="137"/>
      <c r="P51" s="145"/>
      <c r="Q51" s="144"/>
      <c r="R51" s="143"/>
      <c r="S51" s="142"/>
      <c r="T51" s="142"/>
    </row>
    <row r="52" spans="1:20">
      <c r="A52" s="76">
        <f>'BC.114+840'!B51</f>
        <v>45308</v>
      </c>
      <c r="B52" s="137">
        <v>38</v>
      </c>
      <c r="C52" s="139">
        <f>'BC.114+840'!M51/1000</f>
        <v>0.70499999999999996</v>
      </c>
      <c r="D52" s="139">
        <f>'BC.114+840'!AA51</f>
        <v>1.1569999999999998</v>
      </c>
      <c r="E52" s="140">
        <f>'BC.114+840'!AB51</f>
        <v>0.51</v>
      </c>
      <c r="F52" s="139">
        <f>VLOOKUP($A52,'BC.114+840'!$B$13:$X$470,8,0)/1000</f>
        <v>1.8440000000000001</v>
      </c>
      <c r="G52" s="139">
        <f>VLOOKUP($A52,'BC.114+840'!$B$13:$X$470,9,0)/1000</f>
        <v>-0.156</v>
      </c>
      <c r="H52" s="139">
        <f>VLOOKUP($A52,'BC.114+840'!$B$13:$X$470,14,0)/1000</f>
        <v>2.0049999999999999</v>
      </c>
      <c r="I52" s="139">
        <f>VLOOKUP($A52,'BC.114+840'!$B$13:$X$470,15,0)/1000</f>
        <v>5.0000000000000001E-3</v>
      </c>
      <c r="J52" s="139">
        <f>VLOOKUP($A52,'BC.114+840'!$B$13:$X$470,20,0)/1000</f>
        <v>1.49</v>
      </c>
      <c r="K52" s="139">
        <f>VLOOKUP($A52,'BC.114+840'!$B$13:$X$470,21,0)/1000</f>
        <v>-0.51</v>
      </c>
      <c r="L52" s="137">
        <f t="shared" si="0"/>
        <v>-76</v>
      </c>
      <c r="M52" s="138">
        <f t="shared" si="1"/>
        <v>-95</v>
      </c>
      <c r="N52" s="137">
        <f t="shared" si="2"/>
        <v>-120</v>
      </c>
      <c r="O52" s="137"/>
      <c r="P52" s="145"/>
      <c r="Q52" s="144"/>
      <c r="R52" s="143"/>
      <c r="S52" s="142"/>
      <c r="T52" s="142"/>
    </row>
    <row r="53" spans="1:20">
      <c r="A53" s="76">
        <f>'BC.114+840'!B52</f>
        <v>45309</v>
      </c>
      <c r="B53" s="137">
        <v>39</v>
      </c>
      <c r="C53" s="139">
        <f>'BC.114+840'!M52/1000</f>
        <v>0.7</v>
      </c>
      <c r="D53" s="139">
        <f>'BC.114+840'!AA52</f>
        <v>1.1569999999999998</v>
      </c>
      <c r="E53" s="140">
        <f>'BC.114+840'!AB52</f>
        <v>0.5</v>
      </c>
      <c r="F53" s="139">
        <f>VLOOKUP($A53,'BC.114+840'!$B$13:$X$470,8,0)/1000</f>
        <v>1.839</v>
      </c>
      <c r="G53" s="139">
        <f>VLOOKUP($A53,'BC.114+840'!$B$13:$X$470,9,0)/1000</f>
        <v>-0.161</v>
      </c>
      <c r="H53" s="139">
        <f>VLOOKUP($A53,'BC.114+840'!$B$13:$X$470,14,0)/1000</f>
        <v>2</v>
      </c>
      <c r="I53" s="139">
        <f>VLOOKUP($A53,'BC.114+840'!$B$13:$X$470,15,0)/1000</f>
        <v>0</v>
      </c>
      <c r="J53" s="139">
        <f>VLOOKUP($A53,'BC.114+840'!$B$13:$X$470,20,0)/1000</f>
        <v>1.486</v>
      </c>
      <c r="K53" s="139">
        <f>VLOOKUP($A53,'BC.114+840'!$B$13:$X$470,21,0)/1000</f>
        <v>-0.51400000000000001</v>
      </c>
      <c r="L53" s="137">
        <f t="shared" si="0"/>
        <v>-81</v>
      </c>
      <c r="M53" s="138">
        <f t="shared" si="1"/>
        <v>-100</v>
      </c>
      <c r="N53" s="137">
        <f t="shared" si="2"/>
        <v>-124</v>
      </c>
      <c r="O53" s="137"/>
      <c r="P53" s="145"/>
      <c r="Q53" s="144"/>
      <c r="R53" s="143"/>
      <c r="S53" s="142"/>
      <c r="T53" s="142"/>
    </row>
    <row r="54" spans="1:20">
      <c r="A54" s="76">
        <f>'BC.114+840'!B53</f>
        <v>45310</v>
      </c>
      <c r="B54" s="137">
        <v>40</v>
      </c>
      <c r="C54" s="139">
        <f>'BC.114+840'!M53/1000</f>
        <v>0.69499999999999995</v>
      </c>
      <c r="D54" s="139">
        <f>'BC.114+840'!AA53</f>
        <v>1.1569999999999998</v>
      </c>
      <c r="E54" s="140">
        <f>'BC.114+840'!AB53</f>
        <v>0.49</v>
      </c>
      <c r="F54" s="139">
        <f>VLOOKUP($A54,'BC.114+840'!$B$13:$X$470,8,0)/1000</f>
        <v>1.8340000000000001</v>
      </c>
      <c r="G54" s="139">
        <f>VLOOKUP($A54,'BC.114+840'!$B$13:$X$470,9,0)/1000</f>
        <v>-0.16600000000000001</v>
      </c>
      <c r="H54" s="139">
        <f>VLOOKUP($A54,'BC.114+840'!$B$13:$X$470,14,0)/1000</f>
        <v>1.9950000000000001</v>
      </c>
      <c r="I54" s="139">
        <f>VLOOKUP($A54,'BC.114+840'!$B$13:$X$470,15,0)/1000</f>
        <v>-5.0000000000000001E-3</v>
      </c>
      <c r="J54" s="139">
        <f>VLOOKUP($A54,'BC.114+840'!$B$13:$X$470,20,0)/1000</f>
        <v>1.482</v>
      </c>
      <c r="K54" s="139">
        <f>VLOOKUP($A54,'BC.114+840'!$B$13:$X$470,21,0)/1000</f>
        <v>-0.51800000000000002</v>
      </c>
      <c r="L54" s="137">
        <f t="shared" si="0"/>
        <v>-86</v>
      </c>
      <c r="M54" s="138">
        <f t="shared" si="1"/>
        <v>-105.00000000000001</v>
      </c>
      <c r="N54" s="137">
        <f t="shared" si="2"/>
        <v>-128</v>
      </c>
      <c r="O54" s="137"/>
      <c r="P54" s="145"/>
      <c r="Q54" s="144"/>
      <c r="R54" s="143"/>
      <c r="S54" s="142"/>
      <c r="T54" s="142"/>
    </row>
    <row r="55" spans="1:20">
      <c r="A55" s="76">
        <f>'BC.114+840'!B54</f>
        <v>45311</v>
      </c>
      <c r="B55" s="137">
        <v>41</v>
      </c>
      <c r="C55" s="139">
        <f>'BC.114+840'!M54/1000</f>
        <v>0.98699999999999999</v>
      </c>
      <c r="D55" s="139">
        <f>'BC.114+840'!AA54</f>
        <v>1.4489999999999998</v>
      </c>
      <c r="E55" s="140">
        <f>'BC.114+840'!AB54</f>
        <v>0.77400000000000002</v>
      </c>
      <c r="F55" s="139">
        <f>VLOOKUP($A55,'BC.114+840'!$B$13:$X$470,8,0)/1000</f>
        <v>1.8260000000000001</v>
      </c>
      <c r="G55" s="139">
        <f>VLOOKUP($A55,'BC.114+840'!$B$13:$X$470,9,0)/1000</f>
        <v>-0.17399999999999999</v>
      </c>
      <c r="H55" s="139">
        <f>VLOOKUP($A55,'BC.114+840'!$B$13:$X$470,14,0)/1000</f>
        <v>1.9870000000000001</v>
      </c>
      <c r="I55" s="139">
        <f>VLOOKUP($A55,'BC.114+840'!$B$13:$X$470,15,0)/1000</f>
        <v>-1.2999999999999999E-2</v>
      </c>
      <c r="J55" s="139">
        <f>VLOOKUP($A55,'BC.114+840'!$B$13:$X$470,20,0)/1000</f>
        <v>1.474</v>
      </c>
      <c r="K55" s="139">
        <f>VLOOKUP($A55,'BC.114+840'!$B$13:$X$470,21,0)/1000</f>
        <v>-0.52600000000000002</v>
      </c>
      <c r="L55" s="137">
        <f t="shared" si="0"/>
        <v>-93.999999999999986</v>
      </c>
      <c r="M55" s="138">
        <f t="shared" si="1"/>
        <v>-113</v>
      </c>
      <c r="N55" s="137">
        <f t="shared" si="2"/>
        <v>-136</v>
      </c>
      <c r="O55" s="137"/>
      <c r="P55" s="145"/>
      <c r="Q55" s="144"/>
      <c r="R55" s="143"/>
      <c r="S55" s="142"/>
      <c r="T55" s="142"/>
    </row>
    <row r="56" spans="1:20">
      <c r="A56" s="76">
        <f>'BC.114+840'!B55</f>
        <v>45312</v>
      </c>
      <c r="B56" s="137">
        <v>42</v>
      </c>
      <c r="C56" s="139">
        <f>'BC.114+840'!M55/1000</f>
        <v>0.98299999999999998</v>
      </c>
      <c r="D56" s="139">
        <f>'BC.114+840'!AA55</f>
        <v>1.4489999999999998</v>
      </c>
      <c r="E56" s="140">
        <f>'BC.114+840'!AB55</f>
        <v>0.76600000000000001</v>
      </c>
      <c r="F56" s="139">
        <f>VLOOKUP($A56,'BC.114+840'!$B$13:$X$470,8,0)/1000</f>
        <v>1.8240000000000001</v>
      </c>
      <c r="G56" s="139">
        <f>VLOOKUP($A56,'BC.114+840'!$B$13:$X$470,9,0)/1000</f>
        <v>-0.17599999999999999</v>
      </c>
      <c r="H56" s="139">
        <f>VLOOKUP($A56,'BC.114+840'!$B$13:$X$470,14,0)/1000</f>
        <v>1.9830000000000001</v>
      </c>
      <c r="I56" s="139">
        <f>VLOOKUP($A56,'BC.114+840'!$B$13:$X$470,15,0)/1000</f>
        <v>-1.7000000000000001E-2</v>
      </c>
      <c r="J56" s="139">
        <f>VLOOKUP($A56,'BC.114+840'!$B$13:$X$470,20,0)/1000</f>
        <v>1.4690000000000001</v>
      </c>
      <c r="K56" s="139">
        <f>VLOOKUP($A56,'BC.114+840'!$B$13:$X$470,21,0)/1000</f>
        <v>-0.53100000000000003</v>
      </c>
      <c r="L56" s="137">
        <f t="shared" si="0"/>
        <v>-95.999999999999986</v>
      </c>
      <c r="M56" s="138">
        <f t="shared" si="1"/>
        <v>-117</v>
      </c>
      <c r="N56" s="137">
        <f t="shared" si="2"/>
        <v>-141</v>
      </c>
      <c r="O56" s="137"/>
      <c r="P56" s="145"/>
      <c r="Q56" s="144"/>
      <c r="R56" s="143"/>
      <c r="S56" s="142"/>
      <c r="T56" s="142"/>
    </row>
    <row r="57" spans="1:20">
      <c r="A57" s="76">
        <f>'BC.114+840'!B56</f>
        <v>45313</v>
      </c>
      <c r="B57" s="137">
        <v>43</v>
      </c>
      <c r="C57" s="139">
        <f>'BC.114+840'!M56/1000</f>
        <v>0.97599999999999998</v>
      </c>
      <c r="D57" s="139">
        <f>'BC.114+840'!AA56</f>
        <v>1.4489999999999998</v>
      </c>
      <c r="E57" s="140">
        <f>'BC.114+840'!AB56</f>
        <v>0.752</v>
      </c>
      <c r="F57" s="139">
        <f>VLOOKUP($A57,'BC.114+840'!$B$13:$X$470,8,0)/1000</f>
        <v>1.82</v>
      </c>
      <c r="G57" s="139">
        <f>VLOOKUP($A57,'BC.114+840'!$B$13:$X$470,9,0)/1000</f>
        <v>-0.18</v>
      </c>
      <c r="H57" s="139">
        <f>VLOOKUP($A57,'BC.114+840'!$B$13:$X$470,14,0)/1000</f>
        <v>1.976</v>
      </c>
      <c r="I57" s="139">
        <f>VLOOKUP($A57,'BC.114+840'!$B$13:$X$470,15,0)/1000</f>
        <v>-2.4E-2</v>
      </c>
      <c r="J57" s="139">
        <f>VLOOKUP($A57,'BC.114+840'!$B$13:$X$470,20,0)/1000</f>
        <v>1.4650000000000001</v>
      </c>
      <c r="K57" s="139">
        <f>VLOOKUP($A57,'BC.114+840'!$B$13:$X$470,21,0)/1000</f>
        <v>-0.53500000000000003</v>
      </c>
      <c r="L57" s="137">
        <f t="shared" si="0"/>
        <v>-99.999999999999986</v>
      </c>
      <c r="M57" s="138">
        <f t="shared" si="1"/>
        <v>-124</v>
      </c>
      <c r="N57" s="137">
        <f t="shared" si="2"/>
        <v>-145.00000000000003</v>
      </c>
      <c r="O57" s="137"/>
      <c r="P57" s="145"/>
      <c r="Q57" s="144"/>
      <c r="R57" s="143"/>
      <c r="S57" s="142"/>
      <c r="T57" s="142"/>
    </row>
    <row r="58" spans="1:20">
      <c r="A58" s="76">
        <f>'BC.114+840'!B57</f>
        <v>45314</v>
      </c>
      <c r="B58" s="137">
        <v>44</v>
      </c>
      <c r="C58" s="139">
        <f>'BC.114+840'!M57/1000</f>
        <v>0.97099999999999997</v>
      </c>
      <c r="D58" s="139">
        <f>'BC.114+840'!AA57</f>
        <v>1.4489999999999998</v>
      </c>
      <c r="E58" s="140">
        <f>'BC.114+840'!AB57</f>
        <v>0.74199999999999999</v>
      </c>
      <c r="F58" s="139">
        <f>VLOOKUP($A58,'BC.114+840'!$B$13:$X$470,8,0)/1000</f>
        <v>1.8129999999999999</v>
      </c>
      <c r="G58" s="139">
        <f>VLOOKUP($A58,'BC.114+840'!$B$13:$X$470,9,0)/1000</f>
        <v>-0.187</v>
      </c>
      <c r="H58" s="139">
        <f>VLOOKUP($A58,'BC.114+840'!$B$13:$X$470,14,0)/1000</f>
        <v>1.9710000000000001</v>
      </c>
      <c r="I58" s="139">
        <f>VLOOKUP($A58,'BC.114+840'!$B$13:$X$470,15,0)/1000</f>
        <v>-2.9000000000000001E-2</v>
      </c>
      <c r="J58" s="139">
        <f>VLOOKUP($A58,'BC.114+840'!$B$13:$X$470,20,0)/1000</f>
        <v>1.462</v>
      </c>
      <c r="K58" s="139">
        <f>VLOOKUP($A58,'BC.114+840'!$B$13:$X$470,21,0)/1000</f>
        <v>-0.53800000000000003</v>
      </c>
      <c r="L58" s="137">
        <f t="shared" si="0"/>
        <v>-107</v>
      </c>
      <c r="M58" s="138">
        <f t="shared" si="1"/>
        <v>-129</v>
      </c>
      <c r="N58" s="137">
        <f t="shared" si="2"/>
        <v>-148.00000000000003</v>
      </c>
      <c r="O58" s="137"/>
      <c r="P58" s="145"/>
      <c r="Q58" s="144"/>
      <c r="R58" s="143"/>
      <c r="S58" s="142"/>
      <c r="T58" s="142"/>
    </row>
    <row r="59" spans="1:20">
      <c r="A59" s="76">
        <f>'BC.114+840'!B58</f>
        <v>45315</v>
      </c>
      <c r="B59" s="137">
        <v>45</v>
      </c>
      <c r="C59" s="139">
        <f>'BC.114+840'!M58/1000</f>
        <v>0.96699999999999997</v>
      </c>
      <c r="D59" s="139">
        <f>'BC.114+840'!AA58</f>
        <v>1.4489999999999998</v>
      </c>
      <c r="E59" s="140">
        <f>'BC.114+840'!AB58</f>
        <v>0.73399999999999999</v>
      </c>
      <c r="F59" s="139">
        <f>VLOOKUP($A59,'BC.114+840'!$B$13:$X$470,8,0)/1000</f>
        <v>1.8080000000000001</v>
      </c>
      <c r="G59" s="139">
        <f>VLOOKUP($A59,'BC.114+840'!$B$13:$X$470,9,0)/1000</f>
        <v>-0.192</v>
      </c>
      <c r="H59" s="139">
        <f>VLOOKUP($A59,'BC.114+840'!$B$13:$X$470,14,0)/1000</f>
        <v>1.9670000000000001</v>
      </c>
      <c r="I59" s="139">
        <f>VLOOKUP($A59,'BC.114+840'!$B$13:$X$470,15,0)/1000</f>
        <v>-3.3000000000000002E-2</v>
      </c>
      <c r="J59" s="139">
        <f>VLOOKUP($A59,'BC.114+840'!$B$13:$X$470,20,0)/1000</f>
        <v>1.46</v>
      </c>
      <c r="K59" s="139">
        <f>VLOOKUP($A59,'BC.114+840'!$B$13:$X$470,21,0)/1000</f>
        <v>-0.54</v>
      </c>
      <c r="L59" s="137">
        <f t="shared" si="0"/>
        <v>-112</v>
      </c>
      <c r="M59" s="138">
        <f t="shared" si="1"/>
        <v>-133</v>
      </c>
      <c r="N59" s="137">
        <f t="shared" si="2"/>
        <v>-150.00000000000003</v>
      </c>
      <c r="O59" s="137"/>
      <c r="P59" s="145"/>
      <c r="Q59" s="144"/>
      <c r="R59" s="143"/>
      <c r="S59" s="142"/>
      <c r="T59" s="142"/>
    </row>
    <row r="60" spans="1:20">
      <c r="A60" s="76">
        <f>'BC.114+840'!B59</f>
        <v>45316</v>
      </c>
      <c r="B60" s="137">
        <v>46</v>
      </c>
      <c r="C60" s="139">
        <f>'BC.114+840'!M59/1000</f>
        <v>0.96299999999999997</v>
      </c>
      <c r="D60" s="139">
        <f>'BC.114+840'!AA59</f>
        <v>1.4489999999999998</v>
      </c>
      <c r="E60" s="140">
        <f>'BC.114+840'!AB59</f>
        <v>0.72599999999999998</v>
      </c>
      <c r="F60" s="139">
        <f>VLOOKUP($A60,'BC.114+840'!$B$13:$X$470,8,0)/1000</f>
        <v>1.804</v>
      </c>
      <c r="G60" s="139">
        <f>VLOOKUP($A60,'BC.114+840'!$B$13:$X$470,9,0)/1000</f>
        <v>-0.19600000000000001</v>
      </c>
      <c r="H60" s="139">
        <f>VLOOKUP($A60,'BC.114+840'!$B$13:$X$470,14,0)/1000</f>
        <v>1.9630000000000001</v>
      </c>
      <c r="I60" s="139">
        <f>VLOOKUP($A60,'BC.114+840'!$B$13:$X$470,15,0)/1000</f>
        <v>-3.6999999999999998E-2</v>
      </c>
      <c r="J60" s="139">
        <f>VLOOKUP($A60,'BC.114+840'!$B$13:$X$470,20,0)/1000</f>
        <v>1.4570000000000001</v>
      </c>
      <c r="K60" s="139">
        <f>VLOOKUP($A60,'BC.114+840'!$B$13:$X$470,21,0)/1000</f>
        <v>-0.54300000000000004</v>
      </c>
      <c r="L60" s="137">
        <f t="shared" si="0"/>
        <v>-116</v>
      </c>
      <c r="M60" s="138">
        <f t="shared" si="1"/>
        <v>-137</v>
      </c>
      <c r="N60" s="137">
        <f t="shared" si="2"/>
        <v>-153.00000000000003</v>
      </c>
      <c r="O60" s="137"/>
      <c r="P60" s="145"/>
      <c r="Q60" s="144"/>
      <c r="R60" s="143"/>
      <c r="S60" s="142"/>
      <c r="T60" s="142"/>
    </row>
    <row r="61" spans="1:20">
      <c r="A61" s="76">
        <f>'BC.114+840'!B60</f>
        <v>45317</v>
      </c>
      <c r="B61" s="137">
        <v>47</v>
      </c>
      <c r="C61" s="139">
        <f>'BC.114+840'!M60/1000</f>
        <v>0.95499999999999996</v>
      </c>
      <c r="D61" s="139">
        <f>'BC.114+840'!AA60</f>
        <v>1.4489999999999998</v>
      </c>
      <c r="E61" s="140">
        <f>'BC.114+840'!AB60</f>
        <v>0.71</v>
      </c>
      <c r="F61" s="139">
        <f>VLOOKUP($A61,'BC.114+840'!$B$13:$X$470,8,0)/1000</f>
        <v>1.796</v>
      </c>
      <c r="G61" s="139">
        <f>VLOOKUP($A61,'BC.114+840'!$B$13:$X$470,9,0)/1000</f>
        <v>-0.20399999999999999</v>
      </c>
      <c r="H61" s="139">
        <f>VLOOKUP($A61,'BC.114+840'!$B$13:$X$470,14,0)/1000</f>
        <v>1.9550000000000001</v>
      </c>
      <c r="I61" s="139">
        <f>VLOOKUP($A61,'BC.114+840'!$B$13:$X$470,15,0)/1000</f>
        <v>-4.4999999999999998E-2</v>
      </c>
      <c r="J61" s="139">
        <f>VLOOKUP($A61,'BC.114+840'!$B$13:$X$470,20,0)/1000</f>
        <v>1.4490000000000001</v>
      </c>
      <c r="K61" s="139">
        <f>VLOOKUP($A61,'BC.114+840'!$B$13:$X$470,21,0)/1000</f>
        <v>-0.55100000000000005</v>
      </c>
      <c r="L61" s="137">
        <f t="shared" si="0"/>
        <v>-123.99999999999999</v>
      </c>
      <c r="M61" s="138">
        <f t="shared" si="1"/>
        <v>-145.00000000000003</v>
      </c>
      <c r="N61" s="137">
        <f t="shared" si="2"/>
        <v>-161.00000000000003</v>
      </c>
      <c r="O61" s="137"/>
      <c r="P61" s="145"/>
      <c r="Q61" s="144"/>
      <c r="R61" s="143"/>
      <c r="S61" s="142"/>
      <c r="T61" s="142"/>
    </row>
    <row r="62" spans="1:20">
      <c r="A62" s="76">
        <f>'BC.114+840'!B61</f>
        <v>45318</v>
      </c>
      <c r="B62" s="137">
        <v>48</v>
      </c>
      <c r="C62" s="139">
        <f>'BC.114+840'!M61/1000</f>
        <v>0.95099999999999996</v>
      </c>
      <c r="D62" s="139">
        <f>'BC.114+840'!AA61</f>
        <v>1.4489999999999998</v>
      </c>
      <c r="E62" s="140">
        <f>'BC.114+840'!AB61</f>
        <v>0.70199999999999996</v>
      </c>
      <c r="F62" s="139">
        <f>VLOOKUP($A62,'BC.114+840'!$B$13:$X$470,8,0)/1000</f>
        <v>1.794</v>
      </c>
      <c r="G62" s="139">
        <f>VLOOKUP($A62,'BC.114+840'!$B$13:$X$470,9,0)/1000</f>
        <v>-0.20599999999999999</v>
      </c>
      <c r="H62" s="139">
        <f>VLOOKUP($A62,'BC.114+840'!$B$13:$X$470,14,0)/1000</f>
        <v>1.9510000000000001</v>
      </c>
      <c r="I62" s="139">
        <f>VLOOKUP($A62,'BC.114+840'!$B$13:$X$470,15,0)/1000</f>
        <v>-4.9000000000000002E-2</v>
      </c>
      <c r="J62" s="139">
        <f>VLOOKUP($A62,'BC.114+840'!$B$13:$X$470,20,0)/1000</f>
        <v>1.444</v>
      </c>
      <c r="K62" s="139">
        <f>VLOOKUP($A62,'BC.114+840'!$B$13:$X$470,21,0)/1000</f>
        <v>-0.55600000000000005</v>
      </c>
      <c r="L62" s="137">
        <f t="shared" si="0"/>
        <v>-126</v>
      </c>
      <c r="M62" s="138">
        <f t="shared" si="1"/>
        <v>-149.00000000000003</v>
      </c>
      <c r="N62" s="137">
        <f t="shared" si="2"/>
        <v>-166.00000000000003</v>
      </c>
      <c r="O62" s="137"/>
      <c r="P62" s="145"/>
      <c r="Q62" s="144"/>
      <c r="R62" s="143"/>
      <c r="S62" s="142"/>
      <c r="T62" s="142"/>
    </row>
    <row r="63" spans="1:20">
      <c r="A63" s="76">
        <f>'BC.114+840'!B62</f>
        <v>45319</v>
      </c>
      <c r="B63" s="137">
        <v>49</v>
      </c>
      <c r="C63" s="139">
        <f>'BC.114+840'!M62/1000</f>
        <v>0.94399999999999995</v>
      </c>
      <c r="D63" s="139">
        <f>'BC.114+840'!AA62</f>
        <v>1.4489999999999998</v>
      </c>
      <c r="E63" s="140">
        <f>'BC.114+840'!AB62</f>
        <v>0.68799999999999994</v>
      </c>
      <c r="F63" s="139">
        <f>VLOOKUP($A63,'BC.114+840'!$B$13:$X$470,8,0)/1000</f>
        <v>1.79</v>
      </c>
      <c r="G63" s="139">
        <f>VLOOKUP($A63,'BC.114+840'!$B$13:$X$470,9,0)/1000</f>
        <v>-0.21</v>
      </c>
      <c r="H63" s="139">
        <f>VLOOKUP($A63,'BC.114+840'!$B$13:$X$470,14,0)/1000</f>
        <v>1.944</v>
      </c>
      <c r="I63" s="139">
        <f>VLOOKUP($A63,'BC.114+840'!$B$13:$X$470,15,0)/1000</f>
        <v>-5.6000000000000001E-2</v>
      </c>
      <c r="J63" s="139">
        <f>VLOOKUP($A63,'BC.114+840'!$B$13:$X$470,20,0)/1000</f>
        <v>1.44</v>
      </c>
      <c r="K63" s="139">
        <f>VLOOKUP($A63,'BC.114+840'!$B$13:$X$470,21,0)/1000</f>
        <v>-0.56000000000000005</v>
      </c>
      <c r="L63" s="137">
        <f t="shared" si="0"/>
        <v>-130</v>
      </c>
      <c r="M63" s="138">
        <f t="shared" si="1"/>
        <v>-156</v>
      </c>
      <c r="N63" s="137">
        <f t="shared" si="2"/>
        <v>-170.00000000000003</v>
      </c>
      <c r="O63" s="137"/>
      <c r="P63" s="145"/>
      <c r="Q63" s="144"/>
      <c r="R63" s="143"/>
      <c r="S63" s="142"/>
      <c r="T63" s="142"/>
    </row>
    <row r="64" spans="1:20">
      <c r="A64" s="76">
        <f>'BC.114+840'!B63</f>
        <v>45320</v>
      </c>
      <c r="B64" s="137">
        <v>50</v>
      </c>
      <c r="C64" s="139">
        <f>'BC.114+840'!M63/1000</f>
        <v>0.93899999999999995</v>
      </c>
      <c r="D64" s="139">
        <f>'BC.114+840'!AA63</f>
        <v>1.4489999999999998</v>
      </c>
      <c r="E64" s="140">
        <f>'BC.114+840'!AB63</f>
        <v>0.67800000000000005</v>
      </c>
      <c r="F64" s="139">
        <f>VLOOKUP($A64,'BC.114+840'!$B$13:$X$470,8,0)/1000</f>
        <v>1.7829999999999999</v>
      </c>
      <c r="G64" s="139">
        <f>VLOOKUP($A64,'BC.114+840'!$B$13:$X$470,9,0)/1000</f>
        <v>-0.217</v>
      </c>
      <c r="H64" s="139">
        <f>VLOOKUP($A64,'BC.114+840'!$B$13:$X$470,14,0)/1000</f>
        <v>1.9390000000000001</v>
      </c>
      <c r="I64" s="139">
        <f>VLOOKUP($A64,'BC.114+840'!$B$13:$X$470,15,0)/1000</f>
        <v>-6.0999999999999999E-2</v>
      </c>
      <c r="J64" s="139">
        <f>VLOOKUP($A64,'BC.114+840'!$B$13:$X$470,20,0)/1000</f>
        <v>1.4370000000000001</v>
      </c>
      <c r="K64" s="139">
        <f>VLOOKUP($A64,'BC.114+840'!$B$13:$X$470,21,0)/1000</f>
        <v>-0.56299999999999994</v>
      </c>
      <c r="L64" s="137">
        <f t="shared" si="0"/>
        <v>-137</v>
      </c>
      <c r="M64" s="138">
        <f t="shared" si="1"/>
        <v>-161</v>
      </c>
      <c r="N64" s="137">
        <f t="shared" si="2"/>
        <v>-172.99999999999994</v>
      </c>
      <c r="O64" s="137"/>
      <c r="P64" s="145"/>
      <c r="Q64" s="144"/>
      <c r="R64" s="143"/>
      <c r="S64" s="142"/>
      <c r="T64" s="142"/>
    </row>
    <row r="65" spans="1:20">
      <c r="A65" s="76">
        <f>'BC.114+840'!B64</f>
        <v>45321</v>
      </c>
      <c r="B65" s="137">
        <v>51</v>
      </c>
      <c r="C65" s="139">
        <f>'BC.114+840'!M64/1000</f>
        <v>0.93700000000000006</v>
      </c>
      <c r="D65" s="139">
        <f>'BC.114+840'!AA64</f>
        <v>1.4489999999999998</v>
      </c>
      <c r="E65" s="140">
        <f>'BC.114+840'!AB64</f>
        <v>0.67400000000000004</v>
      </c>
      <c r="F65" s="139">
        <f>VLOOKUP($A65,'BC.114+840'!$B$13:$X$470,8,0)/1000</f>
        <v>1.778</v>
      </c>
      <c r="G65" s="139">
        <f>VLOOKUP($A65,'BC.114+840'!$B$13:$X$470,9,0)/1000</f>
        <v>-0.222</v>
      </c>
      <c r="H65" s="139">
        <f>VLOOKUP($A65,'BC.114+840'!$B$13:$X$470,14,0)/1000</f>
        <v>1.9370000000000001</v>
      </c>
      <c r="I65" s="139">
        <f>VLOOKUP($A65,'BC.114+840'!$B$13:$X$470,15,0)/1000</f>
        <v>-6.3E-2</v>
      </c>
      <c r="J65" s="139">
        <f>VLOOKUP($A65,'BC.114+840'!$B$13:$X$470,20,0)/1000</f>
        <v>1.4350000000000001</v>
      </c>
      <c r="K65" s="139">
        <f>VLOOKUP($A65,'BC.114+840'!$B$13:$X$470,21,0)/1000</f>
        <v>-0.56499999999999995</v>
      </c>
      <c r="L65" s="137">
        <f t="shared" si="0"/>
        <v>-142.00000000000003</v>
      </c>
      <c r="M65" s="138">
        <f t="shared" si="1"/>
        <v>-163</v>
      </c>
      <c r="N65" s="137">
        <f t="shared" si="2"/>
        <v>-174.99999999999994</v>
      </c>
      <c r="O65" s="137"/>
      <c r="P65" s="145"/>
      <c r="Q65" s="144"/>
      <c r="R65" s="143"/>
      <c r="S65" s="142"/>
      <c r="T65" s="142"/>
    </row>
    <row r="66" spans="1:20">
      <c r="A66" s="76">
        <f>'BC.114+840'!B65</f>
        <v>45322</v>
      </c>
      <c r="B66" s="137">
        <v>52</v>
      </c>
      <c r="C66" s="139">
        <f>'BC.114+840'!M65/1000</f>
        <v>0.93300000000000005</v>
      </c>
      <c r="D66" s="139">
        <f>'BC.114+840'!AA65</f>
        <v>1.4489999999999998</v>
      </c>
      <c r="E66" s="140">
        <f>'BC.114+840'!AB65</f>
        <v>0.66600000000000004</v>
      </c>
      <c r="F66" s="139">
        <f>VLOOKUP($A66,'BC.114+840'!$B$13:$X$470,8,0)/1000</f>
        <v>1.776</v>
      </c>
      <c r="G66" s="139">
        <f>VLOOKUP($A66,'BC.114+840'!$B$13:$X$470,9,0)/1000</f>
        <v>-0.224</v>
      </c>
      <c r="H66" s="139">
        <f>VLOOKUP($A66,'BC.114+840'!$B$13:$X$470,14,0)/1000</f>
        <v>1.9330000000000001</v>
      </c>
      <c r="I66" s="139">
        <f>VLOOKUP($A66,'BC.114+840'!$B$13:$X$470,15,0)/1000</f>
        <v>-6.7000000000000004E-2</v>
      </c>
      <c r="J66" s="139">
        <f>VLOOKUP($A66,'BC.114+840'!$B$13:$X$470,20,0)/1000</f>
        <v>1.4339999999999999</v>
      </c>
      <c r="K66" s="139">
        <f>VLOOKUP($A66,'BC.114+840'!$B$13:$X$470,21,0)/1000</f>
        <v>-0.56599999999999995</v>
      </c>
      <c r="L66" s="137">
        <f t="shared" si="0"/>
        <v>-144.00000000000003</v>
      </c>
      <c r="M66" s="138">
        <f t="shared" si="1"/>
        <v>-167</v>
      </c>
      <c r="N66" s="137">
        <f t="shared" si="2"/>
        <v>-175.99999999999994</v>
      </c>
      <c r="O66" s="137"/>
      <c r="P66" s="145"/>
      <c r="Q66" s="144"/>
      <c r="R66" s="143"/>
      <c r="S66" s="142"/>
      <c r="T66" s="142"/>
    </row>
    <row r="67" spans="1:20">
      <c r="A67" s="76">
        <f>'BC.114+840'!B66</f>
        <v>45323</v>
      </c>
      <c r="B67" s="137">
        <v>53</v>
      </c>
      <c r="C67" s="139">
        <f>'BC.114+840'!M66/1000</f>
        <v>0.92600000000000005</v>
      </c>
      <c r="D67" s="139">
        <f>'BC.114+840'!AA66</f>
        <v>1.4489999999999998</v>
      </c>
      <c r="E67" s="140">
        <f>'BC.114+840'!AB66</f>
        <v>0.65200000000000002</v>
      </c>
      <c r="F67" s="139">
        <f>VLOOKUP($A67,'BC.114+840'!$B$13:$X$470,8,0)/1000</f>
        <v>1.772</v>
      </c>
      <c r="G67" s="139">
        <f>VLOOKUP($A67,'BC.114+840'!$B$13:$X$470,9,0)/1000</f>
        <v>-0.22800000000000001</v>
      </c>
      <c r="H67" s="139">
        <f>VLOOKUP($A67,'BC.114+840'!$B$13:$X$470,14,0)/1000</f>
        <v>1.9259999999999999</v>
      </c>
      <c r="I67" s="139">
        <f>VLOOKUP($A67,'BC.114+840'!$B$13:$X$470,15,0)/1000</f>
        <v>-7.3999999999999996E-2</v>
      </c>
      <c r="J67" s="139">
        <f>VLOOKUP($A67,'BC.114+840'!$B$13:$X$470,20,0)/1000</f>
        <v>1.4339999999999999</v>
      </c>
      <c r="K67" s="139">
        <f>VLOOKUP($A67,'BC.114+840'!$B$13:$X$470,21,0)/1000</f>
        <v>-0.56599999999999995</v>
      </c>
      <c r="L67" s="137">
        <f t="shared" si="0"/>
        <v>-148.00000000000003</v>
      </c>
      <c r="M67" s="138">
        <f t="shared" si="1"/>
        <v>-174</v>
      </c>
      <c r="N67" s="137">
        <f t="shared" si="2"/>
        <v>-175.99999999999994</v>
      </c>
      <c r="O67" s="137"/>
      <c r="P67" s="145"/>
      <c r="Q67" s="144"/>
      <c r="R67" s="143"/>
      <c r="S67" s="142"/>
      <c r="T67" s="142"/>
    </row>
    <row r="68" spans="1:20">
      <c r="A68" s="76">
        <f>'BC.114+840'!B67</f>
        <v>45324</v>
      </c>
      <c r="B68" s="137">
        <v>54</v>
      </c>
      <c r="C68" s="139">
        <f>'BC.114+840'!M67/1000</f>
        <v>0.92100000000000004</v>
      </c>
      <c r="D68" s="139">
        <f>'BC.114+840'!AA67</f>
        <v>1.4489999999999998</v>
      </c>
      <c r="E68" s="140">
        <f>'BC.114+840'!AB67</f>
        <v>0.64200000000000002</v>
      </c>
      <c r="F68" s="139">
        <f>VLOOKUP($A68,'BC.114+840'!$B$13:$X$470,8,0)/1000</f>
        <v>1.77</v>
      </c>
      <c r="G68" s="139">
        <f>VLOOKUP($A68,'BC.114+840'!$B$13:$X$470,9,0)/1000</f>
        <v>-0.23</v>
      </c>
      <c r="H68" s="139">
        <f>VLOOKUP($A68,'BC.114+840'!$B$13:$X$470,14,0)/1000</f>
        <v>1.921</v>
      </c>
      <c r="I68" s="139">
        <f>VLOOKUP($A68,'BC.114+840'!$B$13:$X$470,15,0)/1000</f>
        <v>-7.9000000000000001E-2</v>
      </c>
      <c r="J68" s="139">
        <f>VLOOKUP($A68,'BC.114+840'!$B$13:$X$470,20,0)/1000</f>
        <v>1.4330000000000001</v>
      </c>
      <c r="K68" s="139">
        <f>VLOOKUP($A68,'BC.114+840'!$B$13:$X$470,21,0)/1000</f>
        <v>-0.56699999999999995</v>
      </c>
      <c r="L68" s="137">
        <f t="shared" si="0"/>
        <v>-150.00000000000003</v>
      </c>
      <c r="M68" s="138">
        <f t="shared" si="1"/>
        <v>-179</v>
      </c>
      <c r="N68" s="137">
        <f t="shared" si="2"/>
        <v>-176.99999999999994</v>
      </c>
      <c r="O68" s="137"/>
      <c r="P68" s="145"/>
      <c r="Q68" s="144"/>
      <c r="R68" s="143"/>
      <c r="S68" s="142"/>
      <c r="T68" s="142"/>
    </row>
    <row r="69" spans="1:20">
      <c r="A69" s="76">
        <f>'BC.114+840'!B68</f>
        <v>45325</v>
      </c>
      <c r="B69" s="137">
        <v>55</v>
      </c>
      <c r="C69" s="139">
        <f>'BC.114+840'!M68/1000</f>
        <v>0.91700000000000004</v>
      </c>
      <c r="D69" s="139">
        <f>'BC.114+840'!AA68</f>
        <v>1.4489999999999998</v>
      </c>
      <c r="E69" s="140">
        <f>'BC.114+840'!AB68</f>
        <v>0.63400000000000001</v>
      </c>
      <c r="F69" s="139">
        <f>VLOOKUP($A69,'BC.114+840'!$B$13:$X$470,8,0)/1000</f>
        <v>1.766</v>
      </c>
      <c r="G69" s="139">
        <f>VLOOKUP($A69,'BC.114+840'!$B$13:$X$470,9,0)/1000</f>
        <v>-0.23400000000000001</v>
      </c>
      <c r="H69" s="139">
        <f>VLOOKUP($A69,'BC.114+840'!$B$13:$X$470,14,0)/1000</f>
        <v>1.917</v>
      </c>
      <c r="I69" s="139">
        <f>VLOOKUP($A69,'BC.114+840'!$B$13:$X$470,15,0)/1000</f>
        <v>-8.3000000000000004E-2</v>
      </c>
      <c r="J69" s="139">
        <f>VLOOKUP($A69,'BC.114+840'!$B$13:$X$470,20,0)/1000</f>
        <v>1.4330000000000001</v>
      </c>
      <c r="K69" s="139">
        <f>VLOOKUP($A69,'BC.114+840'!$B$13:$X$470,21,0)/1000</f>
        <v>-0.56699999999999995</v>
      </c>
      <c r="L69" s="137">
        <f t="shared" si="0"/>
        <v>-154.00000000000003</v>
      </c>
      <c r="M69" s="138">
        <f t="shared" si="1"/>
        <v>-183</v>
      </c>
      <c r="N69" s="137">
        <f t="shared" si="2"/>
        <v>-176.99999999999994</v>
      </c>
      <c r="O69" s="137"/>
      <c r="P69" s="145"/>
      <c r="Q69" s="144"/>
      <c r="R69" s="143"/>
      <c r="S69" s="142"/>
      <c r="T69" s="142"/>
    </row>
    <row r="70" spans="1:20">
      <c r="A70" s="76">
        <f>'BC.114+840'!B69</f>
        <v>45326</v>
      </c>
      <c r="B70" s="137">
        <v>56</v>
      </c>
      <c r="C70" s="139">
        <f>'BC.114+840'!M69/1000</f>
        <v>0.90900000000000003</v>
      </c>
      <c r="D70" s="139">
        <f>'BC.114+840'!AA69</f>
        <v>1.4489999999999998</v>
      </c>
      <c r="E70" s="140">
        <f>'BC.114+840'!AB69</f>
        <v>0.61799999999999999</v>
      </c>
      <c r="F70" s="139">
        <f>VLOOKUP($A70,'BC.114+840'!$B$13:$X$470,8,0)/1000</f>
        <v>1.764</v>
      </c>
      <c r="G70" s="139">
        <f>VLOOKUP($A70,'BC.114+840'!$B$13:$X$470,9,0)/1000</f>
        <v>-0.23599999999999999</v>
      </c>
      <c r="H70" s="139">
        <f>VLOOKUP($A70,'BC.114+840'!$B$13:$X$470,14,0)/1000</f>
        <v>1.909</v>
      </c>
      <c r="I70" s="139">
        <f>VLOOKUP($A70,'BC.114+840'!$B$13:$X$470,15,0)/1000</f>
        <v>-9.0999999999999998E-2</v>
      </c>
      <c r="J70" s="139">
        <f>VLOOKUP($A70,'BC.114+840'!$B$13:$X$470,20,0)/1000</f>
        <v>1.4319999999999999</v>
      </c>
      <c r="K70" s="139">
        <f>VLOOKUP($A70,'BC.114+840'!$B$13:$X$470,21,0)/1000</f>
        <v>-0.56799999999999995</v>
      </c>
      <c r="L70" s="137">
        <f t="shared" si="0"/>
        <v>-155.99999999999997</v>
      </c>
      <c r="M70" s="138">
        <f t="shared" si="1"/>
        <v>-191</v>
      </c>
      <c r="N70" s="137">
        <f t="shared" si="2"/>
        <v>-177.99999999999994</v>
      </c>
      <c r="O70" s="137"/>
      <c r="P70" s="145"/>
      <c r="Q70" s="144"/>
      <c r="R70" s="143"/>
      <c r="S70" s="142"/>
      <c r="T70" s="142"/>
    </row>
    <row r="71" spans="1:20">
      <c r="A71" s="76">
        <f>'BC.114+840'!B70</f>
        <v>45327</v>
      </c>
      <c r="B71" s="137">
        <v>57</v>
      </c>
      <c r="C71" s="139">
        <f>'BC.114+840'!M70/1000</f>
        <v>0.90700000000000003</v>
      </c>
      <c r="D71" s="139">
        <f>'BC.114+840'!AA70</f>
        <v>1.4489999999999998</v>
      </c>
      <c r="E71" s="140">
        <f>'BC.114+840'!AB70</f>
        <v>0.61399999999999999</v>
      </c>
      <c r="F71" s="139">
        <f>VLOOKUP($A71,'BC.114+840'!$B$13:$X$470,8,0)/1000</f>
        <v>1.76</v>
      </c>
      <c r="G71" s="139">
        <f>VLOOKUP($A71,'BC.114+840'!$B$13:$X$470,9,0)/1000</f>
        <v>-0.24</v>
      </c>
      <c r="H71" s="139">
        <f>VLOOKUP($A71,'BC.114+840'!$B$13:$X$470,14,0)/1000</f>
        <v>1.907</v>
      </c>
      <c r="I71" s="139">
        <f>VLOOKUP($A71,'BC.114+840'!$B$13:$X$470,15,0)/1000</f>
        <v>-9.2999999999999999E-2</v>
      </c>
      <c r="J71" s="139">
        <f>VLOOKUP($A71,'BC.114+840'!$B$13:$X$470,20,0)/1000</f>
        <v>1.4319999999999999</v>
      </c>
      <c r="K71" s="139">
        <f>VLOOKUP($A71,'BC.114+840'!$B$13:$X$470,21,0)/1000</f>
        <v>-0.56799999999999995</v>
      </c>
      <c r="L71" s="137">
        <f t="shared" si="0"/>
        <v>-159.99999999999997</v>
      </c>
      <c r="M71" s="138">
        <f t="shared" si="1"/>
        <v>-193</v>
      </c>
      <c r="N71" s="137">
        <f t="shared" si="2"/>
        <v>-177.99999999999994</v>
      </c>
      <c r="O71" s="137"/>
      <c r="P71" s="145"/>
      <c r="Q71" s="144"/>
      <c r="R71" s="143"/>
      <c r="S71" s="142"/>
      <c r="T71" s="142"/>
    </row>
    <row r="72" spans="1:20">
      <c r="A72" s="76">
        <f>'BC.114+840'!B71</f>
        <v>45328</v>
      </c>
      <c r="B72" s="137">
        <v>58</v>
      </c>
      <c r="C72" s="139">
        <f>'BC.114+840'!M71/1000</f>
        <v>0.90300000000000002</v>
      </c>
      <c r="D72" s="139">
        <f>'BC.114+840'!AA71</f>
        <v>1.4489999999999998</v>
      </c>
      <c r="E72" s="140">
        <f>'BC.114+840'!AB71</f>
        <v>0.60599999999999998</v>
      </c>
      <c r="F72" s="139">
        <f>VLOOKUP($A72,'BC.114+840'!$B$13:$X$470,8,0)/1000</f>
        <v>1.758</v>
      </c>
      <c r="G72" s="139">
        <f>VLOOKUP($A72,'BC.114+840'!$B$13:$X$470,9,0)/1000</f>
        <v>-0.24199999999999999</v>
      </c>
      <c r="H72" s="139">
        <f>VLOOKUP($A72,'BC.114+840'!$B$13:$X$470,14,0)/1000</f>
        <v>1.903</v>
      </c>
      <c r="I72" s="139">
        <f>VLOOKUP($A72,'BC.114+840'!$B$13:$X$470,15,0)/1000</f>
        <v>-9.7000000000000003E-2</v>
      </c>
      <c r="J72" s="139">
        <f>VLOOKUP($A72,'BC.114+840'!$B$13:$X$470,20,0)/1000</f>
        <v>1.431</v>
      </c>
      <c r="K72" s="139">
        <f>VLOOKUP($A72,'BC.114+840'!$B$13:$X$470,21,0)/1000</f>
        <v>-0.56899999999999995</v>
      </c>
      <c r="L72" s="137">
        <f t="shared" si="0"/>
        <v>-161.99999999999997</v>
      </c>
      <c r="M72" s="138">
        <f t="shared" si="1"/>
        <v>-197</v>
      </c>
      <c r="N72" s="137">
        <f t="shared" si="2"/>
        <v>-178.99999999999994</v>
      </c>
      <c r="O72" s="137"/>
      <c r="P72" s="145"/>
      <c r="Q72" s="144"/>
      <c r="R72" s="143"/>
      <c r="S72" s="142"/>
      <c r="T72" s="142"/>
    </row>
    <row r="73" spans="1:20">
      <c r="A73" s="76">
        <f>'BC.114+840'!B72</f>
        <v>45329</v>
      </c>
      <c r="B73" s="137">
        <v>59</v>
      </c>
      <c r="C73" s="139">
        <f>'BC.114+840'!M72/1000</f>
        <v>0.89600000000000002</v>
      </c>
      <c r="D73" s="139">
        <f>'BC.114+840'!AA72</f>
        <v>1.4489999999999998</v>
      </c>
      <c r="E73" s="140">
        <f>'BC.114+840'!AB72</f>
        <v>0.59199999999999997</v>
      </c>
      <c r="F73" s="139">
        <f>VLOOKUP($A73,'BC.114+840'!$B$13:$X$470,8,0)/1000</f>
        <v>1.754</v>
      </c>
      <c r="G73" s="139">
        <f>VLOOKUP($A73,'BC.114+840'!$B$13:$X$470,9,0)/1000</f>
        <v>-0.246</v>
      </c>
      <c r="H73" s="139">
        <f>VLOOKUP($A73,'BC.114+840'!$B$13:$X$470,14,0)/1000</f>
        <v>1.8959999999999999</v>
      </c>
      <c r="I73" s="139">
        <f>VLOOKUP($A73,'BC.114+840'!$B$13:$X$470,15,0)/1000</f>
        <v>-0.104</v>
      </c>
      <c r="J73" s="139">
        <f>VLOOKUP($A73,'BC.114+840'!$B$13:$X$470,20,0)/1000</f>
        <v>1.43</v>
      </c>
      <c r="K73" s="139">
        <f>VLOOKUP($A73,'BC.114+840'!$B$13:$X$470,21,0)/1000</f>
        <v>-0.56999999999999995</v>
      </c>
      <c r="L73" s="137">
        <f t="shared" si="0"/>
        <v>-165.99999999999997</v>
      </c>
      <c r="M73" s="138">
        <f t="shared" si="1"/>
        <v>-204.00000000000003</v>
      </c>
      <c r="N73" s="137">
        <f t="shared" si="2"/>
        <v>-179.99999999999994</v>
      </c>
      <c r="O73" s="137"/>
      <c r="P73" s="145"/>
      <c r="Q73" s="144"/>
      <c r="R73" s="143"/>
      <c r="S73" s="142"/>
      <c r="T73" s="142"/>
    </row>
    <row r="74" spans="1:20">
      <c r="A74" s="76">
        <f>'BC.114+840'!B73</f>
        <v>45330</v>
      </c>
      <c r="B74" s="137">
        <v>60</v>
      </c>
      <c r="C74" s="139">
        <f>'BC.114+840'!M73/1000</f>
        <v>0.89100000000000001</v>
      </c>
      <c r="D74" s="139">
        <f>'BC.114+840'!AA73</f>
        <v>1.4489999999999998</v>
      </c>
      <c r="E74" s="140">
        <f>'BC.114+840'!AB73</f>
        <v>0.58199999999999996</v>
      </c>
      <c r="F74" s="139">
        <f>VLOOKUP($A74,'BC.114+840'!$B$13:$X$470,8,0)/1000</f>
        <v>1.7470000000000001</v>
      </c>
      <c r="G74" s="139">
        <f>VLOOKUP($A74,'BC.114+840'!$B$13:$X$470,9,0)/1000</f>
        <v>-0.253</v>
      </c>
      <c r="H74" s="139">
        <f>VLOOKUP($A74,'BC.114+840'!$B$13:$X$470,14,0)/1000</f>
        <v>1.891</v>
      </c>
      <c r="I74" s="139">
        <f>VLOOKUP($A74,'BC.114+840'!$B$13:$X$470,15,0)/1000</f>
        <v>-0.109</v>
      </c>
      <c r="J74" s="139">
        <f>VLOOKUP($A74,'BC.114+840'!$B$13:$X$470,20,0)/1000</f>
        <v>1.43</v>
      </c>
      <c r="K74" s="139">
        <f>VLOOKUP($A74,'BC.114+840'!$B$13:$X$470,21,0)/1000</f>
        <v>-0.56999999999999995</v>
      </c>
      <c r="L74" s="137">
        <f t="shared" si="0"/>
        <v>-173</v>
      </c>
      <c r="M74" s="138">
        <f t="shared" si="1"/>
        <v>-209.00000000000003</v>
      </c>
      <c r="N74" s="137">
        <f t="shared" si="2"/>
        <v>-179.99999999999994</v>
      </c>
      <c r="O74" s="137"/>
      <c r="P74" s="145"/>
      <c r="Q74" s="144"/>
      <c r="R74" s="143"/>
      <c r="S74" s="142"/>
      <c r="T74" s="142"/>
    </row>
    <row r="75" spans="1:20">
      <c r="A75" s="76">
        <f>'BC.114+840'!B74</f>
        <v>45331</v>
      </c>
      <c r="B75" s="137">
        <v>61</v>
      </c>
      <c r="C75" s="139">
        <f>'BC.114+840'!M74/1000</f>
        <v>0.88900000000000001</v>
      </c>
      <c r="D75" s="139">
        <f>'BC.114+840'!AA74</f>
        <v>1.4489999999999998</v>
      </c>
      <c r="E75" s="140">
        <f>'BC.114+840'!AB74</f>
        <v>0.57799999999999996</v>
      </c>
      <c r="F75" s="139">
        <f>VLOOKUP($A75,'BC.114+840'!$B$13:$X$470,8,0)/1000</f>
        <v>1.742</v>
      </c>
      <c r="G75" s="139">
        <f>VLOOKUP($A75,'BC.114+840'!$B$13:$X$470,9,0)/1000</f>
        <v>-0.25800000000000001</v>
      </c>
      <c r="H75" s="139">
        <f>VLOOKUP($A75,'BC.114+840'!$B$13:$X$470,14,0)/1000</f>
        <v>1.889</v>
      </c>
      <c r="I75" s="139">
        <f>VLOOKUP($A75,'BC.114+840'!$B$13:$X$470,15,0)/1000</f>
        <v>-0.111</v>
      </c>
      <c r="J75" s="139">
        <f>VLOOKUP($A75,'BC.114+840'!$B$13:$X$470,20,0)/1000</f>
        <v>1.429</v>
      </c>
      <c r="K75" s="139">
        <f>VLOOKUP($A75,'BC.114+840'!$B$13:$X$470,21,0)/1000</f>
        <v>-0.57099999999999995</v>
      </c>
      <c r="L75" s="137">
        <f t="shared" si="0"/>
        <v>-178</v>
      </c>
      <c r="M75" s="138">
        <f t="shared" si="1"/>
        <v>-211.00000000000003</v>
      </c>
      <c r="N75" s="137">
        <f t="shared" si="2"/>
        <v>-180.99999999999994</v>
      </c>
      <c r="O75" s="137"/>
      <c r="P75" s="145"/>
      <c r="Q75" s="144"/>
      <c r="R75" s="143"/>
      <c r="S75" s="142"/>
      <c r="T75" s="142"/>
    </row>
    <row r="76" spans="1:20">
      <c r="A76" s="76">
        <f>'BC.114+840'!B75</f>
        <v>45332</v>
      </c>
      <c r="B76" s="137">
        <v>62</v>
      </c>
      <c r="C76" s="139">
        <f>'BC.114+840'!M75/1000</f>
        <v>0.88700000000000001</v>
      </c>
      <c r="D76" s="139">
        <f>'BC.114+840'!AA75</f>
        <v>1.4489999999999998</v>
      </c>
      <c r="E76" s="140">
        <f>'BC.114+840'!AB75</f>
        <v>0.57399999999999995</v>
      </c>
      <c r="F76" s="139">
        <f>VLOOKUP($A76,'BC.114+840'!$B$13:$X$470,8,0)/1000</f>
        <v>1.74</v>
      </c>
      <c r="G76" s="139">
        <f>VLOOKUP($A76,'BC.114+840'!$B$13:$X$470,9,0)/1000</f>
        <v>-0.26</v>
      </c>
      <c r="H76" s="139">
        <f>VLOOKUP($A76,'BC.114+840'!$B$13:$X$470,14,0)/1000</f>
        <v>1.887</v>
      </c>
      <c r="I76" s="139">
        <f>VLOOKUP($A76,'BC.114+840'!$B$13:$X$470,15,0)/1000</f>
        <v>-0.113</v>
      </c>
      <c r="J76" s="139">
        <f>VLOOKUP($A76,'BC.114+840'!$B$13:$X$470,20,0)/1000</f>
        <v>1.4279999999999999</v>
      </c>
      <c r="K76" s="139">
        <f>VLOOKUP($A76,'BC.114+840'!$B$13:$X$470,21,0)/1000</f>
        <v>-0.57199999999999995</v>
      </c>
      <c r="L76" s="137">
        <f t="shared" si="0"/>
        <v>-180</v>
      </c>
      <c r="M76" s="138">
        <f t="shared" si="1"/>
        <v>-213.00000000000003</v>
      </c>
      <c r="N76" s="137">
        <f t="shared" si="2"/>
        <v>-181.99999999999994</v>
      </c>
      <c r="O76" s="137"/>
      <c r="P76" s="145"/>
      <c r="Q76" s="144"/>
      <c r="R76" s="143"/>
      <c r="S76" s="142"/>
      <c r="T76" s="142"/>
    </row>
    <row r="77" spans="1:20">
      <c r="A77" s="76">
        <f>'BC.114+840'!B76</f>
        <v>45333</v>
      </c>
      <c r="B77" s="137">
        <v>63</v>
      </c>
      <c r="C77" s="139">
        <f>'BC.114+840'!M76/1000</f>
        <v>0.88300000000000001</v>
      </c>
      <c r="D77" s="139">
        <f>'BC.114+840'!AA76</f>
        <v>1.4489999999999998</v>
      </c>
      <c r="E77" s="140">
        <f>'BC.114+840'!AB76</f>
        <v>0.56599999999999995</v>
      </c>
      <c r="F77" s="139">
        <f>VLOOKUP($A77,'BC.114+840'!$B$13:$X$470,8,0)/1000</f>
        <v>1.736</v>
      </c>
      <c r="G77" s="139">
        <f>VLOOKUP($A77,'BC.114+840'!$B$13:$X$470,9,0)/1000</f>
        <v>-0.26400000000000001</v>
      </c>
      <c r="H77" s="139">
        <f>VLOOKUP($A77,'BC.114+840'!$B$13:$X$470,14,0)/1000</f>
        <v>1.883</v>
      </c>
      <c r="I77" s="139">
        <f>VLOOKUP($A77,'BC.114+840'!$B$13:$X$470,15,0)/1000</f>
        <v>-0.11700000000000001</v>
      </c>
      <c r="J77" s="139">
        <f>VLOOKUP($A77,'BC.114+840'!$B$13:$X$470,20,0)/1000</f>
        <v>1.4279999999999999</v>
      </c>
      <c r="K77" s="139">
        <f>VLOOKUP($A77,'BC.114+840'!$B$13:$X$470,21,0)/1000</f>
        <v>-0.57199999999999995</v>
      </c>
      <c r="L77" s="137">
        <f t="shared" si="0"/>
        <v>-184</v>
      </c>
      <c r="M77" s="138">
        <f t="shared" si="1"/>
        <v>-217.00000000000003</v>
      </c>
      <c r="N77" s="137">
        <f t="shared" si="2"/>
        <v>-181.99999999999994</v>
      </c>
      <c r="O77" s="137"/>
    </row>
    <row r="78" spans="1:20">
      <c r="A78" s="76">
        <f>'BC.114+840'!B77</f>
        <v>45334</v>
      </c>
      <c r="B78" s="137">
        <v>64</v>
      </c>
      <c r="C78" s="139">
        <f>'BC.114+840'!M77/1000</f>
        <v>0.876</v>
      </c>
      <c r="D78" s="139">
        <f>'BC.114+840'!AA77</f>
        <v>1.4489999999999998</v>
      </c>
      <c r="E78" s="140">
        <f>'BC.114+840'!AB77</f>
        <v>0.55200000000000005</v>
      </c>
      <c r="F78" s="139">
        <f>VLOOKUP($A78,'BC.114+840'!$B$13:$X$470,8,0)/1000</f>
        <v>1.734</v>
      </c>
      <c r="G78" s="139">
        <f>VLOOKUP($A78,'BC.114+840'!$B$13:$X$470,9,0)/1000</f>
        <v>-0.26600000000000001</v>
      </c>
      <c r="H78" s="139">
        <f>VLOOKUP($A78,'BC.114+840'!$B$13:$X$470,14,0)/1000</f>
        <v>1.8759999999999999</v>
      </c>
      <c r="I78" s="139">
        <f>VLOOKUP($A78,'BC.114+840'!$B$13:$X$470,15,0)/1000</f>
        <v>-0.124</v>
      </c>
      <c r="J78" s="139">
        <f>VLOOKUP($A78,'BC.114+840'!$B$13:$X$470,20,0)/1000</f>
        <v>1.4279999999999999</v>
      </c>
      <c r="K78" s="139">
        <f>VLOOKUP($A78,'BC.114+840'!$B$13:$X$470,21,0)/1000</f>
        <v>-0.57199999999999995</v>
      </c>
      <c r="L78" s="137">
        <f t="shared" ref="L78:L141" si="3">(G78-$G$14)*1000</f>
        <v>-186</v>
      </c>
      <c r="M78" s="138">
        <f t="shared" ref="M78:M141" si="4">(I78-$I$14)*1000</f>
        <v>-224</v>
      </c>
      <c r="N78" s="137">
        <f t="shared" si="2"/>
        <v>-181.99999999999994</v>
      </c>
      <c r="O78" s="137"/>
    </row>
    <row r="79" spans="1:20">
      <c r="A79" s="76">
        <f>'BC.114+840'!B78</f>
        <v>45335</v>
      </c>
      <c r="B79" s="137">
        <v>65</v>
      </c>
      <c r="C79" s="139">
        <f>'BC.114+840'!M78/1000</f>
        <v>0.871</v>
      </c>
      <c r="D79" s="139">
        <f>'BC.114+840'!AA78</f>
        <v>1.4489999999999998</v>
      </c>
      <c r="E79" s="140">
        <f>'BC.114+840'!AB78</f>
        <v>0.54200000000000004</v>
      </c>
      <c r="F79" s="139">
        <f>VLOOKUP($A79,'BC.114+840'!$B$13:$X$470,8,0)/1000</f>
        <v>1.73</v>
      </c>
      <c r="G79" s="139">
        <f>VLOOKUP($A79,'BC.114+840'!$B$13:$X$470,9,0)/1000</f>
        <v>-0.27</v>
      </c>
      <c r="H79" s="139">
        <f>VLOOKUP($A79,'BC.114+840'!$B$13:$X$470,14,0)/1000</f>
        <v>1.871</v>
      </c>
      <c r="I79" s="139">
        <f>VLOOKUP($A79,'BC.114+840'!$B$13:$X$470,15,0)/1000</f>
        <v>-0.129</v>
      </c>
      <c r="J79" s="139">
        <f>VLOOKUP($A79,'BC.114+840'!$B$13:$X$470,20,0)/1000</f>
        <v>1.427</v>
      </c>
      <c r="K79" s="139">
        <f>VLOOKUP($A79,'BC.114+840'!$B$13:$X$470,21,0)/1000</f>
        <v>-0.57299999999999995</v>
      </c>
      <c r="L79" s="137">
        <f t="shared" si="3"/>
        <v>-190</v>
      </c>
      <c r="M79" s="138">
        <f t="shared" si="4"/>
        <v>-229</v>
      </c>
      <c r="N79" s="137">
        <f t="shared" ref="N79:N142" si="5">(K79-$K$14)*1000</f>
        <v>-182.99999999999994</v>
      </c>
      <c r="O79" s="137"/>
    </row>
    <row r="80" spans="1:20">
      <c r="A80" s="76">
        <f>'BC.114+840'!B79</f>
        <v>45336</v>
      </c>
      <c r="B80" s="137">
        <v>66</v>
      </c>
      <c r="C80" s="139">
        <f>'BC.114+840'!M79/1000</f>
        <v>0.86699999999999999</v>
      </c>
      <c r="D80" s="139">
        <f>'BC.114+840'!AA79</f>
        <v>1.4489999999999998</v>
      </c>
      <c r="E80" s="140">
        <f>'BC.114+840'!AB79</f>
        <v>0.53400000000000003</v>
      </c>
      <c r="F80" s="139">
        <f>VLOOKUP($A80,'BC.114+840'!$B$13:$X$470,8,0)/1000</f>
        <v>1.728</v>
      </c>
      <c r="G80" s="139">
        <f>VLOOKUP($A80,'BC.114+840'!$B$13:$X$470,9,0)/1000</f>
        <v>-0.27200000000000002</v>
      </c>
      <c r="H80" s="139">
        <f>VLOOKUP($A80,'BC.114+840'!$B$13:$X$470,14,0)/1000</f>
        <v>1.867</v>
      </c>
      <c r="I80" s="139">
        <f>VLOOKUP($A80,'BC.114+840'!$B$13:$X$470,15,0)/1000</f>
        <v>-0.13300000000000001</v>
      </c>
      <c r="J80" s="139">
        <f>VLOOKUP($A80,'BC.114+840'!$B$13:$X$470,20,0)/1000</f>
        <v>1.427</v>
      </c>
      <c r="K80" s="139">
        <f>VLOOKUP($A80,'BC.114+840'!$B$13:$X$470,21,0)/1000</f>
        <v>-0.57299999999999995</v>
      </c>
      <c r="L80" s="137">
        <f t="shared" si="3"/>
        <v>-192</v>
      </c>
      <c r="M80" s="138">
        <f t="shared" si="4"/>
        <v>-233</v>
      </c>
      <c r="N80" s="137">
        <f t="shared" si="5"/>
        <v>-182.99999999999994</v>
      </c>
      <c r="O80" s="137"/>
    </row>
    <row r="81" spans="1:25">
      <c r="A81" s="76">
        <f>'BC.114+840'!B80</f>
        <v>45337</v>
      </c>
      <c r="B81" s="137">
        <v>67</v>
      </c>
      <c r="C81" s="139">
        <f>'BC.114+840'!M80/1000</f>
        <v>0.85899999999999999</v>
      </c>
      <c r="D81" s="139">
        <f>'BC.114+840'!AA80</f>
        <v>1.4489999999999998</v>
      </c>
      <c r="E81" s="140">
        <f>'BC.114+840'!AB80</f>
        <v>0.51800000000000002</v>
      </c>
      <c r="F81" s="139">
        <f>VLOOKUP($A81,'BC.114+840'!$B$13:$X$470,8,0)/1000</f>
        <v>1.724</v>
      </c>
      <c r="G81" s="139">
        <f>VLOOKUP($A81,'BC.114+840'!$B$13:$X$470,9,0)/1000</f>
        <v>-0.27600000000000002</v>
      </c>
      <c r="H81" s="139">
        <f>VLOOKUP($A81,'BC.114+840'!$B$13:$X$470,14,0)/1000</f>
        <v>1.859</v>
      </c>
      <c r="I81" s="139">
        <f>VLOOKUP($A81,'BC.114+840'!$B$13:$X$470,15,0)/1000</f>
        <v>-0.14099999999999999</v>
      </c>
      <c r="J81" s="139">
        <f>VLOOKUP($A81,'BC.114+840'!$B$13:$X$470,20,0)/1000</f>
        <v>1.427</v>
      </c>
      <c r="K81" s="139">
        <f>VLOOKUP($A81,'BC.114+840'!$B$13:$X$470,21,0)/1000</f>
        <v>-0.57299999999999995</v>
      </c>
      <c r="L81" s="137">
        <f t="shared" si="3"/>
        <v>-196</v>
      </c>
      <c r="M81" s="138">
        <f t="shared" si="4"/>
        <v>-241</v>
      </c>
      <c r="N81" s="137">
        <f t="shared" si="5"/>
        <v>-182.99999999999994</v>
      </c>
      <c r="O81" s="137"/>
    </row>
    <row r="82" spans="1:25">
      <c r="A82" s="76">
        <f>'BC.114+840'!B81</f>
        <v>45338</v>
      </c>
      <c r="B82" s="137">
        <v>68</v>
      </c>
      <c r="C82" s="139">
        <f>'BC.114+840'!M81/1000</f>
        <v>0.85699999999999998</v>
      </c>
      <c r="D82" s="139">
        <f>'BC.114+840'!AA81</f>
        <v>1.4489999999999998</v>
      </c>
      <c r="E82" s="140">
        <f>'BC.114+840'!AB81</f>
        <v>0.51400000000000001</v>
      </c>
      <c r="F82" s="139">
        <f>VLOOKUP($A82,'BC.114+840'!$B$13:$X$470,8,0)/1000</f>
        <v>1.724</v>
      </c>
      <c r="G82" s="139">
        <f>VLOOKUP($A82,'BC.114+840'!$B$13:$X$470,9,0)/1000</f>
        <v>-0.27600000000000002</v>
      </c>
      <c r="H82" s="139">
        <f>VLOOKUP($A82,'BC.114+840'!$B$13:$X$470,14,0)/1000</f>
        <v>1.857</v>
      </c>
      <c r="I82" s="139">
        <f>VLOOKUP($A82,'BC.114+840'!$B$13:$X$470,15,0)/1000</f>
        <v>-0.14299999999999999</v>
      </c>
      <c r="J82" s="139">
        <f>VLOOKUP($A82,'BC.114+840'!$B$13:$X$470,20,0)/1000</f>
        <v>1.427</v>
      </c>
      <c r="K82" s="139">
        <f>VLOOKUP($A82,'BC.114+840'!$B$13:$X$470,21,0)/1000</f>
        <v>-0.57299999999999995</v>
      </c>
      <c r="L82" s="137">
        <f t="shared" si="3"/>
        <v>-196</v>
      </c>
      <c r="M82" s="138">
        <f t="shared" si="4"/>
        <v>-243</v>
      </c>
      <c r="N82" s="137">
        <f t="shared" si="5"/>
        <v>-182.99999999999994</v>
      </c>
      <c r="O82" s="137"/>
    </row>
    <row r="83" spans="1:25">
      <c r="A83" s="76">
        <f>'BC.114+840'!B82</f>
        <v>45339</v>
      </c>
      <c r="B83" s="137">
        <v>69</v>
      </c>
      <c r="C83" s="139">
        <f>'BC.114+840'!M82/1000</f>
        <v>0.85299999999999998</v>
      </c>
      <c r="D83" s="139">
        <f>'BC.114+840'!AA82</f>
        <v>1.4489999999999998</v>
      </c>
      <c r="E83" s="140">
        <f>'BC.114+840'!AB82</f>
        <v>0.50600000000000001</v>
      </c>
      <c r="F83" s="139">
        <f>VLOOKUP($A83,'BC.114+840'!$B$13:$X$470,8,0)/1000</f>
        <v>1.724</v>
      </c>
      <c r="G83" s="139">
        <f>VLOOKUP($A83,'BC.114+840'!$B$13:$X$470,9,0)/1000</f>
        <v>-0.27600000000000002</v>
      </c>
      <c r="H83" s="139">
        <f>VLOOKUP($A83,'BC.114+840'!$B$13:$X$470,14,0)/1000</f>
        <v>1.853</v>
      </c>
      <c r="I83" s="139">
        <f>VLOOKUP($A83,'BC.114+840'!$B$13:$X$470,15,0)/1000</f>
        <v>-0.14699999999999999</v>
      </c>
      <c r="J83" s="139">
        <f>VLOOKUP($A83,'BC.114+840'!$B$13:$X$470,20,0)/1000</f>
        <v>1.427</v>
      </c>
      <c r="K83" s="139">
        <f>VLOOKUP($A83,'BC.114+840'!$B$13:$X$470,21,0)/1000</f>
        <v>-0.57299999999999995</v>
      </c>
      <c r="L83" s="137">
        <f t="shared" si="3"/>
        <v>-196</v>
      </c>
      <c r="M83" s="138">
        <f t="shared" si="4"/>
        <v>-247</v>
      </c>
      <c r="N83" s="137">
        <f t="shared" si="5"/>
        <v>-182.99999999999994</v>
      </c>
      <c r="O83" s="137"/>
    </row>
    <row r="84" spans="1:25">
      <c r="A84" s="76">
        <f>'BC.114+840'!B83</f>
        <v>45340</v>
      </c>
      <c r="B84" s="137">
        <v>70</v>
      </c>
      <c r="C84" s="139">
        <f>'BC.114+840'!M83/1000</f>
        <v>0.84599999999999997</v>
      </c>
      <c r="D84" s="139">
        <f>'BC.114+840'!AA83</f>
        <v>1.4489999999999998</v>
      </c>
      <c r="E84" s="140">
        <f>'BC.114+840'!AB83</f>
        <v>0.49199999999999999</v>
      </c>
      <c r="F84" s="139">
        <f>VLOOKUP($A84,'BC.114+840'!$B$13:$X$470,8,0)/1000</f>
        <v>1.724</v>
      </c>
      <c r="G84" s="139">
        <f>VLOOKUP($A84,'BC.114+840'!$B$13:$X$470,9,0)/1000</f>
        <v>-0.27600000000000002</v>
      </c>
      <c r="H84" s="139">
        <f>VLOOKUP($A84,'BC.114+840'!$B$13:$X$470,14,0)/1000</f>
        <v>1.8460000000000001</v>
      </c>
      <c r="I84" s="139">
        <f>VLOOKUP($A84,'BC.114+840'!$B$13:$X$470,15,0)/1000</f>
        <v>-0.154</v>
      </c>
      <c r="J84" s="139">
        <f>VLOOKUP($A84,'BC.114+840'!$B$13:$X$470,20,0)/1000</f>
        <v>1.427</v>
      </c>
      <c r="K84" s="139">
        <f>VLOOKUP($A84,'BC.114+840'!$B$13:$X$470,21,0)/1000</f>
        <v>-0.57299999999999995</v>
      </c>
      <c r="L84" s="137">
        <f t="shared" si="3"/>
        <v>-196</v>
      </c>
      <c r="M84" s="138">
        <f t="shared" si="4"/>
        <v>-254</v>
      </c>
      <c r="N84" s="137">
        <f t="shared" si="5"/>
        <v>-182.99999999999994</v>
      </c>
      <c r="O84" s="137"/>
    </row>
    <row r="85" spans="1:25">
      <c r="A85" s="76">
        <f>'BC.114+840'!B84</f>
        <v>45341</v>
      </c>
      <c r="B85" s="137">
        <v>71</v>
      </c>
      <c r="C85" s="139">
        <f>'BC.114+840'!M84/1000</f>
        <v>0.84099999999999997</v>
      </c>
      <c r="D85" s="139">
        <f>'BC.114+840'!AA84</f>
        <v>1.4489999999999998</v>
      </c>
      <c r="E85" s="140">
        <f>'BC.114+840'!AB84</f>
        <v>0.48199999999999998</v>
      </c>
      <c r="F85" s="139">
        <f>VLOOKUP($A85,'BC.114+840'!$B$13:$X$470,8,0)/1000</f>
        <v>1.724</v>
      </c>
      <c r="G85" s="139">
        <f>VLOOKUP($A85,'BC.114+840'!$B$13:$X$470,9,0)/1000</f>
        <v>-0.27600000000000002</v>
      </c>
      <c r="H85" s="139">
        <f>VLOOKUP($A85,'BC.114+840'!$B$13:$X$470,14,0)/1000</f>
        <v>1.841</v>
      </c>
      <c r="I85" s="139">
        <f>VLOOKUP($A85,'BC.114+840'!$B$13:$X$470,15,0)/1000</f>
        <v>-0.159</v>
      </c>
      <c r="J85" s="139">
        <f>VLOOKUP($A85,'BC.114+840'!$B$13:$X$470,20,0)/1000</f>
        <v>1.427</v>
      </c>
      <c r="K85" s="139">
        <f>VLOOKUP($A85,'BC.114+840'!$B$13:$X$470,21,0)/1000</f>
        <v>-0.57299999999999995</v>
      </c>
      <c r="L85" s="137">
        <f t="shared" si="3"/>
        <v>-196</v>
      </c>
      <c r="M85" s="138">
        <f t="shared" si="4"/>
        <v>-259</v>
      </c>
      <c r="N85" s="137">
        <f t="shared" si="5"/>
        <v>-182.99999999999994</v>
      </c>
      <c r="O85" s="137"/>
    </row>
    <row r="86" spans="1:25">
      <c r="A86" s="76">
        <f>'BC.114+840'!B85</f>
        <v>45342</v>
      </c>
      <c r="B86" s="137">
        <v>72</v>
      </c>
      <c r="C86" s="139">
        <f>'BC.114+840'!M85/1000</f>
        <v>0.83699999999999997</v>
      </c>
      <c r="D86" s="139">
        <f>'BC.114+840'!AA85</f>
        <v>1.4489999999999998</v>
      </c>
      <c r="E86" s="140">
        <f>'BC.114+840'!AB85</f>
        <v>0.47399999999999998</v>
      </c>
      <c r="F86" s="139">
        <f>VLOOKUP($A86,'BC.114+840'!$B$13:$X$470,8,0)/1000</f>
        <v>1.724</v>
      </c>
      <c r="G86" s="139">
        <f>VLOOKUP($A86,'BC.114+840'!$B$13:$X$470,9,0)/1000</f>
        <v>-0.27600000000000002</v>
      </c>
      <c r="H86" s="139">
        <f>VLOOKUP($A86,'BC.114+840'!$B$13:$X$470,14,0)/1000</f>
        <v>1.837</v>
      </c>
      <c r="I86" s="139">
        <f>VLOOKUP($A86,'BC.114+840'!$B$13:$X$470,15,0)/1000</f>
        <v>-0.16300000000000001</v>
      </c>
      <c r="J86" s="139">
        <f>VLOOKUP($A86,'BC.114+840'!$B$13:$X$470,20,0)/1000</f>
        <v>1.427</v>
      </c>
      <c r="K86" s="139">
        <f>VLOOKUP($A86,'BC.114+840'!$B$13:$X$470,21,0)/1000</f>
        <v>-0.57299999999999995</v>
      </c>
      <c r="L86" s="137">
        <f t="shared" si="3"/>
        <v>-196</v>
      </c>
      <c r="M86" s="138">
        <f t="shared" si="4"/>
        <v>-263</v>
      </c>
      <c r="N86" s="137">
        <f t="shared" si="5"/>
        <v>-182.99999999999994</v>
      </c>
      <c r="O86" s="137"/>
    </row>
    <row r="87" spans="1:25">
      <c r="A87" s="76">
        <f>'BC.114+840'!B86</f>
        <v>45343</v>
      </c>
      <c r="B87" s="137">
        <v>73</v>
      </c>
      <c r="C87" s="139">
        <f>'BC.114+840'!M86/1000</f>
        <v>0.82899999999999996</v>
      </c>
      <c r="D87" s="139">
        <f>'BC.114+840'!AA86</f>
        <v>1.4489999999999998</v>
      </c>
      <c r="E87" s="140">
        <f>'BC.114+840'!AB86</f>
        <v>0.45800000000000002</v>
      </c>
      <c r="F87" s="139">
        <f>VLOOKUP($A87,'BC.114+840'!$B$13:$X$470,8,0)/1000</f>
        <v>1.724</v>
      </c>
      <c r="G87" s="139">
        <f>VLOOKUP($A87,'BC.114+840'!$B$13:$X$470,9,0)/1000</f>
        <v>-0.27600000000000002</v>
      </c>
      <c r="H87" s="139">
        <f>VLOOKUP($A87,'BC.114+840'!$B$13:$X$470,14,0)/1000</f>
        <v>1.829</v>
      </c>
      <c r="I87" s="139">
        <f>VLOOKUP($A87,'BC.114+840'!$B$13:$X$470,15,0)/1000</f>
        <v>-0.17100000000000001</v>
      </c>
      <c r="J87" s="139">
        <f>VLOOKUP($A87,'BC.114+840'!$B$13:$X$470,20,0)/1000</f>
        <v>1.427</v>
      </c>
      <c r="K87" s="139">
        <f>VLOOKUP($A87,'BC.114+840'!$B$13:$X$470,21,0)/1000</f>
        <v>-0.57299999999999995</v>
      </c>
      <c r="L87" s="137">
        <f t="shared" si="3"/>
        <v>-196</v>
      </c>
      <c r="M87" s="138">
        <f t="shared" si="4"/>
        <v>-271</v>
      </c>
      <c r="N87" s="137">
        <f t="shared" si="5"/>
        <v>-182.99999999999994</v>
      </c>
      <c r="O87" s="137"/>
    </row>
    <row r="88" spans="1:25">
      <c r="A88" s="76">
        <f>'BC.114+840'!B87</f>
        <v>45344</v>
      </c>
      <c r="B88" s="137">
        <v>74</v>
      </c>
      <c r="C88" s="139">
        <f>'BC.114+840'!M87/1000</f>
        <v>0.82699999999999996</v>
      </c>
      <c r="D88" s="139">
        <f>'BC.114+840'!AA87</f>
        <v>1.4489999999999998</v>
      </c>
      <c r="E88" s="140">
        <f>'BC.114+840'!AB87</f>
        <v>0.45400000000000001</v>
      </c>
      <c r="F88" s="139">
        <f>VLOOKUP($A88,'BC.114+840'!$B$13:$X$470,8,0)/1000</f>
        <v>1.724</v>
      </c>
      <c r="G88" s="139">
        <f>VLOOKUP($A88,'BC.114+840'!$B$13:$X$470,9,0)/1000</f>
        <v>-0.27600000000000002</v>
      </c>
      <c r="H88" s="139">
        <f>VLOOKUP($A88,'BC.114+840'!$B$13:$X$470,14,0)/1000</f>
        <v>1.827</v>
      </c>
      <c r="I88" s="139">
        <f>VLOOKUP($A88,'BC.114+840'!$B$13:$X$470,15,0)/1000</f>
        <v>-0.17299999999999999</v>
      </c>
      <c r="J88" s="139">
        <f>VLOOKUP($A88,'BC.114+840'!$B$13:$X$470,20,0)/1000</f>
        <v>1.427</v>
      </c>
      <c r="K88" s="139">
        <f>VLOOKUP($A88,'BC.114+840'!$B$13:$X$470,21,0)/1000</f>
        <v>-0.57299999999999995</v>
      </c>
      <c r="L88" s="137">
        <f t="shared" si="3"/>
        <v>-196</v>
      </c>
      <c r="M88" s="138">
        <f t="shared" si="4"/>
        <v>-273</v>
      </c>
      <c r="N88" s="137">
        <f t="shared" si="5"/>
        <v>-182.99999999999994</v>
      </c>
      <c r="O88" s="137"/>
    </row>
    <row r="89" spans="1:25">
      <c r="A89" s="76">
        <f>'BC.114+840'!B88</f>
        <v>45345</v>
      </c>
      <c r="B89" s="137">
        <v>75</v>
      </c>
      <c r="C89" s="139">
        <f>'BC.114+840'!M88/1000</f>
        <v>0.82299999999999995</v>
      </c>
      <c r="D89" s="139">
        <f>'BC.114+840'!AA88</f>
        <v>1.4489999999999998</v>
      </c>
      <c r="E89" s="140">
        <f>'BC.114+840'!AB88</f>
        <v>0.44600000000000001</v>
      </c>
      <c r="F89" s="139">
        <f>VLOOKUP($A89,'BC.114+840'!$B$13:$X$470,8,0)/1000</f>
        <v>1.724</v>
      </c>
      <c r="G89" s="139">
        <f>VLOOKUP($A89,'BC.114+840'!$B$13:$X$470,9,0)/1000</f>
        <v>-0.27600000000000002</v>
      </c>
      <c r="H89" s="139">
        <f>VLOOKUP($A89,'BC.114+840'!$B$13:$X$470,14,0)/1000</f>
        <v>1.823</v>
      </c>
      <c r="I89" s="139">
        <f>VLOOKUP($A89,'BC.114+840'!$B$13:$X$470,15,0)/1000</f>
        <v>-0.17699999999999999</v>
      </c>
      <c r="J89" s="139">
        <f>VLOOKUP($A89,'BC.114+840'!$B$13:$X$470,20,0)/1000</f>
        <v>1.427</v>
      </c>
      <c r="K89" s="139">
        <f>VLOOKUP($A89,'BC.114+840'!$B$13:$X$470,21,0)/1000</f>
        <v>-0.57299999999999995</v>
      </c>
      <c r="L89" s="137">
        <f t="shared" si="3"/>
        <v>-196</v>
      </c>
      <c r="M89" s="138">
        <f t="shared" si="4"/>
        <v>-277</v>
      </c>
      <c r="N89" s="137">
        <f t="shared" si="5"/>
        <v>-182.99999999999994</v>
      </c>
      <c r="O89" s="137"/>
    </row>
    <row r="90" spans="1:25">
      <c r="A90" s="76">
        <f>'BC.114+840'!B89</f>
        <v>45346</v>
      </c>
      <c r="B90" s="137">
        <v>76</v>
      </c>
      <c r="C90" s="139">
        <f>'BC.114+840'!M89/1000</f>
        <v>0.81599999999999995</v>
      </c>
      <c r="D90" s="139">
        <f>'BC.114+840'!AA89</f>
        <v>1.4489999999999998</v>
      </c>
      <c r="E90" s="140">
        <f>'BC.114+840'!AB89</f>
        <v>0.432</v>
      </c>
      <c r="F90" s="139">
        <f>VLOOKUP($A90,'BC.114+840'!$B$13:$X$470,8,0)/1000</f>
        <v>1.724</v>
      </c>
      <c r="G90" s="139">
        <f>VLOOKUP($A90,'BC.114+840'!$B$13:$X$470,9,0)/1000</f>
        <v>-0.27600000000000002</v>
      </c>
      <c r="H90" s="139">
        <f>VLOOKUP($A90,'BC.114+840'!$B$13:$X$470,14,0)/1000</f>
        <v>1.8160000000000001</v>
      </c>
      <c r="I90" s="139">
        <f>VLOOKUP($A90,'BC.114+840'!$B$13:$X$470,15,0)/1000</f>
        <v>-0.184</v>
      </c>
      <c r="J90" s="139">
        <f>VLOOKUP($A90,'BC.114+840'!$B$13:$X$470,20,0)/1000</f>
        <v>1.427</v>
      </c>
      <c r="K90" s="139">
        <f>VLOOKUP($A90,'BC.114+840'!$B$13:$X$470,21,0)/1000</f>
        <v>-0.57299999999999995</v>
      </c>
      <c r="L90" s="137">
        <f t="shared" si="3"/>
        <v>-196</v>
      </c>
      <c r="M90" s="138">
        <f t="shared" si="4"/>
        <v>-284.00000000000006</v>
      </c>
      <c r="N90" s="137">
        <f t="shared" si="5"/>
        <v>-182.99999999999994</v>
      </c>
      <c r="O90" s="137"/>
    </row>
    <row r="91" spans="1:25">
      <c r="A91" s="76">
        <f>'BC.114+840'!B90</f>
        <v>45347</v>
      </c>
      <c r="B91" s="137">
        <v>77</v>
      </c>
      <c r="C91" s="139">
        <f>'BC.114+840'!M90/1000</f>
        <v>0.81100000000000005</v>
      </c>
      <c r="D91" s="139">
        <f>'BC.114+840'!AA90</f>
        <v>1.4489999999999998</v>
      </c>
      <c r="E91" s="140">
        <f>'BC.114+840'!AB90</f>
        <v>0.42199999999999999</v>
      </c>
      <c r="F91" s="139">
        <f>VLOOKUP($A91,'BC.114+840'!$B$13:$X$470,8,0)/1000</f>
        <v>1.724</v>
      </c>
      <c r="G91" s="139">
        <f>VLOOKUP($A91,'BC.114+840'!$B$13:$X$470,9,0)/1000</f>
        <v>-0.27600000000000002</v>
      </c>
      <c r="H91" s="139">
        <f>VLOOKUP($A91,'BC.114+840'!$B$13:$X$470,14,0)/1000</f>
        <v>1.8109999999999999</v>
      </c>
      <c r="I91" s="139">
        <f>VLOOKUP($A91,'BC.114+840'!$B$13:$X$470,15,0)/1000</f>
        <v>-0.189</v>
      </c>
      <c r="J91" s="139">
        <f>VLOOKUP($A91,'BC.114+840'!$B$13:$X$470,20,0)/1000</f>
        <v>1.427</v>
      </c>
      <c r="K91" s="139">
        <f>VLOOKUP($A91,'BC.114+840'!$B$13:$X$470,21,0)/1000</f>
        <v>-0.57299999999999995</v>
      </c>
      <c r="L91" s="137">
        <f t="shared" si="3"/>
        <v>-196</v>
      </c>
      <c r="M91" s="138">
        <f t="shared" si="4"/>
        <v>-289.00000000000006</v>
      </c>
      <c r="N91" s="137">
        <f t="shared" si="5"/>
        <v>-182.99999999999994</v>
      </c>
      <c r="O91" s="137"/>
    </row>
    <row r="92" spans="1:25">
      <c r="A92" s="76">
        <f>'BC.114+840'!B91</f>
        <v>45348</v>
      </c>
      <c r="B92" s="137">
        <v>78</v>
      </c>
      <c r="C92" s="139">
        <f>'BC.114+840'!M91/1000</f>
        <v>0.80900000000000005</v>
      </c>
      <c r="D92" s="139">
        <f>'BC.114+840'!AA91</f>
        <v>1.4489999999999998</v>
      </c>
      <c r="E92" s="140">
        <f>'BC.114+840'!AB91</f>
        <v>0.41799999999999998</v>
      </c>
      <c r="F92" s="139">
        <f>VLOOKUP($A92,'BC.114+840'!$B$13:$X$470,8,0)/1000</f>
        <v>1.724</v>
      </c>
      <c r="G92" s="139">
        <f>VLOOKUP($A92,'BC.114+840'!$B$13:$X$470,9,0)/1000</f>
        <v>-0.27600000000000002</v>
      </c>
      <c r="H92" s="139">
        <f>VLOOKUP($A92,'BC.114+840'!$B$13:$X$470,14,0)/1000</f>
        <v>1.8089999999999999</v>
      </c>
      <c r="I92" s="139">
        <f>VLOOKUP($A92,'BC.114+840'!$B$13:$X$470,15,0)/1000</f>
        <v>-0.191</v>
      </c>
      <c r="J92" s="139">
        <f>VLOOKUP($A92,'BC.114+840'!$B$13:$X$470,20,0)/1000</f>
        <v>1.427</v>
      </c>
      <c r="K92" s="139">
        <f>VLOOKUP($A92,'BC.114+840'!$B$13:$X$470,21,0)/1000</f>
        <v>-0.57299999999999995</v>
      </c>
      <c r="L92" s="137">
        <f t="shared" si="3"/>
        <v>-196</v>
      </c>
      <c r="M92" s="138">
        <f t="shared" si="4"/>
        <v>-291.00000000000006</v>
      </c>
      <c r="N92" s="137">
        <f t="shared" si="5"/>
        <v>-182.99999999999994</v>
      </c>
      <c r="O92" s="137"/>
      <c r="Y92" s="131">
        <f>A21-A14</f>
        <v>7</v>
      </c>
    </row>
    <row r="93" spans="1:25">
      <c r="A93" s="76">
        <f>'BC.114+840'!B92</f>
        <v>45349</v>
      </c>
      <c r="B93" s="137">
        <v>79</v>
      </c>
      <c r="C93" s="139">
        <f>'BC.114+840'!M92/1000</f>
        <v>0.80900000000000005</v>
      </c>
      <c r="D93" s="139">
        <f>'BC.114+840'!AA92</f>
        <v>1.4489999999999998</v>
      </c>
      <c r="E93" s="140">
        <f>'BC.114+840'!AB92</f>
        <v>0.41799999999999998</v>
      </c>
      <c r="F93" s="139">
        <f>VLOOKUP($A93,'BC.114+840'!$B$13:$X$470,8,0)/1000</f>
        <v>1.724</v>
      </c>
      <c r="G93" s="139">
        <f>VLOOKUP($A93,'BC.114+840'!$B$13:$X$470,9,0)/1000</f>
        <v>-0.27600000000000002</v>
      </c>
      <c r="H93" s="139">
        <f>VLOOKUP($A93,'BC.114+840'!$B$13:$X$470,14,0)/1000</f>
        <v>1.8089999999999999</v>
      </c>
      <c r="I93" s="139">
        <f>VLOOKUP($A93,'BC.114+840'!$B$13:$X$470,15,0)/1000</f>
        <v>-0.191</v>
      </c>
      <c r="J93" s="139">
        <f>VLOOKUP($A93,'BC.114+840'!$B$13:$X$470,20,0)/1000</f>
        <v>1.427</v>
      </c>
      <c r="K93" s="139">
        <f>VLOOKUP($A93,'BC.114+840'!$B$13:$X$470,21,0)/1000</f>
        <v>-0.57299999999999995</v>
      </c>
      <c r="L93" s="137">
        <f t="shared" si="3"/>
        <v>-196</v>
      </c>
      <c r="M93" s="138">
        <f t="shared" si="4"/>
        <v>-291.00000000000006</v>
      </c>
      <c r="N93" s="137">
        <f t="shared" si="5"/>
        <v>-182.99999999999994</v>
      </c>
      <c r="O93" s="137"/>
    </row>
    <row r="94" spans="1:25">
      <c r="A94" s="76">
        <f>'BC.114+840'!B93</f>
        <v>45350</v>
      </c>
      <c r="B94" s="137">
        <v>80</v>
      </c>
      <c r="C94" s="139">
        <f>'BC.114+840'!M93/1000</f>
        <v>0.80900000000000005</v>
      </c>
      <c r="D94" s="139">
        <f>'BC.114+840'!AA93</f>
        <v>1.4489999999999998</v>
      </c>
      <c r="E94" s="140">
        <f>'BC.114+840'!AB93</f>
        <v>0.41799999999999998</v>
      </c>
      <c r="F94" s="139">
        <f>VLOOKUP($A94,'BC.114+840'!$B$13:$X$470,8,0)/1000</f>
        <v>1.724</v>
      </c>
      <c r="G94" s="139">
        <f>VLOOKUP($A94,'BC.114+840'!$B$13:$X$470,9,0)/1000</f>
        <v>-0.27600000000000002</v>
      </c>
      <c r="H94" s="139">
        <f>VLOOKUP($A94,'BC.114+840'!$B$13:$X$470,14,0)/1000</f>
        <v>1.8089999999999999</v>
      </c>
      <c r="I94" s="139">
        <f>VLOOKUP($A94,'BC.114+840'!$B$13:$X$470,15,0)/1000</f>
        <v>-0.191</v>
      </c>
      <c r="J94" s="139">
        <f>VLOOKUP($A94,'BC.114+840'!$B$13:$X$470,20,0)/1000</f>
        <v>1.427</v>
      </c>
      <c r="K94" s="139">
        <f>VLOOKUP($A94,'BC.114+840'!$B$13:$X$470,21,0)/1000</f>
        <v>-0.57299999999999995</v>
      </c>
      <c r="L94" s="137">
        <f t="shared" si="3"/>
        <v>-196</v>
      </c>
      <c r="M94" s="138">
        <f t="shared" si="4"/>
        <v>-291.00000000000006</v>
      </c>
      <c r="N94" s="137">
        <f t="shared" si="5"/>
        <v>-182.99999999999994</v>
      </c>
      <c r="O94" s="137"/>
    </row>
    <row r="95" spans="1:25">
      <c r="A95" s="76">
        <f>'BC.114+840'!B94</f>
        <v>45351</v>
      </c>
      <c r="B95" s="137">
        <v>81</v>
      </c>
      <c r="C95" s="139">
        <f>'BC.114+840'!M94/1000</f>
        <v>0.80900000000000005</v>
      </c>
      <c r="D95" s="139">
        <f>'BC.114+840'!AA94</f>
        <v>1.4489999999999998</v>
      </c>
      <c r="E95" s="140">
        <f>'BC.114+840'!AB94</f>
        <v>0.41799999999999998</v>
      </c>
      <c r="F95" s="139">
        <f>VLOOKUP($A95,'BC.114+840'!$B$13:$X$470,8,0)/1000</f>
        <v>1.724</v>
      </c>
      <c r="G95" s="139">
        <f>VLOOKUP($A95,'BC.114+840'!$B$13:$X$470,9,0)/1000</f>
        <v>-0.27600000000000002</v>
      </c>
      <c r="H95" s="139">
        <f>VLOOKUP($A95,'BC.114+840'!$B$13:$X$470,14,0)/1000</f>
        <v>1.8089999999999999</v>
      </c>
      <c r="I95" s="139">
        <f>VLOOKUP($A95,'BC.114+840'!$B$13:$X$470,15,0)/1000</f>
        <v>-0.191</v>
      </c>
      <c r="J95" s="139">
        <f>VLOOKUP($A95,'BC.114+840'!$B$13:$X$470,20,0)/1000</f>
        <v>1.427</v>
      </c>
      <c r="K95" s="139">
        <f>VLOOKUP($A95,'BC.114+840'!$B$13:$X$470,21,0)/1000</f>
        <v>-0.57299999999999995</v>
      </c>
      <c r="L95" s="137">
        <f t="shared" si="3"/>
        <v>-196</v>
      </c>
      <c r="M95" s="138">
        <f t="shared" si="4"/>
        <v>-291.00000000000006</v>
      </c>
      <c r="N95" s="137">
        <f t="shared" si="5"/>
        <v>-182.99999999999994</v>
      </c>
      <c r="O95" s="137"/>
    </row>
    <row r="96" spans="1:25">
      <c r="A96" s="76">
        <f>'BC.114+840'!B95</f>
        <v>45352</v>
      </c>
      <c r="B96" s="137">
        <v>82</v>
      </c>
      <c r="C96" s="139">
        <f>'BC.114+840'!M95/1000</f>
        <v>0.80900000000000005</v>
      </c>
      <c r="D96" s="139">
        <f>'BC.114+840'!AA95</f>
        <v>1.4489999999999998</v>
      </c>
      <c r="E96" s="140">
        <f>'BC.114+840'!AB95</f>
        <v>0.41799999999999998</v>
      </c>
      <c r="F96" s="139">
        <f>VLOOKUP($A96,'BC.114+840'!$B$13:$X$470,8,0)/1000</f>
        <v>1.724</v>
      </c>
      <c r="G96" s="139">
        <f>VLOOKUP($A96,'BC.114+840'!$B$13:$X$470,9,0)/1000</f>
        <v>-0.27600000000000002</v>
      </c>
      <c r="H96" s="139">
        <f>VLOOKUP($A96,'BC.114+840'!$B$13:$X$470,14,0)/1000</f>
        <v>1.8089999999999999</v>
      </c>
      <c r="I96" s="139">
        <f>VLOOKUP($A96,'BC.114+840'!$B$13:$X$470,15,0)/1000</f>
        <v>-0.191</v>
      </c>
      <c r="J96" s="139">
        <f>VLOOKUP($A96,'BC.114+840'!$B$13:$X$470,20,0)/1000</f>
        <v>1.427</v>
      </c>
      <c r="K96" s="139">
        <f>VLOOKUP($A96,'BC.114+840'!$B$13:$X$470,21,0)/1000</f>
        <v>-0.57299999999999995</v>
      </c>
      <c r="L96" s="137">
        <f t="shared" si="3"/>
        <v>-196</v>
      </c>
      <c r="M96" s="138">
        <f t="shared" si="4"/>
        <v>-291.00000000000006</v>
      </c>
      <c r="N96" s="137">
        <f t="shared" si="5"/>
        <v>-182.99999999999994</v>
      </c>
      <c r="O96" s="137"/>
    </row>
    <row r="97" spans="1:15">
      <c r="A97" s="76">
        <f>'BC.114+840'!B96</f>
        <v>45353</v>
      </c>
      <c r="B97" s="137">
        <v>83</v>
      </c>
      <c r="C97" s="139">
        <f>'BC.114+840'!M96/1000</f>
        <v>0.80900000000000005</v>
      </c>
      <c r="D97" s="139">
        <f>'BC.114+840'!AA96</f>
        <v>1.4489999999999998</v>
      </c>
      <c r="E97" s="140">
        <f>'BC.114+840'!AB96</f>
        <v>0.41799999999999998</v>
      </c>
      <c r="F97" s="139">
        <f>VLOOKUP($A97,'BC.114+840'!$B$13:$X$470,8,0)/1000</f>
        <v>1.724</v>
      </c>
      <c r="G97" s="139">
        <f>VLOOKUP($A97,'BC.114+840'!$B$13:$X$470,9,0)/1000</f>
        <v>-0.27600000000000002</v>
      </c>
      <c r="H97" s="139">
        <f>VLOOKUP($A97,'BC.114+840'!$B$13:$X$470,14,0)/1000</f>
        <v>1.8089999999999999</v>
      </c>
      <c r="I97" s="139">
        <f>VLOOKUP($A97,'BC.114+840'!$B$13:$X$470,15,0)/1000</f>
        <v>-0.191</v>
      </c>
      <c r="J97" s="139">
        <f>VLOOKUP($A97,'BC.114+840'!$B$13:$X$470,20,0)/1000</f>
        <v>1.427</v>
      </c>
      <c r="K97" s="139">
        <f>VLOOKUP($A97,'BC.114+840'!$B$13:$X$470,21,0)/1000</f>
        <v>-0.57299999999999995</v>
      </c>
      <c r="L97" s="137">
        <f t="shared" si="3"/>
        <v>-196</v>
      </c>
      <c r="M97" s="138">
        <f t="shared" si="4"/>
        <v>-291.00000000000006</v>
      </c>
      <c r="N97" s="137">
        <f t="shared" si="5"/>
        <v>-182.99999999999994</v>
      </c>
      <c r="O97" s="137"/>
    </row>
    <row r="98" spans="1:15">
      <c r="A98" s="76">
        <f>'BC.114+840'!B97</f>
        <v>45354</v>
      </c>
      <c r="B98" s="137">
        <v>84</v>
      </c>
      <c r="C98" s="139">
        <f>'BC.114+840'!M97/1000</f>
        <v>0.80900000000000005</v>
      </c>
      <c r="D98" s="139">
        <f>'BC.114+840'!AA97</f>
        <v>1.4489999999999998</v>
      </c>
      <c r="E98" s="140">
        <f>'BC.114+840'!AB97</f>
        <v>0.41799999999999998</v>
      </c>
      <c r="F98" s="139">
        <f>VLOOKUP($A98,'BC.114+840'!$B$13:$X$470,8,0)/1000</f>
        <v>1.724</v>
      </c>
      <c r="G98" s="139">
        <f>VLOOKUP($A98,'BC.114+840'!$B$13:$X$470,9,0)/1000</f>
        <v>-0.27600000000000002</v>
      </c>
      <c r="H98" s="139">
        <f>VLOOKUP($A98,'BC.114+840'!$B$13:$X$470,14,0)/1000</f>
        <v>1.8089999999999999</v>
      </c>
      <c r="I98" s="139">
        <f>VLOOKUP($A98,'BC.114+840'!$B$13:$X$470,15,0)/1000</f>
        <v>-0.191</v>
      </c>
      <c r="J98" s="139">
        <f>VLOOKUP($A98,'BC.114+840'!$B$13:$X$470,20,0)/1000</f>
        <v>1.427</v>
      </c>
      <c r="K98" s="139">
        <f>VLOOKUP($A98,'BC.114+840'!$B$13:$X$470,21,0)/1000</f>
        <v>-0.57299999999999995</v>
      </c>
      <c r="L98" s="137">
        <f t="shared" si="3"/>
        <v>-196</v>
      </c>
      <c r="M98" s="138">
        <f t="shared" si="4"/>
        <v>-291.00000000000006</v>
      </c>
      <c r="N98" s="137">
        <f t="shared" si="5"/>
        <v>-182.99999999999994</v>
      </c>
      <c r="O98" s="137"/>
    </row>
    <row r="99" spans="1:15">
      <c r="A99" s="76">
        <f>'BC.114+840'!B98</f>
        <v>45355</v>
      </c>
      <c r="B99" s="137">
        <v>85</v>
      </c>
      <c r="C99" s="139">
        <f>'BC.114+840'!M98/1000</f>
        <v>0.80900000000000005</v>
      </c>
      <c r="D99" s="139">
        <f>'BC.114+840'!AA98</f>
        <v>1.4489999999999998</v>
      </c>
      <c r="E99" s="140">
        <f>'BC.114+840'!AB98</f>
        <v>0.41799999999999998</v>
      </c>
      <c r="F99" s="139">
        <f>VLOOKUP($A99,'BC.114+840'!$B$13:$X$470,8,0)/1000</f>
        <v>1.724</v>
      </c>
      <c r="G99" s="139">
        <f>VLOOKUP($A99,'BC.114+840'!$B$13:$X$470,9,0)/1000</f>
        <v>-0.27600000000000002</v>
      </c>
      <c r="H99" s="139">
        <f>VLOOKUP($A99,'BC.114+840'!$B$13:$X$470,14,0)/1000</f>
        <v>1.8089999999999999</v>
      </c>
      <c r="I99" s="139">
        <f>VLOOKUP($A99,'BC.114+840'!$B$13:$X$470,15,0)/1000</f>
        <v>-0.191</v>
      </c>
      <c r="J99" s="139">
        <f>VLOOKUP($A99,'BC.114+840'!$B$13:$X$470,20,0)/1000</f>
        <v>1.427</v>
      </c>
      <c r="K99" s="139">
        <f>VLOOKUP($A99,'BC.114+840'!$B$13:$X$470,21,0)/1000</f>
        <v>-0.57299999999999995</v>
      </c>
      <c r="L99" s="137">
        <f t="shared" si="3"/>
        <v>-196</v>
      </c>
      <c r="M99" s="138">
        <f t="shared" si="4"/>
        <v>-291.00000000000006</v>
      </c>
      <c r="N99" s="137">
        <f t="shared" si="5"/>
        <v>-182.99999999999994</v>
      </c>
      <c r="O99" s="137"/>
    </row>
    <row r="100" spans="1:15">
      <c r="A100" s="76">
        <f>'BC.114+840'!B99</f>
        <v>45356</v>
      </c>
      <c r="B100" s="137">
        <v>86</v>
      </c>
      <c r="C100" s="139">
        <f>'BC.114+840'!M99/1000</f>
        <v>0.80900000000000005</v>
      </c>
      <c r="D100" s="139">
        <f>'BC.114+840'!AA99</f>
        <v>1.4489999999999998</v>
      </c>
      <c r="E100" s="140">
        <f>'BC.114+840'!AB99</f>
        <v>0.41799999999999998</v>
      </c>
      <c r="F100" s="139">
        <f>VLOOKUP($A100,'BC.114+840'!$B$13:$X$470,8,0)/1000</f>
        <v>1.724</v>
      </c>
      <c r="G100" s="139">
        <f>VLOOKUP($A100,'BC.114+840'!$B$13:$X$470,9,0)/1000</f>
        <v>-0.27600000000000002</v>
      </c>
      <c r="H100" s="139">
        <f>VLOOKUP($A100,'BC.114+840'!$B$13:$X$470,14,0)/1000</f>
        <v>1.8089999999999999</v>
      </c>
      <c r="I100" s="139">
        <f>VLOOKUP($A100,'BC.114+840'!$B$13:$X$470,15,0)/1000</f>
        <v>-0.191</v>
      </c>
      <c r="J100" s="139">
        <f>VLOOKUP($A100,'BC.114+840'!$B$13:$X$470,20,0)/1000</f>
        <v>1.427</v>
      </c>
      <c r="K100" s="139">
        <f>VLOOKUP($A100,'BC.114+840'!$B$13:$X$470,21,0)/1000</f>
        <v>-0.57299999999999995</v>
      </c>
      <c r="L100" s="137">
        <f t="shared" si="3"/>
        <v>-196</v>
      </c>
      <c r="M100" s="138">
        <f t="shared" si="4"/>
        <v>-291.00000000000006</v>
      </c>
      <c r="N100" s="137">
        <f t="shared" si="5"/>
        <v>-182.99999999999994</v>
      </c>
      <c r="O100" s="137"/>
    </row>
    <row r="101" spans="1:15">
      <c r="A101" s="76">
        <f>'BC.114+840'!B100</f>
        <v>45357</v>
      </c>
      <c r="B101" s="137">
        <v>87</v>
      </c>
      <c r="C101" s="139">
        <f>'BC.114+840'!M100/1000</f>
        <v>0.80900000000000005</v>
      </c>
      <c r="D101" s="139">
        <f>'BC.114+840'!AA100</f>
        <v>1.4489999999999998</v>
      </c>
      <c r="E101" s="140">
        <f>'BC.114+840'!AB100</f>
        <v>0.41799999999999998</v>
      </c>
      <c r="F101" s="139">
        <f>VLOOKUP($A101,'BC.114+840'!$B$13:$X$470,8,0)/1000</f>
        <v>1.724</v>
      </c>
      <c r="G101" s="139">
        <f>VLOOKUP($A101,'BC.114+840'!$B$13:$X$470,9,0)/1000</f>
        <v>-0.27600000000000002</v>
      </c>
      <c r="H101" s="139">
        <f>VLOOKUP($A101,'BC.114+840'!$B$13:$X$470,14,0)/1000</f>
        <v>1.8089999999999999</v>
      </c>
      <c r="I101" s="139">
        <f>VLOOKUP($A101,'BC.114+840'!$B$13:$X$470,15,0)/1000</f>
        <v>-0.191</v>
      </c>
      <c r="J101" s="139">
        <f>VLOOKUP($A101,'BC.114+840'!$B$13:$X$470,20,0)/1000</f>
        <v>1.427</v>
      </c>
      <c r="K101" s="139">
        <f>VLOOKUP($A101,'BC.114+840'!$B$13:$X$470,21,0)/1000</f>
        <v>-0.57299999999999995</v>
      </c>
      <c r="L101" s="137">
        <f t="shared" si="3"/>
        <v>-196</v>
      </c>
      <c r="M101" s="138">
        <f t="shared" si="4"/>
        <v>-291.00000000000006</v>
      </c>
      <c r="N101" s="137">
        <f t="shared" si="5"/>
        <v>-182.99999999999994</v>
      </c>
      <c r="O101" s="137"/>
    </row>
    <row r="102" spans="1:15">
      <c r="A102" s="76">
        <f>'BC.114+840'!B101</f>
        <v>45358</v>
      </c>
      <c r="B102" s="137">
        <v>88</v>
      </c>
      <c r="C102" s="139">
        <f>'BC.114+840'!M101/1000</f>
        <v>0.80900000000000005</v>
      </c>
      <c r="D102" s="139">
        <f>'BC.114+840'!AA101</f>
        <v>1.4489999999999998</v>
      </c>
      <c r="E102" s="140">
        <f>'BC.114+840'!AB101</f>
        <v>0.41799999999999998</v>
      </c>
      <c r="F102" s="139">
        <f>VLOOKUP($A102,'BC.114+840'!$B$13:$X$470,8,0)/1000</f>
        <v>1.724</v>
      </c>
      <c r="G102" s="139">
        <f>VLOOKUP($A102,'BC.114+840'!$B$13:$X$470,9,0)/1000</f>
        <v>-0.27600000000000002</v>
      </c>
      <c r="H102" s="139">
        <f>VLOOKUP($A102,'BC.114+840'!$B$13:$X$470,14,0)/1000</f>
        <v>1.8089999999999999</v>
      </c>
      <c r="I102" s="139">
        <f>VLOOKUP($A102,'BC.114+840'!$B$13:$X$470,15,0)/1000</f>
        <v>-0.191</v>
      </c>
      <c r="J102" s="139">
        <f>VLOOKUP($A102,'BC.114+840'!$B$13:$X$470,20,0)/1000</f>
        <v>1.427</v>
      </c>
      <c r="K102" s="139">
        <f>VLOOKUP($A102,'BC.114+840'!$B$13:$X$470,21,0)/1000</f>
        <v>-0.57299999999999995</v>
      </c>
      <c r="L102" s="137">
        <f t="shared" si="3"/>
        <v>-196</v>
      </c>
      <c r="M102" s="138">
        <f t="shared" si="4"/>
        <v>-291.00000000000006</v>
      </c>
      <c r="N102" s="137">
        <f t="shared" si="5"/>
        <v>-182.99999999999994</v>
      </c>
      <c r="O102" s="137"/>
    </row>
    <row r="103" spans="1:15">
      <c r="A103" s="76">
        <f>'BC.114+840'!B102</f>
        <v>45359</v>
      </c>
      <c r="B103" s="137">
        <v>89</v>
      </c>
      <c r="C103" s="139">
        <f>'BC.114+840'!M102/1000</f>
        <v>0.80900000000000005</v>
      </c>
      <c r="D103" s="139">
        <f>'BC.114+840'!AA102</f>
        <v>1.4489999999999998</v>
      </c>
      <c r="E103" s="140">
        <f>'BC.114+840'!AB102</f>
        <v>0.41799999999999998</v>
      </c>
      <c r="F103" s="139">
        <f>VLOOKUP($A103,'BC.114+840'!$B$13:$X$470,8,0)/1000</f>
        <v>1.724</v>
      </c>
      <c r="G103" s="139">
        <f>VLOOKUP($A103,'BC.114+840'!$B$13:$X$470,9,0)/1000</f>
        <v>-0.27600000000000002</v>
      </c>
      <c r="H103" s="139">
        <f>VLOOKUP($A103,'BC.114+840'!$B$13:$X$470,14,0)/1000</f>
        <v>1.8089999999999999</v>
      </c>
      <c r="I103" s="139">
        <f>VLOOKUP($A103,'BC.114+840'!$B$13:$X$470,15,0)/1000</f>
        <v>-0.191</v>
      </c>
      <c r="J103" s="139">
        <f>VLOOKUP($A103,'BC.114+840'!$B$13:$X$470,20,0)/1000</f>
        <v>1.427</v>
      </c>
      <c r="K103" s="139">
        <f>VLOOKUP($A103,'BC.114+840'!$B$13:$X$470,21,0)/1000</f>
        <v>-0.57299999999999995</v>
      </c>
      <c r="L103" s="137">
        <f t="shared" si="3"/>
        <v>-196</v>
      </c>
      <c r="M103" s="138">
        <f t="shared" si="4"/>
        <v>-291.00000000000006</v>
      </c>
      <c r="N103" s="137">
        <f t="shared" si="5"/>
        <v>-182.99999999999994</v>
      </c>
      <c r="O103" s="137"/>
    </row>
    <row r="104" spans="1:15">
      <c r="A104" s="76">
        <f>'BC.114+840'!B103</f>
        <v>45360</v>
      </c>
      <c r="B104" s="137">
        <v>90</v>
      </c>
      <c r="C104" s="139">
        <f>'BC.114+840'!M103/1000</f>
        <v>0.80900000000000005</v>
      </c>
      <c r="D104" s="139">
        <f>'BC.114+840'!AA103</f>
        <v>1.4489999999999998</v>
      </c>
      <c r="E104" s="140">
        <f>'BC.114+840'!AB103</f>
        <v>0.41799999999999998</v>
      </c>
      <c r="F104" s="139">
        <f>VLOOKUP($A104,'BC.114+840'!$B$13:$X$470,8,0)/1000</f>
        <v>1.724</v>
      </c>
      <c r="G104" s="139">
        <f>VLOOKUP($A104,'BC.114+840'!$B$13:$X$470,9,0)/1000</f>
        <v>-0.27600000000000002</v>
      </c>
      <c r="H104" s="139">
        <f>VLOOKUP($A104,'BC.114+840'!$B$13:$X$470,14,0)/1000</f>
        <v>1.8089999999999999</v>
      </c>
      <c r="I104" s="139">
        <f>VLOOKUP($A104,'BC.114+840'!$B$13:$X$470,15,0)/1000</f>
        <v>-0.191</v>
      </c>
      <c r="J104" s="139">
        <f>VLOOKUP($A104,'BC.114+840'!$B$13:$X$470,20,0)/1000</f>
        <v>1.427</v>
      </c>
      <c r="K104" s="139">
        <f>VLOOKUP($A104,'BC.114+840'!$B$13:$X$470,21,0)/1000</f>
        <v>-0.57299999999999995</v>
      </c>
      <c r="L104" s="137">
        <f t="shared" si="3"/>
        <v>-196</v>
      </c>
      <c r="M104" s="138">
        <f t="shared" si="4"/>
        <v>-291.00000000000006</v>
      </c>
      <c r="N104" s="137">
        <f t="shared" si="5"/>
        <v>-182.99999999999994</v>
      </c>
      <c r="O104" s="137"/>
    </row>
    <row r="105" spans="1:15">
      <c r="A105" s="76">
        <f>'BC.114+840'!B104</f>
        <v>45361</v>
      </c>
      <c r="B105" s="137">
        <v>91</v>
      </c>
      <c r="C105" s="139">
        <f>'BC.114+840'!M104/1000</f>
        <v>0.80900000000000005</v>
      </c>
      <c r="D105" s="139">
        <f>'BC.114+840'!AA104</f>
        <v>1.4489999999999998</v>
      </c>
      <c r="E105" s="140">
        <f>'BC.114+840'!AB104</f>
        <v>0.41799999999999998</v>
      </c>
      <c r="F105" s="139">
        <f>VLOOKUP($A105,'BC.114+840'!$B$13:$X$470,8,0)/1000</f>
        <v>1.724</v>
      </c>
      <c r="G105" s="139">
        <f>VLOOKUP($A105,'BC.114+840'!$B$13:$X$470,9,0)/1000</f>
        <v>-0.27600000000000002</v>
      </c>
      <c r="H105" s="139">
        <f>VLOOKUP($A105,'BC.114+840'!$B$13:$X$470,14,0)/1000</f>
        <v>1.8089999999999999</v>
      </c>
      <c r="I105" s="139">
        <f>VLOOKUP($A105,'BC.114+840'!$B$13:$X$470,15,0)/1000</f>
        <v>-0.191</v>
      </c>
      <c r="J105" s="139">
        <f>VLOOKUP($A105,'BC.114+840'!$B$13:$X$470,20,0)/1000</f>
        <v>1.427</v>
      </c>
      <c r="K105" s="139">
        <f>VLOOKUP($A105,'BC.114+840'!$B$13:$X$470,21,0)/1000</f>
        <v>-0.57299999999999995</v>
      </c>
      <c r="L105" s="137">
        <f t="shared" si="3"/>
        <v>-196</v>
      </c>
      <c r="M105" s="138">
        <f t="shared" si="4"/>
        <v>-291.00000000000006</v>
      </c>
      <c r="N105" s="137">
        <f t="shared" si="5"/>
        <v>-182.99999999999994</v>
      </c>
      <c r="O105" s="137"/>
    </row>
    <row r="106" spans="1:15">
      <c r="A106" s="76">
        <f>'BC.114+840'!B105</f>
        <v>45362</v>
      </c>
      <c r="B106" s="137">
        <v>92</v>
      </c>
      <c r="C106" s="139">
        <f>'BC.114+840'!M105/1000</f>
        <v>0.80900000000000005</v>
      </c>
      <c r="D106" s="139">
        <f>'BC.114+840'!AA105</f>
        <v>1.4489999999999998</v>
      </c>
      <c r="E106" s="140">
        <f>'BC.114+840'!AB105</f>
        <v>0.41799999999999998</v>
      </c>
      <c r="F106" s="139">
        <f>VLOOKUP($A106,'BC.114+840'!$B$13:$X$470,8,0)/1000</f>
        <v>1.724</v>
      </c>
      <c r="G106" s="139">
        <f>VLOOKUP($A106,'BC.114+840'!$B$13:$X$470,9,0)/1000</f>
        <v>-0.27600000000000002</v>
      </c>
      <c r="H106" s="139">
        <f>VLOOKUP($A106,'BC.114+840'!$B$13:$X$470,14,0)/1000</f>
        <v>1.8089999999999999</v>
      </c>
      <c r="I106" s="139">
        <f>VLOOKUP($A106,'BC.114+840'!$B$13:$X$470,15,0)/1000</f>
        <v>-0.191</v>
      </c>
      <c r="J106" s="139">
        <f>VLOOKUP($A106,'BC.114+840'!$B$13:$X$470,20,0)/1000</f>
        <v>1.427</v>
      </c>
      <c r="K106" s="139">
        <f>VLOOKUP($A106,'BC.114+840'!$B$13:$X$470,21,0)/1000</f>
        <v>-0.57299999999999995</v>
      </c>
      <c r="L106" s="137">
        <f t="shared" si="3"/>
        <v>-196</v>
      </c>
      <c r="M106" s="138">
        <f t="shared" si="4"/>
        <v>-291.00000000000006</v>
      </c>
      <c r="N106" s="137">
        <f t="shared" si="5"/>
        <v>-182.99999999999994</v>
      </c>
      <c r="O106" s="137"/>
    </row>
    <row r="107" spans="1:15">
      <c r="A107" s="76">
        <f>'BC.114+840'!B106</f>
        <v>45363</v>
      </c>
      <c r="B107" s="137">
        <v>93</v>
      </c>
      <c r="C107" s="139">
        <f>'BC.114+840'!M106/1000</f>
        <v>0.80900000000000005</v>
      </c>
      <c r="D107" s="139">
        <f>'BC.114+840'!AA106</f>
        <v>1.4489999999999998</v>
      </c>
      <c r="E107" s="140">
        <f>'BC.114+840'!AB106</f>
        <v>0.41799999999999998</v>
      </c>
      <c r="F107" s="139">
        <f>VLOOKUP($A107,'BC.114+840'!$B$13:$X$470,8,0)/1000</f>
        <v>1.724</v>
      </c>
      <c r="G107" s="139">
        <f>VLOOKUP($A107,'BC.114+840'!$B$13:$X$470,9,0)/1000</f>
        <v>-0.27600000000000002</v>
      </c>
      <c r="H107" s="139">
        <f>VLOOKUP($A107,'BC.114+840'!$B$13:$X$470,14,0)/1000</f>
        <v>1.8089999999999999</v>
      </c>
      <c r="I107" s="139">
        <f>VLOOKUP($A107,'BC.114+840'!$B$13:$X$470,15,0)/1000</f>
        <v>-0.191</v>
      </c>
      <c r="J107" s="139">
        <f>VLOOKUP($A107,'BC.114+840'!$B$13:$X$470,20,0)/1000</f>
        <v>1.427</v>
      </c>
      <c r="K107" s="139">
        <f>VLOOKUP($A107,'BC.114+840'!$B$13:$X$470,21,0)/1000</f>
        <v>-0.57299999999999995</v>
      </c>
      <c r="L107" s="137">
        <f t="shared" si="3"/>
        <v>-196</v>
      </c>
      <c r="M107" s="138">
        <f t="shared" si="4"/>
        <v>-291.00000000000006</v>
      </c>
      <c r="N107" s="137">
        <f t="shared" si="5"/>
        <v>-182.99999999999994</v>
      </c>
      <c r="O107" s="137"/>
    </row>
    <row r="108" spans="1:15">
      <c r="A108" s="76">
        <f>'BC.114+840'!B107</f>
        <v>45364</v>
      </c>
      <c r="B108" s="137">
        <v>94</v>
      </c>
      <c r="C108" s="139">
        <f>'BC.114+840'!M107/1000</f>
        <v>0.80900000000000005</v>
      </c>
      <c r="D108" s="139">
        <f>'BC.114+840'!AA107</f>
        <v>1.4489999999999998</v>
      </c>
      <c r="E108" s="140">
        <f>'BC.114+840'!AB107</f>
        <v>0.41799999999999998</v>
      </c>
      <c r="F108" s="139">
        <f>VLOOKUP($A108,'BC.114+840'!$B$13:$X$470,8,0)/1000</f>
        <v>1.724</v>
      </c>
      <c r="G108" s="139">
        <f>VLOOKUP($A108,'BC.114+840'!$B$13:$X$470,9,0)/1000</f>
        <v>-0.27600000000000002</v>
      </c>
      <c r="H108" s="139">
        <f>VLOOKUP($A108,'BC.114+840'!$B$13:$X$470,14,0)/1000</f>
        <v>1.8089999999999999</v>
      </c>
      <c r="I108" s="139">
        <f>VLOOKUP($A108,'BC.114+840'!$B$13:$X$470,15,0)/1000</f>
        <v>-0.191</v>
      </c>
      <c r="J108" s="139">
        <f>VLOOKUP($A108,'BC.114+840'!$B$13:$X$470,20,0)/1000</f>
        <v>1.427</v>
      </c>
      <c r="K108" s="139">
        <f>VLOOKUP($A108,'BC.114+840'!$B$13:$X$470,21,0)/1000</f>
        <v>-0.57299999999999995</v>
      </c>
      <c r="L108" s="137">
        <f t="shared" si="3"/>
        <v>-196</v>
      </c>
      <c r="M108" s="138">
        <f t="shared" si="4"/>
        <v>-291.00000000000006</v>
      </c>
      <c r="N108" s="137">
        <f t="shared" si="5"/>
        <v>-182.99999999999994</v>
      </c>
      <c r="O108" s="137"/>
    </row>
    <row r="109" spans="1:15">
      <c r="A109" s="76">
        <f>'BC.114+840'!B108</f>
        <v>45365</v>
      </c>
      <c r="B109" s="137">
        <v>95</v>
      </c>
      <c r="C109" s="139">
        <f>'BC.114+840'!M108/1000</f>
        <v>0.80900000000000005</v>
      </c>
      <c r="D109" s="139">
        <f>'BC.114+840'!AA108</f>
        <v>1.4489999999999998</v>
      </c>
      <c r="E109" s="140">
        <f>'BC.114+840'!AB108</f>
        <v>0.41799999999999998</v>
      </c>
      <c r="F109" s="139">
        <f>VLOOKUP($A109,'BC.114+840'!$B$13:$X$470,8,0)/1000</f>
        <v>1.724</v>
      </c>
      <c r="G109" s="139">
        <f>VLOOKUP($A109,'BC.114+840'!$B$13:$X$470,9,0)/1000</f>
        <v>-0.27600000000000002</v>
      </c>
      <c r="H109" s="139">
        <f>VLOOKUP($A109,'BC.114+840'!$B$13:$X$470,14,0)/1000</f>
        <v>1.8089999999999999</v>
      </c>
      <c r="I109" s="139">
        <f>VLOOKUP($A109,'BC.114+840'!$B$13:$X$470,15,0)/1000</f>
        <v>-0.191</v>
      </c>
      <c r="J109" s="139">
        <f>VLOOKUP($A109,'BC.114+840'!$B$13:$X$470,20,0)/1000</f>
        <v>1.427</v>
      </c>
      <c r="K109" s="139">
        <f>VLOOKUP($A109,'BC.114+840'!$B$13:$X$470,21,0)/1000</f>
        <v>-0.57299999999999995</v>
      </c>
      <c r="L109" s="137">
        <f t="shared" si="3"/>
        <v>-196</v>
      </c>
      <c r="M109" s="138">
        <f t="shared" si="4"/>
        <v>-291.00000000000006</v>
      </c>
      <c r="N109" s="137">
        <f t="shared" si="5"/>
        <v>-182.99999999999994</v>
      </c>
      <c r="O109" s="137"/>
    </row>
    <row r="110" spans="1:15">
      <c r="A110" s="76">
        <f>'BC.114+840'!B109</f>
        <v>45366</v>
      </c>
      <c r="B110" s="137">
        <v>96</v>
      </c>
      <c r="C110" s="139">
        <f>'BC.114+840'!M109/1000</f>
        <v>0.80900000000000005</v>
      </c>
      <c r="D110" s="139">
        <f>'BC.114+840'!AA109</f>
        <v>1.4489999999999998</v>
      </c>
      <c r="E110" s="140">
        <f>'BC.114+840'!AB109</f>
        <v>0.41799999999999998</v>
      </c>
      <c r="F110" s="139">
        <f>VLOOKUP($A110,'BC.114+840'!$B$13:$X$470,8,0)/1000</f>
        <v>1.724</v>
      </c>
      <c r="G110" s="139">
        <f>VLOOKUP($A110,'BC.114+840'!$B$13:$X$470,9,0)/1000</f>
        <v>-0.27600000000000002</v>
      </c>
      <c r="H110" s="139">
        <f>VLOOKUP($A110,'BC.114+840'!$B$13:$X$470,14,0)/1000</f>
        <v>1.8089999999999999</v>
      </c>
      <c r="I110" s="139">
        <f>VLOOKUP($A110,'BC.114+840'!$B$13:$X$470,15,0)/1000</f>
        <v>-0.191</v>
      </c>
      <c r="J110" s="139">
        <f>VLOOKUP($A110,'BC.114+840'!$B$13:$X$470,20,0)/1000</f>
        <v>1.427</v>
      </c>
      <c r="K110" s="139">
        <f>VLOOKUP($A110,'BC.114+840'!$B$13:$X$470,21,0)/1000</f>
        <v>-0.57299999999999995</v>
      </c>
      <c r="L110" s="137">
        <f t="shared" si="3"/>
        <v>-196</v>
      </c>
      <c r="M110" s="138">
        <f t="shared" si="4"/>
        <v>-291.00000000000006</v>
      </c>
      <c r="N110" s="137">
        <f t="shared" si="5"/>
        <v>-182.99999999999994</v>
      </c>
      <c r="O110" s="137"/>
    </row>
    <row r="111" spans="1:15">
      <c r="A111" s="76">
        <f>'BC.114+840'!B110</f>
        <v>45367</v>
      </c>
      <c r="B111" s="137">
        <v>97</v>
      </c>
      <c r="C111" s="139">
        <f>'BC.114+840'!M110/1000</f>
        <v>0.80900000000000005</v>
      </c>
      <c r="D111" s="139">
        <f>'BC.114+840'!AA110</f>
        <v>1.4489999999999998</v>
      </c>
      <c r="E111" s="140">
        <f>'BC.114+840'!AB110</f>
        <v>0.41799999999999998</v>
      </c>
      <c r="F111" s="139">
        <f>VLOOKUP($A111,'BC.114+840'!$B$13:$X$470,8,0)/1000</f>
        <v>1.724</v>
      </c>
      <c r="G111" s="139">
        <f>VLOOKUP($A111,'BC.114+840'!$B$13:$X$470,9,0)/1000</f>
        <v>-0.27600000000000002</v>
      </c>
      <c r="H111" s="139">
        <f>VLOOKUP($A111,'BC.114+840'!$B$13:$X$470,14,0)/1000</f>
        <v>1.8089999999999999</v>
      </c>
      <c r="I111" s="139">
        <f>VLOOKUP($A111,'BC.114+840'!$B$13:$X$470,15,0)/1000</f>
        <v>-0.191</v>
      </c>
      <c r="J111" s="139">
        <f>VLOOKUP($A111,'BC.114+840'!$B$13:$X$470,20,0)/1000</f>
        <v>1.427</v>
      </c>
      <c r="K111" s="139">
        <f>VLOOKUP($A111,'BC.114+840'!$B$13:$X$470,21,0)/1000</f>
        <v>-0.57299999999999995</v>
      </c>
      <c r="L111" s="137">
        <f t="shared" si="3"/>
        <v>-196</v>
      </c>
      <c r="M111" s="138">
        <f t="shared" si="4"/>
        <v>-291.00000000000006</v>
      </c>
      <c r="N111" s="137">
        <f t="shared" si="5"/>
        <v>-182.99999999999994</v>
      </c>
      <c r="O111" s="137"/>
    </row>
    <row r="112" spans="1:15">
      <c r="A112" s="76">
        <f>'BC.114+840'!B111</f>
        <v>45368</v>
      </c>
      <c r="B112" s="137">
        <v>98</v>
      </c>
      <c r="C112" s="139">
        <f>'BC.114+840'!M111/1000</f>
        <v>0.80900000000000005</v>
      </c>
      <c r="D112" s="139">
        <f>'BC.114+840'!AA111</f>
        <v>1.4489999999999998</v>
      </c>
      <c r="E112" s="140">
        <f>'BC.114+840'!AB111</f>
        <v>0.41799999999999998</v>
      </c>
      <c r="F112" s="139">
        <f>VLOOKUP($A112,'BC.114+840'!$B$13:$X$470,8,0)/1000</f>
        <v>1.724</v>
      </c>
      <c r="G112" s="139">
        <f>VLOOKUP($A112,'BC.114+840'!$B$13:$X$470,9,0)/1000</f>
        <v>-0.27600000000000002</v>
      </c>
      <c r="H112" s="139">
        <f>VLOOKUP($A112,'BC.114+840'!$B$13:$X$470,14,0)/1000</f>
        <v>1.8089999999999999</v>
      </c>
      <c r="I112" s="139">
        <f>VLOOKUP($A112,'BC.114+840'!$B$13:$X$470,15,0)/1000</f>
        <v>-0.191</v>
      </c>
      <c r="J112" s="139">
        <f>VLOOKUP($A112,'BC.114+840'!$B$13:$X$470,20,0)/1000</f>
        <v>1.427</v>
      </c>
      <c r="K112" s="139">
        <f>VLOOKUP($A112,'BC.114+840'!$B$13:$X$470,21,0)/1000</f>
        <v>-0.57299999999999995</v>
      </c>
      <c r="L112" s="137">
        <f t="shared" si="3"/>
        <v>-196</v>
      </c>
      <c r="M112" s="138">
        <f t="shared" si="4"/>
        <v>-291.00000000000006</v>
      </c>
      <c r="N112" s="137">
        <f t="shared" si="5"/>
        <v>-182.99999999999994</v>
      </c>
      <c r="O112" s="137"/>
    </row>
    <row r="113" spans="1:15">
      <c r="A113" s="76">
        <f>'BC.114+840'!B112</f>
        <v>45369</v>
      </c>
      <c r="B113" s="137">
        <v>99</v>
      </c>
      <c r="C113" s="139">
        <f>'BC.114+840'!M112/1000</f>
        <v>0.80900000000000005</v>
      </c>
      <c r="D113" s="139">
        <f>'BC.114+840'!AA112</f>
        <v>1.4489999999999998</v>
      </c>
      <c r="E113" s="140">
        <f>'BC.114+840'!AB112</f>
        <v>0.41799999999999998</v>
      </c>
      <c r="F113" s="139">
        <f>VLOOKUP($A113,'BC.114+840'!$B$13:$X$470,8,0)/1000</f>
        <v>1.724</v>
      </c>
      <c r="G113" s="139">
        <f>VLOOKUP($A113,'BC.114+840'!$B$13:$X$470,9,0)/1000</f>
        <v>-0.27600000000000002</v>
      </c>
      <c r="H113" s="139">
        <f>VLOOKUP($A113,'BC.114+840'!$B$13:$X$470,14,0)/1000</f>
        <v>1.8089999999999999</v>
      </c>
      <c r="I113" s="139">
        <f>VLOOKUP($A113,'BC.114+840'!$B$13:$X$470,15,0)/1000</f>
        <v>-0.191</v>
      </c>
      <c r="J113" s="139">
        <f>VLOOKUP($A113,'BC.114+840'!$B$13:$X$470,20,0)/1000</f>
        <v>1.427</v>
      </c>
      <c r="K113" s="139">
        <f>VLOOKUP($A113,'BC.114+840'!$B$13:$X$470,21,0)/1000</f>
        <v>-0.57299999999999995</v>
      </c>
      <c r="L113" s="137">
        <f t="shared" si="3"/>
        <v>-196</v>
      </c>
      <c r="M113" s="138">
        <f t="shared" si="4"/>
        <v>-291.00000000000006</v>
      </c>
      <c r="N113" s="137">
        <f t="shared" si="5"/>
        <v>-182.99999999999994</v>
      </c>
      <c r="O113" s="137"/>
    </row>
    <row r="114" spans="1:15">
      <c r="A114" s="76">
        <f>'BC.114+840'!B113</f>
        <v>45370</v>
      </c>
      <c r="B114" s="137">
        <v>100</v>
      </c>
      <c r="C114" s="139">
        <f>'BC.114+840'!M113/1000</f>
        <v>0.80900000000000005</v>
      </c>
      <c r="D114" s="139">
        <f>'BC.114+840'!AA113</f>
        <v>1.4489999999999998</v>
      </c>
      <c r="E114" s="140">
        <f>'BC.114+840'!AB113</f>
        <v>0.41799999999999998</v>
      </c>
      <c r="F114" s="139">
        <f>VLOOKUP($A114,'BC.114+840'!$B$13:$X$470,8,0)/1000</f>
        <v>1.724</v>
      </c>
      <c r="G114" s="139">
        <f>VLOOKUP($A114,'BC.114+840'!$B$13:$X$470,9,0)/1000</f>
        <v>-0.27600000000000002</v>
      </c>
      <c r="H114" s="139">
        <f>VLOOKUP($A114,'BC.114+840'!$B$13:$X$470,14,0)/1000</f>
        <v>1.8089999999999999</v>
      </c>
      <c r="I114" s="139">
        <f>VLOOKUP($A114,'BC.114+840'!$B$13:$X$470,15,0)/1000</f>
        <v>-0.191</v>
      </c>
      <c r="J114" s="139">
        <f>VLOOKUP($A114,'BC.114+840'!$B$13:$X$470,20,0)/1000</f>
        <v>1.427</v>
      </c>
      <c r="K114" s="139">
        <f>VLOOKUP($A114,'BC.114+840'!$B$13:$X$470,21,0)/1000</f>
        <v>-0.57299999999999995</v>
      </c>
      <c r="L114" s="137">
        <f t="shared" si="3"/>
        <v>-196</v>
      </c>
      <c r="M114" s="138">
        <f t="shared" si="4"/>
        <v>-291.00000000000006</v>
      </c>
      <c r="N114" s="137">
        <f t="shared" si="5"/>
        <v>-182.99999999999994</v>
      </c>
      <c r="O114" s="137"/>
    </row>
    <row r="115" spans="1:15">
      <c r="A115" s="76">
        <f>'BC.114+840'!B114</f>
        <v>45371</v>
      </c>
      <c r="B115" s="137">
        <v>101</v>
      </c>
      <c r="C115" s="139">
        <f>'BC.114+840'!M114/1000</f>
        <v>0.80900000000000005</v>
      </c>
      <c r="D115" s="139">
        <f>'BC.114+840'!AA114</f>
        <v>1.4489999999999998</v>
      </c>
      <c r="E115" s="140">
        <f>'BC.114+840'!AB114</f>
        <v>0.41799999999999998</v>
      </c>
      <c r="F115" s="139">
        <f>VLOOKUP($A115,'BC.114+840'!$B$13:$X$470,8,0)/1000</f>
        <v>1.724</v>
      </c>
      <c r="G115" s="139">
        <f>VLOOKUP($A115,'BC.114+840'!$B$13:$X$470,9,0)/1000</f>
        <v>-0.27600000000000002</v>
      </c>
      <c r="H115" s="139">
        <f>VLOOKUP($A115,'BC.114+840'!$B$13:$X$470,14,0)/1000</f>
        <v>1.8089999999999999</v>
      </c>
      <c r="I115" s="139">
        <f>VLOOKUP($A115,'BC.114+840'!$B$13:$X$470,15,0)/1000</f>
        <v>-0.191</v>
      </c>
      <c r="J115" s="139">
        <f>VLOOKUP($A115,'BC.114+840'!$B$13:$X$470,20,0)/1000</f>
        <v>1.427</v>
      </c>
      <c r="K115" s="139">
        <f>VLOOKUP($A115,'BC.114+840'!$B$13:$X$470,21,0)/1000</f>
        <v>-0.57299999999999995</v>
      </c>
      <c r="L115" s="137">
        <f t="shared" si="3"/>
        <v>-196</v>
      </c>
      <c r="M115" s="138">
        <f t="shared" si="4"/>
        <v>-291.00000000000006</v>
      </c>
      <c r="N115" s="137">
        <f t="shared" si="5"/>
        <v>-182.99999999999994</v>
      </c>
      <c r="O115" s="137"/>
    </row>
    <row r="116" spans="1:15">
      <c r="A116" s="76">
        <f>'BC.114+840'!B115</f>
        <v>45372</v>
      </c>
      <c r="B116" s="137">
        <v>102</v>
      </c>
      <c r="C116" s="139">
        <f>'BC.114+840'!M115/1000</f>
        <v>0.80900000000000005</v>
      </c>
      <c r="D116" s="139">
        <f>'BC.114+840'!AA115</f>
        <v>1.4489999999999998</v>
      </c>
      <c r="E116" s="140">
        <f>'BC.114+840'!AB115</f>
        <v>0.41799999999999998</v>
      </c>
      <c r="F116" s="139">
        <f>VLOOKUP($A116,'BC.114+840'!$B$13:$X$470,8,0)/1000</f>
        <v>1.724</v>
      </c>
      <c r="G116" s="139">
        <f>VLOOKUP($A116,'BC.114+840'!$B$13:$X$470,9,0)/1000</f>
        <v>-0.27600000000000002</v>
      </c>
      <c r="H116" s="139">
        <f>VLOOKUP($A116,'BC.114+840'!$B$13:$X$470,14,0)/1000</f>
        <v>1.8089999999999999</v>
      </c>
      <c r="I116" s="139">
        <f>VLOOKUP($A116,'BC.114+840'!$B$13:$X$470,15,0)/1000</f>
        <v>-0.191</v>
      </c>
      <c r="J116" s="139">
        <f>VLOOKUP($A116,'BC.114+840'!$B$13:$X$470,20,0)/1000</f>
        <v>1.427</v>
      </c>
      <c r="K116" s="139">
        <f>VLOOKUP($A116,'BC.114+840'!$B$13:$X$470,21,0)/1000</f>
        <v>-0.57299999999999995</v>
      </c>
      <c r="L116" s="137">
        <f t="shared" si="3"/>
        <v>-196</v>
      </c>
      <c r="M116" s="138">
        <f t="shared" si="4"/>
        <v>-291.00000000000006</v>
      </c>
      <c r="N116" s="137">
        <f t="shared" si="5"/>
        <v>-182.99999999999994</v>
      </c>
      <c r="O116" s="137"/>
    </row>
    <row r="117" spans="1:15">
      <c r="A117" s="76">
        <f>'BC.114+840'!B116</f>
        <v>45373</v>
      </c>
      <c r="B117" s="137">
        <v>103</v>
      </c>
      <c r="C117" s="139">
        <f>'BC.114+840'!M116/1000</f>
        <v>0.80900000000000005</v>
      </c>
      <c r="D117" s="139">
        <f>'BC.114+840'!AA116</f>
        <v>1.4489999999999998</v>
      </c>
      <c r="E117" s="140">
        <f>'BC.114+840'!AB116</f>
        <v>0.41799999999999998</v>
      </c>
      <c r="F117" s="139">
        <f>VLOOKUP($A117,'BC.114+840'!$B$13:$X$470,8,0)/1000</f>
        <v>1.724</v>
      </c>
      <c r="G117" s="139">
        <f>VLOOKUP($A117,'BC.114+840'!$B$13:$X$470,9,0)/1000</f>
        <v>-0.27600000000000002</v>
      </c>
      <c r="H117" s="139">
        <f>VLOOKUP($A117,'BC.114+840'!$B$13:$X$470,14,0)/1000</f>
        <v>1.8089999999999999</v>
      </c>
      <c r="I117" s="139">
        <f>VLOOKUP($A117,'BC.114+840'!$B$13:$X$470,15,0)/1000</f>
        <v>-0.191</v>
      </c>
      <c r="J117" s="139">
        <f>VLOOKUP($A117,'BC.114+840'!$B$13:$X$470,20,0)/1000</f>
        <v>1.427</v>
      </c>
      <c r="K117" s="139">
        <f>VLOOKUP($A117,'BC.114+840'!$B$13:$X$470,21,0)/1000</f>
        <v>-0.57299999999999995</v>
      </c>
      <c r="L117" s="137">
        <f t="shared" si="3"/>
        <v>-196</v>
      </c>
      <c r="M117" s="138">
        <f t="shared" si="4"/>
        <v>-291.00000000000006</v>
      </c>
      <c r="N117" s="137">
        <f t="shared" si="5"/>
        <v>-182.99999999999994</v>
      </c>
      <c r="O117" s="137"/>
    </row>
    <row r="118" spans="1:15">
      <c r="A118" s="76">
        <f>'BC.114+840'!B117</f>
        <v>45374</v>
      </c>
      <c r="B118" s="137">
        <v>104</v>
      </c>
      <c r="C118" s="139">
        <f>'BC.114+840'!M117/1000</f>
        <v>0.80900000000000005</v>
      </c>
      <c r="D118" s="139">
        <f>'BC.114+840'!AA117</f>
        <v>1.4489999999999998</v>
      </c>
      <c r="E118" s="140">
        <f>'BC.114+840'!AB117</f>
        <v>0.41799999999999998</v>
      </c>
      <c r="F118" s="139">
        <f>VLOOKUP($A118,'BC.114+840'!$B$13:$X$470,8,0)/1000</f>
        <v>1.724</v>
      </c>
      <c r="G118" s="139">
        <f>VLOOKUP($A118,'BC.114+840'!$B$13:$X$470,9,0)/1000</f>
        <v>-0.27600000000000002</v>
      </c>
      <c r="H118" s="139">
        <f>VLOOKUP($A118,'BC.114+840'!$B$13:$X$470,14,0)/1000</f>
        <v>1.8089999999999999</v>
      </c>
      <c r="I118" s="139">
        <f>VLOOKUP($A118,'BC.114+840'!$B$13:$X$470,15,0)/1000</f>
        <v>-0.191</v>
      </c>
      <c r="J118" s="139">
        <f>VLOOKUP($A118,'BC.114+840'!$B$13:$X$470,20,0)/1000</f>
        <v>1.427</v>
      </c>
      <c r="K118" s="139">
        <f>VLOOKUP($A118,'BC.114+840'!$B$13:$X$470,21,0)/1000</f>
        <v>-0.57299999999999995</v>
      </c>
      <c r="L118" s="137">
        <f t="shared" si="3"/>
        <v>-196</v>
      </c>
      <c r="M118" s="138">
        <f t="shared" si="4"/>
        <v>-291.00000000000006</v>
      </c>
      <c r="N118" s="137">
        <f t="shared" si="5"/>
        <v>-182.99999999999994</v>
      </c>
      <c r="O118" s="137"/>
    </row>
    <row r="119" spans="1:15">
      <c r="A119" s="76">
        <f>'BC.114+840'!B118</f>
        <v>45375</v>
      </c>
      <c r="B119" s="137">
        <v>105</v>
      </c>
      <c r="C119" s="139">
        <f>'BC.114+840'!M118/1000</f>
        <v>0.80900000000000005</v>
      </c>
      <c r="D119" s="139">
        <f>'BC.114+840'!AA118</f>
        <v>1.4489999999999998</v>
      </c>
      <c r="E119" s="140">
        <f>'BC.114+840'!AB118</f>
        <v>0.41799999999999998</v>
      </c>
      <c r="F119" s="139">
        <f>VLOOKUP($A119,'BC.114+840'!$B$13:$X$470,8,0)/1000</f>
        <v>1.724</v>
      </c>
      <c r="G119" s="139">
        <f>VLOOKUP($A119,'BC.114+840'!$B$13:$X$470,9,0)/1000</f>
        <v>-0.27600000000000002</v>
      </c>
      <c r="H119" s="139">
        <f>VLOOKUP($A119,'BC.114+840'!$B$13:$X$470,14,0)/1000</f>
        <v>1.8089999999999999</v>
      </c>
      <c r="I119" s="139">
        <f>VLOOKUP($A119,'BC.114+840'!$B$13:$X$470,15,0)/1000</f>
        <v>-0.191</v>
      </c>
      <c r="J119" s="139">
        <f>VLOOKUP($A119,'BC.114+840'!$B$13:$X$470,20,0)/1000</f>
        <v>1.427</v>
      </c>
      <c r="K119" s="139">
        <f>VLOOKUP($A119,'BC.114+840'!$B$13:$X$470,21,0)/1000</f>
        <v>-0.57299999999999995</v>
      </c>
      <c r="L119" s="137">
        <f t="shared" si="3"/>
        <v>-196</v>
      </c>
      <c r="M119" s="138">
        <f t="shared" si="4"/>
        <v>-291.00000000000006</v>
      </c>
      <c r="N119" s="137">
        <f t="shared" si="5"/>
        <v>-182.99999999999994</v>
      </c>
      <c r="O119" s="137"/>
    </row>
    <row r="120" spans="1:15">
      <c r="A120" s="76">
        <f>'BC.114+840'!B119</f>
        <v>45376</v>
      </c>
      <c r="B120" s="137">
        <v>106</v>
      </c>
      <c r="C120" s="139">
        <f>'BC.114+840'!M119/1000</f>
        <v>0.80900000000000005</v>
      </c>
      <c r="D120" s="139">
        <f>'BC.114+840'!AA119</f>
        <v>1.4489999999999998</v>
      </c>
      <c r="E120" s="140">
        <f>'BC.114+840'!AB119</f>
        <v>0.41799999999999998</v>
      </c>
      <c r="F120" s="139">
        <f>VLOOKUP($A120,'BC.114+840'!$B$13:$X$470,8,0)/1000</f>
        <v>1.724</v>
      </c>
      <c r="G120" s="139">
        <f>VLOOKUP($A120,'BC.114+840'!$B$13:$X$470,9,0)/1000</f>
        <v>-0.27600000000000002</v>
      </c>
      <c r="H120" s="139">
        <f>VLOOKUP($A120,'BC.114+840'!$B$13:$X$470,14,0)/1000</f>
        <v>1.8089999999999999</v>
      </c>
      <c r="I120" s="139">
        <f>VLOOKUP($A120,'BC.114+840'!$B$13:$X$470,15,0)/1000</f>
        <v>-0.191</v>
      </c>
      <c r="J120" s="139">
        <f>VLOOKUP($A120,'BC.114+840'!$B$13:$X$470,20,0)/1000</f>
        <v>1.427</v>
      </c>
      <c r="K120" s="139">
        <f>VLOOKUP($A120,'BC.114+840'!$B$13:$X$470,21,0)/1000</f>
        <v>-0.57299999999999995</v>
      </c>
      <c r="L120" s="137">
        <f t="shared" si="3"/>
        <v>-196</v>
      </c>
      <c r="M120" s="138">
        <f t="shared" si="4"/>
        <v>-291.00000000000006</v>
      </c>
      <c r="N120" s="137">
        <f t="shared" si="5"/>
        <v>-182.99999999999994</v>
      </c>
      <c r="O120" s="137"/>
    </row>
    <row r="121" spans="1:15">
      <c r="A121" s="76">
        <f>'BC.114+840'!B120</f>
        <v>45377</v>
      </c>
      <c r="B121" s="137">
        <v>107</v>
      </c>
      <c r="C121" s="139">
        <f>'BC.114+840'!M120/1000</f>
        <v>0.80900000000000005</v>
      </c>
      <c r="D121" s="139">
        <f>'BC.114+840'!AA120</f>
        <v>1.4489999999999998</v>
      </c>
      <c r="E121" s="140">
        <f>'BC.114+840'!AB120</f>
        <v>0.41799999999999998</v>
      </c>
      <c r="F121" s="139">
        <f>VLOOKUP($A121,'BC.114+840'!$B$13:$X$470,8,0)/1000</f>
        <v>1.724</v>
      </c>
      <c r="G121" s="139">
        <f>VLOOKUP($A121,'BC.114+840'!$B$13:$X$470,9,0)/1000</f>
        <v>-0.27600000000000002</v>
      </c>
      <c r="H121" s="139">
        <f>VLOOKUP($A121,'BC.114+840'!$B$13:$X$470,14,0)/1000</f>
        <v>1.8089999999999999</v>
      </c>
      <c r="I121" s="139">
        <f>VLOOKUP($A121,'BC.114+840'!$B$13:$X$470,15,0)/1000</f>
        <v>-0.191</v>
      </c>
      <c r="J121" s="139">
        <f>VLOOKUP($A121,'BC.114+840'!$B$13:$X$470,20,0)/1000</f>
        <v>1.427</v>
      </c>
      <c r="K121" s="139">
        <f>VLOOKUP($A121,'BC.114+840'!$B$13:$X$470,21,0)/1000</f>
        <v>-0.57299999999999995</v>
      </c>
      <c r="L121" s="137">
        <f t="shared" si="3"/>
        <v>-196</v>
      </c>
      <c r="M121" s="138">
        <f t="shared" si="4"/>
        <v>-291.00000000000006</v>
      </c>
      <c r="N121" s="137">
        <f t="shared" si="5"/>
        <v>-182.99999999999994</v>
      </c>
      <c r="O121" s="137"/>
    </row>
    <row r="122" spans="1:15">
      <c r="A122" s="76">
        <f>'BC.114+840'!B121</f>
        <v>45378</v>
      </c>
      <c r="B122" s="137">
        <v>108</v>
      </c>
      <c r="C122" s="139">
        <f>'BC.114+840'!M121/1000</f>
        <v>0.80900000000000005</v>
      </c>
      <c r="D122" s="139">
        <f>'BC.114+840'!AA121</f>
        <v>1.4489999999999998</v>
      </c>
      <c r="E122" s="140">
        <f>'BC.114+840'!AB121</f>
        <v>0.41799999999999998</v>
      </c>
      <c r="F122" s="139">
        <f>VLOOKUP($A122,'BC.114+840'!$B$13:$X$470,8,0)/1000</f>
        <v>1.724</v>
      </c>
      <c r="G122" s="139">
        <f>VLOOKUP($A122,'BC.114+840'!$B$13:$X$470,9,0)/1000</f>
        <v>-0.27600000000000002</v>
      </c>
      <c r="H122" s="139">
        <f>VLOOKUP($A122,'BC.114+840'!$B$13:$X$470,14,0)/1000</f>
        <v>1.8089999999999999</v>
      </c>
      <c r="I122" s="139">
        <f>VLOOKUP($A122,'BC.114+840'!$B$13:$X$470,15,0)/1000</f>
        <v>-0.191</v>
      </c>
      <c r="J122" s="139">
        <f>VLOOKUP($A122,'BC.114+840'!$B$13:$X$470,20,0)/1000</f>
        <v>1.427</v>
      </c>
      <c r="K122" s="139">
        <f>VLOOKUP($A122,'BC.114+840'!$B$13:$X$470,21,0)/1000</f>
        <v>-0.57299999999999995</v>
      </c>
      <c r="L122" s="137">
        <f t="shared" si="3"/>
        <v>-196</v>
      </c>
      <c r="M122" s="138">
        <f t="shared" si="4"/>
        <v>-291.00000000000006</v>
      </c>
      <c r="N122" s="137">
        <f t="shared" si="5"/>
        <v>-182.99999999999994</v>
      </c>
      <c r="O122" s="137"/>
    </row>
    <row r="123" spans="1:15">
      <c r="A123" s="76">
        <f>'BC.114+840'!B122</f>
        <v>45379</v>
      </c>
      <c r="B123" s="137">
        <v>109</v>
      </c>
      <c r="C123" s="139">
        <f>'BC.114+840'!M122/1000</f>
        <v>0.80900000000000005</v>
      </c>
      <c r="D123" s="139">
        <f>'BC.114+840'!AA122</f>
        <v>1.4489999999999998</v>
      </c>
      <c r="E123" s="140">
        <f>'BC.114+840'!AB122</f>
        <v>0.41799999999999998</v>
      </c>
      <c r="F123" s="139">
        <f>VLOOKUP($A123,'BC.114+840'!$B$13:$X$470,8,0)/1000</f>
        <v>1.724</v>
      </c>
      <c r="G123" s="139">
        <f>VLOOKUP($A123,'BC.114+840'!$B$13:$X$470,9,0)/1000</f>
        <v>-0.27600000000000002</v>
      </c>
      <c r="H123" s="139">
        <f>VLOOKUP($A123,'BC.114+840'!$B$13:$X$470,14,0)/1000</f>
        <v>1.8089999999999999</v>
      </c>
      <c r="I123" s="139">
        <f>VLOOKUP($A123,'BC.114+840'!$B$13:$X$470,15,0)/1000</f>
        <v>-0.191</v>
      </c>
      <c r="J123" s="139">
        <f>VLOOKUP($A123,'BC.114+840'!$B$13:$X$470,20,0)/1000</f>
        <v>1.427</v>
      </c>
      <c r="K123" s="139">
        <f>VLOOKUP($A123,'BC.114+840'!$B$13:$X$470,21,0)/1000</f>
        <v>-0.57299999999999995</v>
      </c>
      <c r="L123" s="137">
        <f t="shared" si="3"/>
        <v>-196</v>
      </c>
      <c r="M123" s="138">
        <f t="shared" si="4"/>
        <v>-291.00000000000006</v>
      </c>
      <c r="N123" s="137">
        <f t="shared" si="5"/>
        <v>-182.99999999999994</v>
      </c>
      <c r="O123" s="137"/>
    </row>
    <row r="124" spans="1:15">
      <c r="A124" s="76">
        <f>'BC.114+840'!B123</f>
        <v>45380</v>
      </c>
      <c r="B124" s="137">
        <v>110</v>
      </c>
      <c r="C124" s="139">
        <f>'BC.114+840'!M123/1000</f>
        <v>0.80900000000000005</v>
      </c>
      <c r="D124" s="139">
        <f>'BC.114+840'!AA123</f>
        <v>1.4489999999999998</v>
      </c>
      <c r="E124" s="140">
        <f>'BC.114+840'!AB123</f>
        <v>0.41799999999999998</v>
      </c>
      <c r="F124" s="139">
        <f>VLOOKUP($A124,'BC.114+840'!$B$13:$X$470,8,0)/1000</f>
        <v>1.724</v>
      </c>
      <c r="G124" s="139">
        <f>VLOOKUP($A124,'BC.114+840'!$B$13:$X$470,9,0)/1000</f>
        <v>-0.27600000000000002</v>
      </c>
      <c r="H124" s="139">
        <f>VLOOKUP($A124,'BC.114+840'!$B$13:$X$470,14,0)/1000</f>
        <v>1.8089999999999999</v>
      </c>
      <c r="I124" s="139">
        <f>VLOOKUP($A124,'BC.114+840'!$B$13:$X$470,15,0)/1000</f>
        <v>-0.191</v>
      </c>
      <c r="J124" s="139">
        <f>VLOOKUP($A124,'BC.114+840'!$B$13:$X$470,20,0)/1000</f>
        <v>1.427</v>
      </c>
      <c r="K124" s="139">
        <f>VLOOKUP($A124,'BC.114+840'!$B$13:$X$470,21,0)/1000</f>
        <v>-0.57299999999999995</v>
      </c>
      <c r="L124" s="137">
        <f t="shared" si="3"/>
        <v>-196</v>
      </c>
      <c r="M124" s="138">
        <f t="shared" si="4"/>
        <v>-291.00000000000006</v>
      </c>
      <c r="N124" s="137">
        <f t="shared" si="5"/>
        <v>-182.99999999999994</v>
      </c>
      <c r="O124" s="137"/>
    </row>
    <row r="125" spans="1:15">
      <c r="A125" s="76">
        <f>'BC.114+840'!B124</f>
        <v>45381</v>
      </c>
      <c r="B125" s="137">
        <v>111</v>
      </c>
      <c r="C125" s="139">
        <f>'BC.114+840'!M124/1000</f>
        <v>0.80900000000000005</v>
      </c>
      <c r="D125" s="139">
        <f>'BC.114+840'!AA124</f>
        <v>1.4489999999999998</v>
      </c>
      <c r="E125" s="140">
        <f>'BC.114+840'!AB124</f>
        <v>0.41799999999999998</v>
      </c>
      <c r="F125" s="139">
        <f>VLOOKUP($A125,'BC.114+840'!$B$13:$X$470,8,0)/1000</f>
        <v>1.724</v>
      </c>
      <c r="G125" s="139">
        <f>VLOOKUP($A125,'BC.114+840'!$B$13:$X$470,9,0)/1000</f>
        <v>-0.27600000000000002</v>
      </c>
      <c r="H125" s="139">
        <f>VLOOKUP($A125,'BC.114+840'!$B$13:$X$470,14,0)/1000</f>
        <v>1.8089999999999999</v>
      </c>
      <c r="I125" s="139">
        <f>VLOOKUP($A125,'BC.114+840'!$B$13:$X$470,15,0)/1000</f>
        <v>-0.191</v>
      </c>
      <c r="J125" s="139">
        <f>VLOOKUP($A125,'BC.114+840'!$B$13:$X$470,20,0)/1000</f>
        <v>1.427</v>
      </c>
      <c r="K125" s="139">
        <f>VLOOKUP($A125,'BC.114+840'!$B$13:$X$470,21,0)/1000</f>
        <v>-0.57299999999999995</v>
      </c>
      <c r="L125" s="137">
        <f t="shared" si="3"/>
        <v>-196</v>
      </c>
      <c r="M125" s="138">
        <f t="shared" si="4"/>
        <v>-291.00000000000006</v>
      </c>
      <c r="N125" s="137">
        <f t="shared" si="5"/>
        <v>-182.99999999999994</v>
      </c>
      <c r="O125" s="137"/>
    </row>
    <row r="126" spans="1:15">
      <c r="A126" s="76">
        <f>'BC.114+840'!B125</f>
        <v>45382</v>
      </c>
      <c r="B126" s="137">
        <v>112</v>
      </c>
      <c r="C126" s="139">
        <f>'BC.114+840'!M125/1000</f>
        <v>0.80900000000000005</v>
      </c>
      <c r="D126" s="139">
        <f>'BC.114+840'!AA125</f>
        <v>1.4489999999999998</v>
      </c>
      <c r="E126" s="140">
        <f>'BC.114+840'!AB125</f>
        <v>0.41799999999999998</v>
      </c>
      <c r="F126" s="139">
        <f>VLOOKUP($A126,'BC.114+840'!$B$13:$X$470,8,0)/1000</f>
        <v>1.724</v>
      </c>
      <c r="G126" s="139">
        <f>VLOOKUP($A126,'BC.114+840'!$B$13:$X$470,9,0)/1000</f>
        <v>-0.27600000000000002</v>
      </c>
      <c r="H126" s="139">
        <f>VLOOKUP($A126,'BC.114+840'!$B$13:$X$470,14,0)/1000</f>
        <v>1.8089999999999999</v>
      </c>
      <c r="I126" s="139">
        <f>VLOOKUP($A126,'BC.114+840'!$B$13:$X$470,15,0)/1000</f>
        <v>-0.191</v>
      </c>
      <c r="J126" s="139">
        <f>VLOOKUP($A126,'BC.114+840'!$B$13:$X$470,20,0)/1000</f>
        <v>1.427</v>
      </c>
      <c r="K126" s="139">
        <f>VLOOKUP($A126,'BC.114+840'!$B$13:$X$470,21,0)/1000</f>
        <v>-0.57299999999999995</v>
      </c>
      <c r="L126" s="137">
        <f t="shared" si="3"/>
        <v>-196</v>
      </c>
      <c r="M126" s="138">
        <f t="shared" si="4"/>
        <v>-291.00000000000006</v>
      </c>
      <c r="N126" s="137">
        <f t="shared" si="5"/>
        <v>-182.99999999999994</v>
      </c>
      <c r="O126" s="137"/>
    </row>
    <row r="127" spans="1:15">
      <c r="A127" s="76">
        <f>'BC.114+840'!B126</f>
        <v>45383</v>
      </c>
      <c r="B127" s="137">
        <v>113</v>
      </c>
      <c r="C127" s="139">
        <f>'BC.114+840'!M126/1000</f>
        <v>0.80900000000000005</v>
      </c>
      <c r="D127" s="139">
        <f>'BC.114+840'!AA126</f>
        <v>1.4489999999999998</v>
      </c>
      <c r="E127" s="140">
        <f>'BC.114+840'!AB126</f>
        <v>0.41799999999999998</v>
      </c>
      <c r="F127" s="139">
        <f>VLOOKUP($A127,'BC.114+840'!$B$13:$X$470,8,0)/1000</f>
        <v>1.724</v>
      </c>
      <c r="G127" s="139">
        <f>VLOOKUP($A127,'BC.114+840'!$B$13:$X$470,9,0)/1000</f>
        <v>-0.27600000000000002</v>
      </c>
      <c r="H127" s="139">
        <f>VLOOKUP($A127,'BC.114+840'!$B$13:$X$470,14,0)/1000</f>
        <v>1.8089999999999999</v>
      </c>
      <c r="I127" s="139">
        <f>VLOOKUP($A127,'BC.114+840'!$B$13:$X$470,15,0)/1000</f>
        <v>-0.191</v>
      </c>
      <c r="J127" s="139">
        <f>VLOOKUP($A127,'BC.114+840'!$B$13:$X$470,20,0)/1000</f>
        <v>1.427</v>
      </c>
      <c r="K127" s="139">
        <f>VLOOKUP($A127,'BC.114+840'!$B$13:$X$470,21,0)/1000</f>
        <v>-0.57299999999999995</v>
      </c>
      <c r="L127" s="137">
        <f t="shared" si="3"/>
        <v>-196</v>
      </c>
      <c r="M127" s="138">
        <f t="shared" si="4"/>
        <v>-291.00000000000006</v>
      </c>
      <c r="N127" s="137">
        <f t="shared" si="5"/>
        <v>-182.99999999999994</v>
      </c>
      <c r="O127" s="137"/>
    </row>
    <row r="128" spans="1:15">
      <c r="A128" s="76">
        <f>'BC.114+840'!B127</f>
        <v>45384</v>
      </c>
      <c r="B128" s="137">
        <v>114</v>
      </c>
      <c r="C128" s="139">
        <f>'BC.114+840'!M127/1000</f>
        <v>0.80900000000000005</v>
      </c>
      <c r="D128" s="139">
        <f>'BC.114+840'!AA127</f>
        <v>1.4489999999999998</v>
      </c>
      <c r="E128" s="140">
        <f>'BC.114+840'!AB127</f>
        <v>0.41799999999999998</v>
      </c>
      <c r="F128" s="139">
        <f>VLOOKUP($A128,'BC.114+840'!$B$13:$X$470,8,0)/1000</f>
        <v>1.724</v>
      </c>
      <c r="G128" s="139">
        <f>VLOOKUP($A128,'BC.114+840'!$B$13:$X$470,9,0)/1000</f>
        <v>-0.27600000000000002</v>
      </c>
      <c r="H128" s="139">
        <f>VLOOKUP($A128,'BC.114+840'!$B$13:$X$470,14,0)/1000</f>
        <v>1.8089999999999999</v>
      </c>
      <c r="I128" s="139">
        <f>VLOOKUP($A128,'BC.114+840'!$B$13:$X$470,15,0)/1000</f>
        <v>-0.191</v>
      </c>
      <c r="J128" s="139">
        <f>VLOOKUP($A128,'BC.114+840'!$B$13:$X$470,20,0)/1000</f>
        <v>1.427</v>
      </c>
      <c r="K128" s="139">
        <f>VLOOKUP($A128,'BC.114+840'!$B$13:$X$470,21,0)/1000</f>
        <v>-0.57299999999999995</v>
      </c>
      <c r="L128" s="137">
        <f t="shared" si="3"/>
        <v>-196</v>
      </c>
      <c r="M128" s="138">
        <f t="shared" si="4"/>
        <v>-291.00000000000006</v>
      </c>
      <c r="N128" s="137">
        <f t="shared" si="5"/>
        <v>-182.99999999999994</v>
      </c>
      <c r="O128" s="137"/>
    </row>
    <row r="129" spans="1:15">
      <c r="A129" s="76">
        <f>'BC.114+840'!B128</f>
        <v>45385</v>
      </c>
      <c r="B129" s="137">
        <v>115</v>
      </c>
      <c r="C129" s="139">
        <f>'BC.114+840'!M128/1000</f>
        <v>0.80900000000000005</v>
      </c>
      <c r="D129" s="139">
        <f>'BC.114+840'!AA128</f>
        <v>1.4489999999999998</v>
      </c>
      <c r="E129" s="140">
        <f>'BC.114+840'!AB128</f>
        <v>0.41799999999999998</v>
      </c>
      <c r="F129" s="139">
        <f>VLOOKUP($A129,'BC.114+840'!$B$13:$X$470,8,0)/1000</f>
        <v>1.724</v>
      </c>
      <c r="G129" s="139">
        <f>VLOOKUP($A129,'BC.114+840'!$B$13:$X$470,9,0)/1000</f>
        <v>-0.27600000000000002</v>
      </c>
      <c r="H129" s="139">
        <f>VLOOKUP($A129,'BC.114+840'!$B$13:$X$470,14,0)/1000</f>
        <v>1.8089999999999999</v>
      </c>
      <c r="I129" s="139">
        <f>VLOOKUP($A129,'BC.114+840'!$B$13:$X$470,15,0)/1000</f>
        <v>-0.191</v>
      </c>
      <c r="J129" s="139">
        <f>VLOOKUP($A129,'BC.114+840'!$B$13:$X$470,20,0)/1000</f>
        <v>1.427</v>
      </c>
      <c r="K129" s="139">
        <f>VLOOKUP($A129,'BC.114+840'!$B$13:$X$470,21,0)/1000</f>
        <v>-0.57299999999999995</v>
      </c>
      <c r="L129" s="137">
        <f t="shared" si="3"/>
        <v>-196</v>
      </c>
      <c r="M129" s="138">
        <f t="shared" si="4"/>
        <v>-291.00000000000006</v>
      </c>
      <c r="N129" s="137">
        <f t="shared" si="5"/>
        <v>-182.99999999999994</v>
      </c>
      <c r="O129" s="137"/>
    </row>
    <row r="130" spans="1:15">
      <c r="A130" s="76">
        <f>'BC.114+840'!B129</f>
        <v>45386</v>
      </c>
      <c r="B130" s="137">
        <v>116</v>
      </c>
      <c r="C130" s="139">
        <f>'BC.114+840'!M129/1000</f>
        <v>0.80900000000000005</v>
      </c>
      <c r="D130" s="139">
        <f>'BC.114+840'!AA129</f>
        <v>1.4489999999999998</v>
      </c>
      <c r="E130" s="140">
        <f>'BC.114+840'!AB129</f>
        <v>0.41799999999999998</v>
      </c>
      <c r="F130" s="139">
        <f>VLOOKUP($A130,'BC.114+840'!$B$13:$X$470,8,0)/1000</f>
        <v>1.724</v>
      </c>
      <c r="G130" s="139">
        <f>VLOOKUP($A130,'BC.114+840'!$B$13:$X$470,9,0)/1000</f>
        <v>-0.27600000000000002</v>
      </c>
      <c r="H130" s="139">
        <f>VLOOKUP($A130,'BC.114+840'!$B$13:$X$470,14,0)/1000</f>
        <v>1.8089999999999999</v>
      </c>
      <c r="I130" s="139">
        <f>VLOOKUP($A130,'BC.114+840'!$B$13:$X$470,15,0)/1000</f>
        <v>-0.191</v>
      </c>
      <c r="J130" s="139">
        <f>VLOOKUP($A130,'BC.114+840'!$B$13:$X$470,20,0)/1000</f>
        <v>1.427</v>
      </c>
      <c r="K130" s="139">
        <f>VLOOKUP($A130,'BC.114+840'!$B$13:$X$470,21,0)/1000</f>
        <v>-0.57299999999999995</v>
      </c>
      <c r="L130" s="137">
        <f t="shared" si="3"/>
        <v>-196</v>
      </c>
      <c r="M130" s="138">
        <f t="shared" si="4"/>
        <v>-291.00000000000006</v>
      </c>
      <c r="N130" s="137">
        <f t="shared" si="5"/>
        <v>-182.99999999999994</v>
      </c>
      <c r="O130" s="137"/>
    </row>
    <row r="131" spans="1:15">
      <c r="A131" s="76">
        <f>'BC.114+840'!B130</f>
        <v>45387</v>
      </c>
      <c r="B131" s="137">
        <v>117</v>
      </c>
      <c r="C131" s="139">
        <f>'BC.114+840'!M130/1000</f>
        <v>0.80900000000000005</v>
      </c>
      <c r="D131" s="139">
        <f>'BC.114+840'!AA130</f>
        <v>1.4489999999999998</v>
      </c>
      <c r="E131" s="140">
        <f>'BC.114+840'!AB130</f>
        <v>0.41799999999999998</v>
      </c>
      <c r="F131" s="139">
        <f>VLOOKUP($A131,'BC.114+840'!$B$13:$X$470,8,0)/1000</f>
        <v>1.724</v>
      </c>
      <c r="G131" s="139">
        <f>VLOOKUP($A131,'BC.114+840'!$B$13:$X$470,9,0)/1000</f>
        <v>-0.27600000000000002</v>
      </c>
      <c r="H131" s="139">
        <f>VLOOKUP($A131,'BC.114+840'!$B$13:$X$470,14,0)/1000</f>
        <v>1.8089999999999999</v>
      </c>
      <c r="I131" s="139">
        <f>VLOOKUP($A131,'BC.114+840'!$B$13:$X$470,15,0)/1000</f>
        <v>-0.191</v>
      </c>
      <c r="J131" s="139">
        <f>VLOOKUP($A131,'BC.114+840'!$B$13:$X$470,20,0)/1000</f>
        <v>1.427</v>
      </c>
      <c r="K131" s="139">
        <f>VLOOKUP($A131,'BC.114+840'!$B$13:$X$470,21,0)/1000</f>
        <v>-0.57299999999999995</v>
      </c>
      <c r="L131" s="137">
        <f t="shared" si="3"/>
        <v>-196</v>
      </c>
      <c r="M131" s="138">
        <f t="shared" si="4"/>
        <v>-291.00000000000006</v>
      </c>
      <c r="N131" s="137">
        <f t="shared" si="5"/>
        <v>-182.99999999999994</v>
      </c>
      <c r="O131" s="137"/>
    </row>
    <row r="132" spans="1:15">
      <c r="A132" s="76">
        <f>'BC.114+840'!B131</f>
        <v>45388</v>
      </c>
      <c r="B132" s="137">
        <v>118</v>
      </c>
      <c r="C132" s="139">
        <f>'BC.114+840'!M131/1000</f>
        <v>0.80900000000000005</v>
      </c>
      <c r="D132" s="139">
        <f>'BC.114+840'!AA131</f>
        <v>1.4489999999999998</v>
      </c>
      <c r="E132" s="140">
        <f>'BC.114+840'!AB131</f>
        <v>0.41799999999999998</v>
      </c>
      <c r="F132" s="139">
        <f>VLOOKUP($A132,'BC.114+840'!$B$13:$X$470,8,0)/1000</f>
        <v>1.724</v>
      </c>
      <c r="G132" s="139">
        <f>VLOOKUP($A132,'BC.114+840'!$B$13:$X$470,9,0)/1000</f>
        <v>-0.27600000000000002</v>
      </c>
      <c r="H132" s="139">
        <f>VLOOKUP($A132,'BC.114+840'!$B$13:$X$470,14,0)/1000</f>
        <v>1.8089999999999999</v>
      </c>
      <c r="I132" s="139">
        <f>VLOOKUP($A132,'BC.114+840'!$B$13:$X$470,15,0)/1000</f>
        <v>-0.191</v>
      </c>
      <c r="J132" s="139">
        <f>VLOOKUP($A132,'BC.114+840'!$B$13:$X$470,20,0)/1000</f>
        <v>1.427</v>
      </c>
      <c r="K132" s="139">
        <f>VLOOKUP($A132,'BC.114+840'!$B$13:$X$470,21,0)/1000</f>
        <v>-0.57299999999999995</v>
      </c>
      <c r="L132" s="137">
        <f t="shared" si="3"/>
        <v>-196</v>
      </c>
      <c r="M132" s="138">
        <f t="shared" si="4"/>
        <v>-291.00000000000006</v>
      </c>
      <c r="N132" s="137">
        <f t="shared" si="5"/>
        <v>-182.99999999999994</v>
      </c>
      <c r="O132" s="137"/>
    </row>
    <row r="133" spans="1:15">
      <c r="A133" s="76">
        <f>'BC.114+840'!B132</f>
        <v>45389</v>
      </c>
      <c r="B133" s="137">
        <v>119</v>
      </c>
      <c r="C133" s="139">
        <f>'BC.114+840'!M132/1000</f>
        <v>0.80900000000000005</v>
      </c>
      <c r="D133" s="139">
        <f>'BC.114+840'!AA132</f>
        <v>1.4489999999999998</v>
      </c>
      <c r="E133" s="140">
        <f>'BC.114+840'!AB132</f>
        <v>0.41799999999999998</v>
      </c>
      <c r="F133" s="139">
        <f>VLOOKUP($A133,'BC.114+840'!$B$13:$X$470,8,0)/1000</f>
        <v>1.724</v>
      </c>
      <c r="G133" s="139">
        <f>VLOOKUP($A133,'BC.114+840'!$B$13:$X$470,9,0)/1000</f>
        <v>-0.27600000000000002</v>
      </c>
      <c r="H133" s="139">
        <f>VLOOKUP($A133,'BC.114+840'!$B$13:$X$470,14,0)/1000</f>
        <v>1.8089999999999999</v>
      </c>
      <c r="I133" s="139">
        <f>VLOOKUP($A133,'BC.114+840'!$B$13:$X$470,15,0)/1000</f>
        <v>-0.191</v>
      </c>
      <c r="J133" s="139">
        <f>VLOOKUP($A133,'BC.114+840'!$B$13:$X$470,20,0)/1000</f>
        <v>1.427</v>
      </c>
      <c r="K133" s="139">
        <f>VLOOKUP($A133,'BC.114+840'!$B$13:$X$470,21,0)/1000</f>
        <v>-0.57299999999999995</v>
      </c>
      <c r="L133" s="137">
        <f t="shared" si="3"/>
        <v>-196</v>
      </c>
      <c r="M133" s="138">
        <f t="shared" si="4"/>
        <v>-291.00000000000006</v>
      </c>
      <c r="N133" s="137">
        <f t="shared" si="5"/>
        <v>-182.99999999999994</v>
      </c>
      <c r="O133" s="137"/>
    </row>
    <row r="134" spans="1:15">
      <c r="A134" s="76">
        <f>'BC.114+840'!B133</f>
        <v>45390</v>
      </c>
      <c r="B134" s="137">
        <v>120</v>
      </c>
      <c r="C134" s="139">
        <f>'BC.114+840'!M133/1000</f>
        <v>0.80900000000000005</v>
      </c>
      <c r="D134" s="139">
        <f>'BC.114+840'!AA133</f>
        <v>1.4489999999999998</v>
      </c>
      <c r="E134" s="140">
        <f>'BC.114+840'!AB133</f>
        <v>0.41799999999999998</v>
      </c>
      <c r="F134" s="139">
        <f>VLOOKUP($A134,'BC.114+840'!$B$13:$X$470,8,0)/1000</f>
        <v>1.724</v>
      </c>
      <c r="G134" s="139">
        <f>VLOOKUP($A134,'BC.114+840'!$B$13:$X$470,9,0)/1000</f>
        <v>-0.27600000000000002</v>
      </c>
      <c r="H134" s="139">
        <f>VLOOKUP($A134,'BC.114+840'!$B$13:$X$470,14,0)/1000</f>
        <v>1.8089999999999999</v>
      </c>
      <c r="I134" s="139">
        <f>VLOOKUP($A134,'BC.114+840'!$B$13:$X$470,15,0)/1000</f>
        <v>-0.191</v>
      </c>
      <c r="J134" s="139">
        <f>VLOOKUP($A134,'BC.114+840'!$B$13:$X$470,20,0)/1000</f>
        <v>1.427</v>
      </c>
      <c r="K134" s="139">
        <f>VLOOKUP($A134,'BC.114+840'!$B$13:$X$470,21,0)/1000</f>
        <v>-0.57299999999999995</v>
      </c>
      <c r="L134" s="137">
        <f t="shared" si="3"/>
        <v>-196</v>
      </c>
      <c r="M134" s="138">
        <f t="shared" si="4"/>
        <v>-291.00000000000006</v>
      </c>
      <c r="N134" s="137">
        <f t="shared" si="5"/>
        <v>-182.99999999999994</v>
      </c>
      <c r="O134" s="141"/>
    </row>
    <row r="135" spans="1:15">
      <c r="A135" s="76">
        <f>'BC.114+840'!B134</f>
        <v>45391</v>
      </c>
      <c r="B135" s="137">
        <v>121</v>
      </c>
      <c r="C135" s="139">
        <f>'BC.114+840'!M134/1000</f>
        <v>0.80900000000000005</v>
      </c>
      <c r="D135" s="139">
        <f>'BC.114+840'!AA134</f>
        <v>1.4489999999999998</v>
      </c>
      <c r="E135" s="140">
        <f>'BC.114+840'!AB134</f>
        <v>0.41799999999999998</v>
      </c>
      <c r="F135" s="139">
        <f>VLOOKUP($A135,'BC.114+840'!$B$13:$X$470,8,0)/1000</f>
        <v>1.724</v>
      </c>
      <c r="G135" s="139">
        <f>VLOOKUP($A135,'BC.114+840'!$B$13:$X$470,9,0)/1000</f>
        <v>-0.27600000000000002</v>
      </c>
      <c r="H135" s="139">
        <f>VLOOKUP($A135,'BC.114+840'!$B$13:$X$470,14,0)/1000</f>
        <v>1.8089999999999999</v>
      </c>
      <c r="I135" s="139">
        <f>VLOOKUP($A135,'BC.114+840'!$B$13:$X$470,15,0)/1000</f>
        <v>-0.191</v>
      </c>
      <c r="J135" s="139">
        <f>VLOOKUP($A135,'BC.114+840'!$B$13:$X$470,20,0)/1000</f>
        <v>1.427</v>
      </c>
      <c r="K135" s="139">
        <f>VLOOKUP($A135,'BC.114+840'!$B$13:$X$470,21,0)/1000</f>
        <v>-0.57299999999999995</v>
      </c>
      <c r="L135" s="137">
        <f t="shared" si="3"/>
        <v>-196</v>
      </c>
      <c r="M135" s="138">
        <f t="shared" si="4"/>
        <v>-291.00000000000006</v>
      </c>
      <c r="N135" s="137">
        <f t="shared" si="5"/>
        <v>-182.99999999999994</v>
      </c>
      <c r="O135" s="137"/>
    </row>
    <row r="136" spans="1:15">
      <c r="A136" s="76">
        <f>'BC.114+840'!B135</f>
        <v>45392</v>
      </c>
      <c r="B136" s="137">
        <v>122</v>
      </c>
      <c r="C136" s="139">
        <f>'BC.114+840'!M135/1000</f>
        <v>0.80900000000000005</v>
      </c>
      <c r="D136" s="139">
        <f>'BC.114+840'!AA135</f>
        <v>1.4489999999999998</v>
      </c>
      <c r="E136" s="140">
        <f>'BC.114+840'!AB135</f>
        <v>0.41799999999999998</v>
      </c>
      <c r="F136" s="139">
        <f>VLOOKUP($A136,'BC.114+840'!$B$13:$X$470,8,0)/1000</f>
        <v>1.724</v>
      </c>
      <c r="G136" s="139">
        <f>VLOOKUP($A136,'BC.114+840'!$B$13:$X$470,9,0)/1000</f>
        <v>-0.27600000000000002</v>
      </c>
      <c r="H136" s="139">
        <f>VLOOKUP($A136,'BC.114+840'!$B$13:$X$470,14,0)/1000</f>
        <v>1.8089999999999999</v>
      </c>
      <c r="I136" s="139">
        <f>VLOOKUP($A136,'BC.114+840'!$B$13:$X$470,15,0)/1000</f>
        <v>-0.191</v>
      </c>
      <c r="J136" s="139">
        <f>VLOOKUP($A136,'BC.114+840'!$B$13:$X$470,20,0)/1000</f>
        <v>1.427</v>
      </c>
      <c r="K136" s="139">
        <f>VLOOKUP($A136,'BC.114+840'!$B$13:$X$470,21,0)/1000</f>
        <v>-0.57299999999999995</v>
      </c>
      <c r="L136" s="137">
        <f t="shared" si="3"/>
        <v>-196</v>
      </c>
      <c r="M136" s="138">
        <f t="shared" si="4"/>
        <v>-291.00000000000006</v>
      </c>
      <c r="N136" s="137">
        <f t="shared" si="5"/>
        <v>-182.99999999999994</v>
      </c>
      <c r="O136" s="137"/>
    </row>
    <row r="137" spans="1:15">
      <c r="A137" s="76">
        <f>'BC.114+840'!B136</f>
        <v>45393</v>
      </c>
      <c r="B137" s="137">
        <v>123</v>
      </c>
      <c r="C137" s="139">
        <f>'BC.114+840'!M136/1000</f>
        <v>0.80900000000000005</v>
      </c>
      <c r="D137" s="139">
        <f>'BC.114+840'!AA136</f>
        <v>1.4489999999999998</v>
      </c>
      <c r="E137" s="140">
        <f>'BC.114+840'!AB136</f>
        <v>0.41799999999999998</v>
      </c>
      <c r="F137" s="139">
        <f>VLOOKUP($A137,'BC.114+840'!$B$13:$X$470,8,0)/1000</f>
        <v>1.724</v>
      </c>
      <c r="G137" s="139">
        <f>VLOOKUP($A137,'BC.114+840'!$B$13:$X$470,9,0)/1000</f>
        <v>-0.27600000000000002</v>
      </c>
      <c r="H137" s="139">
        <f>VLOOKUP($A137,'BC.114+840'!$B$13:$X$470,14,0)/1000</f>
        <v>1.8089999999999999</v>
      </c>
      <c r="I137" s="139">
        <f>VLOOKUP($A137,'BC.114+840'!$B$13:$X$470,15,0)/1000</f>
        <v>-0.191</v>
      </c>
      <c r="J137" s="139">
        <f>VLOOKUP($A137,'BC.114+840'!$B$13:$X$470,20,0)/1000</f>
        <v>1.427</v>
      </c>
      <c r="K137" s="139">
        <f>VLOOKUP($A137,'BC.114+840'!$B$13:$X$470,21,0)/1000</f>
        <v>-0.57299999999999995</v>
      </c>
      <c r="L137" s="137">
        <f t="shared" si="3"/>
        <v>-196</v>
      </c>
      <c r="M137" s="138">
        <f t="shared" si="4"/>
        <v>-291.00000000000006</v>
      </c>
      <c r="N137" s="137">
        <f t="shared" si="5"/>
        <v>-182.99999999999994</v>
      </c>
      <c r="O137" s="137"/>
    </row>
    <row r="138" spans="1:15">
      <c r="A138" s="76">
        <f>'BC.114+840'!B137</f>
        <v>45394</v>
      </c>
      <c r="B138" s="137">
        <v>124</v>
      </c>
      <c r="C138" s="139">
        <f>'BC.114+840'!M137/1000</f>
        <v>0.80900000000000005</v>
      </c>
      <c r="D138" s="139">
        <f>'BC.114+840'!AA137</f>
        <v>1.4489999999999998</v>
      </c>
      <c r="E138" s="140">
        <f>'BC.114+840'!AB137</f>
        <v>0.41799999999999998</v>
      </c>
      <c r="F138" s="139">
        <f>VLOOKUP($A138,'BC.114+840'!$B$13:$X$470,8,0)/1000</f>
        <v>1.724</v>
      </c>
      <c r="G138" s="139">
        <f>VLOOKUP($A138,'BC.114+840'!$B$13:$X$470,9,0)/1000</f>
        <v>-0.27600000000000002</v>
      </c>
      <c r="H138" s="139">
        <f>VLOOKUP($A138,'BC.114+840'!$B$13:$X$470,14,0)/1000</f>
        <v>1.8089999999999999</v>
      </c>
      <c r="I138" s="139">
        <f>VLOOKUP($A138,'BC.114+840'!$B$13:$X$470,15,0)/1000</f>
        <v>-0.191</v>
      </c>
      <c r="J138" s="139">
        <f>VLOOKUP($A138,'BC.114+840'!$B$13:$X$470,20,0)/1000</f>
        <v>1.427</v>
      </c>
      <c r="K138" s="139">
        <f>VLOOKUP($A138,'BC.114+840'!$B$13:$X$470,21,0)/1000</f>
        <v>-0.57299999999999995</v>
      </c>
      <c r="L138" s="137">
        <f t="shared" si="3"/>
        <v>-196</v>
      </c>
      <c r="M138" s="138">
        <f t="shared" si="4"/>
        <v>-291.00000000000006</v>
      </c>
      <c r="N138" s="137">
        <f t="shared" si="5"/>
        <v>-182.99999999999994</v>
      </c>
      <c r="O138" s="137"/>
    </row>
    <row r="139" spans="1:15">
      <c r="A139" s="76">
        <f>'BC.114+840'!B138</f>
        <v>45395</v>
      </c>
      <c r="B139" s="137">
        <v>125</v>
      </c>
      <c r="C139" s="139">
        <f>'BC.114+840'!M138/1000</f>
        <v>0.80900000000000005</v>
      </c>
      <c r="D139" s="139">
        <f>'BC.114+840'!AA138</f>
        <v>1.4489999999999998</v>
      </c>
      <c r="E139" s="140">
        <f>'BC.114+840'!AB138</f>
        <v>0.41799999999999998</v>
      </c>
      <c r="F139" s="139">
        <f>VLOOKUP($A139,'BC.114+840'!$B$13:$X$470,8,0)/1000</f>
        <v>1.724</v>
      </c>
      <c r="G139" s="139">
        <f>VLOOKUP($A139,'BC.114+840'!$B$13:$X$470,9,0)/1000</f>
        <v>-0.27600000000000002</v>
      </c>
      <c r="H139" s="139">
        <f>VLOOKUP($A139,'BC.114+840'!$B$13:$X$470,14,0)/1000</f>
        <v>1.8089999999999999</v>
      </c>
      <c r="I139" s="139">
        <f>VLOOKUP($A139,'BC.114+840'!$B$13:$X$470,15,0)/1000</f>
        <v>-0.191</v>
      </c>
      <c r="J139" s="139">
        <f>VLOOKUP($A139,'BC.114+840'!$B$13:$X$470,20,0)/1000</f>
        <v>1.427</v>
      </c>
      <c r="K139" s="139">
        <f>VLOOKUP($A139,'BC.114+840'!$B$13:$X$470,21,0)/1000</f>
        <v>-0.57299999999999995</v>
      </c>
      <c r="L139" s="137">
        <f t="shared" si="3"/>
        <v>-196</v>
      </c>
      <c r="M139" s="138">
        <f t="shared" si="4"/>
        <v>-291.00000000000006</v>
      </c>
      <c r="N139" s="137">
        <f t="shared" si="5"/>
        <v>-182.99999999999994</v>
      </c>
      <c r="O139" s="137"/>
    </row>
    <row r="140" spans="1:15">
      <c r="A140" s="76">
        <f>'BC.114+840'!B139</f>
        <v>45396</v>
      </c>
      <c r="B140" s="137">
        <v>126</v>
      </c>
      <c r="C140" s="139">
        <f>'BC.114+840'!M139/1000</f>
        <v>1.1000000000000001</v>
      </c>
      <c r="D140" s="139">
        <f>'BC.114+840'!AA139</f>
        <v>1.7409999999999999</v>
      </c>
      <c r="E140" s="140">
        <f>'BC.114+840'!AB139</f>
        <v>0.7</v>
      </c>
      <c r="F140" s="139">
        <f>VLOOKUP($A140,'BC.114+840'!$B$13:$X$470,8,0)/1000</f>
        <v>1.7170000000000001</v>
      </c>
      <c r="G140" s="139">
        <f>VLOOKUP($A140,'BC.114+840'!$B$13:$X$470,9,0)/1000</f>
        <v>-0.28299999999999997</v>
      </c>
      <c r="H140" s="139">
        <f>VLOOKUP($A140,'BC.114+840'!$B$13:$X$470,14,0)/1000</f>
        <v>1.8</v>
      </c>
      <c r="I140" s="139">
        <f>VLOOKUP($A140,'BC.114+840'!$B$13:$X$470,15,0)/1000</f>
        <v>-0.2</v>
      </c>
      <c r="J140" s="139">
        <f>VLOOKUP($A140,'BC.114+840'!$B$13:$X$470,20,0)/1000</f>
        <v>1.419</v>
      </c>
      <c r="K140" s="139">
        <f>VLOOKUP($A140,'BC.114+840'!$B$13:$X$470,21,0)/1000</f>
        <v>-0.58099999999999996</v>
      </c>
      <c r="L140" s="137">
        <f t="shared" si="3"/>
        <v>-202.99999999999997</v>
      </c>
      <c r="M140" s="138">
        <f t="shared" si="4"/>
        <v>-300.00000000000006</v>
      </c>
      <c r="N140" s="137">
        <f t="shared" si="5"/>
        <v>-190.99999999999994</v>
      </c>
      <c r="O140" s="137"/>
    </row>
    <row r="141" spans="1:15">
      <c r="A141" s="76">
        <f>'BC.114+840'!B140</f>
        <v>45397</v>
      </c>
      <c r="B141" s="137">
        <v>127</v>
      </c>
      <c r="C141" s="139">
        <f>'BC.114+840'!M140/1000</f>
        <v>1.097</v>
      </c>
      <c r="D141" s="139">
        <f>'BC.114+840'!AA140</f>
        <v>1.7409999999999999</v>
      </c>
      <c r="E141" s="140">
        <f>'BC.114+840'!AB140</f>
        <v>0.69399999999999995</v>
      </c>
      <c r="F141" s="139">
        <f>VLOOKUP($A141,'BC.114+840'!$B$13:$X$470,8,0)/1000</f>
        <v>1.714</v>
      </c>
      <c r="G141" s="139">
        <f>VLOOKUP($A141,'BC.114+840'!$B$13:$X$470,9,0)/1000</f>
        <v>-0.28599999999999998</v>
      </c>
      <c r="H141" s="139">
        <f>VLOOKUP($A141,'BC.114+840'!$B$13:$X$470,14,0)/1000</f>
        <v>1.7969999999999999</v>
      </c>
      <c r="I141" s="139">
        <f>VLOOKUP($A141,'BC.114+840'!$B$13:$X$470,15,0)/1000</f>
        <v>-0.20300000000000001</v>
      </c>
      <c r="J141" s="139">
        <f>VLOOKUP($A141,'BC.114+840'!$B$13:$X$470,20,0)/1000</f>
        <v>1.4159999999999999</v>
      </c>
      <c r="K141" s="139">
        <f>VLOOKUP($A141,'BC.114+840'!$B$13:$X$470,21,0)/1000</f>
        <v>-0.58399999999999996</v>
      </c>
      <c r="L141" s="137">
        <f t="shared" si="3"/>
        <v>-205.99999999999997</v>
      </c>
      <c r="M141" s="138">
        <f t="shared" si="4"/>
        <v>-303.00000000000006</v>
      </c>
      <c r="N141" s="137">
        <f t="shared" si="5"/>
        <v>-193.99999999999994</v>
      </c>
      <c r="O141" s="137"/>
    </row>
    <row r="142" spans="1:15">
      <c r="A142" s="76">
        <f>'BC.114+840'!B141</f>
        <v>45398</v>
      </c>
      <c r="B142" s="137">
        <v>128</v>
      </c>
      <c r="C142" s="139">
        <f>'BC.114+840'!M141/1000</f>
        <v>1.093</v>
      </c>
      <c r="D142" s="139">
        <f>'BC.114+840'!AA141</f>
        <v>1.7409999999999999</v>
      </c>
      <c r="E142" s="140">
        <f>'BC.114+840'!AB141</f>
        <v>0.68600000000000005</v>
      </c>
      <c r="F142" s="139">
        <f>VLOOKUP($A142,'BC.114+840'!$B$13:$X$470,8,0)/1000</f>
        <v>1.71</v>
      </c>
      <c r="G142" s="139">
        <f>VLOOKUP($A142,'BC.114+840'!$B$13:$X$470,9,0)/1000</f>
        <v>-0.28999999999999998</v>
      </c>
      <c r="H142" s="139">
        <f>VLOOKUP($A142,'BC.114+840'!$B$13:$X$470,14,0)/1000</f>
        <v>1.7929999999999999</v>
      </c>
      <c r="I142" s="139">
        <f>VLOOKUP($A142,'BC.114+840'!$B$13:$X$470,15,0)/1000</f>
        <v>-0.20699999999999999</v>
      </c>
      <c r="J142" s="139">
        <f>VLOOKUP($A142,'BC.114+840'!$B$13:$X$470,20,0)/1000</f>
        <v>1.4119999999999999</v>
      </c>
      <c r="K142" s="139">
        <f>VLOOKUP($A142,'BC.114+840'!$B$13:$X$470,21,0)/1000</f>
        <v>-0.58799999999999997</v>
      </c>
      <c r="L142" s="137">
        <f t="shared" ref="L142:L205" si="6">(G142-$G$14)*1000</f>
        <v>-209.99999999999997</v>
      </c>
      <c r="M142" s="138">
        <f t="shared" ref="M142:M205" si="7">(I142-$I$14)*1000</f>
        <v>-307</v>
      </c>
      <c r="N142" s="137">
        <f t="shared" si="5"/>
        <v>-197.99999999999994</v>
      </c>
      <c r="O142" s="137"/>
    </row>
    <row r="143" spans="1:15">
      <c r="A143" s="76">
        <f>'BC.114+840'!B142</f>
        <v>45399</v>
      </c>
      <c r="B143" s="137">
        <v>129</v>
      </c>
      <c r="C143" s="139">
        <f>'BC.114+840'!M142/1000</f>
        <v>1.091</v>
      </c>
      <c r="D143" s="139">
        <f>'BC.114+840'!AA142</f>
        <v>1.7409999999999999</v>
      </c>
      <c r="E143" s="140">
        <f>'BC.114+840'!AB142</f>
        <v>0.68200000000000005</v>
      </c>
      <c r="F143" s="139">
        <f>VLOOKUP($A143,'BC.114+840'!$B$13:$X$470,8,0)/1000</f>
        <v>1.7050000000000001</v>
      </c>
      <c r="G143" s="139">
        <f>VLOOKUP($A143,'BC.114+840'!$B$13:$X$470,9,0)/1000</f>
        <v>-0.29499999999999998</v>
      </c>
      <c r="H143" s="139">
        <f>VLOOKUP($A143,'BC.114+840'!$B$13:$X$470,14,0)/1000</f>
        <v>1.7909999999999999</v>
      </c>
      <c r="I143" s="139">
        <f>VLOOKUP($A143,'BC.114+840'!$B$13:$X$470,15,0)/1000</f>
        <v>-0.20899999999999999</v>
      </c>
      <c r="J143" s="139">
        <f>VLOOKUP($A143,'BC.114+840'!$B$13:$X$470,20,0)/1000</f>
        <v>1.4079999999999999</v>
      </c>
      <c r="K143" s="139">
        <f>VLOOKUP($A143,'BC.114+840'!$B$13:$X$470,21,0)/1000</f>
        <v>-0.59199999999999997</v>
      </c>
      <c r="L143" s="137">
        <f t="shared" si="6"/>
        <v>-214.99999999999997</v>
      </c>
      <c r="M143" s="138">
        <f t="shared" si="7"/>
        <v>-309</v>
      </c>
      <c r="N143" s="137">
        <f t="shared" ref="N143:N206" si="8">(K143-$K$14)*1000</f>
        <v>-201.99999999999994</v>
      </c>
      <c r="O143" s="137"/>
    </row>
    <row r="144" spans="1:15">
      <c r="A144" s="76">
        <f>'BC.114+840'!B143</f>
        <v>45400</v>
      </c>
      <c r="B144" s="137">
        <v>130</v>
      </c>
      <c r="C144" s="139">
        <f>'BC.114+840'!M143/1000</f>
        <v>1.3819999999999999</v>
      </c>
      <c r="D144" s="139">
        <f>'BC.114+840'!AA143</f>
        <v>2.032</v>
      </c>
      <c r="E144" s="140">
        <f>'BC.114+840'!AB143</f>
        <v>0.96399999999999997</v>
      </c>
      <c r="F144" s="139">
        <f>VLOOKUP($A144,'BC.114+840'!$B$13:$X$470,8,0)/1000</f>
        <v>1.696</v>
      </c>
      <c r="G144" s="139">
        <f>VLOOKUP($A144,'BC.114+840'!$B$13:$X$470,9,0)/1000</f>
        <v>-0.30399999999999999</v>
      </c>
      <c r="H144" s="139">
        <f>VLOOKUP($A144,'BC.114+840'!$B$13:$X$470,14,0)/1000</f>
        <v>1.782</v>
      </c>
      <c r="I144" s="139">
        <f>VLOOKUP($A144,'BC.114+840'!$B$13:$X$470,15,0)/1000</f>
        <v>-0.218</v>
      </c>
      <c r="J144" s="139">
        <f>VLOOKUP($A144,'BC.114+840'!$B$13:$X$470,20,0)/1000</f>
        <v>1.399</v>
      </c>
      <c r="K144" s="139">
        <f>VLOOKUP($A144,'BC.114+840'!$B$13:$X$470,21,0)/1000</f>
        <v>-0.60099999999999998</v>
      </c>
      <c r="L144" s="137">
        <f t="shared" si="6"/>
        <v>-223.99999999999997</v>
      </c>
      <c r="M144" s="138">
        <f t="shared" si="7"/>
        <v>-318</v>
      </c>
      <c r="N144" s="137">
        <f t="shared" si="8"/>
        <v>-210.99999999999997</v>
      </c>
      <c r="O144" s="137"/>
    </row>
    <row r="145" spans="1:15">
      <c r="A145" s="76">
        <f>'BC.114+840'!B144</f>
        <v>45401</v>
      </c>
      <c r="B145" s="137">
        <v>131</v>
      </c>
      <c r="C145" s="139">
        <f>'BC.114+840'!M144/1000</f>
        <v>1.379</v>
      </c>
      <c r="D145" s="139">
        <f>'BC.114+840'!AA144</f>
        <v>2.032</v>
      </c>
      <c r="E145" s="140">
        <f>'BC.114+840'!AB144</f>
        <v>0.95799999999999996</v>
      </c>
      <c r="F145" s="139">
        <f>VLOOKUP($A145,'BC.114+840'!$B$13:$X$470,8,0)/1000</f>
        <v>1.6919999999999999</v>
      </c>
      <c r="G145" s="139">
        <f>VLOOKUP($A145,'BC.114+840'!$B$13:$X$470,9,0)/1000</f>
        <v>-0.308</v>
      </c>
      <c r="H145" s="139">
        <f>VLOOKUP($A145,'BC.114+840'!$B$13:$X$470,14,0)/1000</f>
        <v>1.7789999999999999</v>
      </c>
      <c r="I145" s="139">
        <f>VLOOKUP($A145,'BC.114+840'!$B$13:$X$470,15,0)/1000</f>
        <v>-0.221</v>
      </c>
      <c r="J145" s="139">
        <f>VLOOKUP($A145,'BC.114+840'!$B$13:$X$470,20,0)/1000</f>
        <v>1.3959999999999999</v>
      </c>
      <c r="K145" s="139">
        <f>VLOOKUP($A145,'BC.114+840'!$B$13:$X$470,21,0)/1000</f>
        <v>-0.60399999999999998</v>
      </c>
      <c r="L145" s="137">
        <f t="shared" si="6"/>
        <v>-227.99999999999997</v>
      </c>
      <c r="M145" s="138">
        <f t="shared" si="7"/>
        <v>-321</v>
      </c>
      <c r="N145" s="137">
        <f t="shared" si="8"/>
        <v>-213.99999999999997</v>
      </c>
      <c r="O145" s="137"/>
    </row>
    <row r="146" spans="1:15">
      <c r="A146" s="76">
        <f>'BC.114+840'!B145</f>
        <v>45402</v>
      </c>
      <c r="B146" s="137">
        <v>132</v>
      </c>
      <c r="C146" s="139">
        <f>'BC.114+840'!M145/1000</f>
        <v>1.375</v>
      </c>
      <c r="D146" s="139">
        <f>'BC.114+840'!AA145</f>
        <v>2.032</v>
      </c>
      <c r="E146" s="140">
        <f>'BC.114+840'!AB145</f>
        <v>0.95</v>
      </c>
      <c r="F146" s="139">
        <f>VLOOKUP($A146,'BC.114+840'!$B$13:$X$470,8,0)/1000</f>
        <v>1.6890000000000001</v>
      </c>
      <c r="G146" s="139">
        <f>VLOOKUP($A146,'BC.114+840'!$B$13:$X$470,9,0)/1000</f>
        <v>-0.311</v>
      </c>
      <c r="H146" s="139">
        <f>VLOOKUP($A146,'BC.114+840'!$B$13:$X$470,14,0)/1000</f>
        <v>1.7749999999999999</v>
      </c>
      <c r="I146" s="139">
        <f>VLOOKUP($A146,'BC.114+840'!$B$13:$X$470,15,0)/1000</f>
        <v>-0.22500000000000001</v>
      </c>
      <c r="J146" s="139">
        <f>VLOOKUP($A146,'BC.114+840'!$B$13:$X$470,20,0)/1000</f>
        <v>1.3919999999999999</v>
      </c>
      <c r="K146" s="139">
        <f>VLOOKUP($A146,'BC.114+840'!$B$13:$X$470,21,0)/1000</f>
        <v>-0.60799999999999998</v>
      </c>
      <c r="L146" s="137">
        <f t="shared" si="6"/>
        <v>-230.99999999999997</v>
      </c>
      <c r="M146" s="138">
        <f t="shared" si="7"/>
        <v>-325</v>
      </c>
      <c r="N146" s="137">
        <f t="shared" si="8"/>
        <v>-217.99999999999997</v>
      </c>
      <c r="O146" s="137"/>
    </row>
    <row r="147" spans="1:15">
      <c r="A147" s="76">
        <f>'BC.114+840'!B146</f>
        <v>45403</v>
      </c>
      <c r="B147" s="137">
        <v>133</v>
      </c>
      <c r="C147" s="139">
        <f>'BC.114+840'!M146/1000</f>
        <v>1.37</v>
      </c>
      <c r="D147" s="139">
        <f>'BC.114+840'!AA146</f>
        <v>2.032</v>
      </c>
      <c r="E147" s="140">
        <f>'BC.114+840'!AB146</f>
        <v>0.94</v>
      </c>
      <c r="F147" s="139">
        <f>VLOOKUP($A147,'BC.114+840'!$B$13:$X$470,8,0)/1000</f>
        <v>1.6870000000000001</v>
      </c>
      <c r="G147" s="139">
        <f>VLOOKUP($A147,'BC.114+840'!$B$13:$X$470,9,0)/1000</f>
        <v>-0.313</v>
      </c>
      <c r="H147" s="139">
        <f>VLOOKUP($A147,'BC.114+840'!$B$13:$X$470,14,0)/1000</f>
        <v>1.77</v>
      </c>
      <c r="I147" s="139">
        <f>VLOOKUP($A147,'BC.114+840'!$B$13:$X$470,15,0)/1000</f>
        <v>-0.23</v>
      </c>
      <c r="J147" s="139">
        <f>VLOOKUP($A147,'BC.114+840'!$B$13:$X$470,20,0)/1000</f>
        <v>1.39</v>
      </c>
      <c r="K147" s="139">
        <f>VLOOKUP($A147,'BC.114+840'!$B$13:$X$470,21,0)/1000</f>
        <v>-0.61</v>
      </c>
      <c r="L147" s="137">
        <f t="shared" si="6"/>
        <v>-232.99999999999997</v>
      </c>
      <c r="M147" s="138">
        <f t="shared" si="7"/>
        <v>-330</v>
      </c>
      <c r="N147" s="137">
        <f t="shared" si="8"/>
        <v>-219.99999999999997</v>
      </c>
      <c r="O147" s="137"/>
    </row>
    <row r="148" spans="1:15">
      <c r="A148" s="76">
        <f>'BC.114+840'!B147</f>
        <v>45404</v>
      </c>
      <c r="B148" s="137">
        <v>134</v>
      </c>
      <c r="C148" s="139">
        <f>'BC.114+840'!M147/1000</f>
        <v>1.365</v>
      </c>
      <c r="D148" s="139">
        <f>'BC.114+840'!AA147</f>
        <v>2.032</v>
      </c>
      <c r="E148" s="140">
        <f>'BC.114+840'!AB147</f>
        <v>0.93</v>
      </c>
      <c r="F148" s="139">
        <f>VLOOKUP($A148,'BC.114+840'!$B$13:$X$470,8,0)/1000</f>
        <v>2.6829999999999998</v>
      </c>
      <c r="G148" s="139">
        <f>VLOOKUP($A148,'BC.114+840'!$B$13:$X$470,9,0)/1000</f>
        <v>-0.317</v>
      </c>
      <c r="H148" s="139">
        <f>VLOOKUP($A148,'BC.114+840'!$B$13:$X$470,14,0)/1000</f>
        <v>2.7650000000000001</v>
      </c>
      <c r="I148" s="139">
        <f>VLOOKUP($A148,'BC.114+840'!$B$13:$X$470,15,0)/1000</f>
        <v>-0.23499999999999999</v>
      </c>
      <c r="J148" s="139">
        <f>VLOOKUP($A148,'BC.114+840'!$B$13:$X$470,20,0)/1000</f>
        <v>2.3849999999999998</v>
      </c>
      <c r="K148" s="139">
        <f>VLOOKUP($A148,'BC.114+840'!$B$13:$X$470,21,0)/1000</f>
        <v>-0.61499999999999999</v>
      </c>
      <c r="L148" s="137">
        <f t="shared" si="6"/>
        <v>-237</v>
      </c>
      <c r="M148" s="138">
        <f t="shared" si="7"/>
        <v>-334.99999999999994</v>
      </c>
      <c r="N148" s="137">
        <f t="shared" si="8"/>
        <v>-224.99999999999997</v>
      </c>
      <c r="O148" s="137"/>
    </row>
    <row r="149" spans="1:15">
      <c r="A149" s="76">
        <f>'BC.114+840'!B148</f>
        <v>45405</v>
      </c>
      <c r="B149" s="137">
        <v>135</v>
      </c>
      <c r="C149" s="139">
        <f>'BC.114+840'!M148/1000</f>
        <v>1.6559999999999999</v>
      </c>
      <c r="D149" s="139">
        <f>'BC.114+840'!AA148</f>
        <v>2.3239999999999998</v>
      </c>
      <c r="E149" s="140">
        <f>'BC.114+840'!AB148</f>
        <v>1.212</v>
      </c>
      <c r="F149" s="139">
        <f>VLOOKUP($A149,'BC.114+840'!$B$13:$X$470,8,0)/1000</f>
        <v>2.6749999999999998</v>
      </c>
      <c r="G149" s="139">
        <f>VLOOKUP($A149,'BC.114+840'!$B$13:$X$470,9,0)/1000</f>
        <v>-0.32500000000000001</v>
      </c>
      <c r="H149" s="139">
        <f>VLOOKUP($A149,'BC.114+840'!$B$13:$X$470,14,0)/1000</f>
        <v>2.7559999999999998</v>
      </c>
      <c r="I149" s="139">
        <f>VLOOKUP($A149,'BC.114+840'!$B$13:$X$470,15,0)/1000</f>
        <v>-0.24399999999999999</v>
      </c>
      <c r="J149" s="139">
        <f>VLOOKUP($A149,'BC.114+840'!$B$13:$X$470,20,0)/1000</f>
        <v>2.3769999999999998</v>
      </c>
      <c r="K149" s="139">
        <f>VLOOKUP($A149,'BC.114+840'!$B$13:$X$470,21,0)/1000</f>
        <v>-0.623</v>
      </c>
      <c r="L149" s="137">
        <f t="shared" si="6"/>
        <v>-245</v>
      </c>
      <c r="M149" s="138">
        <f t="shared" si="7"/>
        <v>-344</v>
      </c>
      <c r="N149" s="137">
        <f t="shared" si="8"/>
        <v>-232.99999999999997</v>
      </c>
      <c r="O149" s="137"/>
    </row>
    <row r="150" spans="1:15">
      <c r="A150" s="76">
        <f>'BC.114+840'!B149</f>
        <v>45406</v>
      </c>
      <c r="B150" s="137">
        <v>136</v>
      </c>
      <c r="C150" s="139">
        <f>'BC.114+840'!M149/1000</f>
        <v>1.651</v>
      </c>
      <c r="D150" s="139">
        <f>'BC.114+840'!AA149</f>
        <v>2.3239999999999998</v>
      </c>
      <c r="E150" s="140">
        <f>'BC.114+840'!AB149</f>
        <v>1.202</v>
      </c>
      <c r="F150" s="139">
        <f>VLOOKUP($A150,'BC.114+840'!$B$13:$X$470,8,0)/1000</f>
        <v>2.67</v>
      </c>
      <c r="G150" s="139">
        <f>VLOOKUP($A150,'BC.114+840'!$B$13:$X$470,9,0)/1000</f>
        <v>-0.33</v>
      </c>
      <c r="H150" s="139">
        <f>VLOOKUP($A150,'BC.114+840'!$B$13:$X$470,14,0)/1000</f>
        <v>2.7509999999999999</v>
      </c>
      <c r="I150" s="139">
        <f>VLOOKUP($A150,'BC.114+840'!$B$13:$X$470,15,0)/1000</f>
        <v>-0.249</v>
      </c>
      <c r="J150" s="139">
        <f>VLOOKUP($A150,'BC.114+840'!$B$13:$X$470,20,0)/1000</f>
        <v>2.3730000000000002</v>
      </c>
      <c r="K150" s="139">
        <f>VLOOKUP($A150,'BC.114+840'!$B$13:$X$470,21,0)/1000</f>
        <v>-0.627</v>
      </c>
      <c r="L150" s="137">
        <f t="shared" si="6"/>
        <v>-250</v>
      </c>
      <c r="M150" s="138">
        <f t="shared" si="7"/>
        <v>-349</v>
      </c>
      <c r="N150" s="137">
        <f t="shared" si="8"/>
        <v>-237</v>
      </c>
      <c r="O150" s="137"/>
    </row>
    <row r="151" spans="1:15">
      <c r="A151" s="76">
        <f>'BC.114+840'!B150</f>
        <v>45407</v>
      </c>
      <c r="B151" s="137">
        <v>137</v>
      </c>
      <c r="C151" s="139">
        <f>'BC.114+840'!M150/1000</f>
        <v>1.647</v>
      </c>
      <c r="D151" s="139">
        <f>'BC.114+840'!AA150</f>
        <v>2.3239999999999998</v>
      </c>
      <c r="E151" s="140">
        <f>'BC.114+840'!AB150</f>
        <v>1.194</v>
      </c>
      <c r="F151" s="139">
        <f>VLOOKUP($A151,'BC.114+840'!$B$13:$X$470,8,0)/1000</f>
        <v>2.665</v>
      </c>
      <c r="G151" s="139">
        <f>VLOOKUP($A151,'BC.114+840'!$B$13:$X$470,9,0)/1000</f>
        <v>-0.33500000000000002</v>
      </c>
      <c r="H151" s="139">
        <f>VLOOKUP($A151,'BC.114+840'!$B$13:$X$470,14,0)/1000</f>
        <v>2.7469999999999999</v>
      </c>
      <c r="I151" s="139">
        <f>VLOOKUP($A151,'BC.114+840'!$B$13:$X$470,15,0)/1000</f>
        <v>-0.253</v>
      </c>
      <c r="J151" s="139">
        <f>VLOOKUP($A151,'BC.114+840'!$B$13:$X$470,20,0)/1000</f>
        <v>2.37</v>
      </c>
      <c r="K151" s="139">
        <f>VLOOKUP($A151,'BC.114+840'!$B$13:$X$470,21,0)/1000</f>
        <v>-0.63</v>
      </c>
      <c r="L151" s="137">
        <f t="shared" si="6"/>
        <v>-255</v>
      </c>
      <c r="M151" s="138">
        <f t="shared" si="7"/>
        <v>-353</v>
      </c>
      <c r="N151" s="137">
        <f t="shared" si="8"/>
        <v>-240</v>
      </c>
      <c r="O151" s="137"/>
    </row>
    <row r="152" spans="1:15">
      <c r="A152" s="76">
        <f>'BC.114+840'!B151</f>
        <v>45408</v>
      </c>
      <c r="B152" s="137">
        <v>138</v>
      </c>
      <c r="C152" s="139">
        <f>'BC.114+840'!M151/1000</f>
        <v>1.643</v>
      </c>
      <c r="D152" s="139">
        <f>'BC.114+840'!AA151</f>
        <v>2.3239999999999998</v>
      </c>
      <c r="E152" s="140">
        <f>'BC.114+840'!AB151</f>
        <v>1.1859999999999999</v>
      </c>
      <c r="F152" s="139">
        <f>VLOOKUP($A152,'BC.114+840'!$B$13:$X$470,8,0)/1000</f>
        <v>2.661</v>
      </c>
      <c r="G152" s="139">
        <f>VLOOKUP($A152,'BC.114+840'!$B$13:$X$470,9,0)/1000</f>
        <v>-0.33900000000000002</v>
      </c>
      <c r="H152" s="139">
        <f>VLOOKUP($A152,'BC.114+840'!$B$13:$X$470,14,0)/1000</f>
        <v>2.7429999999999999</v>
      </c>
      <c r="I152" s="139">
        <f>VLOOKUP($A152,'BC.114+840'!$B$13:$X$470,15,0)/1000</f>
        <v>-0.25700000000000001</v>
      </c>
      <c r="J152" s="139">
        <f>VLOOKUP($A152,'BC.114+840'!$B$13:$X$470,20,0)/1000</f>
        <v>2.3690000000000002</v>
      </c>
      <c r="K152" s="139">
        <f>VLOOKUP($A152,'BC.114+840'!$B$13:$X$470,21,0)/1000</f>
        <v>-0.63100000000000001</v>
      </c>
      <c r="L152" s="137">
        <f t="shared" si="6"/>
        <v>-259</v>
      </c>
      <c r="M152" s="138">
        <f t="shared" si="7"/>
        <v>-357</v>
      </c>
      <c r="N152" s="137">
        <f t="shared" si="8"/>
        <v>-241</v>
      </c>
      <c r="O152" s="137"/>
    </row>
    <row r="153" spans="1:15">
      <c r="A153" s="76">
        <f>'BC.114+840'!B152</f>
        <v>45409</v>
      </c>
      <c r="B153" s="137">
        <v>139</v>
      </c>
      <c r="C153" s="139">
        <f>'BC.114+840'!M152/1000</f>
        <v>1.6359999999999999</v>
      </c>
      <c r="D153" s="139">
        <f>'BC.114+840'!AA152</f>
        <v>2.3239999999999998</v>
      </c>
      <c r="E153" s="140">
        <f>'BC.114+840'!AB152</f>
        <v>1.1719999999999999</v>
      </c>
      <c r="F153" s="139">
        <f>VLOOKUP($A153,'BC.114+840'!$B$13:$X$470,8,0)/1000</f>
        <v>2.6579999999999999</v>
      </c>
      <c r="G153" s="139">
        <f>VLOOKUP($A153,'BC.114+840'!$B$13:$X$470,9,0)/1000</f>
        <v>-0.34200000000000003</v>
      </c>
      <c r="H153" s="139">
        <f>VLOOKUP($A153,'BC.114+840'!$B$13:$X$470,14,0)/1000</f>
        <v>2.7360000000000002</v>
      </c>
      <c r="I153" s="139">
        <f>VLOOKUP($A153,'BC.114+840'!$B$13:$X$470,15,0)/1000</f>
        <v>-0.26400000000000001</v>
      </c>
      <c r="J153" s="139">
        <f>VLOOKUP($A153,'BC.114+840'!$B$13:$X$470,20,0)/1000</f>
        <v>2.3679999999999999</v>
      </c>
      <c r="K153" s="139">
        <f>VLOOKUP($A153,'BC.114+840'!$B$13:$X$470,21,0)/1000</f>
        <v>-0.63200000000000001</v>
      </c>
      <c r="L153" s="137">
        <f t="shared" si="6"/>
        <v>-262</v>
      </c>
      <c r="M153" s="138">
        <f t="shared" si="7"/>
        <v>-364</v>
      </c>
      <c r="N153" s="137">
        <f t="shared" si="8"/>
        <v>-242</v>
      </c>
      <c r="O153" s="137"/>
    </row>
    <row r="154" spans="1:15">
      <c r="A154" s="76">
        <f>'BC.114+840'!B153</f>
        <v>45410</v>
      </c>
      <c r="B154" s="137">
        <v>140</v>
      </c>
      <c r="C154" s="139">
        <f>'BC.114+840'!M153/1000</f>
        <v>1.631</v>
      </c>
      <c r="D154" s="139">
        <f>'BC.114+840'!AA153</f>
        <v>2.3239999999999998</v>
      </c>
      <c r="E154" s="140">
        <f>'BC.114+840'!AB153</f>
        <v>1.1619999999999999</v>
      </c>
      <c r="F154" s="139">
        <f>VLOOKUP($A154,'BC.114+840'!$B$13:$X$470,8,0)/1000</f>
        <v>2.6560000000000001</v>
      </c>
      <c r="G154" s="139">
        <f>VLOOKUP($A154,'BC.114+840'!$B$13:$X$470,9,0)/1000</f>
        <v>-0.34399999999999997</v>
      </c>
      <c r="H154" s="139">
        <f>VLOOKUP($A154,'BC.114+840'!$B$13:$X$470,14,0)/1000</f>
        <v>2.7309999999999999</v>
      </c>
      <c r="I154" s="139">
        <f>VLOOKUP($A154,'BC.114+840'!$B$13:$X$470,15,0)/1000</f>
        <v>-0.26900000000000002</v>
      </c>
      <c r="J154" s="139">
        <f>VLOOKUP($A154,'BC.114+840'!$B$13:$X$470,20,0)/1000</f>
        <v>2.367</v>
      </c>
      <c r="K154" s="139">
        <f>VLOOKUP($A154,'BC.114+840'!$B$13:$X$470,21,0)/1000</f>
        <v>-0.63300000000000001</v>
      </c>
      <c r="L154" s="137">
        <f t="shared" si="6"/>
        <v>-263.99999999999994</v>
      </c>
      <c r="M154" s="138">
        <f t="shared" si="7"/>
        <v>-369</v>
      </c>
      <c r="N154" s="137">
        <f t="shared" si="8"/>
        <v>-243</v>
      </c>
      <c r="O154" s="137"/>
    </row>
    <row r="155" spans="1:15">
      <c r="A155" s="76">
        <f>'BC.114+840'!B154</f>
        <v>45411</v>
      </c>
      <c r="B155" s="137">
        <v>141</v>
      </c>
      <c r="C155" s="139">
        <f>'BC.114+840'!M154/1000</f>
        <v>1.6259999999999999</v>
      </c>
      <c r="D155" s="139">
        <f>'BC.114+840'!AA154</f>
        <v>2.3239999999999998</v>
      </c>
      <c r="E155" s="140">
        <f>'BC.114+840'!AB154</f>
        <v>1.1519999999999999</v>
      </c>
      <c r="F155" s="139">
        <f>VLOOKUP($A155,'BC.114+840'!$B$13:$X$470,8,0)/1000</f>
        <v>2.6520000000000001</v>
      </c>
      <c r="G155" s="139">
        <f>VLOOKUP($A155,'BC.114+840'!$B$13:$X$470,9,0)/1000</f>
        <v>-0.34799999999999998</v>
      </c>
      <c r="H155" s="139">
        <f>VLOOKUP($A155,'BC.114+840'!$B$13:$X$470,14,0)/1000</f>
        <v>2.726</v>
      </c>
      <c r="I155" s="139">
        <f>VLOOKUP($A155,'BC.114+840'!$B$13:$X$470,15,0)/1000</f>
        <v>-0.27400000000000002</v>
      </c>
      <c r="J155" s="139">
        <f>VLOOKUP($A155,'BC.114+840'!$B$13:$X$470,20,0)/1000</f>
        <v>2.3639999999999999</v>
      </c>
      <c r="K155" s="139">
        <f>VLOOKUP($A155,'BC.114+840'!$B$13:$X$470,21,0)/1000</f>
        <v>-0.63600000000000001</v>
      </c>
      <c r="L155" s="137">
        <f t="shared" si="6"/>
        <v>-267.99999999999994</v>
      </c>
      <c r="M155" s="138">
        <f t="shared" si="7"/>
        <v>-374</v>
      </c>
      <c r="N155" s="137">
        <f t="shared" si="8"/>
        <v>-246</v>
      </c>
      <c r="O155" s="137"/>
    </row>
    <row r="156" spans="1:15">
      <c r="A156" s="76">
        <f>'BC.114+840'!B155</f>
        <v>45412</v>
      </c>
      <c r="B156" s="137">
        <v>142</v>
      </c>
      <c r="C156" s="139">
        <f>'BC.114+840'!M155/1000</f>
        <v>1.6220000000000001</v>
      </c>
      <c r="D156" s="139">
        <f>'BC.114+840'!AA155</f>
        <v>2.3239999999999998</v>
      </c>
      <c r="E156" s="140">
        <f>'BC.114+840'!AB155</f>
        <v>1.1439999999999999</v>
      </c>
      <c r="F156" s="139">
        <f>VLOOKUP($A156,'BC.114+840'!$B$13:$X$470,8,0)/1000</f>
        <v>2.65</v>
      </c>
      <c r="G156" s="139">
        <f>VLOOKUP($A156,'BC.114+840'!$B$13:$X$470,9,0)/1000</f>
        <v>-0.35</v>
      </c>
      <c r="H156" s="139">
        <f>VLOOKUP($A156,'BC.114+840'!$B$13:$X$470,14,0)/1000</f>
        <v>2.722</v>
      </c>
      <c r="I156" s="139">
        <f>VLOOKUP($A156,'BC.114+840'!$B$13:$X$470,15,0)/1000</f>
        <v>-0.27800000000000002</v>
      </c>
      <c r="J156" s="139">
        <f>VLOOKUP($A156,'BC.114+840'!$B$13:$X$470,20,0)/1000</f>
        <v>2.363</v>
      </c>
      <c r="K156" s="139">
        <f>VLOOKUP($A156,'BC.114+840'!$B$13:$X$470,21,0)/1000</f>
        <v>-0.63700000000000001</v>
      </c>
      <c r="L156" s="137">
        <f t="shared" si="6"/>
        <v>-269.99999999999994</v>
      </c>
      <c r="M156" s="138">
        <f t="shared" si="7"/>
        <v>-378</v>
      </c>
      <c r="N156" s="137">
        <f t="shared" si="8"/>
        <v>-247</v>
      </c>
      <c r="O156" s="137"/>
    </row>
    <row r="157" spans="1:15">
      <c r="A157" s="76">
        <f>'BC.114+840'!B156</f>
        <v>45413</v>
      </c>
      <c r="B157" s="137">
        <v>143</v>
      </c>
      <c r="C157" s="139">
        <f>'BC.114+840'!M156/1000</f>
        <v>1.619</v>
      </c>
      <c r="D157" s="139">
        <f>'BC.114+840'!AA156</f>
        <v>2.3239999999999998</v>
      </c>
      <c r="E157" s="140">
        <f>'BC.114+840'!AB156</f>
        <v>1.1379999999999999</v>
      </c>
      <c r="F157" s="139">
        <f>VLOOKUP($A157,'BC.114+840'!$B$13:$X$470,8,0)/1000</f>
        <v>2.6459999999999999</v>
      </c>
      <c r="G157" s="139">
        <f>VLOOKUP($A157,'BC.114+840'!$B$13:$X$470,9,0)/1000</f>
        <v>-0.35399999999999998</v>
      </c>
      <c r="H157" s="139">
        <f>VLOOKUP($A157,'BC.114+840'!$B$13:$X$470,14,0)/1000</f>
        <v>2.7189999999999999</v>
      </c>
      <c r="I157" s="139">
        <f>VLOOKUP($A157,'BC.114+840'!$B$13:$X$470,15,0)/1000</f>
        <v>-0.28100000000000003</v>
      </c>
      <c r="J157" s="139">
        <f>VLOOKUP($A157,'BC.114+840'!$B$13:$X$470,20,0)/1000</f>
        <v>2.3610000000000002</v>
      </c>
      <c r="K157" s="139">
        <f>VLOOKUP($A157,'BC.114+840'!$B$13:$X$470,21,0)/1000</f>
        <v>-0.63900000000000001</v>
      </c>
      <c r="L157" s="137">
        <f t="shared" si="6"/>
        <v>-273.99999999999994</v>
      </c>
      <c r="M157" s="138">
        <f t="shared" si="7"/>
        <v>-381</v>
      </c>
      <c r="N157" s="137">
        <f t="shared" si="8"/>
        <v>-249</v>
      </c>
      <c r="O157" s="137"/>
    </row>
    <row r="158" spans="1:15">
      <c r="A158" s="76">
        <f>'BC.114+840'!B157</f>
        <v>45414</v>
      </c>
      <c r="B158" s="137">
        <v>144</v>
      </c>
      <c r="C158" s="139">
        <f>'BC.114+840'!M157/1000</f>
        <v>1.617</v>
      </c>
      <c r="D158" s="139">
        <f>'BC.114+840'!AA157</f>
        <v>2.3239999999999998</v>
      </c>
      <c r="E158" s="140">
        <f>'BC.114+840'!AB157</f>
        <v>1.1339999999999999</v>
      </c>
      <c r="F158" s="139">
        <f>VLOOKUP($A158,'BC.114+840'!$B$13:$X$470,8,0)/1000</f>
        <v>2.645</v>
      </c>
      <c r="G158" s="139">
        <f>VLOOKUP($A158,'BC.114+840'!$B$13:$X$470,9,0)/1000</f>
        <v>-0.35499999999999998</v>
      </c>
      <c r="H158" s="139">
        <f>VLOOKUP($A158,'BC.114+840'!$B$13:$X$470,14,0)/1000</f>
        <v>2.7170000000000001</v>
      </c>
      <c r="I158" s="139">
        <f>VLOOKUP($A158,'BC.114+840'!$B$13:$X$470,15,0)/1000</f>
        <v>-0.28299999999999997</v>
      </c>
      <c r="J158" s="139">
        <f>VLOOKUP($A158,'BC.114+840'!$B$13:$X$470,20,0)/1000</f>
        <v>2.36</v>
      </c>
      <c r="K158" s="139">
        <f>VLOOKUP($A158,'BC.114+840'!$B$13:$X$470,21,0)/1000</f>
        <v>-0.64</v>
      </c>
      <c r="L158" s="137">
        <f t="shared" si="6"/>
        <v>-274.99999999999994</v>
      </c>
      <c r="M158" s="138">
        <f t="shared" si="7"/>
        <v>-383</v>
      </c>
      <c r="N158" s="137">
        <f t="shared" si="8"/>
        <v>-250</v>
      </c>
      <c r="O158" s="137"/>
    </row>
    <row r="159" spans="1:15">
      <c r="A159" s="76">
        <f>'BC.114+840'!B158</f>
        <v>45415</v>
      </c>
      <c r="B159" s="137">
        <v>145</v>
      </c>
      <c r="C159" s="139">
        <f>'BC.114+840'!M158/1000</f>
        <v>1.61</v>
      </c>
      <c r="D159" s="139">
        <f>'BC.114+840'!AA158</f>
        <v>2.3239999999999998</v>
      </c>
      <c r="E159" s="140">
        <f>'BC.114+840'!AB158</f>
        <v>1.1200000000000001</v>
      </c>
      <c r="F159" s="139">
        <f>VLOOKUP($A159,'BC.114+840'!$B$13:$X$470,8,0)/1000</f>
        <v>2.6440000000000001</v>
      </c>
      <c r="G159" s="139">
        <f>VLOOKUP($A159,'BC.114+840'!$B$13:$X$470,9,0)/1000</f>
        <v>-0.35599999999999998</v>
      </c>
      <c r="H159" s="139">
        <f>VLOOKUP($A159,'BC.114+840'!$B$13:$X$470,14,0)/1000</f>
        <v>2.71</v>
      </c>
      <c r="I159" s="139">
        <f>VLOOKUP($A159,'BC.114+840'!$B$13:$X$470,15,0)/1000</f>
        <v>-0.28999999999999998</v>
      </c>
      <c r="J159" s="139">
        <f>VLOOKUP($A159,'BC.114+840'!$B$13:$X$470,20,0)/1000</f>
        <v>2.3580000000000001</v>
      </c>
      <c r="K159" s="139">
        <f>VLOOKUP($A159,'BC.114+840'!$B$13:$X$470,21,0)/1000</f>
        <v>-0.64200000000000002</v>
      </c>
      <c r="L159" s="137">
        <f t="shared" si="6"/>
        <v>-275.99999999999994</v>
      </c>
      <c r="M159" s="138">
        <f t="shared" si="7"/>
        <v>-390</v>
      </c>
      <c r="N159" s="137">
        <f t="shared" si="8"/>
        <v>-252</v>
      </c>
      <c r="O159" s="137"/>
    </row>
    <row r="160" spans="1:15">
      <c r="A160" s="76">
        <f>'BC.114+840'!B159</f>
        <v>45416</v>
      </c>
      <c r="B160" s="137">
        <v>146</v>
      </c>
      <c r="C160" s="139">
        <f>'BC.114+840'!M159/1000</f>
        <v>1.605</v>
      </c>
      <c r="D160" s="139">
        <f>'BC.114+840'!AA159</f>
        <v>2.3239999999999998</v>
      </c>
      <c r="E160" s="140">
        <f>'BC.114+840'!AB159</f>
        <v>1.1100000000000001</v>
      </c>
      <c r="F160" s="139">
        <f>VLOOKUP($A160,'BC.114+840'!$B$13:$X$470,8,0)/1000</f>
        <v>2.6429999999999998</v>
      </c>
      <c r="G160" s="139">
        <f>VLOOKUP($A160,'BC.114+840'!$B$13:$X$470,9,0)/1000</f>
        <v>-0.35699999999999998</v>
      </c>
      <c r="H160" s="139">
        <f>VLOOKUP($A160,'BC.114+840'!$B$13:$X$470,14,0)/1000</f>
        <v>2.7050000000000001</v>
      </c>
      <c r="I160" s="139">
        <f>VLOOKUP($A160,'BC.114+840'!$B$13:$X$470,15,0)/1000</f>
        <v>-0.29499999999999998</v>
      </c>
      <c r="J160" s="139">
        <f>VLOOKUP($A160,'BC.114+840'!$B$13:$X$470,20,0)/1000</f>
        <v>2.3559999999999999</v>
      </c>
      <c r="K160" s="139">
        <f>VLOOKUP($A160,'BC.114+840'!$B$13:$X$470,21,0)/1000</f>
        <v>-0.64400000000000002</v>
      </c>
      <c r="L160" s="137">
        <f t="shared" si="6"/>
        <v>-276.99999999999994</v>
      </c>
      <c r="M160" s="138">
        <f t="shared" si="7"/>
        <v>-395</v>
      </c>
      <c r="N160" s="137">
        <f t="shared" si="8"/>
        <v>-254</v>
      </c>
      <c r="O160" s="137"/>
    </row>
    <row r="161" spans="1:15">
      <c r="A161" s="76">
        <f>'BC.114+840'!B160</f>
        <v>45417</v>
      </c>
      <c r="B161" s="137">
        <v>147</v>
      </c>
      <c r="C161" s="139">
        <f>'BC.114+840'!M160/1000</f>
        <v>1.6</v>
      </c>
      <c r="D161" s="139">
        <f>'BC.114+840'!AA160</f>
        <v>2.3239999999999998</v>
      </c>
      <c r="E161" s="140">
        <f>'BC.114+840'!AB160</f>
        <v>1.1000000000000001</v>
      </c>
      <c r="F161" s="139">
        <f>VLOOKUP($A161,'BC.114+840'!$B$13:$X$470,8,0)/1000</f>
        <v>2.6429999999999998</v>
      </c>
      <c r="G161" s="139">
        <f>VLOOKUP($A161,'BC.114+840'!$B$13:$X$470,9,0)/1000</f>
        <v>-0.35699999999999998</v>
      </c>
      <c r="H161" s="139">
        <f>VLOOKUP($A161,'BC.114+840'!$B$13:$X$470,14,0)/1000</f>
        <v>2.7</v>
      </c>
      <c r="I161" s="139">
        <f>VLOOKUP($A161,'BC.114+840'!$B$13:$X$470,15,0)/1000</f>
        <v>-0.3</v>
      </c>
      <c r="J161" s="139">
        <f>VLOOKUP($A161,'BC.114+840'!$B$13:$X$470,20,0)/1000</f>
        <v>2.3559999999999999</v>
      </c>
      <c r="K161" s="139">
        <f>VLOOKUP($A161,'BC.114+840'!$B$13:$X$470,21,0)/1000</f>
        <v>-0.64400000000000002</v>
      </c>
      <c r="L161" s="137">
        <f t="shared" si="6"/>
        <v>-276.99999999999994</v>
      </c>
      <c r="M161" s="138">
        <f t="shared" si="7"/>
        <v>-400</v>
      </c>
      <c r="N161" s="137">
        <f t="shared" si="8"/>
        <v>-254</v>
      </c>
      <c r="O161" s="137"/>
    </row>
    <row r="162" spans="1:15">
      <c r="A162" s="76">
        <f>'BC.114+840'!B161</f>
        <v>45418</v>
      </c>
      <c r="B162" s="137">
        <v>148</v>
      </c>
      <c r="C162" s="139">
        <f>'BC.114+840'!M161/1000</f>
        <v>1.593</v>
      </c>
      <c r="D162" s="139">
        <f>'BC.114+840'!AA161</f>
        <v>2.3239999999999998</v>
      </c>
      <c r="E162" s="140">
        <f>'BC.114+840'!AB161</f>
        <v>1.0860000000000001</v>
      </c>
      <c r="F162" s="139">
        <f>VLOOKUP($A162,'BC.114+840'!$B$13:$X$470,8,0)/1000</f>
        <v>2.6419999999999999</v>
      </c>
      <c r="G162" s="139">
        <f>VLOOKUP($A162,'BC.114+840'!$B$13:$X$470,9,0)/1000</f>
        <v>-0.35799999999999998</v>
      </c>
      <c r="H162" s="139">
        <f>VLOOKUP($A162,'BC.114+840'!$B$13:$X$470,14,0)/1000</f>
        <v>2.6930000000000001</v>
      </c>
      <c r="I162" s="139">
        <f>VLOOKUP($A162,'BC.114+840'!$B$13:$X$470,15,0)/1000</f>
        <v>-0.307</v>
      </c>
      <c r="J162" s="139">
        <f>VLOOKUP($A162,'BC.114+840'!$B$13:$X$470,20,0)/1000</f>
        <v>2.355</v>
      </c>
      <c r="K162" s="139">
        <f>VLOOKUP($A162,'BC.114+840'!$B$13:$X$470,21,0)/1000</f>
        <v>-0.64500000000000002</v>
      </c>
      <c r="L162" s="137">
        <f t="shared" si="6"/>
        <v>-277.99999999999994</v>
      </c>
      <c r="M162" s="138">
        <f t="shared" si="7"/>
        <v>-407</v>
      </c>
      <c r="N162" s="137">
        <f t="shared" si="8"/>
        <v>-255</v>
      </c>
      <c r="O162" s="137"/>
    </row>
    <row r="163" spans="1:15">
      <c r="A163" s="76">
        <f>'BC.114+840'!B162</f>
        <v>45419</v>
      </c>
      <c r="B163" s="137">
        <v>149</v>
      </c>
      <c r="C163" s="139">
        <f>'BC.114+840'!M162/1000</f>
        <v>1.5880000000000001</v>
      </c>
      <c r="D163" s="139">
        <f>'BC.114+840'!AA162</f>
        <v>2.3239999999999998</v>
      </c>
      <c r="E163" s="140">
        <f>'BC.114+840'!AB162</f>
        <v>1.0760000000000001</v>
      </c>
      <c r="F163" s="139">
        <f>VLOOKUP($A163,'BC.114+840'!$B$13:$X$470,8,0)/1000</f>
        <v>2.6419999999999999</v>
      </c>
      <c r="G163" s="139">
        <f>VLOOKUP($A163,'BC.114+840'!$B$13:$X$470,9,0)/1000</f>
        <v>-0.35799999999999998</v>
      </c>
      <c r="H163" s="139">
        <f>VLOOKUP($A163,'BC.114+840'!$B$13:$X$470,14,0)/1000</f>
        <v>2.6880000000000002</v>
      </c>
      <c r="I163" s="139">
        <f>VLOOKUP($A163,'BC.114+840'!$B$13:$X$470,15,0)/1000</f>
        <v>-0.312</v>
      </c>
      <c r="J163" s="139">
        <f>VLOOKUP($A163,'BC.114+840'!$B$13:$X$470,20,0)/1000</f>
        <v>2.355</v>
      </c>
      <c r="K163" s="139">
        <f>VLOOKUP($A163,'BC.114+840'!$B$13:$X$470,21,0)/1000</f>
        <v>-0.64500000000000002</v>
      </c>
      <c r="L163" s="137">
        <f t="shared" si="6"/>
        <v>-277.99999999999994</v>
      </c>
      <c r="M163" s="138">
        <f t="shared" si="7"/>
        <v>-412.00000000000006</v>
      </c>
      <c r="N163" s="137">
        <f t="shared" si="8"/>
        <v>-255</v>
      </c>
      <c r="O163" s="137"/>
    </row>
    <row r="164" spans="1:15">
      <c r="A164" s="76">
        <f>'BC.114+840'!B163</f>
        <v>45420</v>
      </c>
      <c r="B164" s="137">
        <v>150</v>
      </c>
      <c r="C164" s="139">
        <f>'BC.114+840'!M163/1000</f>
        <v>1.583</v>
      </c>
      <c r="D164" s="139">
        <f>'BC.114+840'!AA163</f>
        <v>2.3239999999999998</v>
      </c>
      <c r="E164" s="140">
        <f>'BC.114+840'!AB163</f>
        <v>1.0660000000000001</v>
      </c>
      <c r="F164" s="139">
        <f>VLOOKUP($A164,'BC.114+840'!$B$13:$X$470,8,0)/1000</f>
        <v>2.641</v>
      </c>
      <c r="G164" s="139">
        <f>VLOOKUP($A164,'BC.114+840'!$B$13:$X$470,9,0)/1000</f>
        <v>-0.35899999999999999</v>
      </c>
      <c r="H164" s="139">
        <f>VLOOKUP($A164,'BC.114+840'!$B$13:$X$470,14,0)/1000</f>
        <v>2.6829999999999998</v>
      </c>
      <c r="I164" s="139">
        <f>VLOOKUP($A164,'BC.114+840'!$B$13:$X$470,15,0)/1000</f>
        <v>-0.317</v>
      </c>
      <c r="J164" s="139">
        <f>VLOOKUP($A164,'BC.114+840'!$B$13:$X$470,20,0)/1000</f>
        <v>2.355</v>
      </c>
      <c r="K164" s="139">
        <f>VLOOKUP($A164,'BC.114+840'!$B$13:$X$470,21,0)/1000</f>
        <v>-0.64500000000000002</v>
      </c>
      <c r="L164" s="137">
        <f t="shared" si="6"/>
        <v>-278.99999999999994</v>
      </c>
      <c r="M164" s="138">
        <f t="shared" si="7"/>
        <v>-417.00000000000006</v>
      </c>
      <c r="N164" s="137">
        <f t="shared" si="8"/>
        <v>-255</v>
      </c>
      <c r="O164" s="137"/>
    </row>
    <row r="165" spans="1:15">
      <c r="A165" s="76">
        <f>'BC.114+840'!B164</f>
        <v>45421</v>
      </c>
      <c r="B165" s="137">
        <v>151</v>
      </c>
      <c r="C165" s="139">
        <f>'BC.114+840'!M164/1000</f>
        <v>1.579</v>
      </c>
      <c r="D165" s="139">
        <f>'BC.114+840'!AA164</f>
        <v>2.3239999999999998</v>
      </c>
      <c r="E165" s="140">
        <f>'BC.114+840'!AB164</f>
        <v>1.0580000000000001</v>
      </c>
      <c r="F165" s="139">
        <f>VLOOKUP($A165,'BC.114+840'!$B$13:$X$470,8,0)/1000</f>
        <v>2.641</v>
      </c>
      <c r="G165" s="139">
        <f>VLOOKUP($A165,'BC.114+840'!$B$13:$X$470,9,0)/1000</f>
        <v>-0.35899999999999999</v>
      </c>
      <c r="H165" s="139">
        <f>VLOOKUP($A165,'BC.114+840'!$B$13:$X$470,14,0)/1000</f>
        <v>2.6789999999999998</v>
      </c>
      <c r="I165" s="139">
        <f>VLOOKUP($A165,'BC.114+840'!$B$13:$X$470,15,0)/1000</f>
        <v>-0.32100000000000001</v>
      </c>
      <c r="J165" s="139">
        <f>VLOOKUP($A165,'BC.114+840'!$B$13:$X$470,20,0)/1000</f>
        <v>2.3540000000000001</v>
      </c>
      <c r="K165" s="139">
        <f>VLOOKUP($A165,'BC.114+840'!$B$13:$X$470,21,0)/1000</f>
        <v>-0.64600000000000002</v>
      </c>
      <c r="L165" s="137">
        <f t="shared" si="6"/>
        <v>-278.99999999999994</v>
      </c>
      <c r="M165" s="138">
        <f t="shared" si="7"/>
        <v>-421.00000000000006</v>
      </c>
      <c r="N165" s="137">
        <f t="shared" si="8"/>
        <v>-256</v>
      </c>
      <c r="O165" s="137"/>
    </row>
    <row r="166" spans="1:15">
      <c r="A166" s="76">
        <f>'BC.114+840'!B165</f>
        <v>45422</v>
      </c>
      <c r="B166" s="137">
        <v>152</v>
      </c>
      <c r="C166" s="139">
        <f>'BC.114+840'!M165/1000</f>
        <v>1.5760000000000001</v>
      </c>
      <c r="D166" s="139">
        <f>'BC.114+840'!AA165</f>
        <v>2.3239999999999998</v>
      </c>
      <c r="E166" s="140">
        <f>'BC.114+840'!AB165</f>
        <v>1.052</v>
      </c>
      <c r="F166" s="139">
        <f>VLOOKUP($A166,'BC.114+840'!$B$13:$X$470,8,0)/1000</f>
        <v>2.64</v>
      </c>
      <c r="G166" s="139">
        <f>VLOOKUP($A166,'BC.114+840'!$B$13:$X$470,9,0)/1000</f>
        <v>-0.36</v>
      </c>
      <c r="H166" s="139">
        <f>VLOOKUP($A166,'BC.114+840'!$B$13:$X$470,14,0)/1000</f>
        <v>2.6760000000000002</v>
      </c>
      <c r="I166" s="139">
        <f>VLOOKUP($A166,'BC.114+840'!$B$13:$X$470,15,0)/1000</f>
        <v>-0.32400000000000001</v>
      </c>
      <c r="J166" s="139">
        <f>VLOOKUP($A166,'BC.114+840'!$B$13:$X$470,20,0)/1000</f>
        <v>2.3540000000000001</v>
      </c>
      <c r="K166" s="139">
        <f>VLOOKUP($A166,'BC.114+840'!$B$13:$X$470,21,0)/1000</f>
        <v>-0.64600000000000002</v>
      </c>
      <c r="L166" s="137">
        <f t="shared" si="6"/>
        <v>-279.99999999999994</v>
      </c>
      <c r="M166" s="138">
        <f t="shared" si="7"/>
        <v>-424.00000000000006</v>
      </c>
      <c r="N166" s="137">
        <f t="shared" si="8"/>
        <v>-256</v>
      </c>
      <c r="O166" s="137"/>
    </row>
    <row r="167" spans="1:15">
      <c r="A167" s="76">
        <f>'BC.114+840'!B166</f>
        <v>45423</v>
      </c>
      <c r="B167" s="137">
        <v>153</v>
      </c>
      <c r="C167" s="139">
        <f>'BC.114+840'!M166/1000</f>
        <v>1.5740000000000001</v>
      </c>
      <c r="D167" s="139">
        <f>'BC.114+840'!AA166</f>
        <v>2.3239999999999998</v>
      </c>
      <c r="E167" s="140">
        <f>'BC.114+840'!AB166</f>
        <v>1.048</v>
      </c>
      <c r="F167" s="139">
        <f>VLOOKUP($A167,'BC.114+840'!$B$13:$X$470,8,0)/1000</f>
        <v>2.64</v>
      </c>
      <c r="G167" s="139">
        <f>VLOOKUP($A167,'BC.114+840'!$B$13:$X$470,9,0)/1000</f>
        <v>-0.36</v>
      </c>
      <c r="H167" s="139">
        <f>VLOOKUP($A167,'BC.114+840'!$B$13:$X$470,14,0)/1000</f>
        <v>2.6739999999999999</v>
      </c>
      <c r="I167" s="139">
        <f>VLOOKUP($A167,'BC.114+840'!$B$13:$X$470,15,0)/1000</f>
        <v>-0.32600000000000001</v>
      </c>
      <c r="J167" s="139">
        <f>VLOOKUP($A167,'BC.114+840'!$B$13:$X$470,20,0)/1000</f>
        <v>2.3540000000000001</v>
      </c>
      <c r="K167" s="139">
        <f>VLOOKUP($A167,'BC.114+840'!$B$13:$X$470,21,0)/1000</f>
        <v>-0.64600000000000002</v>
      </c>
      <c r="L167" s="137">
        <f t="shared" si="6"/>
        <v>-279.99999999999994</v>
      </c>
      <c r="M167" s="138">
        <f t="shared" si="7"/>
        <v>-426.00000000000006</v>
      </c>
      <c r="N167" s="137">
        <f t="shared" si="8"/>
        <v>-256</v>
      </c>
      <c r="O167" s="137"/>
    </row>
    <row r="168" spans="1:15">
      <c r="A168" s="76">
        <f>'BC.114+840'!B167</f>
        <v>45424</v>
      </c>
      <c r="B168" s="137">
        <v>154</v>
      </c>
      <c r="C168" s="139">
        <f>'BC.114+840'!M167/1000</f>
        <v>1.5669999999999999</v>
      </c>
      <c r="D168" s="139">
        <f>'BC.114+840'!AA167</f>
        <v>2.3239999999999998</v>
      </c>
      <c r="E168" s="140">
        <f>'BC.114+840'!AB167</f>
        <v>1.034</v>
      </c>
      <c r="F168" s="139">
        <f>VLOOKUP($A168,'BC.114+840'!$B$13:$X$470,8,0)/1000</f>
        <v>2.6389999999999998</v>
      </c>
      <c r="G168" s="139">
        <f>VLOOKUP($A168,'BC.114+840'!$B$13:$X$470,9,0)/1000</f>
        <v>-0.36099999999999999</v>
      </c>
      <c r="H168" s="139">
        <f>VLOOKUP($A168,'BC.114+840'!$B$13:$X$470,14,0)/1000</f>
        <v>2.6669999999999998</v>
      </c>
      <c r="I168" s="139">
        <f>VLOOKUP($A168,'BC.114+840'!$B$13:$X$470,15,0)/1000</f>
        <v>-0.33300000000000002</v>
      </c>
      <c r="J168" s="139">
        <f>VLOOKUP($A168,'BC.114+840'!$B$13:$X$470,20,0)/1000</f>
        <v>2.3530000000000002</v>
      </c>
      <c r="K168" s="139">
        <f>VLOOKUP($A168,'BC.114+840'!$B$13:$X$470,21,0)/1000</f>
        <v>-0.64700000000000002</v>
      </c>
      <c r="L168" s="137">
        <f t="shared" si="6"/>
        <v>-281</v>
      </c>
      <c r="M168" s="138">
        <f t="shared" si="7"/>
        <v>-433.00000000000006</v>
      </c>
      <c r="N168" s="137">
        <f t="shared" si="8"/>
        <v>-257</v>
      </c>
      <c r="O168" s="137"/>
    </row>
    <row r="169" spans="1:15">
      <c r="A169" s="76">
        <f>'BC.114+840'!B168</f>
        <v>45425</v>
      </c>
      <c r="B169" s="137">
        <v>155</v>
      </c>
      <c r="C169" s="139">
        <f>'BC.114+840'!M168/1000</f>
        <v>1.5620000000000001</v>
      </c>
      <c r="D169" s="139">
        <f>'BC.114+840'!AA168</f>
        <v>2.3239999999999998</v>
      </c>
      <c r="E169" s="140">
        <f>'BC.114+840'!AB168</f>
        <v>1.024</v>
      </c>
      <c r="F169" s="139">
        <f>VLOOKUP($A169,'BC.114+840'!$B$13:$X$470,8,0)/1000</f>
        <v>2.6389999999999998</v>
      </c>
      <c r="G169" s="139">
        <f>VLOOKUP($A169,'BC.114+840'!$B$13:$X$470,9,0)/1000</f>
        <v>-0.36099999999999999</v>
      </c>
      <c r="H169" s="139">
        <f>VLOOKUP($A169,'BC.114+840'!$B$13:$X$470,14,0)/1000</f>
        <v>2.6619999999999999</v>
      </c>
      <c r="I169" s="139">
        <f>VLOOKUP($A169,'BC.114+840'!$B$13:$X$470,15,0)/1000</f>
        <v>-0.33800000000000002</v>
      </c>
      <c r="J169" s="139">
        <f>VLOOKUP($A169,'BC.114+840'!$B$13:$X$470,20,0)/1000</f>
        <v>2.3530000000000002</v>
      </c>
      <c r="K169" s="139">
        <f>VLOOKUP($A169,'BC.114+840'!$B$13:$X$470,21,0)/1000</f>
        <v>-0.64700000000000002</v>
      </c>
      <c r="L169" s="137">
        <f t="shared" si="6"/>
        <v>-281</v>
      </c>
      <c r="M169" s="138">
        <f t="shared" si="7"/>
        <v>-438.00000000000006</v>
      </c>
      <c r="N169" s="137">
        <f t="shared" si="8"/>
        <v>-257</v>
      </c>
      <c r="O169" s="137"/>
    </row>
    <row r="170" spans="1:15">
      <c r="A170" s="76">
        <f>'BC.114+840'!B169</f>
        <v>45426</v>
      </c>
      <c r="B170" s="137">
        <v>156</v>
      </c>
      <c r="C170" s="139">
        <f>'BC.114+840'!M169/1000</f>
        <v>1.5569999999999999</v>
      </c>
      <c r="D170" s="139">
        <f>'BC.114+840'!AA169</f>
        <v>2.3239999999999998</v>
      </c>
      <c r="E170" s="140">
        <f>'BC.114+840'!AB169</f>
        <v>1.014</v>
      </c>
      <c r="F170" s="139">
        <f>VLOOKUP($A170,'BC.114+840'!$B$13:$X$470,8,0)/1000</f>
        <v>2.6389999999999998</v>
      </c>
      <c r="G170" s="139">
        <f>VLOOKUP($A170,'BC.114+840'!$B$13:$X$470,9,0)/1000</f>
        <v>-0.36099999999999999</v>
      </c>
      <c r="H170" s="139">
        <f>VLOOKUP($A170,'BC.114+840'!$B$13:$X$470,14,0)/1000</f>
        <v>2.657</v>
      </c>
      <c r="I170" s="139">
        <f>VLOOKUP($A170,'BC.114+840'!$B$13:$X$470,15,0)/1000</f>
        <v>-0.34300000000000003</v>
      </c>
      <c r="J170" s="139">
        <f>VLOOKUP($A170,'BC.114+840'!$B$13:$X$470,20,0)/1000</f>
        <v>2.3530000000000002</v>
      </c>
      <c r="K170" s="139">
        <f>VLOOKUP($A170,'BC.114+840'!$B$13:$X$470,21,0)/1000</f>
        <v>-0.64700000000000002</v>
      </c>
      <c r="L170" s="137">
        <f t="shared" si="6"/>
        <v>-281</v>
      </c>
      <c r="M170" s="138">
        <f t="shared" si="7"/>
        <v>-443.00000000000006</v>
      </c>
      <c r="N170" s="137">
        <f t="shared" si="8"/>
        <v>-257</v>
      </c>
      <c r="O170" s="137"/>
    </row>
    <row r="171" spans="1:15">
      <c r="A171" s="76">
        <f>'BC.114+840'!B170</f>
        <v>45427</v>
      </c>
      <c r="B171" s="137">
        <v>157</v>
      </c>
      <c r="C171" s="139">
        <f>'BC.114+840'!M170/1000</f>
        <v>1.552</v>
      </c>
      <c r="D171" s="139">
        <f>'BC.114+840'!AA170</f>
        <v>2.3239999999999998</v>
      </c>
      <c r="E171" s="140">
        <f>'BC.114+840'!AB170</f>
        <v>1.004</v>
      </c>
      <c r="F171" s="139">
        <f>VLOOKUP($A171,'BC.114+840'!$B$13:$X$470,8,0)/1000</f>
        <v>2.6389999999999998</v>
      </c>
      <c r="G171" s="139">
        <f>VLOOKUP($A171,'BC.114+840'!$B$13:$X$470,9,0)/1000</f>
        <v>-0.36099999999999999</v>
      </c>
      <c r="H171" s="139">
        <f>VLOOKUP($A171,'BC.114+840'!$B$13:$X$470,14,0)/1000</f>
        <v>2.6520000000000001</v>
      </c>
      <c r="I171" s="139">
        <f>VLOOKUP($A171,'BC.114+840'!$B$13:$X$470,15,0)/1000</f>
        <v>-0.34799999999999998</v>
      </c>
      <c r="J171" s="139">
        <f>VLOOKUP($A171,'BC.114+840'!$B$13:$X$470,20,0)/1000</f>
        <v>2.3519999999999999</v>
      </c>
      <c r="K171" s="139">
        <f>VLOOKUP($A171,'BC.114+840'!$B$13:$X$470,21,0)/1000</f>
        <v>-0.64800000000000002</v>
      </c>
      <c r="L171" s="137">
        <f t="shared" si="6"/>
        <v>-281</v>
      </c>
      <c r="M171" s="138">
        <f t="shared" si="7"/>
        <v>-447.99999999999994</v>
      </c>
      <c r="N171" s="137">
        <f t="shared" si="8"/>
        <v>-258</v>
      </c>
      <c r="O171" s="137"/>
    </row>
    <row r="172" spans="1:15">
      <c r="A172" s="76">
        <f>'BC.114+840'!B171</f>
        <v>45428</v>
      </c>
      <c r="B172" s="137">
        <v>158</v>
      </c>
      <c r="C172" s="139">
        <f>'BC.114+840'!M171/1000</f>
        <v>1.5469999999999999</v>
      </c>
      <c r="D172" s="139">
        <f>'BC.114+840'!AA171</f>
        <v>2.3239999999999998</v>
      </c>
      <c r="E172" s="140">
        <f>'BC.114+840'!AB171</f>
        <v>0.99399999999999999</v>
      </c>
      <c r="F172" s="139">
        <f>VLOOKUP($A172,'BC.114+840'!$B$13:$X$470,8,0)/1000</f>
        <v>2.6389999999999998</v>
      </c>
      <c r="G172" s="139">
        <f>VLOOKUP($A172,'BC.114+840'!$B$13:$X$470,9,0)/1000</f>
        <v>-0.36099999999999999</v>
      </c>
      <c r="H172" s="139">
        <f>VLOOKUP($A172,'BC.114+840'!$B$13:$X$470,14,0)/1000</f>
        <v>2.6469999999999998</v>
      </c>
      <c r="I172" s="139">
        <f>VLOOKUP($A172,'BC.114+840'!$B$13:$X$470,15,0)/1000</f>
        <v>-0.35299999999999998</v>
      </c>
      <c r="J172" s="139">
        <f>VLOOKUP($A172,'BC.114+840'!$B$13:$X$470,20,0)/1000</f>
        <v>2.3519999999999999</v>
      </c>
      <c r="K172" s="139">
        <f>VLOOKUP($A172,'BC.114+840'!$B$13:$X$470,21,0)/1000</f>
        <v>-0.64800000000000002</v>
      </c>
      <c r="L172" s="137">
        <f t="shared" si="6"/>
        <v>-281</v>
      </c>
      <c r="M172" s="138">
        <f t="shared" si="7"/>
        <v>-452.99999999999994</v>
      </c>
      <c r="N172" s="137">
        <f t="shared" si="8"/>
        <v>-258</v>
      </c>
      <c r="O172" s="137"/>
    </row>
    <row r="173" spans="1:15">
      <c r="A173" s="76">
        <f>'BC.114+840'!B172</f>
        <v>45429</v>
      </c>
      <c r="B173" s="137">
        <v>159</v>
      </c>
      <c r="C173" s="139">
        <f>'BC.114+840'!M172/1000</f>
        <v>1.5429999999999999</v>
      </c>
      <c r="D173" s="139">
        <f>'BC.114+840'!AA172</f>
        <v>2.3239999999999998</v>
      </c>
      <c r="E173" s="140">
        <f>'BC.114+840'!AB172</f>
        <v>0.98599999999999999</v>
      </c>
      <c r="F173" s="139">
        <f>VLOOKUP($A173,'BC.114+840'!$B$13:$X$470,8,0)/1000</f>
        <v>2.6389999999999998</v>
      </c>
      <c r="G173" s="139">
        <f>VLOOKUP($A173,'BC.114+840'!$B$13:$X$470,9,0)/1000</f>
        <v>-0.36099999999999999</v>
      </c>
      <c r="H173" s="139">
        <f>VLOOKUP($A173,'BC.114+840'!$B$13:$X$470,14,0)/1000</f>
        <v>2.6429999999999998</v>
      </c>
      <c r="I173" s="139">
        <f>VLOOKUP($A173,'BC.114+840'!$B$13:$X$470,15,0)/1000</f>
        <v>-0.35699999999999998</v>
      </c>
      <c r="J173" s="139">
        <f>VLOOKUP($A173,'BC.114+840'!$B$13:$X$470,20,0)/1000</f>
        <v>2.3519999999999999</v>
      </c>
      <c r="K173" s="139">
        <f>VLOOKUP($A173,'BC.114+840'!$B$13:$X$470,21,0)/1000</f>
        <v>-0.64800000000000002</v>
      </c>
      <c r="L173" s="137">
        <f t="shared" si="6"/>
        <v>-281</v>
      </c>
      <c r="M173" s="138">
        <f t="shared" si="7"/>
        <v>-456.99999999999994</v>
      </c>
      <c r="N173" s="137">
        <f t="shared" si="8"/>
        <v>-258</v>
      </c>
      <c r="O173" s="137"/>
    </row>
    <row r="174" spans="1:15">
      <c r="A174" s="76">
        <f>'BC.114+840'!B173</f>
        <v>45430</v>
      </c>
      <c r="B174" s="137">
        <v>160</v>
      </c>
      <c r="C174" s="139">
        <f>'BC.114+840'!M173/1000</f>
        <v>1.54</v>
      </c>
      <c r="D174" s="139">
        <f>'BC.114+840'!AA173</f>
        <v>2.3239999999999998</v>
      </c>
      <c r="E174" s="140">
        <f>'BC.114+840'!AB173</f>
        <v>0.98</v>
      </c>
      <c r="F174" s="139">
        <f>VLOOKUP($A174,'BC.114+840'!$B$13:$X$470,8,0)/1000</f>
        <v>2.6389999999999998</v>
      </c>
      <c r="G174" s="139">
        <f>VLOOKUP($A174,'BC.114+840'!$B$13:$X$470,9,0)/1000</f>
        <v>-0.36099999999999999</v>
      </c>
      <c r="H174" s="139">
        <f>VLOOKUP($A174,'BC.114+840'!$B$13:$X$470,14,0)/1000</f>
        <v>2.64</v>
      </c>
      <c r="I174" s="139">
        <f>VLOOKUP($A174,'BC.114+840'!$B$13:$X$470,15,0)/1000</f>
        <v>-0.36</v>
      </c>
      <c r="J174" s="139">
        <f>VLOOKUP($A174,'BC.114+840'!$B$13:$X$470,20,0)/1000</f>
        <v>2.3519999999999999</v>
      </c>
      <c r="K174" s="139">
        <f>VLOOKUP($A174,'BC.114+840'!$B$13:$X$470,21,0)/1000</f>
        <v>-0.64800000000000002</v>
      </c>
      <c r="L174" s="137">
        <f t="shared" si="6"/>
        <v>-281</v>
      </c>
      <c r="M174" s="138">
        <f t="shared" si="7"/>
        <v>-459.99999999999994</v>
      </c>
      <c r="N174" s="137">
        <f t="shared" si="8"/>
        <v>-258</v>
      </c>
      <c r="O174" s="137"/>
    </row>
    <row r="175" spans="1:15">
      <c r="A175" s="76">
        <f>'BC.114+840'!B174</f>
        <v>45431</v>
      </c>
      <c r="B175" s="137">
        <v>161</v>
      </c>
      <c r="C175" s="139">
        <f>'BC.114+840'!M174/1000</f>
        <v>1.538</v>
      </c>
      <c r="D175" s="139">
        <f>'BC.114+840'!AA174</f>
        <v>2.3239999999999998</v>
      </c>
      <c r="E175" s="140">
        <f>'BC.114+840'!AB174</f>
        <v>0.97599999999999998</v>
      </c>
      <c r="F175" s="139">
        <f>VLOOKUP($A175,'BC.114+840'!$B$13:$X$470,8,0)/1000</f>
        <v>2.6389999999999998</v>
      </c>
      <c r="G175" s="139">
        <f>VLOOKUP($A175,'BC.114+840'!$B$13:$X$470,9,0)/1000</f>
        <v>-0.36099999999999999</v>
      </c>
      <c r="H175" s="139">
        <f>VLOOKUP($A175,'BC.114+840'!$B$13:$X$470,14,0)/1000</f>
        <v>2.6379999999999999</v>
      </c>
      <c r="I175" s="139">
        <f>VLOOKUP($A175,'BC.114+840'!$B$13:$X$470,15,0)/1000</f>
        <v>-0.36199999999999999</v>
      </c>
      <c r="J175" s="139">
        <f>VLOOKUP($A175,'BC.114+840'!$B$13:$X$470,20,0)/1000</f>
        <v>2.3519999999999999</v>
      </c>
      <c r="K175" s="139">
        <f>VLOOKUP($A175,'BC.114+840'!$B$13:$X$470,21,0)/1000</f>
        <v>-0.64800000000000002</v>
      </c>
      <c r="L175" s="137">
        <f t="shared" si="6"/>
        <v>-281</v>
      </c>
      <c r="M175" s="138">
        <f t="shared" si="7"/>
        <v>-461.99999999999994</v>
      </c>
      <c r="N175" s="137">
        <f t="shared" si="8"/>
        <v>-258</v>
      </c>
      <c r="O175" s="137"/>
    </row>
    <row r="176" spans="1:15">
      <c r="A176" s="76">
        <f>'BC.114+840'!B175</f>
        <v>45432</v>
      </c>
      <c r="B176" s="137">
        <v>162</v>
      </c>
      <c r="C176" s="139">
        <f>'BC.114+840'!M175/1000</f>
        <v>1.5349999999999999</v>
      </c>
      <c r="D176" s="139">
        <f>'BC.114+840'!AA175</f>
        <v>2.3239999999999998</v>
      </c>
      <c r="E176" s="140">
        <f>'BC.114+840'!AB175</f>
        <v>0.97</v>
      </c>
      <c r="F176" s="139">
        <f>VLOOKUP($A176,'BC.114+840'!$B$13:$X$470,8,0)/1000</f>
        <v>2.6389999999999998</v>
      </c>
      <c r="G176" s="139">
        <f>VLOOKUP($A176,'BC.114+840'!$B$13:$X$470,9,0)/1000</f>
        <v>-0.36099999999999999</v>
      </c>
      <c r="H176" s="139">
        <f>VLOOKUP($A176,'BC.114+840'!$B$13:$X$470,14,0)/1000</f>
        <v>2.6349999999999998</v>
      </c>
      <c r="I176" s="139">
        <f>VLOOKUP($A176,'BC.114+840'!$B$13:$X$470,15,0)/1000</f>
        <v>-0.36499999999999999</v>
      </c>
      <c r="J176" s="139">
        <f>VLOOKUP($A176,'BC.114+840'!$B$13:$X$470,20,0)/1000</f>
        <v>2.3519999999999999</v>
      </c>
      <c r="K176" s="139">
        <f>VLOOKUP($A176,'BC.114+840'!$B$13:$X$470,21,0)/1000</f>
        <v>-0.64800000000000002</v>
      </c>
      <c r="L176" s="137">
        <f t="shared" si="6"/>
        <v>-281</v>
      </c>
      <c r="M176" s="138">
        <f t="shared" si="7"/>
        <v>-464.99999999999994</v>
      </c>
      <c r="N176" s="137">
        <f t="shared" si="8"/>
        <v>-258</v>
      </c>
      <c r="O176" s="137"/>
    </row>
    <row r="177" spans="1:15">
      <c r="A177" s="76">
        <f>'BC.114+840'!B176</f>
        <v>45433</v>
      </c>
      <c r="B177" s="137">
        <v>163</v>
      </c>
      <c r="C177" s="139">
        <f>'BC.114+840'!M176/1000</f>
        <v>1.534</v>
      </c>
      <c r="D177" s="139">
        <f>'BC.114+840'!AA176</f>
        <v>2.3239999999999998</v>
      </c>
      <c r="E177" s="140">
        <f>'BC.114+840'!AB176</f>
        <v>0.96799999999999997</v>
      </c>
      <c r="F177" s="139">
        <f>VLOOKUP($A177,'BC.114+840'!$B$13:$X$470,8,0)/1000</f>
        <v>2.6389999999999998</v>
      </c>
      <c r="G177" s="139">
        <f>VLOOKUP($A177,'BC.114+840'!$B$13:$X$470,9,0)/1000</f>
        <v>-0.36099999999999999</v>
      </c>
      <c r="H177" s="139">
        <f>VLOOKUP($A177,'BC.114+840'!$B$13:$X$470,14,0)/1000</f>
        <v>2.6339999999999999</v>
      </c>
      <c r="I177" s="139">
        <f>VLOOKUP($A177,'BC.114+840'!$B$13:$X$470,15,0)/1000</f>
        <v>-0.36599999999999999</v>
      </c>
      <c r="J177" s="139">
        <f>VLOOKUP($A177,'BC.114+840'!$B$13:$X$470,20,0)/1000</f>
        <v>2.3519999999999999</v>
      </c>
      <c r="K177" s="139">
        <f>VLOOKUP($A177,'BC.114+840'!$B$13:$X$470,21,0)/1000</f>
        <v>-0.64800000000000002</v>
      </c>
      <c r="L177" s="137">
        <f t="shared" si="6"/>
        <v>-281</v>
      </c>
      <c r="M177" s="138">
        <f t="shared" si="7"/>
        <v>-465.99999999999994</v>
      </c>
      <c r="N177" s="137">
        <f t="shared" si="8"/>
        <v>-258</v>
      </c>
      <c r="O177" s="137"/>
    </row>
    <row r="178" spans="1:15">
      <c r="A178" s="76">
        <f>'BC.114+840'!B177</f>
        <v>45434</v>
      </c>
      <c r="B178" s="137">
        <v>164</v>
      </c>
      <c r="C178" s="139">
        <f>'BC.114+840'!M177/1000</f>
        <v>1.532</v>
      </c>
      <c r="D178" s="139">
        <f>'BC.114+840'!AA177</f>
        <v>2.3239999999999998</v>
      </c>
      <c r="E178" s="140">
        <f>'BC.114+840'!AB177</f>
        <v>0.96399999999999997</v>
      </c>
      <c r="F178" s="139">
        <f>VLOOKUP($A178,'BC.114+840'!$B$13:$X$470,8,0)/1000</f>
        <v>2.6389999999999998</v>
      </c>
      <c r="G178" s="139">
        <f>VLOOKUP($A178,'BC.114+840'!$B$13:$X$470,9,0)/1000</f>
        <v>-0.36099999999999999</v>
      </c>
      <c r="H178" s="139">
        <f>VLOOKUP($A178,'BC.114+840'!$B$13:$X$470,14,0)/1000</f>
        <v>2.6320000000000001</v>
      </c>
      <c r="I178" s="139">
        <f>VLOOKUP($A178,'BC.114+840'!$B$13:$X$470,15,0)/1000</f>
        <v>-0.36799999999999999</v>
      </c>
      <c r="J178" s="139">
        <f>VLOOKUP($A178,'BC.114+840'!$B$13:$X$470,20,0)/1000</f>
        <v>2.3519999999999999</v>
      </c>
      <c r="K178" s="139">
        <f>VLOOKUP($A178,'BC.114+840'!$B$13:$X$470,21,0)/1000</f>
        <v>-0.64800000000000002</v>
      </c>
      <c r="L178" s="137">
        <f t="shared" si="6"/>
        <v>-281</v>
      </c>
      <c r="M178" s="138">
        <f t="shared" si="7"/>
        <v>-468</v>
      </c>
      <c r="N178" s="137">
        <f t="shared" si="8"/>
        <v>-258</v>
      </c>
      <c r="O178" s="137"/>
    </row>
    <row r="179" spans="1:15">
      <c r="A179" s="76">
        <f>'BC.114+840'!B178</f>
        <v>45435</v>
      </c>
      <c r="B179" s="137">
        <v>165</v>
      </c>
      <c r="C179" s="139">
        <f>'BC.114+840'!M178/1000</f>
        <v>1.5309999999999999</v>
      </c>
      <c r="D179" s="139">
        <f>'BC.114+840'!AA178</f>
        <v>2.3239999999999998</v>
      </c>
      <c r="E179" s="140">
        <f>'BC.114+840'!AB178</f>
        <v>0.96199999999999997</v>
      </c>
      <c r="F179" s="139">
        <f>VLOOKUP($A179,'BC.114+840'!$B$13:$X$470,8,0)/1000</f>
        <v>2.6389999999999998</v>
      </c>
      <c r="G179" s="139">
        <f>VLOOKUP($A179,'BC.114+840'!$B$13:$X$470,9,0)/1000</f>
        <v>-0.36099999999999999</v>
      </c>
      <c r="H179" s="139">
        <f>VLOOKUP($A179,'BC.114+840'!$B$13:$X$470,14,0)/1000</f>
        <v>2.6309999999999998</v>
      </c>
      <c r="I179" s="139">
        <f>VLOOKUP($A179,'BC.114+840'!$B$13:$X$470,15,0)/1000</f>
        <v>-0.36899999999999999</v>
      </c>
      <c r="J179" s="139">
        <f>VLOOKUP($A179,'BC.114+840'!$B$13:$X$470,20,0)/1000</f>
        <v>2.3519999999999999</v>
      </c>
      <c r="K179" s="139">
        <f>VLOOKUP($A179,'BC.114+840'!$B$13:$X$470,21,0)/1000</f>
        <v>-0.64800000000000002</v>
      </c>
      <c r="L179" s="137">
        <f t="shared" si="6"/>
        <v>-281</v>
      </c>
      <c r="M179" s="138">
        <f t="shared" si="7"/>
        <v>-469</v>
      </c>
      <c r="N179" s="137">
        <f t="shared" si="8"/>
        <v>-258</v>
      </c>
      <c r="O179" s="137"/>
    </row>
    <row r="180" spans="1:15">
      <c r="A180" s="76">
        <f>'BC.114+840'!B179</f>
        <v>45436</v>
      </c>
      <c r="B180" s="137">
        <v>166</v>
      </c>
      <c r="C180" s="139">
        <f>'BC.114+840'!M179/1000</f>
        <v>1.5289999999999999</v>
      </c>
      <c r="D180" s="139">
        <f>'BC.114+840'!AA179</f>
        <v>2.3239999999999998</v>
      </c>
      <c r="E180" s="140">
        <f>'BC.114+840'!AB179</f>
        <v>0.95799999999999996</v>
      </c>
      <c r="F180" s="139">
        <f>VLOOKUP($A180,'BC.114+840'!$B$13:$X$470,8,0)/1000</f>
        <v>2.6389999999999998</v>
      </c>
      <c r="G180" s="139">
        <f>VLOOKUP($A180,'BC.114+840'!$B$13:$X$470,9,0)/1000</f>
        <v>-0.36099999999999999</v>
      </c>
      <c r="H180" s="139">
        <f>VLOOKUP($A180,'BC.114+840'!$B$13:$X$470,14,0)/1000</f>
        <v>2.629</v>
      </c>
      <c r="I180" s="139">
        <f>VLOOKUP($A180,'BC.114+840'!$B$13:$X$470,15,0)/1000</f>
        <v>-0.371</v>
      </c>
      <c r="J180" s="139">
        <f>VLOOKUP($A180,'BC.114+840'!$B$13:$X$470,20,0)/1000</f>
        <v>2.3519999999999999</v>
      </c>
      <c r="K180" s="139">
        <f>VLOOKUP($A180,'BC.114+840'!$B$13:$X$470,21,0)/1000</f>
        <v>-0.64800000000000002</v>
      </c>
      <c r="L180" s="137">
        <f t="shared" si="6"/>
        <v>-281</v>
      </c>
      <c r="M180" s="138">
        <f t="shared" si="7"/>
        <v>-471</v>
      </c>
      <c r="N180" s="137">
        <f t="shared" si="8"/>
        <v>-258</v>
      </c>
      <c r="O180" s="137"/>
    </row>
    <row r="181" spans="1:15">
      <c r="A181" s="76">
        <f>'BC.114+840'!B180</f>
        <v>45437</v>
      </c>
      <c r="B181" s="137">
        <v>167</v>
      </c>
      <c r="C181" s="139">
        <f>'BC.114+840'!M180/1000</f>
        <v>1.5269999999999999</v>
      </c>
      <c r="D181" s="139">
        <f>'BC.114+840'!AA180</f>
        <v>2.3239999999999998</v>
      </c>
      <c r="E181" s="140">
        <f>'BC.114+840'!AB180</f>
        <v>0.95399999999999996</v>
      </c>
      <c r="F181" s="139">
        <f>VLOOKUP($A181,'BC.114+840'!$B$13:$X$470,8,0)/1000</f>
        <v>2.6389999999999998</v>
      </c>
      <c r="G181" s="139">
        <f>VLOOKUP($A181,'BC.114+840'!$B$13:$X$470,9,0)/1000</f>
        <v>-0.36099999999999999</v>
      </c>
      <c r="H181" s="139">
        <f>VLOOKUP($A181,'BC.114+840'!$B$13:$X$470,14,0)/1000</f>
        <v>2.6269999999999998</v>
      </c>
      <c r="I181" s="139">
        <f>VLOOKUP($A181,'BC.114+840'!$B$13:$X$470,15,0)/1000</f>
        <v>-0.373</v>
      </c>
      <c r="J181" s="139">
        <f>VLOOKUP($A181,'BC.114+840'!$B$13:$X$470,20,0)/1000</f>
        <v>2.3519999999999999</v>
      </c>
      <c r="K181" s="139">
        <f>VLOOKUP($A181,'BC.114+840'!$B$13:$X$470,21,0)/1000</f>
        <v>-0.64800000000000002</v>
      </c>
      <c r="L181" s="137">
        <f t="shared" si="6"/>
        <v>-281</v>
      </c>
      <c r="M181" s="138">
        <f t="shared" si="7"/>
        <v>-473</v>
      </c>
      <c r="N181" s="137">
        <f t="shared" si="8"/>
        <v>-258</v>
      </c>
      <c r="O181" s="137"/>
    </row>
    <row r="182" spans="1:15">
      <c r="A182" s="76">
        <f>'BC.114+840'!B181</f>
        <v>45438</v>
      </c>
      <c r="B182" s="137">
        <v>168</v>
      </c>
      <c r="C182" s="139">
        <f>'BC.114+840'!M181/1000</f>
        <v>1.5269999999999999</v>
      </c>
      <c r="D182" s="139">
        <f>'BC.114+840'!AA181</f>
        <v>2.3239999999999998</v>
      </c>
      <c r="E182" s="140">
        <f>'BC.114+840'!AB181</f>
        <v>0.95399999999999996</v>
      </c>
      <c r="F182" s="139">
        <f>VLOOKUP($A182,'BC.114+840'!$B$13:$X$470,8,0)/1000</f>
        <v>2.6389999999999998</v>
      </c>
      <c r="G182" s="139">
        <f>VLOOKUP($A182,'BC.114+840'!$B$13:$X$470,9,0)/1000</f>
        <v>-0.36099999999999999</v>
      </c>
      <c r="H182" s="139">
        <f>VLOOKUP($A182,'BC.114+840'!$B$13:$X$470,14,0)/1000</f>
        <v>2.6269999999999998</v>
      </c>
      <c r="I182" s="139">
        <f>VLOOKUP($A182,'BC.114+840'!$B$13:$X$470,15,0)/1000</f>
        <v>-0.373</v>
      </c>
      <c r="J182" s="139">
        <f>VLOOKUP($A182,'BC.114+840'!$B$13:$X$470,20,0)/1000</f>
        <v>2.3519999999999999</v>
      </c>
      <c r="K182" s="139">
        <f>VLOOKUP($A182,'BC.114+840'!$B$13:$X$470,21,0)/1000</f>
        <v>-0.64800000000000002</v>
      </c>
      <c r="L182" s="137">
        <f t="shared" si="6"/>
        <v>-281</v>
      </c>
      <c r="M182" s="138">
        <f t="shared" si="7"/>
        <v>-473</v>
      </c>
      <c r="N182" s="137">
        <f t="shared" si="8"/>
        <v>-258</v>
      </c>
      <c r="O182" s="137"/>
    </row>
    <row r="183" spans="1:15">
      <c r="A183" s="76">
        <f>'BC.114+840'!B182</f>
        <v>45439</v>
      </c>
      <c r="B183" s="137">
        <v>169</v>
      </c>
      <c r="C183" s="139">
        <f>'BC.114+840'!M182/1000</f>
        <v>1.5269999999999999</v>
      </c>
      <c r="D183" s="139">
        <f>'BC.114+840'!AA182</f>
        <v>2.3239999999999998</v>
      </c>
      <c r="E183" s="140">
        <f>'BC.114+840'!AB182</f>
        <v>0.95399999999999996</v>
      </c>
      <c r="F183" s="139">
        <f>VLOOKUP($A183,'BC.114+840'!$B$13:$X$470,8,0)/1000</f>
        <v>2.6389999999999998</v>
      </c>
      <c r="G183" s="139">
        <f>VLOOKUP($A183,'BC.114+840'!$B$13:$X$470,9,0)/1000</f>
        <v>-0.36099999999999999</v>
      </c>
      <c r="H183" s="139">
        <f>VLOOKUP($A183,'BC.114+840'!$B$13:$X$470,14,0)/1000</f>
        <v>2.6269999999999998</v>
      </c>
      <c r="I183" s="139">
        <f>VLOOKUP($A183,'BC.114+840'!$B$13:$X$470,15,0)/1000</f>
        <v>-0.373</v>
      </c>
      <c r="J183" s="139">
        <f>VLOOKUP($A183,'BC.114+840'!$B$13:$X$470,20,0)/1000</f>
        <v>2.3519999999999999</v>
      </c>
      <c r="K183" s="139">
        <f>VLOOKUP($A183,'BC.114+840'!$B$13:$X$470,21,0)/1000</f>
        <v>-0.64800000000000002</v>
      </c>
      <c r="L183" s="137">
        <f t="shared" si="6"/>
        <v>-281</v>
      </c>
      <c r="M183" s="138">
        <f t="shared" si="7"/>
        <v>-473</v>
      </c>
      <c r="N183" s="137">
        <f t="shared" si="8"/>
        <v>-258</v>
      </c>
      <c r="O183" s="137"/>
    </row>
    <row r="184" spans="1:15">
      <c r="A184" s="76">
        <f>'BC.114+840'!B183</f>
        <v>45440</v>
      </c>
      <c r="B184" s="137">
        <v>170</v>
      </c>
      <c r="C184" s="139">
        <f>'BC.114+840'!M183/1000</f>
        <v>1.5269999999999999</v>
      </c>
      <c r="D184" s="139">
        <f>'BC.114+840'!AA183</f>
        <v>2.3239999999999998</v>
      </c>
      <c r="E184" s="140">
        <f>'BC.114+840'!AB183</f>
        <v>0.95399999999999996</v>
      </c>
      <c r="F184" s="139">
        <f>VLOOKUP($A184,'BC.114+840'!$B$13:$X$470,8,0)/1000</f>
        <v>2.6389999999999998</v>
      </c>
      <c r="G184" s="139">
        <f>VLOOKUP($A184,'BC.114+840'!$B$13:$X$470,9,0)/1000</f>
        <v>-0.36099999999999999</v>
      </c>
      <c r="H184" s="139">
        <f>VLOOKUP($A184,'BC.114+840'!$B$13:$X$470,14,0)/1000</f>
        <v>2.6269999999999998</v>
      </c>
      <c r="I184" s="139">
        <f>VLOOKUP($A184,'BC.114+840'!$B$13:$X$470,15,0)/1000</f>
        <v>-0.373</v>
      </c>
      <c r="J184" s="139">
        <f>VLOOKUP($A184,'BC.114+840'!$B$13:$X$470,20,0)/1000</f>
        <v>2.3519999999999999</v>
      </c>
      <c r="K184" s="139">
        <f>VLOOKUP($A184,'BC.114+840'!$B$13:$X$470,21,0)/1000</f>
        <v>-0.64800000000000002</v>
      </c>
      <c r="L184" s="137">
        <f t="shared" si="6"/>
        <v>-281</v>
      </c>
      <c r="M184" s="138">
        <f t="shared" si="7"/>
        <v>-473</v>
      </c>
      <c r="N184" s="137">
        <f t="shared" si="8"/>
        <v>-258</v>
      </c>
      <c r="O184" s="137"/>
    </row>
    <row r="185" spans="1:15">
      <c r="A185" s="76">
        <f>'BC.114+840'!B184</f>
        <v>45441</v>
      </c>
      <c r="B185" s="137">
        <v>171</v>
      </c>
      <c r="C185" s="139">
        <f>'BC.114+840'!M184/1000</f>
        <v>1.5269999999999999</v>
      </c>
      <c r="D185" s="139">
        <f>'BC.114+840'!AA184</f>
        <v>2.3239999999999998</v>
      </c>
      <c r="E185" s="140">
        <f>'BC.114+840'!AB184</f>
        <v>0.95399999999999996</v>
      </c>
      <c r="F185" s="139">
        <f>VLOOKUP($A185,'BC.114+840'!$B$13:$X$470,8,0)/1000</f>
        <v>2.6389999999999998</v>
      </c>
      <c r="G185" s="139">
        <f>VLOOKUP($A185,'BC.114+840'!$B$13:$X$470,9,0)/1000</f>
        <v>-0.36099999999999999</v>
      </c>
      <c r="H185" s="139">
        <f>VLOOKUP($A185,'BC.114+840'!$B$13:$X$470,14,0)/1000</f>
        <v>2.6269999999999998</v>
      </c>
      <c r="I185" s="139">
        <f>VLOOKUP($A185,'BC.114+840'!$B$13:$X$470,15,0)/1000</f>
        <v>-0.373</v>
      </c>
      <c r="J185" s="139">
        <f>VLOOKUP($A185,'BC.114+840'!$B$13:$X$470,20,0)/1000</f>
        <v>2.3519999999999999</v>
      </c>
      <c r="K185" s="139">
        <f>VLOOKUP($A185,'BC.114+840'!$B$13:$X$470,21,0)/1000</f>
        <v>-0.64800000000000002</v>
      </c>
      <c r="L185" s="137">
        <f t="shared" si="6"/>
        <v>-281</v>
      </c>
      <c r="M185" s="138">
        <f t="shared" si="7"/>
        <v>-473</v>
      </c>
      <c r="N185" s="137">
        <f t="shared" si="8"/>
        <v>-258</v>
      </c>
      <c r="O185" s="137"/>
    </row>
    <row r="186" spans="1:15">
      <c r="A186" s="76">
        <f>'BC.114+840'!B185</f>
        <v>45442</v>
      </c>
      <c r="B186" s="137">
        <v>172</v>
      </c>
      <c r="C186" s="139">
        <f>'BC.114+840'!M185/1000</f>
        <v>1.5269999999999999</v>
      </c>
      <c r="D186" s="139">
        <f>'BC.114+840'!AA185</f>
        <v>2.3239999999999998</v>
      </c>
      <c r="E186" s="140">
        <f>'BC.114+840'!AB185</f>
        <v>0.95399999999999996</v>
      </c>
      <c r="F186" s="139">
        <f>VLOOKUP($A186,'BC.114+840'!$B$13:$X$470,8,0)/1000</f>
        <v>2.6389999999999998</v>
      </c>
      <c r="G186" s="139">
        <f>VLOOKUP($A186,'BC.114+840'!$B$13:$X$470,9,0)/1000</f>
        <v>-0.36099999999999999</v>
      </c>
      <c r="H186" s="139">
        <f>VLOOKUP($A186,'BC.114+840'!$B$13:$X$470,14,0)/1000</f>
        <v>2.6269999999999998</v>
      </c>
      <c r="I186" s="139">
        <f>VLOOKUP($A186,'BC.114+840'!$B$13:$X$470,15,0)/1000</f>
        <v>-0.373</v>
      </c>
      <c r="J186" s="139">
        <f>VLOOKUP($A186,'BC.114+840'!$B$13:$X$470,20,0)/1000</f>
        <v>2.3519999999999999</v>
      </c>
      <c r="K186" s="139">
        <f>VLOOKUP($A186,'BC.114+840'!$B$13:$X$470,21,0)/1000</f>
        <v>-0.64800000000000002</v>
      </c>
      <c r="L186" s="137">
        <f t="shared" si="6"/>
        <v>-281</v>
      </c>
      <c r="M186" s="138">
        <f t="shared" si="7"/>
        <v>-473</v>
      </c>
      <c r="N186" s="137">
        <f t="shared" si="8"/>
        <v>-258</v>
      </c>
      <c r="O186" s="137"/>
    </row>
    <row r="187" spans="1:15">
      <c r="A187" s="76">
        <f>'BC.114+840'!B186</f>
        <v>45443</v>
      </c>
      <c r="B187" s="137">
        <v>173</v>
      </c>
      <c r="C187" s="139">
        <f>'BC.114+840'!M186/1000</f>
        <v>1.5269999999999999</v>
      </c>
      <c r="D187" s="139">
        <f>'BC.114+840'!AA186</f>
        <v>2.3239999999999998</v>
      </c>
      <c r="E187" s="140">
        <f>'BC.114+840'!AB186</f>
        <v>0.95399999999999996</v>
      </c>
      <c r="F187" s="139">
        <f>VLOOKUP($A187,'BC.114+840'!$B$13:$X$470,8,0)/1000</f>
        <v>2.6389999999999998</v>
      </c>
      <c r="G187" s="139">
        <f>VLOOKUP($A187,'BC.114+840'!$B$13:$X$470,9,0)/1000</f>
        <v>-0.36099999999999999</v>
      </c>
      <c r="H187" s="139">
        <f>VLOOKUP($A187,'BC.114+840'!$B$13:$X$470,14,0)/1000</f>
        <v>2.6269999999999998</v>
      </c>
      <c r="I187" s="139">
        <f>VLOOKUP($A187,'BC.114+840'!$B$13:$X$470,15,0)/1000</f>
        <v>-0.373</v>
      </c>
      <c r="J187" s="139">
        <f>VLOOKUP($A187,'BC.114+840'!$B$13:$X$470,20,0)/1000</f>
        <v>2.3519999999999999</v>
      </c>
      <c r="K187" s="139">
        <f>VLOOKUP($A187,'BC.114+840'!$B$13:$X$470,21,0)/1000</f>
        <v>-0.64800000000000002</v>
      </c>
      <c r="L187" s="137">
        <f t="shared" si="6"/>
        <v>-281</v>
      </c>
      <c r="M187" s="138">
        <f t="shared" si="7"/>
        <v>-473</v>
      </c>
      <c r="N187" s="137">
        <f t="shared" si="8"/>
        <v>-258</v>
      </c>
      <c r="O187" s="137"/>
    </row>
    <row r="188" spans="1:15">
      <c r="A188" s="76">
        <f>'BC.114+840'!B187</f>
        <v>45444</v>
      </c>
      <c r="B188" s="137">
        <v>174</v>
      </c>
      <c r="C188" s="139">
        <f>'BC.114+840'!M187/1000</f>
        <v>1.5269999999999999</v>
      </c>
      <c r="D188" s="139">
        <f>'BC.114+840'!AA187</f>
        <v>2.3239999999999998</v>
      </c>
      <c r="E188" s="140">
        <f>'BC.114+840'!AB187</f>
        <v>0.95399999999999996</v>
      </c>
      <c r="F188" s="139">
        <f>VLOOKUP($A188,'BC.114+840'!$B$13:$X$470,8,0)/1000</f>
        <v>2.6389999999999998</v>
      </c>
      <c r="G188" s="139">
        <f>VLOOKUP($A188,'BC.114+840'!$B$13:$X$470,9,0)/1000</f>
        <v>-0.36099999999999999</v>
      </c>
      <c r="H188" s="139">
        <f>VLOOKUP($A188,'BC.114+840'!$B$13:$X$470,14,0)/1000</f>
        <v>2.6269999999999998</v>
      </c>
      <c r="I188" s="139">
        <f>VLOOKUP($A188,'BC.114+840'!$B$13:$X$470,15,0)/1000</f>
        <v>-0.373</v>
      </c>
      <c r="J188" s="139">
        <f>VLOOKUP($A188,'BC.114+840'!$B$13:$X$470,20,0)/1000</f>
        <v>2.3519999999999999</v>
      </c>
      <c r="K188" s="139">
        <f>VLOOKUP($A188,'BC.114+840'!$B$13:$X$470,21,0)/1000</f>
        <v>-0.64800000000000002</v>
      </c>
      <c r="L188" s="137">
        <f t="shared" si="6"/>
        <v>-281</v>
      </c>
      <c r="M188" s="138">
        <f t="shared" si="7"/>
        <v>-473</v>
      </c>
      <c r="N188" s="137">
        <f t="shared" si="8"/>
        <v>-258</v>
      </c>
      <c r="O188" s="137"/>
    </row>
    <row r="189" spans="1:15">
      <c r="A189" s="76">
        <f>'BC.114+840'!B188</f>
        <v>45445</v>
      </c>
      <c r="B189" s="137">
        <v>175</v>
      </c>
      <c r="C189" s="139">
        <f>'BC.114+840'!M188/1000</f>
        <v>1.5269999999999999</v>
      </c>
      <c r="D189" s="139">
        <f>'BC.114+840'!AA188</f>
        <v>2.3239999999999998</v>
      </c>
      <c r="E189" s="140">
        <f>'BC.114+840'!AB188</f>
        <v>0.95399999999999996</v>
      </c>
      <c r="F189" s="139">
        <f>VLOOKUP($A189,'BC.114+840'!$B$13:$X$470,8,0)/1000</f>
        <v>2.6389999999999998</v>
      </c>
      <c r="G189" s="139">
        <f>VLOOKUP($A189,'BC.114+840'!$B$13:$X$470,9,0)/1000</f>
        <v>-0.36099999999999999</v>
      </c>
      <c r="H189" s="139">
        <f>VLOOKUP($A189,'BC.114+840'!$B$13:$X$470,14,0)/1000</f>
        <v>2.6269999999999998</v>
      </c>
      <c r="I189" s="139">
        <f>VLOOKUP($A189,'BC.114+840'!$B$13:$X$470,15,0)/1000</f>
        <v>-0.373</v>
      </c>
      <c r="J189" s="139">
        <f>VLOOKUP($A189,'BC.114+840'!$B$13:$X$470,20,0)/1000</f>
        <v>2.3519999999999999</v>
      </c>
      <c r="K189" s="139">
        <f>VLOOKUP($A189,'BC.114+840'!$B$13:$X$470,21,0)/1000</f>
        <v>-0.64800000000000002</v>
      </c>
      <c r="L189" s="137">
        <f t="shared" si="6"/>
        <v>-281</v>
      </c>
      <c r="M189" s="138">
        <f t="shared" si="7"/>
        <v>-473</v>
      </c>
      <c r="N189" s="137">
        <f t="shared" si="8"/>
        <v>-258</v>
      </c>
      <c r="O189" s="137"/>
    </row>
    <row r="190" spans="1:15">
      <c r="A190" s="76">
        <f>'BC.114+840'!B189</f>
        <v>45446</v>
      </c>
      <c r="B190" s="137">
        <v>176</v>
      </c>
      <c r="C190" s="139">
        <f>'BC.114+840'!M189/1000</f>
        <v>1.5269999999999999</v>
      </c>
      <c r="D190" s="139">
        <f>'BC.114+840'!AA189</f>
        <v>2.3239999999999998</v>
      </c>
      <c r="E190" s="140">
        <f>'BC.114+840'!AB189</f>
        <v>0.95399999999999996</v>
      </c>
      <c r="F190" s="139">
        <f>VLOOKUP($A190,'BC.114+840'!$B$13:$X$470,8,0)/1000</f>
        <v>2.6389999999999998</v>
      </c>
      <c r="G190" s="139">
        <f>VLOOKUP($A190,'BC.114+840'!$B$13:$X$470,9,0)/1000</f>
        <v>-0.36099999999999999</v>
      </c>
      <c r="H190" s="139">
        <f>VLOOKUP($A190,'BC.114+840'!$B$13:$X$470,14,0)/1000</f>
        <v>2.6269999999999998</v>
      </c>
      <c r="I190" s="139">
        <f>VLOOKUP($A190,'BC.114+840'!$B$13:$X$470,15,0)/1000</f>
        <v>-0.373</v>
      </c>
      <c r="J190" s="139">
        <f>VLOOKUP($A190,'BC.114+840'!$B$13:$X$470,20,0)/1000</f>
        <v>2.3519999999999999</v>
      </c>
      <c r="K190" s="139">
        <f>VLOOKUP($A190,'BC.114+840'!$B$13:$X$470,21,0)/1000</f>
        <v>-0.64800000000000002</v>
      </c>
      <c r="L190" s="137">
        <f t="shared" si="6"/>
        <v>-281</v>
      </c>
      <c r="M190" s="138">
        <f t="shared" si="7"/>
        <v>-473</v>
      </c>
      <c r="N190" s="137">
        <f t="shared" si="8"/>
        <v>-258</v>
      </c>
      <c r="O190" s="137"/>
    </row>
    <row r="191" spans="1:15">
      <c r="A191" s="76">
        <f>'BC.114+840'!B190</f>
        <v>45447</v>
      </c>
      <c r="B191" s="137">
        <v>177</v>
      </c>
      <c r="C191" s="139">
        <f>'BC.114+840'!M190/1000</f>
        <v>1.5269999999999999</v>
      </c>
      <c r="D191" s="139">
        <f>'BC.114+840'!AA190</f>
        <v>2.3239999999999998</v>
      </c>
      <c r="E191" s="140">
        <f>'BC.114+840'!AB190</f>
        <v>0.95399999999999996</v>
      </c>
      <c r="F191" s="139">
        <f>VLOOKUP($A191,'BC.114+840'!$B$13:$X$470,8,0)/1000</f>
        <v>2.6389999999999998</v>
      </c>
      <c r="G191" s="139">
        <f>VLOOKUP($A191,'BC.114+840'!$B$13:$X$470,9,0)/1000</f>
        <v>-0.36099999999999999</v>
      </c>
      <c r="H191" s="139">
        <f>VLOOKUP($A191,'BC.114+840'!$B$13:$X$470,14,0)/1000</f>
        <v>2.6269999999999998</v>
      </c>
      <c r="I191" s="139">
        <f>VLOOKUP($A191,'BC.114+840'!$B$13:$X$470,15,0)/1000</f>
        <v>-0.373</v>
      </c>
      <c r="J191" s="139">
        <f>VLOOKUP($A191,'BC.114+840'!$B$13:$X$470,20,0)/1000</f>
        <v>2.3519999999999999</v>
      </c>
      <c r="K191" s="139">
        <f>VLOOKUP($A191,'BC.114+840'!$B$13:$X$470,21,0)/1000</f>
        <v>-0.64800000000000002</v>
      </c>
      <c r="L191" s="137">
        <f t="shared" si="6"/>
        <v>-281</v>
      </c>
      <c r="M191" s="138">
        <f t="shared" si="7"/>
        <v>-473</v>
      </c>
      <c r="N191" s="137">
        <f t="shared" si="8"/>
        <v>-258</v>
      </c>
      <c r="O191" s="137"/>
    </row>
    <row r="192" spans="1:15">
      <c r="A192" s="76">
        <f>'BC.114+840'!B191</f>
        <v>45448</v>
      </c>
      <c r="B192" s="137">
        <v>178</v>
      </c>
      <c r="C192" s="139">
        <f>'BC.114+840'!M191/1000</f>
        <v>1.5269999999999999</v>
      </c>
      <c r="D192" s="139">
        <f>'BC.114+840'!AA191</f>
        <v>2.3239999999999998</v>
      </c>
      <c r="E192" s="140">
        <f>'BC.114+840'!AB191</f>
        <v>0.95399999999999996</v>
      </c>
      <c r="F192" s="139">
        <f>VLOOKUP($A192,'BC.114+840'!$B$13:$X$470,8,0)/1000</f>
        <v>2.6389999999999998</v>
      </c>
      <c r="G192" s="139">
        <f>VLOOKUP($A192,'BC.114+840'!$B$13:$X$470,9,0)/1000</f>
        <v>-0.36099999999999999</v>
      </c>
      <c r="H192" s="139">
        <f>VLOOKUP($A192,'BC.114+840'!$B$13:$X$470,14,0)/1000</f>
        <v>2.6269999999999998</v>
      </c>
      <c r="I192" s="139">
        <f>VLOOKUP($A192,'BC.114+840'!$B$13:$X$470,15,0)/1000</f>
        <v>-0.373</v>
      </c>
      <c r="J192" s="139">
        <f>VLOOKUP($A192,'BC.114+840'!$B$13:$X$470,20,0)/1000</f>
        <v>2.3519999999999999</v>
      </c>
      <c r="K192" s="139">
        <f>VLOOKUP($A192,'BC.114+840'!$B$13:$X$470,21,0)/1000</f>
        <v>-0.64800000000000002</v>
      </c>
      <c r="L192" s="137">
        <f t="shared" si="6"/>
        <v>-281</v>
      </c>
      <c r="M192" s="138">
        <f t="shared" si="7"/>
        <v>-473</v>
      </c>
      <c r="N192" s="137">
        <f t="shared" si="8"/>
        <v>-258</v>
      </c>
      <c r="O192" s="137"/>
    </row>
    <row r="193" spans="1:15">
      <c r="A193" s="76">
        <f>'BC.114+840'!B192</f>
        <v>45449</v>
      </c>
      <c r="B193" s="137">
        <v>179</v>
      </c>
      <c r="C193" s="139">
        <f>'BC.114+840'!M192/1000</f>
        <v>1.5269999999999999</v>
      </c>
      <c r="D193" s="139">
        <f>'BC.114+840'!AA192</f>
        <v>2.3239999999999998</v>
      </c>
      <c r="E193" s="140">
        <f>'BC.114+840'!AB192</f>
        <v>0.95399999999999996</v>
      </c>
      <c r="F193" s="139">
        <f>VLOOKUP($A193,'BC.114+840'!$B$13:$X$470,8,0)/1000</f>
        <v>2.6389999999999998</v>
      </c>
      <c r="G193" s="139">
        <f>VLOOKUP($A193,'BC.114+840'!$B$13:$X$470,9,0)/1000</f>
        <v>-0.36099999999999999</v>
      </c>
      <c r="H193" s="139">
        <f>VLOOKUP($A193,'BC.114+840'!$B$13:$X$470,14,0)/1000</f>
        <v>2.6269999999999998</v>
      </c>
      <c r="I193" s="139">
        <f>VLOOKUP($A193,'BC.114+840'!$B$13:$X$470,15,0)/1000</f>
        <v>-0.373</v>
      </c>
      <c r="J193" s="139">
        <f>VLOOKUP($A193,'BC.114+840'!$B$13:$X$470,20,0)/1000</f>
        <v>2.3519999999999999</v>
      </c>
      <c r="K193" s="139">
        <f>VLOOKUP($A193,'BC.114+840'!$B$13:$X$470,21,0)/1000</f>
        <v>-0.64800000000000002</v>
      </c>
      <c r="L193" s="137">
        <f t="shared" si="6"/>
        <v>-281</v>
      </c>
      <c r="M193" s="138">
        <f t="shared" si="7"/>
        <v>-473</v>
      </c>
      <c r="N193" s="137">
        <f t="shared" si="8"/>
        <v>-258</v>
      </c>
      <c r="O193" s="137"/>
    </row>
    <row r="194" spans="1:15">
      <c r="A194" s="76">
        <f>'BC.114+840'!B193</f>
        <v>45450</v>
      </c>
      <c r="B194" s="137">
        <v>180</v>
      </c>
      <c r="C194" s="139">
        <f>'BC.114+840'!M193/1000</f>
        <v>1.5269999999999999</v>
      </c>
      <c r="D194" s="139">
        <f>'BC.114+840'!AA193</f>
        <v>2.3239999999999998</v>
      </c>
      <c r="E194" s="140">
        <f>'BC.114+840'!AB193</f>
        <v>0.95399999999999996</v>
      </c>
      <c r="F194" s="139">
        <f>VLOOKUP($A194,'BC.114+840'!$B$13:$X$470,8,0)/1000</f>
        <v>2.6389999999999998</v>
      </c>
      <c r="G194" s="139">
        <f>VLOOKUP($A194,'BC.114+840'!$B$13:$X$470,9,0)/1000</f>
        <v>-0.36099999999999999</v>
      </c>
      <c r="H194" s="139">
        <f>VLOOKUP($A194,'BC.114+840'!$B$13:$X$470,14,0)/1000</f>
        <v>2.6269999999999998</v>
      </c>
      <c r="I194" s="139">
        <f>VLOOKUP($A194,'BC.114+840'!$B$13:$X$470,15,0)/1000</f>
        <v>-0.373</v>
      </c>
      <c r="J194" s="139">
        <f>VLOOKUP($A194,'BC.114+840'!$B$13:$X$470,20,0)/1000</f>
        <v>2.3519999999999999</v>
      </c>
      <c r="K194" s="139">
        <f>VLOOKUP($A194,'BC.114+840'!$B$13:$X$470,21,0)/1000</f>
        <v>-0.64800000000000002</v>
      </c>
      <c r="L194" s="137">
        <f t="shared" si="6"/>
        <v>-281</v>
      </c>
      <c r="M194" s="138">
        <f t="shared" si="7"/>
        <v>-473</v>
      </c>
      <c r="N194" s="137">
        <f t="shared" si="8"/>
        <v>-258</v>
      </c>
      <c r="O194" s="137"/>
    </row>
    <row r="195" spans="1:15">
      <c r="A195" s="76">
        <f>'BC.114+840'!B194</f>
        <v>45451</v>
      </c>
      <c r="B195" s="137">
        <v>181</v>
      </c>
      <c r="C195" s="139">
        <f>'BC.114+840'!M194/1000</f>
        <v>1.5269999999999999</v>
      </c>
      <c r="D195" s="139">
        <f>'BC.114+840'!AA194</f>
        <v>2.3239999999999998</v>
      </c>
      <c r="E195" s="140">
        <f>'BC.114+840'!AB194</f>
        <v>0.95399999999999996</v>
      </c>
      <c r="F195" s="139">
        <f>VLOOKUP($A195,'BC.114+840'!$B$13:$X$470,8,0)/1000</f>
        <v>2.6389999999999998</v>
      </c>
      <c r="G195" s="139">
        <f>VLOOKUP($A195,'BC.114+840'!$B$13:$X$470,9,0)/1000</f>
        <v>-0.36099999999999999</v>
      </c>
      <c r="H195" s="139">
        <f>VLOOKUP($A195,'BC.114+840'!$B$13:$X$470,14,0)/1000</f>
        <v>2.6269999999999998</v>
      </c>
      <c r="I195" s="139">
        <f>VLOOKUP($A195,'BC.114+840'!$B$13:$X$470,15,0)/1000</f>
        <v>-0.373</v>
      </c>
      <c r="J195" s="139">
        <f>VLOOKUP($A195,'BC.114+840'!$B$13:$X$470,20,0)/1000</f>
        <v>2.3519999999999999</v>
      </c>
      <c r="K195" s="139">
        <f>VLOOKUP($A195,'BC.114+840'!$B$13:$X$470,21,0)/1000</f>
        <v>-0.64800000000000002</v>
      </c>
      <c r="L195" s="137">
        <f t="shared" si="6"/>
        <v>-281</v>
      </c>
      <c r="M195" s="138">
        <f t="shared" si="7"/>
        <v>-473</v>
      </c>
      <c r="N195" s="137">
        <f t="shared" si="8"/>
        <v>-258</v>
      </c>
      <c r="O195" s="137"/>
    </row>
    <row r="196" spans="1:15">
      <c r="A196" s="76">
        <f>'BC.114+840'!B195</f>
        <v>45452</v>
      </c>
      <c r="B196" s="137">
        <v>182</v>
      </c>
      <c r="C196" s="139">
        <f>'BC.114+840'!M195/1000</f>
        <v>1.5269999999999999</v>
      </c>
      <c r="D196" s="139">
        <f>'BC.114+840'!AA195</f>
        <v>2.3239999999999998</v>
      </c>
      <c r="E196" s="140">
        <f>'BC.114+840'!AB195</f>
        <v>0.95399999999999996</v>
      </c>
      <c r="F196" s="139">
        <f>VLOOKUP($A196,'BC.114+840'!$B$13:$X$470,8,0)/1000</f>
        <v>2.6389999999999998</v>
      </c>
      <c r="G196" s="139">
        <f>VLOOKUP($A196,'BC.114+840'!$B$13:$X$470,9,0)/1000</f>
        <v>-0.36099999999999999</v>
      </c>
      <c r="H196" s="139">
        <f>VLOOKUP($A196,'BC.114+840'!$B$13:$X$470,14,0)/1000</f>
        <v>2.6269999999999998</v>
      </c>
      <c r="I196" s="139">
        <f>VLOOKUP($A196,'BC.114+840'!$B$13:$X$470,15,0)/1000</f>
        <v>-0.373</v>
      </c>
      <c r="J196" s="139">
        <f>VLOOKUP($A196,'BC.114+840'!$B$13:$X$470,20,0)/1000</f>
        <v>2.3519999999999999</v>
      </c>
      <c r="K196" s="139">
        <f>VLOOKUP($A196,'BC.114+840'!$B$13:$X$470,21,0)/1000</f>
        <v>-0.64800000000000002</v>
      </c>
      <c r="L196" s="137">
        <f t="shared" si="6"/>
        <v>-281</v>
      </c>
      <c r="M196" s="138">
        <f t="shared" si="7"/>
        <v>-473</v>
      </c>
      <c r="N196" s="137">
        <f t="shared" si="8"/>
        <v>-258</v>
      </c>
      <c r="O196" s="137"/>
    </row>
    <row r="197" spans="1:15">
      <c r="A197" s="76">
        <f>'BC.114+840'!B196</f>
        <v>45453</v>
      </c>
      <c r="B197" s="137">
        <v>183</v>
      </c>
      <c r="C197" s="139">
        <f>'BC.114+840'!M196/1000</f>
        <v>1.5269999999999999</v>
      </c>
      <c r="D197" s="139">
        <f>'BC.114+840'!AA196</f>
        <v>2.3239999999999998</v>
      </c>
      <c r="E197" s="140">
        <f>'BC.114+840'!AB196</f>
        <v>0.95399999999999996</v>
      </c>
      <c r="F197" s="139">
        <f>VLOOKUP($A197,'BC.114+840'!$B$13:$X$470,8,0)/1000</f>
        <v>2.6389999999999998</v>
      </c>
      <c r="G197" s="139">
        <f>VLOOKUP($A197,'BC.114+840'!$B$13:$X$470,9,0)/1000</f>
        <v>-0.36099999999999999</v>
      </c>
      <c r="H197" s="139">
        <f>VLOOKUP($A197,'BC.114+840'!$B$13:$X$470,14,0)/1000</f>
        <v>2.6269999999999998</v>
      </c>
      <c r="I197" s="139">
        <f>VLOOKUP($A197,'BC.114+840'!$B$13:$X$470,15,0)/1000</f>
        <v>-0.373</v>
      </c>
      <c r="J197" s="139">
        <f>VLOOKUP($A197,'BC.114+840'!$B$13:$X$470,20,0)/1000</f>
        <v>2.3519999999999999</v>
      </c>
      <c r="K197" s="139">
        <f>VLOOKUP($A197,'BC.114+840'!$B$13:$X$470,21,0)/1000</f>
        <v>-0.64800000000000002</v>
      </c>
      <c r="L197" s="137">
        <f t="shared" si="6"/>
        <v>-281</v>
      </c>
      <c r="M197" s="138">
        <f t="shared" si="7"/>
        <v>-473</v>
      </c>
      <c r="N197" s="137">
        <f t="shared" si="8"/>
        <v>-258</v>
      </c>
      <c r="O197" s="137"/>
    </row>
    <row r="198" spans="1:15">
      <c r="A198" s="76">
        <f>'BC.114+840'!B197</f>
        <v>45454</v>
      </c>
      <c r="B198" s="137">
        <v>184</v>
      </c>
      <c r="C198" s="139">
        <f>'BC.114+840'!M197/1000</f>
        <v>1.5269999999999999</v>
      </c>
      <c r="D198" s="139">
        <f>'BC.114+840'!AA197</f>
        <v>2.3239999999999998</v>
      </c>
      <c r="E198" s="140">
        <f>'BC.114+840'!AB197</f>
        <v>0.95399999999999996</v>
      </c>
      <c r="F198" s="139">
        <f>VLOOKUP($A198,'BC.114+840'!$B$13:$X$470,8,0)/1000</f>
        <v>2.6389999999999998</v>
      </c>
      <c r="G198" s="139">
        <f>VLOOKUP($A198,'BC.114+840'!$B$13:$X$470,9,0)/1000</f>
        <v>-0.36099999999999999</v>
      </c>
      <c r="H198" s="139">
        <f>VLOOKUP($A198,'BC.114+840'!$B$13:$X$470,14,0)/1000</f>
        <v>2.6269999999999998</v>
      </c>
      <c r="I198" s="139">
        <f>VLOOKUP($A198,'BC.114+840'!$B$13:$X$470,15,0)/1000</f>
        <v>-0.373</v>
      </c>
      <c r="J198" s="139">
        <f>VLOOKUP($A198,'BC.114+840'!$B$13:$X$470,20,0)/1000</f>
        <v>2.3519999999999999</v>
      </c>
      <c r="K198" s="139">
        <f>VLOOKUP($A198,'BC.114+840'!$B$13:$X$470,21,0)/1000</f>
        <v>-0.64800000000000002</v>
      </c>
      <c r="L198" s="137">
        <f t="shared" si="6"/>
        <v>-281</v>
      </c>
      <c r="M198" s="138">
        <f t="shared" si="7"/>
        <v>-473</v>
      </c>
      <c r="N198" s="137">
        <f t="shared" si="8"/>
        <v>-258</v>
      </c>
      <c r="O198" s="137"/>
    </row>
    <row r="199" spans="1:15">
      <c r="A199" s="76">
        <f>'BC.114+840'!B198</f>
        <v>45455</v>
      </c>
      <c r="B199" s="137">
        <v>185</v>
      </c>
      <c r="C199" s="139">
        <f>'BC.114+840'!M198/1000</f>
        <v>1.5269999999999999</v>
      </c>
      <c r="D199" s="139">
        <f>'BC.114+840'!AA198</f>
        <v>2.3239999999999998</v>
      </c>
      <c r="E199" s="140">
        <f>'BC.114+840'!AB198</f>
        <v>0.95399999999999996</v>
      </c>
      <c r="F199" s="139">
        <f>VLOOKUP($A199,'BC.114+840'!$B$13:$X$470,8,0)/1000</f>
        <v>2.6389999999999998</v>
      </c>
      <c r="G199" s="139">
        <f>VLOOKUP($A199,'BC.114+840'!$B$13:$X$470,9,0)/1000</f>
        <v>-0.36099999999999999</v>
      </c>
      <c r="H199" s="139">
        <f>VLOOKUP($A199,'BC.114+840'!$B$13:$X$470,14,0)/1000</f>
        <v>2.6269999999999998</v>
      </c>
      <c r="I199" s="139">
        <f>VLOOKUP($A199,'BC.114+840'!$B$13:$X$470,15,0)/1000</f>
        <v>-0.373</v>
      </c>
      <c r="J199" s="139">
        <f>VLOOKUP($A199,'BC.114+840'!$B$13:$X$470,20,0)/1000</f>
        <v>2.3519999999999999</v>
      </c>
      <c r="K199" s="139">
        <f>VLOOKUP($A199,'BC.114+840'!$B$13:$X$470,21,0)/1000</f>
        <v>-0.64800000000000002</v>
      </c>
      <c r="L199" s="137">
        <f t="shared" si="6"/>
        <v>-281</v>
      </c>
      <c r="M199" s="138">
        <f t="shared" si="7"/>
        <v>-473</v>
      </c>
      <c r="N199" s="137">
        <f t="shared" si="8"/>
        <v>-258</v>
      </c>
      <c r="O199" s="137"/>
    </row>
    <row r="200" spans="1:15">
      <c r="A200" s="76">
        <f>'BC.114+840'!B199</f>
        <v>45456</v>
      </c>
      <c r="B200" s="137">
        <v>186</v>
      </c>
      <c r="C200" s="139">
        <f>'BC.114+840'!M199/1000</f>
        <v>1.5269999999999999</v>
      </c>
      <c r="D200" s="139">
        <f>'BC.114+840'!AA199</f>
        <v>2.3239999999999998</v>
      </c>
      <c r="E200" s="140">
        <f>'BC.114+840'!AB199</f>
        <v>0.95399999999999996</v>
      </c>
      <c r="F200" s="139">
        <f>VLOOKUP($A200,'BC.114+840'!$B$13:$X$470,8,0)/1000</f>
        <v>2.6389999999999998</v>
      </c>
      <c r="G200" s="139">
        <f>VLOOKUP($A200,'BC.114+840'!$B$13:$X$470,9,0)/1000</f>
        <v>-0.36099999999999999</v>
      </c>
      <c r="H200" s="139">
        <f>VLOOKUP($A200,'BC.114+840'!$B$13:$X$470,14,0)/1000</f>
        <v>2.6269999999999998</v>
      </c>
      <c r="I200" s="139">
        <f>VLOOKUP($A200,'BC.114+840'!$B$13:$X$470,15,0)/1000</f>
        <v>-0.373</v>
      </c>
      <c r="J200" s="139">
        <f>VLOOKUP($A200,'BC.114+840'!$B$13:$X$470,20,0)/1000</f>
        <v>2.3519999999999999</v>
      </c>
      <c r="K200" s="139">
        <f>VLOOKUP($A200,'BC.114+840'!$B$13:$X$470,21,0)/1000</f>
        <v>-0.64800000000000002</v>
      </c>
      <c r="L200" s="137">
        <f t="shared" si="6"/>
        <v>-281</v>
      </c>
      <c r="M200" s="138">
        <f t="shared" si="7"/>
        <v>-473</v>
      </c>
      <c r="N200" s="137">
        <f t="shared" si="8"/>
        <v>-258</v>
      </c>
      <c r="O200" s="137"/>
    </row>
    <row r="201" spans="1:15">
      <c r="A201" s="76">
        <f>'BC.114+840'!B200</f>
        <v>45457</v>
      </c>
      <c r="B201" s="137">
        <v>187</v>
      </c>
      <c r="C201" s="139">
        <f>'BC.114+840'!M200/1000</f>
        <v>1.5269999999999999</v>
      </c>
      <c r="D201" s="139">
        <f>'BC.114+840'!AA200</f>
        <v>2.3239999999999998</v>
      </c>
      <c r="E201" s="140">
        <f>'BC.114+840'!AB200</f>
        <v>0.95399999999999996</v>
      </c>
      <c r="F201" s="139">
        <f>VLOOKUP($A201,'BC.114+840'!$B$13:$X$470,8,0)/1000</f>
        <v>2.6389999999999998</v>
      </c>
      <c r="G201" s="139">
        <f>VLOOKUP($A201,'BC.114+840'!$B$13:$X$470,9,0)/1000</f>
        <v>-0.36099999999999999</v>
      </c>
      <c r="H201" s="139">
        <f>VLOOKUP($A201,'BC.114+840'!$B$13:$X$470,14,0)/1000</f>
        <v>2.6269999999999998</v>
      </c>
      <c r="I201" s="139">
        <f>VLOOKUP($A201,'BC.114+840'!$B$13:$X$470,15,0)/1000</f>
        <v>-0.373</v>
      </c>
      <c r="J201" s="139">
        <f>VLOOKUP($A201,'BC.114+840'!$B$13:$X$470,20,0)/1000</f>
        <v>2.3519999999999999</v>
      </c>
      <c r="K201" s="139">
        <f>VLOOKUP($A201,'BC.114+840'!$B$13:$X$470,21,0)/1000</f>
        <v>-0.64800000000000002</v>
      </c>
      <c r="L201" s="137">
        <f t="shared" si="6"/>
        <v>-281</v>
      </c>
      <c r="M201" s="138">
        <f t="shared" si="7"/>
        <v>-473</v>
      </c>
      <c r="N201" s="137">
        <f t="shared" si="8"/>
        <v>-258</v>
      </c>
      <c r="O201" s="137"/>
    </row>
    <row r="202" spans="1:15">
      <c r="A202" s="76">
        <f>'BC.114+840'!B201</f>
        <v>45458</v>
      </c>
      <c r="B202" s="137">
        <v>188</v>
      </c>
      <c r="C202" s="139">
        <f>'BC.114+840'!M201/1000</f>
        <v>1.5269999999999999</v>
      </c>
      <c r="D202" s="139">
        <f>'BC.114+840'!AA201</f>
        <v>2.3239999999999998</v>
      </c>
      <c r="E202" s="140">
        <f>'BC.114+840'!AB201</f>
        <v>0.95399999999999996</v>
      </c>
      <c r="F202" s="139">
        <f>VLOOKUP($A202,'BC.114+840'!$B$13:$X$470,8,0)/1000</f>
        <v>2.6389999999999998</v>
      </c>
      <c r="G202" s="139">
        <f>VLOOKUP($A202,'BC.114+840'!$B$13:$X$470,9,0)/1000</f>
        <v>-0.36099999999999999</v>
      </c>
      <c r="H202" s="139">
        <f>VLOOKUP($A202,'BC.114+840'!$B$13:$X$470,14,0)/1000</f>
        <v>2.6269999999999998</v>
      </c>
      <c r="I202" s="139">
        <f>VLOOKUP($A202,'BC.114+840'!$B$13:$X$470,15,0)/1000</f>
        <v>-0.373</v>
      </c>
      <c r="J202" s="139">
        <f>VLOOKUP($A202,'BC.114+840'!$B$13:$X$470,20,0)/1000</f>
        <v>2.3519999999999999</v>
      </c>
      <c r="K202" s="139">
        <f>VLOOKUP($A202,'BC.114+840'!$B$13:$X$470,21,0)/1000</f>
        <v>-0.64800000000000002</v>
      </c>
      <c r="L202" s="137">
        <f t="shared" si="6"/>
        <v>-281</v>
      </c>
      <c r="M202" s="138">
        <f t="shared" si="7"/>
        <v>-473</v>
      </c>
      <c r="N202" s="137">
        <f t="shared" si="8"/>
        <v>-258</v>
      </c>
      <c r="O202" s="137"/>
    </row>
    <row r="203" spans="1:15">
      <c r="A203" s="76">
        <f>'BC.114+840'!B202</f>
        <v>45459</v>
      </c>
      <c r="B203" s="137">
        <v>189</v>
      </c>
      <c r="C203" s="139">
        <f>'BC.114+840'!M202/1000</f>
        <v>1.5269999999999999</v>
      </c>
      <c r="D203" s="139">
        <f>'BC.114+840'!AA202</f>
        <v>2.3239999999999998</v>
      </c>
      <c r="E203" s="140">
        <f>'BC.114+840'!AB202</f>
        <v>0.95399999999999996</v>
      </c>
      <c r="F203" s="139">
        <f>VLOOKUP($A203,'BC.114+840'!$B$13:$X$470,8,0)/1000</f>
        <v>2.6389999999999998</v>
      </c>
      <c r="G203" s="139">
        <f>VLOOKUP($A203,'BC.114+840'!$B$13:$X$470,9,0)/1000</f>
        <v>-0.36099999999999999</v>
      </c>
      <c r="H203" s="139">
        <f>VLOOKUP($A203,'BC.114+840'!$B$13:$X$470,14,0)/1000</f>
        <v>2.6269999999999998</v>
      </c>
      <c r="I203" s="139">
        <f>VLOOKUP($A203,'BC.114+840'!$B$13:$X$470,15,0)/1000</f>
        <v>-0.373</v>
      </c>
      <c r="J203" s="139">
        <f>VLOOKUP($A203,'BC.114+840'!$B$13:$X$470,20,0)/1000</f>
        <v>2.3519999999999999</v>
      </c>
      <c r="K203" s="139">
        <f>VLOOKUP($A203,'BC.114+840'!$B$13:$X$470,21,0)/1000</f>
        <v>-0.64800000000000002</v>
      </c>
      <c r="L203" s="137">
        <f t="shared" si="6"/>
        <v>-281</v>
      </c>
      <c r="M203" s="138">
        <f t="shared" si="7"/>
        <v>-473</v>
      </c>
      <c r="N203" s="137">
        <f t="shared" si="8"/>
        <v>-258</v>
      </c>
      <c r="O203" s="137"/>
    </row>
    <row r="204" spans="1:15">
      <c r="A204" s="76">
        <f>'BC.114+840'!B203</f>
        <v>45460</v>
      </c>
      <c r="B204" s="137">
        <v>190</v>
      </c>
      <c r="C204" s="139">
        <f>'BC.114+840'!M203/1000</f>
        <v>1.5269999999999999</v>
      </c>
      <c r="D204" s="139">
        <f>'BC.114+840'!AA203</f>
        <v>2.3239999999999998</v>
      </c>
      <c r="E204" s="140">
        <f>'BC.114+840'!AB203</f>
        <v>0.95399999999999996</v>
      </c>
      <c r="F204" s="139">
        <f>VLOOKUP($A204,'BC.114+840'!$B$13:$X$470,8,0)/1000</f>
        <v>2.6389999999999998</v>
      </c>
      <c r="G204" s="139">
        <f>VLOOKUP($A204,'BC.114+840'!$B$13:$X$470,9,0)/1000</f>
        <v>-0.36099999999999999</v>
      </c>
      <c r="H204" s="139">
        <f>VLOOKUP($A204,'BC.114+840'!$B$13:$X$470,14,0)/1000</f>
        <v>2.6269999999999998</v>
      </c>
      <c r="I204" s="139">
        <f>VLOOKUP($A204,'BC.114+840'!$B$13:$X$470,15,0)/1000</f>
        <v>-0.373</v>
      </c>
      <c r="J204" s="139">
        <f>VLOOKUP($A204,'BC.114+840'!$B$13:$X$470,20,0)/1000</f>
        <v>2.3519999999999999</v>
      </c>
      <c r="K204" s="139">
        <f>VLOOKUP($A204,'BC.114+840'!$B$13:$X$470,21,0)/1000</f>
        <v>-0.64800000000000002</v>
      </c>
      <c r="L204" s="137">
        <f t="shared" si="6"/>
        <v>-281</v>
      </c>
      <c r="M204" s="138">
        <f t="shared" si="7"/>
        <v>-473</v>
      </c>
      <c r="N204" s="137">
        <f t="shared" si="8"/>
        <v>-258</v>
      </c>
      <c r="O204" s="137"/>
    </row>
    <row r="205" spans="1:15">
      <c r="A205" s="76">
        <f>'BC.114+840'!B204</f>
        <v>45461</v>
      </c>
      <c r="B205" s="137">
        <v>191</v>
      </c>
      <c r="C205" s="139">
        <f>'BC.114+840'!M204/1000</f>
        <v>1.5269999999999999</v>
      </c>
      <c r="D205" s="139">
        <f>'BC.114+840'!AA204</f>
        <v>2.3239999999999998</v>
      </c>
      <c r="E205" s="140">
        <f>'BC.114+840'!AB204</f>
        <v>0.95399999999999996</v>
      </c>
      <c r="F205" s="139">
        <f>VLOOKUP($A205,'BC.114+840'!$B$13:$X$470,8,0)/1000</f>
        <v>2.6389999999999998</v>
      </c>
      <c r="G205" s="139">
        <f>VLOOKUP($A205,'BC.114+840'!$B$13:$X$470,9,0)/1000</f>
        <v>-0.36099999999999999</v>
      </c>
      <c r="H205" s="139">
        <f>VLOOKUP($A205,'BC.114+840'!$B$13:$X$470,14,0)/1000</f>
        <v>2.6269999999999998</v>
      </c>
      <c r="I205" s="139">
        <f>VLOOKUP($A205,'BC.114+840'!$B$13:$X$470,15,0)/1000</f>
        <v>-0.373</v>
      </c>
      <c r="J205" s="139">
        <f>VLOOKUP($A205,'BC.114+840'!$B$13:$X$470,20,0)/1000</f>
        <v>2.3519999999999999</v>
      </c>
      <c r="K205" s="139">
        <f>VLOOKUP($A205,'BC.114+840'!$B$13:$X$470,21,0)/1000</f>
        <v>-0.64800000000000002</v>
      </c>
      <c r="L205" s="137">
        <f t="shared" si="6"/>
        <v>-281</v>
      </c>
      <c r="M205" s="138">
        <f t="shared" si="7"/>
        <v>-473</v>
      </c>
      <c r="N205" s="137">
        <f t="shared" si="8"/>
        <v>-258</v>
      </c>
      <c r="O205" s="137"/>
    </row>
    <row r="206" spans="1:15">
      <c r="A206" s="76">
        <f>'BC.114+840'!B205</f>
        <v>45462</v>
      </c>
      <c r="B206" s="137">
        <v>192</v>
      </c>
      <c r="C206" s="139">
        <f>'BC.114+840'!M205/1000</f>
        <v>1.5269999999999999</v>
      </c>
      <c r="D206" s="139">
        <f>'BC.114+840'!AA205</f>
        <v>2.3239999999999998</v>
      </c>
      <c r="E206" s="140">
        <f>'BC.114+840'!AB205</f>
        <v>0.95399999999999996</v>
      </c>
      <c r="F206" s="139">
        <f>VLOOKUP($A206,'BC.114+840'!$B$13:$X$470,8,0)/1000</f>
        <v>2.6389999999999998</v>
      </c>
      <c r="G206" s="139">
        <f>VLOOKUP($A206,'BC.114+840'!$B$13:$X$470,9,0)/1000</f>
        <v>-0.36099999999999999</v>
      </c>
      <c r="H206" s="139">
        <f>VLOOKUP($A206,'BC.114+840'!$B$13:$X$470,14,0)/1000</f>
        <v>2.6269999999999998</v>
      </c>
      <c r="I206" s="139">
        <f>VLOOKUP($A206,'BC.114+840'!$B$13:$X$470,15,0)/1000</f>
        <v>-0.373</v>
      </c>
      <c r="J206" s="139">
        <f>VLOOKUP($A206,'BC.114+840'!$B$13:$X$470,20,0)/1000</f>
        <v>2.3519999999999999</v>
      </c>
      <c r="K206" s="139">
        <f>VLOOKUP($A206,'BC.114+840'!$B$13:$X$470,21,0)/1000</f>
        <v>-0.64800000000000002</v>
      </c>
      <c r="L206" s="137">
        <f t="shared" ref="L206:L269" si="9">(G206-$G$14)*1000</f>
        <v>-281</v>
      </c>
      <c r="M206" s="138">
        <f t="shared" ref="M206:M269" si="10">(I206-$I$14)*1000</f>
        <v>-473</v>
      </c>
      <c r="N206" s="137">
        <f t="shared" si="8"/>
        <v>-258</v>
      </c>
      <c r="O206" s="137"/>
    </row>
    <row r="207" spans="1:15">
      <c r="A207" s="76">
        <f>'BC.114+840'!B206</f>
        <v>45463</v>
      </c>
      <c r="B207" s="137">
        <v>193</v>
      </c>
      <c r="C207" s="139">
        <f>'BC.114+840'!M206/1000</f>
        <v>1.5269999999999999</v>
      </c>
      <c r="D207" s="139">
        <f>'BC.114+840'!AA206</f>
        <v>2.3239999999999998</v>
      </c>
      <c r="E207" s="140">
        <f>'BC.114+840'!AB206</f>
        <v>0.95399999999999996</v>
      </c>
      <c r="F207" s="139">
        <f>VLOOKUP($A207,'BC.114+840'!$B$13:$X$470,8,0)/1000</f>
        <v>2.6389999999999998</v>
      </c>
      <c r="G207" s="139">
        <f>VLOOKUP($A207,'BC.114+840'!$B$13:$X$470,9,0)/1000</f>
        <v>-0.36099999999999999</v>
      </c>
      <c r="H207" s="139">
        <f>VLOOKUP($A207,'BC.114+840'!$B$13:$X$470,14,0)/1000</f>
        <v>2.6269999999999998</v>
      </c>
      <c r="I207" s="139">
        <f>VLOOKUP($A207,'BC.114+840'!$B$13:$X$470,15,0)/1000</f>
        <v>-0.373</v>
      </c>
      <c r="J207" s="139">
        <f>VLOOKUP($A207,'BC.114+840'!$B$13:$X$470,20,0)/1000</f>
        <v>2.3519999999999999</v>
      </c>
      <c r="K207" s="139">
        <f>VLOOKUP($A207,'BC.114+840'!$B$13:$X$470,21,0)/1000</f>
        <v>-0.64800000000000002</v>
      </c>
      <c r="L207" s="137">
        <f t="shared" si="9"/>
        <v>-281</v>
      </c>
      <c r="M207" s="138">
        <f t="shared" si="10"/>
        <v>-473</v>
      </c>
      <c r="N207" s="137">
        <f t="shared" ref="N207:N270" si="11">(K207-$K$14)*1000</f>
        <v>-258</v>
      </c>
      <c r="O207" s="137"/>
    </row>
    <row r="208" spans="1:15">
      <c r="A208" s="76">
        <f>'BC.114+840'!B207</f>
        <v>45464</v>
      </c>
      <c r="B208" s="137">
        <v>194</v>
      </c>
      <c r="C208" s="139">
        <f>'BC.114+840'!M207/1000</f>
        <v>1.5269999999999999</v>
      </c>
      <c r="D208" s="139">
        <f>'BC.114+840'!AA207</f>
        <v>2.3239999999999998</v>
      </c>
      <c r="E208" s="140">
        <f>'BC.114+840'!AB207</f>
        <v>0.95399999999999996</v>
      </c>
      <c r="F208" s="139">
        <f>VLOOKUP($A208,'BC.114+840'!$B$13:$X$470,8,0)/1000</f>
        <v>2.6389999999999998</v>
      </c>
      <c r="G208" s="139">
        <f>VLOOKUP($A208,'BC.114+840'!$B$13:$X$470,9,0)/1000</f>
        <v>-0.36099999999999999</v>
      </c>
      <c r="H208" s="139">
        <f>VLOOKUP($A208,'BC.114+840'!$B$13:$X$470,14,0)/1000</f>
        <v>2.6269999999999998</v>
      </c>
      <c r="I208" s="139">
        <f>VLOOKUP($A208,'BC.114+840'!$B$13:$X$470,15,0)/1000</f>
        <v>-0.373</v>
      </c>
      <c r="J208" s="139">
        <f>VLOOKUP($A208,'BC.114+840'!$B$13:$X$470,20,0)/1000</f>
        <v>2.3519999999999999</v>
      </c>
      <c r="K208" s="139">
        <f>VLOOKUP($A208,'BC.114+840'!$B$13:$X$470,21,0)/1000</f>
        <v>-0.64800000000000002</v>
      </c>
      <c r="L208" s="137">
        <f t="shared" si="9"/>
        <v>-281</v>
      </c>
      <c r="M208" s="138">
        <f t="shared" si="10"/>
        <v>-473</v>
      </c>
      <c r="N208" s="137">
        <f t="shared" si="11"/>
        <v>-258</v>
      </c>
      <c r="O208" s="137"/>
    </row>
    <row r="209" spans="1:15">
      <c r="A209" s="76">
        <f>'BC.114+840'!B208</f>
        <v>45465</v>
      </c>
      <c r="B209" s="137">
        <v>195</v>
      </c>
      <c r="C209" s="139">
        <f>'BC.114+840'!M208/1000</f>
        <v>1.5269999999999999</v>
      </c>
      <c r="D209" s="139">
        <f>'BC.114+840'!AA208</f>
        <v>2.3239999999999998</v>
      </c>
      <c r="E209" s="140">
        <f>'BC.114+840'!AB208</f>
        <v>0.95399999999999996</v>
      </c>
      <c r="F209" s="139">
        <f>VLOOKUP($A209,'BC.114+840'!$B$13:$X$470,8,0)/1000</f>
        <v>2.6389999999999998</v>
      </c>
      <c r="G209" s="139">
        <f>VLOOKUP($A209,'BC.114+840'!$B$13:$X$470,9,0)/1000</f>
        <v>-0.36099999999999999</v>
      </c>
      <c r="H209" s="139">
        <f>VLOOKUP($A209,'BC.114+840'!$B$13:$X$470,14,0)/1000</f>
        <v>2.6269999999999998</v>
      </c>
      <c r="I209" s="139">
        <f>VLOOKUP($A209,'BC.114+840'!$B$13:$X$470,15,0)/1000</f>
        <v>-0.373</v>
      </c>
      <c r="J209" s="139">
        <f>VLOOKUP($A209,'BC.114+840'!$B$13:$X$470,20,0)/1000</f>
        <v>2.3519999999999999</v>
      </c>
      <c r="K209" s="139">
        <f>VLOOKUP($A209,'BC.114+840'!$B$13:$X$470,21,0)/1000</f>
        <v>-0.64800000000000002</v>
      </c>
      <c r="L209" s="137">
        <f t="shared" si="9"/>
        <v>-281</v>
      </c>
      <c r="M209" s="138">
        <f t="shared" si="10"/>
        <v>-473</v>
      </c>
      <c r="N209" s="137">
        <f t="shared" si="11"/>
        <v>-258</v>
      </c>
      <c r="O209" s="137"/>
    </row>
    <row r="210" spans="1:15">
      <c r="A210" s="76">
        <f>'BC.114+840'!B209</f>
        <v>45466</v>
      </c>
      <c r="B210" s="137">
        <v>196</v>
      </c>
      <c r="C210" s="139">
        <f>'BC.114+840'!M209/1000</f>
        <v>1.5269999999999999</v>
      </c>
      <c r="D210" s="139">
        <f>'BC.114+840'!AA209</f>
        <v>2.3239999999999998</v>
      </c>
      <c r="E210" s="140">
        <f>'BC.114+840'!AB209</f>
        <v>0.95399999999999996</v>
      </c>
      <c r="F210" s="139">
        <f>VLOOKUP($A210,'BC.114+840'!$B$13:$X$470,8,0)/1000</f>
        <v>2.6389999999999998</v>
      </c>
      <c r="G210" s="139">
        <f>VLOOKUP($A210,'BC.114+840'!$B$13:$X$470,9,0)/1000</f>
        <v>-0.36099999999999999</v>
      </c>
      <c r="H210" s="139">
        <f>VLOOKUP($A210,'BC.114+840'!$B$13:$X$470,14,0)/1000</f>
        <v>2.6269999999999998</v>
      </c>
      <c r="I210" s="139">
        <f>VLOOKUP($A210,'BC.114+840'!$B$13:$X$470,15,0)/1000</f>
        <v>-0.373</v>
      </c>
      <c r="J210" s="139">
        <f>VLOOKUP($A210,'BC.114+840'!$B$13:$X$470,20,0)/1000</f>
        <v>2.3519999999999999</v>
      </c>
      <c r="K210" s="139">
        <f>VLOOKUP($A210,'BC.114+840'!$B$13:$X$470,21,0)/1000</f>
        <v>-0.64800000000000002</v>
      </c>
      <c r="L210" s="137">
        <f t="shared" si="9"/>
        <v>-281</v>
      </c>
      <c r="M210" s="138">
        <f t="shared" si="10"/>
        <v>-473</v>
      </c>
      <c r="N210" s="137">
        <f t="shared" si="11"/>
        <v>-258</v>
      </c>
      <c r="O210" s="137"/>
    </row>
    <row r="211" spans="1:15">
      <c r="A211" s="76">
        <f>'BC.114+840'!B210</f>
        <v>45467</v>
      </c>
      <c r="B211" s="137">
        <v>197</v>
      </c>
      <c r="C211" s="139">
        <f>'BC.114+840'!M210/1000</f>
        <v>1.5269999999999999</v>
      </c>
      <c r="D211" s="139">
        <f>'BC.114+840'!AA210</f>
        <v>2.3239999999999998</v>
      </c>
      <c r="E211" s="140">
        <f>'BC.114+840'!AB210</f>
        <v>0.95399999999999996</v>
      </c>
      <c r="F211" s="139">
        <f>VLOOKUP($A211,'BC.114+840'!$B$13:$X$470,8,0)/1000</f>
        <v>2.6389999999999998</v>
      </c>
      <c r="G211" s="139">
        <f>VLOOKUP($A211,'BC.114+840'!$B$13:$X$470,9,0)/1000</f>
        <v>-0.36099999999999999</v>
      </c>
      <c r="H211" s="139">
        <f>VLOOKUP($A211,'BC.114+840'!$B$13:$X$470,14,0)/1000</f>
        <v>2.6269999999999998</v>
      </c>
      <c r="I211" s="139">
        <f>VLOOKUP($A211,'BC.114+840'!$B$13:$X$470,15,0)/1000</f>
        <v>-0.373</v>
      </c>
      <c r="J211" s="139">
        <f>VLOOKUP($A211,'BC.114+840'!$B$13:$X$470,20,0)/1000</f>
        <v>2.3519999999999999</v>
      </c>
      <c r="K211" s="139">
        <f>VLOOKUP($A211,'BC.114+840'!$B$13:$X$470,21,0)/1000</f>
        <v>-0.64800000000000002</v>
      </c>
      <c r="L211" s="137">
        <f t="shared" si="9"/>
        <v>-281</v>
      </c>
      <c r="M211" s="138">
        <f t="shared" si="10"/>
        <v>-473</v>
      </c>
      <c r="N211" s="137">
        <f t="shared" si="11"/>
        <v>-258</v>
      </c>
      <c r="O211" s="137"/>
    </row>
    <row r="212" spans="1:15">
      <c r="A212" s="76">
        <f>'BC.114+840'!B211</f>
        <v>45468</v>
      </c>
      <c r="B212" s="137">
        <v>198</v>
      </c>
      <c r="C212" s="139">
        <f>'BC.114+840'!M211/1000</f>
        <v>1.5269999999999999</v>
      </c>
      <c r="D212" s="139">
        <f>'BC.114+840'!AA211</f>
        <v>2.3239999999999998</v>
      </c>
      <c r="E212" s="140">
        <f>'BC.114+840'!AB211</f>
        <v>0.95399999999999996</v>
      </c>
      <c r="F212" s="139">
        <f>VLOOKUP($A212,'BC.114+840'!$B$13:$X$470,8,0)/1000</f>
        <v>2.6389999999999998</v>
      </c>
      <c r="G212" s="139">
        <f>VLOOKUP($A212,'BC.114+840'!$B$13:$X$470,9,0)/1000</f>
        <v>-0.36099999999999999</v>
      </c>
      <c r="H212" s="139">
        <f>VLOOKUP($A212,'BC.114+840'!$B$13:$X$470,14,0)/1000</f>
        <v>2.6269999999999998</v>
      </c>
      <c r="I212" s="139">
        <f>VLOOKUP($A212,'BC.114+840'!$B$13:$X$470,15,0)/1000</f>
        <v>-0.373</v>
      </c>
      <c r="J212" s="139">
        <f>VLOOKUP($A212,'BC.114+840'!$B$13:$X$470,20,0)/1000</f>
        <v>2.3519999999999999</v>
      </c>
      <c r="K212" s="139">
        <f>VLOOKUP($A212,'BC.114+840'!$B$13:$X$470,21,0)/1000</f>
        <v>-0.64800000000000002</v>
      </c>
      <c r="L212" s="137">
        <f t="shared" si="9"/>
        <v>-281</v>
      </c>
      <c r="M212" s="138">
        <f t="shared" si="10"/>
        <v>-473</v>
      </c>
      <c r="N212" s="137">
        <f t="shared" si="11"/>
        <v>-258</v>
      </c>
      <c r="O212" s="137"/>
    </row>
    <row r="213" spans="1:15">
      <c r="A213" s="76">
        <f>'BC.114+840'!B212</f>
        <v>45469</v>
      </c>
      <c r="B213" s="137">
        <v>199</v>
      </c>
      <c r="C213" s="139">
        <f>'BC.114+840'!M212/1000</f>
        <v>1.5269999999999999</v>
      </c>
      <c r="D213" s="139">
        <f>'BC.114+840'!AA212</f>
        <v>2.3239999999999998</v>
      </c>
      <c r="E213" s="140">
        <f>'BC.114+840'!AB212</f>
        <v>0.95399999999999996</v>
      </c>
      <c r="F213" s="139">
        <f>VLOOKUP($A213,'BC.114+840'!$B$13:$X$470,8,0)/1000</f>
        <v>2.6389999999999998</v>
      </c>
      <c r="G213" s="139">
        <f>VLOOKUP($A213,'BC.114+840'!$B$13:$X$470,9,0)/1000</f>
        <v>-0.36099999999999999</v>
      </c>
      <c r="H213" s="139">
        <f>VLOOKUP($A213,'BC.114+840'!$B$13:$X$470,14,0)/1000</f>
        <v>2.6269999999999998</v>
      </c>
      <c r="I213" s="139">
        <f>VLOOKUP($A213,'BC.114+840'!$B$13:$X$470,15,0)/1000</f>
        <v>-0.373</v>
      </c>
      <c r="J213" s="139">
        <f>VLOOKUP($A213,'BC.114+840'!$B$13:$X$470,20,0)/1000</f>
        <v>2.3519999999999999</v>
      </c>
      <c r="K213" s="139">
        <f>VLOOKUP($A213,'BC.114+840'!$B$13:$X$470,21,0)/1000</f>
        <v>-0.64800000000000002</v>
      </c>
      <c r="L213" s="137">
        <f t="shared" si="9"/>
        <v>-281</v>
      </c>
      <c r="M213" s="138">
        <f t="shared" si="10"/>
        <v>-473</v>
      </c>
      <c r="N213" s="137">
        <f t="shared" si="11"/>
        <v>-258</v>
      </c>
      <c r="O213" s="137"/>
    </row>
    <row r="214" spans="1:15">
      <c r="A214" s="76">
        <f>'BC.114+840'!B213</f>
        <v>45470</v>
      </c>
      <c r="B214" s="137">
        <v>200</v>
      </c>
      <c r="C214" s="139">
        <f>'BC.114+840'!M213/1000</f>
        <v>1.5269999999999999</v>
      </c>
      <c r="D214" s="139">
        <f>'BC.114+840'!AA213</f>
        <v>2.3239999999999998</v>
      </c>
      <c r="E214" s="140">
        <f>'BC.114+840'!AB213</f>
        <v>0.95399999999999996</v>
      </c>
      <c r="F214" s="139">
        <f>VLOOKUP($A214,'BC.114+840'!$B$13:$X$470,8,0)/1000</f>
        <v>2.6389999999999998</v>
      </c>
      <c r="G214" s="139">
        <f>VLOOKUP($A214,'BC.114+840'!$B$13:$X$470,9,0)/1000</f>
        <v>-0.36099999999999999</v>
      </c>
      <c r="H214" s="139">
        <f>VLOOKUP($A214,'BC.114+840'!$B$13:$X$470,14,0)/1000</f>
        <v>2.6269999999999998</v>
      </c>
      <c r="I214" s="139">
        <f>VLOOKUP($A214,'BC.114+840'!$B$13:$X$470,15,0)/1000</f>
        <v>-0.373</v>
      </c>
      <c r="J214" s="139">
        <f>VLOOKUP($A214,'BC.114+840'!$B$13:$X$470,20,0)/1000</f>
        <v>2.3519999999999999</v>
      </c>
      <c r="K214" s="139">
        <f>VLOOKUP($A214,'BC.114+840'!$B$13:$X$470,21,0)/1000</f>
        <v>-0.64800000000000002</v>
      </c>
      <c r="L214" s="137">
        <f t="shared" si="9"/>
        <v>-281</v>
      </c>
      <c r="M214" s="138">
        <f t="shared" si="10"/>
        <v>-473</v>
      </c>
      <c r="N214" s="137">
        <f t="shared" si="11"/>
        <v>-258</v>
      </c>
      <c r="O214" s="137"/>
    </row>
    <row r="215" spans="1:15">
      <c r="A215" s="76">
        <f>'BC.114+840'!B214</f>
        <v>45471</v>
      </c>
      <c r="B215" s="137">
        <v>201</v>
      </c>
      <c r="C215" s="139">
        <f>'BC.114+840'!M214/1000</f>
        <v>1.5269999999999999</v>
      </c>
      <c r="D215" s="139">
        <f>'BC.114+840'!AA214</f>
        <v>2.3239999999999998</v>
      </c>
      <c r="E215" s="140">
        <f>'BC.114+840'!AB214</f>
        <v>0.95399999999999996</v>
      </c>
      <c r="F215" s="139">
        <f>VLOOKUP($A215,'BC.114+840'!$B$13:$X$470,8,0)/1000</f>
        <v>2.6389999999999998</v>
      </c>
      <c r="G215" s="139">
        <f>VLOOKUP($A215,'BC.114+840'!$B$13:$X$470,9,0)/1000</f>
        <v>-0.36099999999999999</v>
      </c>
      <c r="H215" s="139">
        <f>VLOOKUP($A215,'BC.114+840'!$B$13:$X$470,14,0)/1000</f>
        <v>2.6269999999999998</v>
      </c>
      <c r="I215" s="139">
        <f>VLOOKUP($A215,'BC.114+840'!$B$13:$X$470,15,0)/1000</f>
        <v>-0.373</v>
      </c>
      <c r="J215" s="139">
        <f>VLOOKUP($A215,'BC.114+840'!$B$13:$X$470,20,0)/1000</f>
        <v>2.3519999999999999</v>
      </c>
      <c r="K215" s="139">
        <f>VLOOKUP($A215,'BC.114+840'!$B$13:$X$470,21,0)/1000</f>
        <v>-0.64800000000000002</v>
      </c>
      <c r="L215" s="137">
        <f t="shared" si="9"/>
        <v>-281</v>
      </c>
      <c r="M215" s="138">
        <f t="shared" si="10"/>
        <v>-473</v>
      </c>
      <c r="N215" s="137">
        <f t="shared" si="11"/>
        <v>-258</v>
      </c>
      <c r="O215" s="137"/>
    </row>
    <row r="216" spans="1:15">
      <c r="A216" s="76">
        <f>'BC.114+840'!B215</f>
        <v>45472</v>
      </c>
      <c r="B216" s="137">
        <v>202</v>
      </c>
      <c r="C216" s="139">
        <f>'BC.114+840'!M215/1000</f>
        <v>1.5269999999999999</v>
      </c>
      <c r="D216" s="139">
        <f>'BC.114+840'!AA215</f>
        <v>2.3239999999999998</v>
      </c>
      <c r="E216" s="140">
        <f>'BC.114+840'!AB215</f>
        <v>0.95399999999999996</v>
      </c>
      <c r="F216" s="139">
        <f>VLOOKUP($A216,'BC.114+840'!$B$13:$X$470,8,0)/1000</f>
        <v>2.6389999999999998</v>
      </c>
      <c r="G216" s="139">
        <f>VLOOKUP($A216,'BC.114+840'!$B$13:$X$470,9,0)/1000</f>
        <v>-0.36099999999999999</v>
      </c>
      <c r="H216" s="139">
        <f>VLOOKUP($A216,'BC.114+840'!$B$13:$X$470,14,0)/1000</f>
        <v>2.6269999999999998</v>
      </c>
      <c r="I216" s="139">
        <f>VLOOKUP($A216,'BC.114+840'!$B$13:$X$470,15,0)/1000</f>
        <v>-0.373</v>
      </c>
      <c r="J216" s="139">
        <f>VLOOKUP($A216,'BC.114+840'!$B$13:$X$470,20,0)/1000</f>
        <v>2.3519999999999999</v>
      </c>
      <c r="K216" s="139">
        <f>VLOOKUP($A216,'BC.114+840'!$B$13:$X$470,21,0)/1000</f>
        <v>-0.64800000000000002</v>
      </c>
      <c r="L216" s="137">
        <f t="shared" si="9"/>
        <v>-281</v>
      </c>
      <c r="M216" s="138">
        <f t="shared" si="10"/>
        <v>-473</v>
      </c>
      <c r="N216" s="137">
        <f t="shared" si="11"/>
        <v>-258</v>
      </c>
      <c r="O216" s="137"/>
    </row>
    <row r="217" spans="1:15">
      <c r="A217" s="76">
        <f>'BC.114+840'!B216</f>
        <v>45473</v>
      </c>
      <c r="B217" s="137">
        <v>203</v>
      </c>
      <c r="C217" s="139">
        <f>'BC.114+840'!M216/1000</f>
        <v>1.5269999999999999</v>
      </c>
      <c r="D217" s="139">
        <f>'BC.114+840'!AA216</f>
        <v>2.3239999999999998</v>
      </c>
      <c r="E217" s="140">
        <f>'BC.114+840'!AB216</f>
        <v>0.95399999999999996</v>
      </c>
      <c r="F217" s="139">
        <f>VLOOKUP($A217,'BC.114+840'!$B$13:$X$470,8,0)/1000</f>
        <v>2.6389999999999998</v>
      </c>
      <c r="G217" s="139">
        <f>VLOOKUP($A217,'BC.114+840'!$B$13:$X$470,9,0)/1000</f>
        <v>-0.36099999999999999</v>
      </c>
      <c r="H217" s="139">
        <f>VLOOKUP($A217,'BC.114+840'!$B$13:$X$470,14,0)/1000</f>
        <v>2.6269999999999998</v>
      </c>
      <c r="I217" s="139">
        <f>VLOOKUP($A217,'BC.114+840'!$B$13:$X$470,15,0)/1000</f>
        <v>-0.373</v>
      </c>
      <c r="J217" s="139">
        <f>VLOOKUP($A217,'BC.114+840'!$B$13:$X$470,20,0)/1000</f>
        <v>2.3519999999999999</v>
      </c>
      <c r="K217" s="139">
        <f>VLOOKUP($A217,'BC.114+840'!$B$13:$X$470,21,0)/1000</f>
        <v>-0.64800000000000002</v>
      </c>
      <c r="L217" s="137">
        <f t="shared" si="9"/>
        <v>-281</v>
      </c>
      <c r="M217" s="138">
        <f t="shared" si="10"/>
        <v>-473</v>
      </c>
      <c r="N217" s="137">
        <f t="shared" si="11"/>
        <v>-258</v>
      </c>
      <c r="O217" s="137"/>
    </row>
    <row r="218" spans="1:15">
      <c r="A218" s="76">
        <f>'BC.114+840'!B217</f>
        <v>45474</v>
      </c>
      <c r="B218" s="137">
        <v>204</v>
      </c>
      <c r="C218" s="139">
        <f>'BC.114+840'!M217/1000</f>
        <v>1.5269999999999999</v>
      </c>
      <c r="D218" s="139">
        <f>'BC.114+840'!AA217</f>
        <v>2.3239999999999998</v>
      </c>
      <c r="E218" s="140">
        <f>'BC.114+840'!AB217</f>
        <v>0.95399999999999996</v>
      </c>
      <c r="F218" s="139">
        <f>VLOOKUP($A218,'BC.114+840'!$B$13:$X$470,8,0)/1000</f>
        <v>2.6389999999999998</v>
      </c>
      <c r="G218" s="139">
        <f>VLOOKUP($A218,'BC.114+840'!$B$13:$X$470,9,0)/1000</f>
        <v>-0.36099999999999999</v>
      </c>
      <c r="H218" s="139">
        <f>VLOOKUP($A218,'BC.114+840'!$B$13:$X$470,14,0)/1000</f>
        <v>2.6269999999999998</v>
      </c>
      <c r="I218" s="139">
        <f>VLOOKUP($A218,'BC.114+840'!$B$13:$X$470,15,0)/1000</f>
        <v>-0.373</v>
      </c>
      <c r="J218" s="139">
        <f>VLOOKUP($A218,'BC.114+840'!$B$13:$X$470,20,0)/1000</f>
        <v>2.3519999999999999</v>
      </c>
      <c r="K218" s="139">
        <f>VLOOKUP($A218,'BC.114+840'!$B$13:$X$470,21,0)/1000</f>
        <v>-0.64800000000000002</v>
      </c>
      <c r="L218" s="137">
        <f t="shared" si="9"/>
        <v>-281</v>
      </c>
      <c r="M218" s="138">
        <f t="shared" si="10"/>
        <v>-473</v>
      </c>
      <c r="N218" s="137">
        <f t="shared" si="11"/>
        <v>-258</v>
      </c>
      <c r="O218" s="137"/>
    </row>
    <row r="219" spans="1:15">
      <c r="A219" s="76">
        <f>'BC.114+840'!B218</f>
        <v>45475</v>
      </c>
      <c r="B219" s="137">
        <v>205</v>
      </c>
      <c r="C219" s="139">
        <f>'BC.114+840'!M218/1000</f>
        <v>1.5269999999999999</v>
      </c>
      <c r="D219" s="139">
        <f>'BC.114+840'!AA218</f>
        <v>2.3239999999999998</v>
      </c>
      <c r="E219" s="140">
        <f>'BC.114+840'!AB218</f>
        <v>0.95399999999999996</v>
      </c>
      <c r="F219" s="139">
        <f>VLOOKUP($A219,'BC.114+840'!$B$13:$X$470,8,0)/1000</f>
        <v>2.6389999999999998</v>
      </c>
      <c r="G219" s="139">
        <f>VLOOKUP($A219,'BC.114+840'!$B$13:$X$470,9,0)/1000</f>
        <v>-0.36099999999999999</v>
      </c>
      <c r="H219" s="139">
        <f>VLOOKUP($A219,'BC.114+840'!$B$13:$X$470,14,0)/1000</f>
        <v>2.6269999999999998</v>
      </c>
      <c r="I219" s="139">
        <f>VLOOKUP($A219,'BC.114+840'!$B$13:$X$470,15,0)/1000</f>
        <v>-0.373</v>
      </c>
      <c r="J219" s="139">
        <f>VLOOKUP($A219,'BC.114+840'!$B$13:$X$470,20,0)/1000</f>
        <v>2.3519999999999999</v>
      </c>
      <c r="K219" s="139">
        <f>VLOOKUP($A219,'BC.114+840'!$B$13:$X$470,21,0)/1000</f>
        <v>-0.64800000000000002</v>
      </c>
      <c r="L219" s="137">
        <f t="shared" si="9"/>
        <v>-281</v>
      </c>
      <c r="M219" s="138">
        <f t="shared" si="10"/>
        <v>-473</v>
      </c>
      <c r="N219" s="137">
        <f t="shared" si="11"/>
        <v>-258</v>
      </c>
      <c r="O219" s="137"/>
    </row>
    <row r="220" spans="1:15">
      <c r="A220" s="76">
        <f>'BC.114+840'!B219</f>
        <v>45476</v>
      </c>
      <c r="B220" s="137">
        <v>206</v>
      </c>
      <c r="C220" s="139">
        <f>'BC.114+840'!M219/1000</f>
        <v>1.5269999999999999</v>
      </c>
      <c r="D220" s="139">
        <f>'BC.114+840'!AA219</f>
        <v>2.3239999999999998</v>
      </c>
      <c r="E220" s="140">
        <f>'BC.114+840'!AB219</f>
        <v>0.95399999999999996</v>
      </c>
      <c r="F220" s="139">
        <f>VLOOKUP($A220,'BC.114+840'!$B$13:$X$470,8,0)/1000</f>
        <v>2.6389999999999998</v>
      </c>
      <c r="G220" s="139">
        <f>VLOOKUP($A220,'BC.114+840'!$B$13:$X$470,9,0)/1000</f>
        <v>-0.36099999999999999</v>
      </c>
      <c r="H220" s="139">
        <f>VLOOKUP($A220,'BC.114+840'!$B$13:$X$470,14,0)/1000</f>
        <v>2.6269999999999998</v>
      </c>
      <c r="I220" s="139">
        <f>VLOOKUP($A220,'BC.114+840'!$B$13:$X$470,15,0)/1000</f>
        <v>-0.373</v>
      </c>
      <c r="J220" s="139">
        <f>VLOOKUP($A220,'BC.114+840'!$B$13:$X$470,20,0)/1000</f>
        <v>2.3519999999999999</v>
      </c>
      <c r="K220" s="139">
        <f>VLOOKUP($A220,'BC.114+840'!$B$13:$X$470,21,0)/1000</f>
        <v>-0.64800000000000002</v>
      </c>
      <c r="L220" s="137">
        <f t="shared" si="9"/>
        <v>-281</v>
      </c>
      <c r="M220" s="138">
        <f t="shared" si="10"/>
        <v>-473</v>
      </c>
      <c r="N220" s="137">
        <f t="shared" si="11"/>
        <v>-258</v>
      </c>
      <c r="O220" s="137"/>
    </row>
    <row r="221" spans="1:15">
      <c r="A221" s="76">
        <f>'BC.114+840'!B220</f>
        <v>45477</v>
      </c>
      <c r="B221" s="137">
        <v>207</v>
      </c>
      <c r="C221" s="139">
        <f>'BC.114+840'!M220/1000</f>
        <v>1.5269999999999999</v>
      </c>
      <c r="D221" s="139">
        <f>'BC.114+840'!AA220</f>
        <v>2.3239999999999998</v>
      </c>
      <c r="E221" s="140">
        <f>'BC.114+840'!AB220</f>
        <v>0.95399999999999996</v>
      </c>
      <c r="F221" s="139">
        <f>VLOOKUP($A221,'BC.114+840'!$B$13:$X$470,8,0)/1000</f>
        <v>2.6389999999999998</v>
      </c>
      <c r="G221" s="139">
        <f>VLOOKUP($A221,'BC.114+840'!$B$13:$X$470,9,0)/1000</f>
        <v>-0.36099999999999999</v>
      </c>
      <c r="H221" s="139">
        <f>VLOOKUP($A221,'BC.114+840'!$B$13:$X$470,14,0)/1000</f>
        <v>2.6269999999999998</v>
      </c>
      <c r="I221" s="139">
        <f>VLOOKUP($A221,'BC.114+840'!$B$13:$X$470,15,0)/1000</f>
        <v>-0.373</v>
      </c>
      <c r="J221" s="139">
        <f>VLOOKUP($A221,'BC.114+840'!$B$13:$X$470,20,0)/1000</f>
        <v>2.3519999999999999</v>
      </c>
      <c r="K221" s="139">
        <f>VLOOKUP($A221,'BC.114+840'!$B$13:$X$470,21,0)/1000</f>
        <v>-0.64800000000000002</v>
      </c>
      <c r="L221" s="137">
        <f t="shared" si="9"/>
        <v>-281</v>
      </c>
      <c r="M221" s="138">
        <f t="shared" si="10"/>
        <v>-473</v>
      </c>
      <c r="N221" s="137">
        <f t="shared" si="11"/>
        <v>-258</v>
      </c>
      <c r="O221" s="137"/>
    </row>
    <row r="222" spans="1:15">
      <c r="A222" s="76">
        <f>'BC.114+840'!B221</f>
        <v>45478</v>
      </c>
      <c r="B222" s="137">
        <v>208</v>
      </c>
      <c r="C222" s="139">
        <f>'BC.114+840'!M221/1000</f>
        <v>1.5269999999999999</v>
      </c>
      <c r="D222" s="139">
        <f>'BC.114+840'!AA221</f>
        <v>2.3239999999999998</v>
      </c>
      <c r="E222" s="140">
        <f>'BC.114+840'!AB221</f>
        <v>0.95399999999999996</v>
      </c>
      <c r="F222" s="139">
        <f>VLOOKUP($A222,'BC.114+840'!$B$13:$X$470,8,0)/1000</f>
        <v>2.6389999999999998</v>
      </c>
      <c r="G222" s="139">
        <f>VLOOKUP($A222,'BC.114+840'!$B$13:$X$470,9,0)/1000</f>
        <v>-0.36099999999999999</v>
      </c>
      <c r="H222" s="139">
        <f>VLOOKUP($A222,'BC.114+840'!$B$13:$X$470,14,0)/1000</f>
        <v>2.6269999999999998</v>
      </c>
      <c r="I222" s="139">
        <f>VLOOKUP($A222,'BC.114+840'!$B$13:$X$470,15,0)/1000</f>
        <v>-0.373</v>
      </c>
      <c r="J222" s="139">
        <f>VLOOKUP($A222,'BC.114+840'!$B$13:$X$470,20,0)/1000</f>
        <v>2.3519999999999999</v>
      </c>
      <c r="K222" s="139">
        <f>VLOOKUP($A222,'BC.114+840'!$B$13:$X$470,21,0)/1000</f>
        <v>-0.64800000000000002</v>
      </c>
      <c r="L222" s="137">
        <f t="shared" si="9"/>
        <v>-281</v>
      </c>
      <c r="M222" s="138">
        <f t="shared" si="10"/>
        <v>-473</v>
      </c>
      <c r="N222" s="137">
        <f t="shared" si="11"/>
        <v>-258</v>
      </c>
      <c r="O222" s="137"/>
    </row>
    <row r="223" spans="1:15">
      <c r="A223" s="76">
        <f>'BC.114+840'!B222</f>
        <v>45479</v>
      </c>
      <c r="B223" s="137">
        <v>209</v>
      </c>
      <c r="C223" s="139">
        <f>'BC.114+840'!M222/1000</f>
        <v>1.5269999999999999</v>
      </c>
      <c r="D223" s="139">
        <f>'BC.114+840'!AA222</f>
        <v>2.3239999999999998</v>
      </c>
      <c r="E223" s="140">
        <f>'BC.114+840'!AB222</f>
        <v>0.95399999999999996</v>
      </c>
      <c r="F223" s="139">
        <f>VLOOKUP($A223,'BC.114+840'!$B$13:$X$470,8,0)/1000</f>
        <v>2.6389999999999998</v>
      </c>
      <c r="G223" s="139">
        <f>VLOOKUP($A223,'BC.114+840'!$B$13:$X$470,9,0)/1000</f>
        <v>-0.36099999999999999</v>
      </c>
      <c r="H223" s="139">
        <f>VLOOKUP($A223,'BC.114+840'!$B$13:$X$470,14,0)/1000</f>
        <v>2.6269999999999998</v>
      </c>
      <c r="I223" s="139">
        <f>VLOOKUP($A223,'BC.114+840'!$B$13:$X$470,15,0)/1000</f>
        <v>-0.373</v>
      </c>
      <c r="J223" s="139">
        <f>VLOOKUP($A223,'BC.114+840'!$B$13:$X$470,20,0)/1000</f>
        <v>2.3519999999999999</v>
      </c>
      <c r="K223" s="139">
        <f>VLOOKUP($A223,'BC.114+840'!$B$13:$X$470,21,0)/1000</f>
        <v>-0.64800000000000002</v>
      </c>
      <c r="L223" s="137">
        <f t="shared" si="9"/>
        <v>-281</v>
      </c>
      <c r="M223" s="138">
        <f t="shared" si="10"/>
        <v>-473</v>
      </c>
      <c r="N223" s="137">
        <f t="shared" si="11"/>
        <v>-258</v>
      </c>
      <c r="O223" s="137"/>
    </row>
    <row r="224" spans="1:15">
      <c r="A224" s="76">
        <f>'BC.114+840'!B223</f>
        <v>45480</v>
      </c>
      <c r="B224" s="137">
        <v>210</v>
      </c>
      <c r="C224" s="139">
        <f>'BC.114+840'!M223/1000</f>
        <v>1.5269999999999999</v>
      </c>
      <c r="D224" s="139">
        <f>'BC.114+840'!AA223</f>
        <v>2.3239999999999998</v>
      </c>
      <c r="E224" s="140">
        <f>'BC.114+840'!AB223</f>
        <v>0.95399999999999996</v>
      </c>
      <c r="F224" s="139">
        <f>VLOOKUP($A224,'BC.114+840'!$B$13:$X$470,8,0)/1000</f>
        <v>2.6389999999999998</v>
      </c>
      <c r="G224" s="139">
        <f>VLOOKUP($A224,'BC.114+840'!$B$13:$X$470,9,0)/1000</f>
        <v>-0.36099999999999999</v>
      </c>
      <c r="H224" s="139">
        <f>VLOOKUP($A224,'BC.114+840'!$B$13:$X$470,14,0)/1000</f>
        <v>2.6269999999999998</v>
      </c>
      <c r="I224" s="139">
        <f>VLOOKUP($A224,'BC.114+840'!$B$13:$X$470,15,0)/1000</f>
        <v>-0.373</v>
      </c>
      <c r="J224" s="139">
        <f>VLOOKUP($A224,'BC.114+840'!$B$13:$X$470,20,0)/1000</f>
        <v>2.3519999999999999</v>
      </c>
      <c r="K224" s="139">
        <f>VLOOKUP($A224,'BC.114+840'!$B$13:$X$470,21,0)/1000</f>
        <v>-0.64800000000000002</v>
      </c>
      <c r="L224" s="137">
        <f t="shared" si="9"/>
        <v>-281</v>
      </c>
      <c r="M224" s="138">
        <f t="shared" si="10"/>
        <v>-473</v>
      </c>
      <c r="N224" s="137">
        <f t="shared" si="11"/>
        <v>-258</v>
      </c>
      <c r="O224" s="137"/>
    </row>
    <row r="225" spans="1:15">
      <c r="A225" s="76">
        <f>'BC.114+840'!B224</f>
        <v>45481</v>
      </c>
      <c r="B225" s="137">
        <v>211</v>
      </c>
      <c r="C225" s="139">
        <f>'BC.114+840'!M224/1000</f>
        <v>1.5269999999999999</v>
      </c>
      <c r="D225" s="139">
        <f>'BC.114+840'!AA224</f>
        <v>2.3239999999999998</v>
      </c>
      <c r="E225" s="140">
        <f>'BC.114+840'!AB224</f>
        <v>0.95399999999999996</v>
      </c>
      <c r="F225" s="139">
        <f>VLOOKUP($A225,'BC.114+840'!$B$13:$X$470,8,0)/1000</f>
        <v>2.6389999999999998</v>
      </c>
      <c r="G225" s="139">
        <f>VLOOKUP($A225,'BC.114+840'!$B$13:$X$470,9,0)/1000</f>
        <v>-0.36099999999999999</v>
      </c>
      <c r="H225" s="139">
        <f>VLOOKUP($A225,'BC.114+840'!$B$13:$X$470,14,0)/1000</f>
        <v>2.6269999999999998</v>
      </c>
      <c r="I225" s="139">
        <f>VLOOKUP($A225,'BC.114+840'!$B$13:$X$470,15,0)/1000</f>
        <v>-0.373</v>
      </c>
      <c r="J225" s="139">
        <f>VLOOKUP($A225,'BC.114+840'!$B$13:$X$470,20,0)/1000</f>
        <v>2.3519999999999999</v>
      </c>
      <c r="K225" s="139">
        <f>VLOOKUP($A225,'BC.114+840'!$B$13:$X$470,21,0)/1000</f>
        <v>-0.64800000000000002</v>
      </c>
      <c r="L225" s="137">
        <f t="shared" si="9"/>
        <v>-281</v>
      </c>
      <c r="M225" s="138">
        <f t="shared" si="10"/>
        <v>-473</v>
      </c>
      <c r="N225" s="137">
        <f t="shared" si="11"/>
        <v>-258</v>
      </c>
      <c r="O225" s="137"/>
    </row>
    <row r="226" spans="1:15">
      <c r="A226" s="76">
        <f>'BC.114+840'!B225</f>
        <v>45482</v>
      </c>
      <c r="B226" s="137">
        <v>212</v>
      </c>
      <c r="C226" s="139">
        <f>'BC.114+840'!M225/1000</f>
        <v>1.5269999999999999</v>
      </c>
      <c r="D226" s="139">
        <f>'BC.114+840'!AA225</f>
        <v>2.3239999999999998</v>
      </c>
      <c r="E226" s="140">
        <f>'BC.114+840'!AB225</f>
        <v>0.95399999999999996</v>
      </c>
      <c r="F226" s="139">
        <f>VLOOKUP($A226,'BC.114+840'!$B$13:$X$470,8,0)/1000</f>
        <v>2.6389999999999998</v>
      </c>
      <c r="G226" s="139">
        <f>VLOOKUP($A226,'BC.114+840'!$B$13:$X$470,9,0)/1000</f>
        <v>-0.36099999999999999</v>
      </c>
      <c r="H226" s="139">
        <f>VLOOKUP($A226,'BC.114+840'!$B$13:$X$470,14,0)/1000</f>
        <v>2.6269999999999998</v>
      </c>
      <c r="I226" s="139">
        <f>VLOOKUP($A226,'BC.114+840'!$B$13:$X$470,15,0)/1000</f>
        <v>-0.373</v>
      </c>
      <c r="J226" s="139">
        <f>VLOOKUP($A226,'BC.114+840'!$B$13:$X$470,20,0)/1000</f>
        <v>2.3519999999999999</v>
      </c>
      <c r="K226" s="139">
        <f>VLOOKUP($A226,'BC.114+840'!$B$13:$X$470,21,0)/1000</f>
        <v>-0.64800000000000002</v>
      </c>
      <c r="L226" s="137">
        <f t="shared" si="9"/>
        <v>-281</v>
      </c>
      <c r="M226" s="138">
        <f t="shared" si="10"/>
        <v>-473</v>
      </c>
      <c r="N226" s="137">
        <f t="shared" si="11"/>
        <v>-258</v>
      </c>
      <c r="O226" s="137"/>
    </row>
    <row r="227" spans="1:15">
      <c r="A227" s="76">
        <f>'BC.114+840'!B226</f>
        <v>45483</v>
      </c>
      <c r="B227" s="137">
        <v>213</v>
      </c>
      <c r="C227" s="139">
        <f>'BC.114+840'!M226/1000</f>
        <v>1.5269999999999999</v>
      </c>
      <c r="D227" s="139">
        <f>'BC.114+840'!AA226</f>
        <v>2.3239999999999998</v>
      </c>
      <c r="E227" s="140">
        <f>'BC.114+840'!AB226</f>
        <v>0.95399999999999996</v>
      </c>
      <c r="F227" s="139">
        <f>VLOOKUP($A227,'BC.114+840'!$B$13:$X$470,8,0)/1000</f>
        <v>2.6389999999999998</v>
      </c>
      <c r="G227" s="139">
        <f>VLOOKUP($A227,'BC.114+840'!$B$13:$X$470,9,0)/1000</f>
        <v>-0.36099999999999999</v>
      </c>
      <c r="H227" s="139">
        <f>VLOOKUP($A227,'BC.114+840'!$B$13:$X$470,14,0)/1000</f>
        <v>2.6269999999999998</v>
      </c>
      <c r="I227" s="139">
        <f>VLOOKUP($A227,'BC.114+840'!$B$13:$X$470,15,0)/1000</f>
        <v>-0.373</v>
      </c>
      <c r="J227" s="139">
        <f>VLOOKUP($A227,'BC.114+840'!$B$13:$X$470,20,0)/1000</f>
        <v>2.3519999999999999</v>
      </c>
      <c r="K227" s="139">
        <f>VLOOKUP($A227,'BC.114+840'!$B$13:$X$470,21,0)/1000</f>
        <v>-0.64800000000000002</v>
      </c>
      <c r="L227" s="137">
        <f t="shared" si="9"/>
        <v>-281</v>
      </c>
      <c r="M227" s="138">
        <f t="shared" si="10"/>
        <v>-473</v>
      </c>
      <c r="N227" s="137">
        <f t="shared" si="11"/>
        <v>-258</v>
      </c>
      <c r="O227" s="137"/>
    </row>
    <row r="228" spans="1:15">
      <c r="A228" s="76">
        <f>'BC.114+840'!B227</f>
        <v>45484</v>
      </c>
      <c r="B228" s="137">
        <v>214</v>
      </c>
      <c r="C228" s="139">
        <f>'BC.114+840'!M227/1000</f>
        <v>1.5269999999999999</v>
      </c>
      <c r="D228" s="139">
        <f>'BC.114+840'!AA227</f>
        <v>2.3239999999999998</v>
      </c>
      <c r="E228" s="140">
        <f>'BC.114+840'!AB227</f>
        <v>0.95399999999999996</v>
      </c>
      <c r="F228" s="139">
        <f>VLOOKUP($A228,'BC.114+840'!$B$13:$X$470,8,0)/1000</f>
        <v>2.6389999999999998</v>
      </c>
      <c r="G228" s="139">
        <f>VLOOKUP($A228,'BC.114+840'!$B$13:$X$470,9,0)/1000</f>
        <v>-0.36099999999999999</v>
      </c>
      <c r="H228" s="139">
        <f>VLOOKUP($A228,'BC.114+840'!$B$13:$X$470,14,0)/1000</f>
        <v>2.6269999999999998</v>
      </c>
      <c r="I228" s="139">
        <f>VLOOKUP($A228,'BC.114+840'!$B$13:$X$470,15,0)/1000</f>
        <v>-0.373</v>
      </c>
      <c r="J228" s="139">
        <f>VLOOKUP($A228,'BC.114+840'!$B$13:$X$470,20,0)/1000</f>
        <v>2.3519999999999999</v>
      </c>
      <c r="K228" s="139">
        <f>VLOOKUP($A228,'BC.114+840'!$B$13:$X$470,21,0)/1000</f>
        <v>-0.64800000000000002</v>
      </c>
      <c r="L228" s="137">
        <f t="shared" si="9"/>
        <v>-281</v>
      </c>
      <c r="M228" s="138">
        <f t="shared" si="10"/>
        <v>-473</v>
      </c>
      <c r="N228" s="137">
        <f t="shared" si="11"/>
        <v>-258</v>
      </c>
      <c r="O228" s="137"/>
    </row>
    <row r="229" spans="1:15">
      <c r="A229" s="76">
        <f>'BC.114+840'!B228</f>
        <v>45485</v>
      </c>
      <c r="B229" s="137">
        <v>215</v>
      </c>
      <c r="C229" s="139">
        <f>'BC.114+840'!M228/1000</f>
        <v>1.5269999999999999</v>
      </c>
      <c r="D229" s="139">
        <f>'BC.114+840'!AA228</f>
        <v>2.3239999999999998</v>
      </c>
      <c r="E229" s="140">
        <f>'BC.114+840'!AB228</f>
        <v>0.95399999999999996</v>
      </c>
      <c r="F229" s="139">
        <f>VLOOKUP($A229,'BC.114+840'!$B$13:$X$470,8,0)/1000</f>
        <v>2.6389999999999998</v>
      </c>
      <c r="G229" s="139">
        <f>VLOOKUP($A229,'BC.114+840'!$B$13:$X$470,9,0)/1000</f>
        <v>-0.36099999999999999</v>
      </c>
      <c r="H229" s="139">
        <f>VLOOKUP($A229,'BC.114+840'!$B$13:$X$470,14,0)/1000</f>
        <v>2.6269999999999998</v>
      </c>
      <c r="I229" s="139">
        <f>VLOOKUP($A229,'BC.114+840'!$B$13:$X$470,15,0)/1000</f>
        <v>-0.373</v>
      </c>
      <c r="J229" s="139">
        <f>VLOOKUP($A229,'BC.114+840'!$B$13:$X$470,20,0)/1000</f>
        <v>2.3519999999999999</v>
      </c>
      <c r="K229" s="139">
        <f>VLOOKUP($A229,'BC.114+840'!$B$13:$X$470,21,0)/1000</f>
        <v>-0.64800000000000002</v>
      </c>
      <c r="L229" s="137">
        <f t="shared" si="9"/>
        <v>-281</v>
      </c>
      <c r="M229" s="138">
        <f t="shared" si="10"/>
        <v>-473</v>
      </c>
      <c r="N229" s="137">
        <f t="shared" si="11"/>
        <v>-258</v>
      </c>
      <c r="O229" s="137"/>
    </row>
    <row r="230" spans="1:15">
      <c r="A230" s="76">
        <f>'BC.114+840'!B229</f>
        <v>45486</v>
      </c>
      <c r="B230" s="137">
        <v>216</v>
      </c>
      <c r="C230" s="139">
        <f>'BC.114+840'!M229/1000</f>
        <v>1.5269999999999999</v>
      </c>
      <c r="D230" s="139">
        <f>'BC.114+840'!AA229</f>
        <v>2.3239999999999998</v>
      </c>
      <c r="E230" s="140">
        <f>'BC.114+840'!AB229</f>
        <v>0.95399999999999996</v>
      </c>
      <c r="F230" s="139">
        <f>VLOOKUP($A230,'BC.114+840'!$B$13:$X$470,8,0)/1000</f>
        <v>2.6389999999999998</v>
      </c>
      <c r="G230" s="139">
        <f>VLOOKUP($A230,'BC.114+840'!$B$13:$X$470,9,0)/1000</f>
        <v>-0.36099999999999999</v>
      </c>
      <c r="H230" s="139">
        <f>VLOOKUP($A230,'BC.114+840'!$B$13:$X$470,14,0)/1000</f>
        <v>2.6269999999999998</v>
      </c>
      <c r="I230" s="139">
        <f>VLOOKUP($A230,'BC.114+840'!$B$13:$X$470,15,0)/1000</f>
        <v>-0.373</v>
      </c>
      <c r="J230" s="139">
        <f>VLOOKUP($A230,'BC.114+840'!$B$13:$X$470,20,0)/1000</f>
        <v>2.3519999999999999</v>
      </c>
      <c r="K230" s="139">
        <f>VLOOKUP($A230,'BC.114+840'!$B$13:$X$470,21,0)/1000</f>
        <v>-0.64800000000000002</v>
      </c>
      <c r="L230" s="137">
        <f t="shared" si="9"/>
        <v>-281</v>
      </c>
      <c r="M230" s="138">
        <f t="shared" si="10"/>
        <v>-473</v>
      </c>
      <c r="N230" s="137">
        <f t="shared" si="11"/>
        <v>-258</v>
      </c>
      <c r="O230" s="137"/>
    </row>
    <row r="231" spans="1:15">
      <c r="A231" s="76">
        <f>'BC.114+840'!B230</f>
        <v>45487</v>
      </c>
      <c r="B231" s="137">
        <v>217</v>
      </c>
      <c r="C231" s="139">
        <f>'BC.114+840'!M230/1000</f>
        <v>1.5269999999999999</v>
      </c>
      <c r="D231" s="139">
        <f>'BC.114+840'!AA230</f>
        <v>2.3239999999999998</v>
      </c>
      <c r="E231" s="140">
        <f>'BC.114+840'!AB230</f>
        <v>0.95399999999999996</v>
      </c>
      <c r="F231" s="139">
        <f>VLOOKUP($A231,'BC.114+840'!$B$13:$X$470,8,0)/1000</f>
        <v>2.6389999999999998</v>
      </c>
      <c r="G231" s="139">
        <f>VLOOKUP($A231,'BC.114+840'!$B$13:$X$470,9,0)/1000</f>
        <v>-0.36099999999999999</v>
      </c>
      <c r="H231" s="139">
        <f>VLOOKUP($A231,'BC.114+840'!$B$13:$X$470,14,0)/1000</f>
        <v>2.6269999999999998</v>
      </c>
      <c r="I231" s="139">
        <f>VLOOKUP($A231,'BC.114+840'!$B$13:$X$470,15,0)/1000</f>
        <v>-0.373</v>
      </c>
      <c r="J231" s="139">
        <f>VLOOKUP($A231,'BC.114+840'!$B$13:$X$470,20,0)/1000</f>
        <v>2.3519999999999999</v>
      </c>
      <c r="K231" s="139">
        <f>VLOOKUP($A231,'BC.114+840'!$B$13:$X$470,21,0)/1000</f>
        <v>-0.64800000000000002</v>
      </c>
      <c r="L231" s="137">
        <f t="shared" si="9"/>
        <v>-281</v>
      </c>
      <c r="M231" s="138">
        <f t="shared" si="10"/>
        <v>-473</v>
      </c>
      <c r="N231" s="137">
        <f t="shared" si="11"/>
        <v>-258</v>
      </c>
      <c r="O231" s="137"/>
    </row>
    <row r="232" spans="1:15">
      <c r="A232" s="76">
        <f>'BC.114+840'!B231</f>
        <v>45488</v>
      </c>
      <c r="B232" s="137">
        <v>218</v>
      </c>
      <c r="C232" s="139">
        <f>'BC.114+840'!M231/1000</f>
        <v>1.5269999999999999</v>
      </c>
      <c r="D232" s="139">
        <f>'BC.114+840'!AA231</f>
        <v>2.3239999999999998</v>
      </c>
      <c r="E232" s="140">
        <f>'BC.114+840'!AB231</f>
        <v>0.95399999999999996</v>
      </c>
      <c r="F232" s="139">
        <f>VLOOKUP($A232,'BC.114+840'!$B$13:$X$470,8,0)/1000</f>
        <v>2.6389999999999998</v>
      </c>
      <c r="G232" s="139">
        <f>VLOOKUP($A232,'BC.114+840'!$B$13:$X$470,9,0)/1000</f>
        <v>-0.36099999999999999</v>
      </c>
      <c r="H232" s="139">
        <f>VLOOKUP($A232,'BC.114+840'!$B$13:$X$470,14,0)/1000</f>
        <v>2.6269999999999998</v>
      </c>
      <c r="I232" s="139">
        <f>VLOOKUP($A232,'BC.114+840'!$B$13:$X$470,15,0)/1000</f>
        <v>-0.373</v>
      </c>
      <c r="J232" s="139">
        <f>VLOOKUP($A232,'BC.114+840'!$B$13:$X$470,20,0)/1000</f>
        <v>2.3519999999999999</v>
      </c>
      <c r="K232" s="139">
        <f>VLOOKUP($A232,'BC.114+840'!$B$13:$X$470,21,0)/1000</f>
        <v>-0.64800000000000002</v>
      </c>
      <c r="L232" s="137">
        <f t="shared" si="9"/>
        <v>-281</v>
      </c>
      <c r="M232" s="138">
        <f t="shared" si="10"/>
        <v>-473</v>
      </c>
      <c r="N232" s="137">
        <f t="shared" si="11"/>
        <v>-258</v>
      </c>
      <c r="O232" s="137"/>
    </row>
    <row r="233" spans="1:15">
      <c r="A233" s="76">
        <f>'BC.114+840'!B232</f>
        <v>45489</v>
      </c>
      <c r="B233" s="137">
        <v>219</v>
      </c>
      <c r="C233" s="139">
        <f>'BC.114+840'!M232/1000</f>
        <v>1.5269999999999999</v>
      </c>
      <c r="D233" s="139">
        <f>'BC.114+840'!AA232</f>
        <v>2.3239999999999998</v>
      </c>
      <c r="E233" s="140">
        <f>'BC.114+840'!AB232</f>
        <v>0.95399999999999996</v>
      </c>
      <c r="F233" s="139">
        <f>VLOOKUP($A233,'BC.114+840'!$B$13:$X$470,8,0)/1000</f>
        <v>2.6389999999999998</v>
      </c>
      <c r="G233" s="139">
        <f>VLOOKUP($A233,'BC.114+840'!$B$13:$X$470,9,0)/1000</f>
        <v>-0.36099999999999999</v>
      </c>
      <c r="H233" s="139">
        <f>VLOOKUP($A233,'BC.114+840'!$B$13:$X$470,14,0)/1000</f>
        <v>2.6269999999999998</v>
      </c>
      <c r="I233" s="139">
        <f>VLOOKUP($A233,'BC.114+840'!$B$13:$X$470,15,0)/1000</f>
        <v>-0.373</v>
      </c>
      <c r="J233" s="139">
        <f>VLOOKUP($A233,'BC.114+840'!$B$13:$X$470,20,0)/1000</f>
        <v>2.3519999999999999</v>
      </c>
      <c r="K233" s="139">
        <f>VLOOKUP($A233,'BC.114+840'!$B$13:$X$470,21,0)/1000</f>
        <v>-0.64800000000000002</v>
      </c>
      <c r="L233" s="137">
        <f t="shared" si="9"/>
        <v>-281</v>
      </c>
      <c r="M233" s="138">
        <f t="shared" si="10"/>
        <v>-473</v>
      </c>
      <c r="N233" s="137">
        <f t="shared" si="11"/>
        <v>-258</v>
      </c>
      <c r="O233" s="137"/>
    </row>
    <row r="234" spans="1:15">
      <c r="A234" s="76">
        <f>'BC.114+840'!B233</f>
        <v>45490</v>
      </c>
      <c r="B234" s="137">
        <v>220</v>
      </c>
      <c r="C234" s="139">
        <f>'BC.114+840'!M233/1000</f>
        <v>1.5269999999999999</v>
      </c>
      <c r="D234" s="139">
        <f>'BC.114+840'!AA233</f>
        <v>2.3239999999999998</v>
      </c>
      <c r="E234" s="140">
        <f>'BC.114+840'!AB233</f>
        <v>0.95399999999999996</v>
      </c>
      <c r="F234" s="139">
        <f>VLOOKUP($A234,'BC.114+840'!$B$13:$X$470,8,0)/1000</f>
        <v>2.6389999999999998</v>
      </c>
      <c r="G234" s="139">
        <f>VLOOKUP($A234,'BC.114+840'!$B$13:$X$470,9,0)/1000</f>
        <v>-0.36099999999999999</v>
      </c>
      <c r="H234" s="139">
        <f>VLOOKUP($A234,'BC.114+840'!$B$13:$X$470,14,0)/1000</f>
        <v>2.6269999999999998</v>
      </c>
      <c r="I234" s="139">
        <f>VLOOKUP($A234,'BC.114+840'!$B$13:$X$470,15,0)/1000</f>
        <v>-0.373</v>
      </c>
      <c r="J234" s="139">
        <f>VLOOKUP($A234,'BC.114+840'!$B$13:$X$470,20,0)/1000</f>
        <v>2.3519999999999999</v>
      </c>
      <c r="K234" s="139">
        <f>VLOOKUP($A234,'BC.114+840'!$B$13:$X$470,21,0)/1000</f>
        <v>-0.64800000000000002</v>
      </c>
      <c r="L234" s="137">
        <f t="shared" si="9"/>
        <v>-281</v>
      </c>
      <c r="M234" s="138">
        <f t="shared" si="10"/>
        <v>-473</v>
      </c>
      <c r="N234" s="137">
        <f t="shared" si="11"/>
        <v>-258</v>
      </c>
      <c r="O234" s="137"/>
    </row>
    <row r="235" spans="1:15">
      <c r="A235" s="76">
        <f>'BC.114+840'!B234</f>
        <v>45491</v>
      </c>
      <c r="B235" s="137">
        <v>221</v>
      </c>
      <c r="C235" s="139">
        <f>'BC.114+840'!M234/1000</f>
        <v>1.5269999999999999</v>
      </c>
      <c r="D235" s="139">
        <f>'BC.114+840'!AA234</f>
        <v>2.3239999999999998</v>
      </c>
      <c r="E235" s="140">
        <f>'BC.114+840'!AB234</f>
        <v>0.95399999999999996</v>
      </c>
      <c r="F235" s="139">
        <f>VLOOKUP($A235,'BC.114+840'!$B$13:$X$470,8,0)/1000</f>
        <v>2.6389999999999998</v>
      </c>
      <c r="G235" s="139">
        <f>VLOOKUP($A235,'BC.114+840'!$B$13:$X$470,9,0)/1000</f>
        <v>-0.36099999999999999</v>
      </c>
      <c r="H235" s="139">
        <f>VLOOKUP($A235,'BC.114+840'!$B$13:$X$470,14,0)/1000</f>
        <v>2.6269999999999998</v>
      </c>
      <c r="I235" s="139">
        <f>VLOOKUP($A235,'BC.114+840'!$B$13:$X$470,15,0)/1000</f>
        <v>-0.373</v>
      </c>
      <c r="J235" s="139">
        <f>VLOOKUP($A235,'BC.114+840'!$B$13:$X$470,20,0)/1000</f>
        <v>2.3519999999999999</v>
      </c>
      <c r="K235" s="139">
        <f>VLOOKUP($A235,'BC.114+840'!$B$13:$X$470,21,0)/1000</f>
        <v>-0.64800000000000002</v>
      </c>
      <c r="L235" s="137">
        <f t="shared" si="9"/>
        <v>-281</v>
      </c>
      <c r="M235" s="138">
        <f t="shared" si="10"/>
        <v>-473</v>
      </c>
      <c r="N235" s="137">
        <f t="shared" si="11"/>
        <v>-258</v>
      </c>
      <c r="O235" s="137"/>
    </row>
    <row r="236" spans="1:15">
      <c r="A236" s="76">
        <f>'BC.114+840'!B235</f>
        <v>45492</v>
      </c>
      <c r="B236" s="137">
        <v>222</v>
      </c>
      <c r="C236" s="139">
        <f>'BC.114+840'!M235/1000</f>
        <v>1.5269999999999999</v>
      </c>
      <c r="D236" s="139">
        <f>'BC.114+840'!AA235</f>
        <v>2.3239999999999998</v>
      </c>
      <c r="E236" s="140">
        <f>'BC.114+840'!AB235</f>
        <v>0.95399999999999996</v>
      </c>
      <c r="F236" s="139">
        <f>VLOOKUP($A236,'BC.114+840'!$B$13:$X$470,8,0)/1000</f>
        <v>2.6389999999999998</v>
      </c>
      <c r="G236" s="139">
        <f>VLOOKUP($A236,'BC.114+840'!$B$13:$X$470,9,0)/1000</f>
        <v>-0.36099999999999999</v>
      </c>
      <c r="H236" s="139">
        <f>VLOOKUP($A236,'BC.114+840'!$B$13:$X$470,14,0)/1000</f>
        <v>2.6269999999999998</v>
      </c>
      <c r="I236" s="139">
        <f>VLOOKUP($A236,'BC.114+840'!$B$13:$X$470,15,0)/1000</f>
        <v>-0.373</v>
      </c>
      <c r="J236" s="139">
        <f>VLOOKUP($A236,'BC.114+840'!$B$13:$X$470,20,0)/1000</f>
        <v>2.3519999999999999</v>
      </c>
      <c r="K236" s="139">
        <f>VLOOKUP($A236,'BC.114+840'!$B$13:$X$470,21,0)/1000</f>
        <v>-0.64800000000000002</v>
      </c>
      <c r="L236" s="137">
        <f t="shared" si="9"/>
        <v>-281</v>
      </c>
      <c r="M236" s="138">
        <f t="shared" si="10"/>
        <v>-473</v>
      </c>
      <c r="N236" s="137">
        <f t="shared" si="11"/>
        <v>-258</v>
      </c>
      <c r="O236" s="137"/>
    </row>
    <row r="237" spans="1:15">
      <c r="A237" s="76">
        <f>'BC.114+840'!B236</f>
        <v>45493</v>
      </c>
      <c r="B237" s="137">
        <v>223</v>
      </c>
      <c r="C237" s="139">
        <f>'BC.114+840'!M236/1000</f>
        <v>1.5269999999999999</v>
      </c>
      <c r="D237" s="139">
        <f>'BC.114+840'!AA236</f>
        <v>2.3239999999999998</v>
      </c>
      <c r="E237" s="140">
        <f>'BC.114+840'!AB236</f>
        <v>0.95399999999999996</v>
      </c>
      <c r="F237" s="139">
        <f>VLOOKUP($A237,'BC.114+840'!$B$13:$X$470,8,0)/1000</f>
        <v>2.6389999999999998</v>
      </c>
      <c r="G237" s="139">
        <f>VLOOKUP($A237,'BC.114+840'!$B$13:$X$470,9,0)/1000</f>
        <v>-0.36099999999999999</v>
      </c>
      <c r="H237" s="139">
        <f>VLOOKUP($A237,'BC.114+840'!$B$13:$X$470,14,0)/1000</f>
        <v>2.6269999999999998</v>
      </c>
      <c r="I237" s="139">
        <f>VLOOKUP($A237,'BC.114+840'!$B$13:$X$470,15,0)/1000</f>
        <v>-0.373</v>
      </c>
      <c r="J237" s="139">
        <f>VLOOKUP($A237,'BC.114+840'!$B$13:$X$470,20,0)/1000</f>
        <v>2.3519999999999999</v>
      </c>
      <c r="K237" s="139">
        <f>VLOOKUP($A237,'BC.114+840'!$B$13:$X$470,21,0)/1000</f>
        <v>-0.64800000000000002</v>
      </c>
      <c r="L237" s="137">
        <f t="shared" si="9"/>
        <v>-281</v>
      </c>
      <c r="M237" s="138">
        <f t="shared" si="10"/>
        <v>-473</v>
      </c>
      <c r="N237" s="137">
        <f t="shared" si="11"/>
        <v>-258</v>
      </c>
      <c r="O237" s="137"/>
    </row>
    <row r="238" spans="1:15">
      <c r="A238" s="76">
        <f>'BC.114+840'!B237</f>
        <v>45494</v>
      </c>
      <c r="B238" s="137">
        <v>224</v>
      </c>
      <c r="C238" s="139">
        <f>'BC.114+840'!M237/1000</f>
        <v>1.5269999999999999</v>
      </c>
      <c r="D238" s="139">
        <f>'BC.114+840'!AA237</f>
        <v>2.3239999999999998</v>
      </c>
      <c r="E238" s="140">
        <f>'BC.114+840'!AB237</f>
        <v>0.95399999999999996</v>
      </c>
      <c r="F238" s="139">
        <f>VLOOKUP($A238,'BC.114+840'!$B$13:$X$470,8,0)/1000</f>
        <v>2.6389999999999998</v>
      </c>
      <c r="G238" s="139">
        <f>VLOOKUP($A238,'BC.114+840'!$B$13:$X$470,9,0)/1000</f>
        <v>-0.36099999999999999</v>
      </c>
      <c r="H238" s="139">
        <f>VLOOKUP($A238,'BC.114+840'!$B$13:$X$470,14,0)/1000</f>
        <v>2.6269999999999998</v>
      </c>
      <c r="I238" s="139">
        <f>VLOOKUP($A238,'BC.114+840'!$B$13:$X$470,15,0)/1000</f>
        <v>-0.373</v>
      </c>
      <c r="J238" s="139">
        <f>VLOOKUP($A238,'BC.114+840'!$B$13:$X$470,20,0)/1000</f>
        <v>2.3519999999999999</v>
      </c>
      <c r="K238" s="139">
        <f>VLOOKUP($A238,'BC.114+840'!$B$13:$X$470,21,0)/1000</f>
        <v>-0.64800000000000002</v>
      </c>
      <c r="L238" s="137">
        <f t="shared" si="9"/>
        <v>-281</v>
      </c>
      <c r="M238" s="138">
        <f t="shared" si="10"/>
        <v>-473</v>
      </c>
      <c r="N238" s="137">
        <f t="shared" si="11"/>
        <v>-258</v>
      </c>
      <c r="O238" s="137"/>
    </row>
    <row r="239" spans="1:15">
      <c r="A239" s="76">
        <f>'BC.114+840'!B238</f>
        <v>45495</v>
      </c>
      <c r="B239" s="137">
        <v>225</v>
      </c>
      <c r="C239" s="139">
        <f>'BC.114+840'!M238/1000</f>
        <v>1.5269999999999999</v>
      </c>
      <c r="D239" s="139">
        <f>'BC.114+840'!AA238</f>
        <v>2.3239999999999998</v>
      </c>
      <c r="E239" s="140">
        <f>'BC.114+840'!AB238</f>
        <v>0.95399999999999996</v>
      </c>
      <c r="F239" s="139">
        <f>VLOOKUP($A239,'BC.114+840'!$B$13:$X$470,8,0)/1000</f>
        <v>2.6389999999999998</v>
      </c>
      <c r="G239" s="139">
        <f>VLOOKUP($A239,'BC.114+840'!$B$13:$X$470,9,0)/1000</f>
        <v>-0.36099999999999999</v>
      </c>
      <c r="H239" s="139">
        <f>VLOOKUP($A239,'BC.114+840'!$B$13:$X$470,14,0)/1000</f>
        <v>2.6269999999999998</v>
      </c>
      <c r="I239" s="139">
        <f>VLOOKUP($A239,'BC.114+840'!$B$13:$X$470,15,0)/1000</f>
        <v>-0.373</v>
      </c>
      <c r="J239" s="139">
        <f>VLOOKUP($A239,'BC.114+840'!$B$13:$X$470,20,0)/1000</f>
        <v>2.3519999999999999</v>
      </c>
      <c r="K239" s="139">
        <f>VLOOKUP($A239,'BC.114+840'!$B$13:$X$470,21,0)/1000</f>
        <v>-0.64800000000000002</v>
      </c>
      <c r="L239" s="137">
        <f t="shared" si="9"/>
        <v>-281</v>
      </c>
      <c r="M239" s="138">
        <f t="shared" si="10"/>
        <v>-473</v>
      </c>
      <c r="N239" s="137">
        <f t="shared" si="11"/>
        <v>-258</v>
      </c>
      <c r="O239" s="137"/>
    </row>
    <row r="240" spans="1:15">
      <c r="A240" s="76">
        <f>'BC.114+840'!B239</f>
        <v>45496</v>
      </c>
      <c r="B240" s="137">
        <v>226</v>
      </c>
      <c r="C240" s="139">
        <f>'BC.114+840'!M239/1000</f>
        <v>1.5269999999999999</v>
      </c>
      <c r="D240" s="139">
        <f>'BC.114+840'!AA239</f>
        <v>2.3239999999999998</v>
      </c>
      <c r="E240" s="140">
        <f>'BC.114+840'!AB239</f>
        <v>0.95399999999999996</v>
      </c>
      <c r="F240" s="139">
        <f>VLOOKUP($A240,'BC.114+840'!$B$13:$X$470,8,0)/1000</f>
        <v>2.6389999999999998</v>
      </c>
      <c r="G240" s="139">
        <f>VLOOKUP($A240,'BC.114+840'!$B$13:$X$470,9,0)/1000</f>
        <v>-0.36099999999999999</v>
      </c>
      <c r="H240" s="139">
        <f>VLOOKUP($A240,'BC.114+840'!$B$13:$X$470,14,0)/1000</f>
        <v>2.6269999999999998</v>
      </c>
      <c r="I240" s="139">
        <f>VLOOKUP($A240,'BC.114+840'!$B$13:$X$470,15,0)/1000</f>
        <v>-0.373</v>
      </c>
      <c r="J240" s="139">
        <f>VLOOKUP($A240,'BC.114+840'!$B$13:$X$470,20,0)/1000</f>
        <v>2.3519999999999999</v>
      </c>
      <c r="K240" s="139">
        <f>VLOOKUP($A240,'BC.114+840'!$B$13:$X$470,21,0)/1000</f>
        <v>-0.64800000000000002</v>
      </c>
      <c r="L240" s="137">
        <f t="shared" si="9"/>
        <v>-281</v>
      </c>
      <c r="M240" s="138">
        <f t="shared" si="10"/>
        <v>-473</v>
      </c>
      <c r="N240" s="137">
        <f t="shared" si="11"/>
        <v>-258</v>
      </c>
      <c r="O240" s="137"/>
    </row>
    <row r="241" spans="1:15">
      <c r="A241" s="76">
        <f>'BC.114+840'!B240</f>
        <v>45497</v>
      </c>
      <c r="B241" s="137">
        <v>227</v>
      </c>
      <c r="C241" s="139">
        <f>'BC.114+840'!M240/1000</f>
        <v>1.5269999999999999</v>
      </c>
      <c r="D241" s="139">
        <f>'BC.114+840'!AA240</f>
        <v>2.3239999999999998</v>
      </c>
      <c r="E241" s="140">
        <f>'BC.114+840'!AB240</f>
        <v>0.95399999999999996</v>
      </c>
      <c r="F241" s="139">
        <f>VLOOKUP($A241,'BC.114+840'!$B$13:$X$470,8,0)/1000</f>
        <v>2.6389999999999998</v>
      </c>
      <c r="G241" s="139">
        <f>VLOOKUP($A241,'BC.114+840'!$B$13:$X$470,9,0)/1000</f>
        <v>-0.36099999999999999</v>
      </c>
      <c r="H241" s="139">
        <f>VLOOKUP($A241,'BC.114+840'!$B$13:$X$470,14,0)/1000</f>
        <v>2.6269999999999998</v>
      </c>
      <c r="I241" s="139">
        <f>VLOOKUP($A241,'BC.114+840'!$B$13:$X$470,15,0)/1000</f>
        <v>-0.373</v>
      </c>
      <c r="J241" s="139">
        <f>VLOOKUP($A241,'BC.114+840'!$B$13:$X$470,20,0)/1000</f>
        <v>2.3519999999999999</v>
      </c>
      <c r="K241" s="139">
        <f>VLOOKUP($A241,'BC.114+840'!$B$13:$X$470,21,0)/1000</f>
        <v>-0.64800000000000002</v>
      </c>
      <c r="L241" s="137">
        <f t="shared" si="9"/>
        <v>-281</v>
      </c>
      <c r="M241" s="138">
        <f t="shared" si="10"/>
        <v>-473</v>
      </c>
      <c r="N241" s="137">
        <f t="shared" si="11"/>
        <v>-258</v>
      </c>
      <c r="O241" s="137"/>
    </row>
    <row r="242" spans="1:15">
      <c r="A242" s="76">
        <f>'BC.114+840'!B241</f>
        <v>45498</v>
      </c>
      <c r="B242" s="137">
        <v>228</v>
      </c>
      <c r="C242" s="139">
        <f>'BC.114+840'!M241/1000</f>
        <v>1.5269999999999999</v>
      </c>
      <c r="D242" s="139">
        <f>'BC.114+840'!AA241</f>
        <v>2.3239999999999998</v>
      </c>
      <c r="E242" s="140">
        <f>'BC.114+840'!AB241</f>
        <v>0.95399999999999996</v>
      </c>
      <c r="F242" s="139">
        <f>VLOOKUP($A242,'BC.114+840'!$B$13:$X$470,8,0)/1000</f>
        <v>2.6389999999999998</v>
      </c>
      <c r="G242" s="139">
        <f>VLOOKUP($A242,'BC.114+840'!$B$13:$X$470,9,0)/1000</f>
        <v>-0.36099999999999999</v>
      </c>
      <c r="H242" s="139">
        <f>VLOOKUP($A242,'BC.114+840'!$B$13:$X$470,14,0)/1000</f>
        <v>2.6269999999999998</v>
      </c>
      <c r="I242" s="139">
        <f>VLOOKUP($A242,'BC.114+840'!$B$13:$X$470,15,0)/1000</f>
        <v>-0.373</v>
      </c>
      <c r="J242" s="139">
        <f>VLOOKUP($A242,'BC.114+840'!$B$13:$X$470,20,0)/1000</f>
        <v>2.3519999999999999</v>
      </c>
      <c r="K242" s="139">
        <f>VLOOKUP($A242,'BC.114+840'!$B$13:$X$470,21,0)/1000</f>
        <v>-0.64800000000000002</v>
      </c>
      <c r="L242" s="137">
        <f t="shared" si="9"/>
        <v>-281</v>
      </c>
      <c r="M242" s="138">
        <f t="shared" si="10"/>
        <v>-473</v>
      </c>
      <c r="N242" s="137">
        <f t="shared" si="11"/>
        <v>-258</v>
      </c>
      <c r="O242" s="137"/>
    </row>
    <row r="243" spans="1:15">
      <c r="A243" s="76">
        <f>'BC.114+840'!B242</f>
        <v>45499</v>
      </c>
      <c r="B243" s="137">
        <v>229</v>
      </c>
      <c r="C243" s="139">
        <f>'BC.114+840'!M242/1000</f>
        <v>1.5269999999999999</v>
      </c>
      <c r="D243" s="139">
        <f>'BC.114+840'!AA242</f>
        <v>2.3239999999999998</v>
      </c>
      <c r="E243" s="140">
        <f>'BC.114+840'!AB242</f>
        <v>0.95399999999999996</v>
      </c>
      <c r="F243" s="139">
        <f>VLOOKUP($A243,'BC.114+840'!$B$13:$X$470,8,0)/1000</f>
        <v>2.6389999999999998</v>
      </c>
      <c r="G243" s="139">
        <f>VLOOKUP($A243,'BC.114+840'!$B$13:$X$470,9,0)/1000</f>
        <v>-0.36099999999999999</v>
      </c>
      <c r="H243" s="139">
        <f>VLOOKUP($A243,'BC.114+840'!$B$13:$X$470,14,0)/1000</f>
        <v>2.6269999999999998</v>
      </c>
      <c r="I243" s="139">
        <f>VLOOKUP($A243,'BC.114+840'!$B$13:$X$470,15,0)/1000</f>
        <v>-0.373</v>
      </c>
      <c r="J243" s="139">
        <f>VLOOKUP($A243,'BC.114+840'!$B$13:$X$470,20,0)/1000</f>
        <v>2.3519999999999999</v>
      </c>
      <c r="K243" s="139">
        <f>VLOOKUP($A243,'BC.114+840'!$B$13:$X$470,21,0)/1000</f>
        <v>-0.64800000000000002</v>
      </c>
      <c r="L243" s="137">
        <f t="shared" si="9"/>
        <v>-281</v>
      </c>
      <c r="M243" s="138">
        <f t="shared" si="10"/>
        <v>-473</v>
      </c>
      <c r="N243" s="137">
        <f t="shared" si="11"/>
        <v>-258</v>
      </c>
      <c r="O243" s="137"/>
    </row>
    <row r="244" spans="1:15">
      <c r="A244" s="76">
        <f>'BC.114+840'!B243</f>
        <v>45500</v>
      </c>
      <c r="B244" s="137">
        <v>230</v>
      </c>
      <c r="C244" s="139">
        <f>'BC.114+840'!M243/1000</f>
        <v>1.5269999999999999</v>
      </c>
      <c r="D244" s="139">
        <f>'BC.114+840'!AA243</f>
        <v>2.3239999999999998</v>
      </c>
      <c r="E244" s="140">
        <f>'BC.114+840'!AB243</f>
        <v>0.95399999999999996</v>
      </c>
      <c r="F244" s="139">
        <f>VLOOKUP($A244,'BC.114+840'!$B$13:$X$470,8,0)/1000</f>
        <v>2.6389999999999998</v>
      </c>
      <c r="G244" s="139">
        <f>VLOOKUP($A244,'BC.114+840'!$B$13:$X$470,9,0)/1000</f>
        <v>-0.36099999999999999</v>
      </c>
      <c r="H244" s="139">
        <f>VLOOKUP($A244,'BC.114+840'!$B$13:$X$470,14,0)/1000</f>
        <v>2.6269999999999998</v>
      </c>
      <c r="I244" s="139">
        <f>VLOOKUP($A244,'BC.114+840'!$B$13:$X$470,15,0)/1000</f>
        <v>-0.373</v>
      </c>
      <c r="J244" s="139">
        <f>VLOOKUP($A244,'BC.114+840'!$B$13:$X$470,20,0)/1000</f>
        <v>2.3519999999999999</v>
      </c>
      <c r="K244" s="139">
        <f>VLOOKUP($A244,'BC.114+840'!$B$13:$X$470,21,0)/1000</f>
        <v>-0.64800000000000002</v>
      </c>
      <c r="L244" s="137">
        <f t="shared" si="9"/>
        <v>-281</v>
      </c>
      <c r="M244" s="138">
        <f t="shared" si="10"/>
        <v>-473</v>
      </c>
      <c r="N244" s="137">
        <f t="shared" si="11"/>
        <v>-258</v>
      </c>
      <c r="O244" s="137"/>
    </row>
    <row r="245" spans="1:15">
      <c r="A245" s="76">
        <f>'BC.114+840'!B244</f>
        <v>45501</v>
      </c>
      <c r="B245" s="137">
        <v>231</v>
      </c>
      <c r="C245" s="139">
        <f>'BC.114+840'!M244/1000</f>
        <v>1.5269999999999999</v>
      </c>
      <c r="D245" s="139">
        <f>'BC.114+840'!AA244</f>
        <v>2.3239999999999998</v>
      </c>
      <c r="E245" s="140">
        <f>'BC.114+840'!AB244</f>
        <v>0.95399999999999996</v>
      </c>
      <c r="F245" s="139">
        <f>VLOOKUP($A245,'BC.114+840'!$B$13:$X$470,8,0)/1000</f>
        <v>2.6389999999999998</v>
      </c>
      <c r="G245" s="139">
        <f>VLOOKUP($A245,'BC.114+840'!$B$13:$X$470,9,0)/1000</f>
        <v>-0.36099999999999999</v>
      </c>
      <c r="H245" s="139">
        <f>VLOOKUP($A245,'BC.114+840'!$B$13:$X$470,14,0)/1000</f>
        <v>2.6269999999999998</v>
      </c>
      <c r="I245" s="139">
        <f>VLOOKUP($A245,'BC.114+840'!$B$13:$X$470,15,0)/1000</f>
        <v>-0.373</v>
      </c>
      <c r="J245" s="139">
        <f>VLOOKUP($A245,'BC.114+840'!$B$13:$X$470,20,0)/1000</f>
        <v>2.3519999999999999</v>
      </c>
      <c r="K245" s="139">
        <f>VLOOKUP($A245,'BC.114+840'!$B$13:$X$470,21,0)/1000</f>
        <v>-0.64800000000000002</v>
      </c>
      <c r="L245" s="137">
        <f t="shared" si="9"/>
        <v>-281</v>
      </c>
      <c r="M245" s="138">
        <f t="shared" si="10"/>
        <v>-473</v>
      </c>
      <c r="N245" s="137">
        <f t="shared" si="11"/>
        <v>-258</v>
      </c>
      <c r="O245" s="137"/>
    </row>
    <row r="246" spans="1:15">
      <c r="A246" s="76">
        <f>'BC.114+840'!B245</f>
        <v>45502</v>
      </c>
      <c r="B246" s="137">
        <v>232</v>
      </c>
      <c r="C246" s="139">
        <f>'BC.114+840'!M245/1000</f>
        <v>1.5269999999999999</v>
      </c>
      <c r="D246" s="139">
        <f>'BC.114+840'!AA245</f>
        <v>2.3239999999999998</v>
      </c>
      <c r="E246" s="140">
        <f>'BC.114+840'!AB245</f>
        <v>0.95399999999999996</v>
      </c>
      <c r="F246" s="139">
        <f>VLOOKUP($A246,'BC.114+840'!$B$13:$X$470,8,0)/1000</f>
        <v>2.6389999999999998</v>
      </c>
      <c r="G246" s="139">
        <f>VLOOKUP($A246,'BC.114+840'!$B$13:$X$470,9,0)/1000</f>
        <v>-0.36099999999999999</v>
      </c>
      <c r="H246" s="139">
        <f>VLOOKUP($A246,'BC.114+840'!$B$13:$X$470,14,0)/1000</f>
        <v>2.6269999999999998</v>
      </c>
      <c r="I246" s="139">
        <f>VLOOKUP($A246,'BC.114+840'!$B$13:$X$470,15,0)/1000</f>
        <v>-0.373</v>
      </c>
      <c r="J246" s="139">
        <f>VLOOKUP($A246,'BC.114+840'!$B$13:$X$470,20,0)/1000</f>
        <v>2.3519999999999999</v>
      </c>
      <c r="K246" s="139">
        <f>VLOOKUP($A246,'BC.114+840'!$B$13:$X$470,21,0)/1000</f>
        <v>-0.64800000000000002</v>
      </c>
      <c r="L246" s="137">
        <f t="shared" si="9"/>
        <v>-281</v>
      </c>
      <c r="M246" s="138">
        <f t="shared" si="10"/>
        <v>-473</v>
      </c>
      <c r="N246" s="137">
        <f t="shared" si="11"/>
        <v>-258</v>
      </c>
      <c r="O246" s="137"/>
    </row>
    <row r="247" spans="1:15">
      <c r="A247" s="76">
        <f>'BC.114+840'!B246</f>
        <v>45503</v>
      </c>
      <c r="B247" s="137">
        <v>233</v>
      </c>
      <c r="C247" s="139">
        <f>'BC.114+840'!M246/1000</f>
        <v>1.5269999999999999</v>
      </c>
      <c r="D247" s="139">
        <f>'BC.114+840'!AA246</f>
        <v>2.3239999999999998</v>
      </c>
      <c r="E247" s="140">
        <f>'BC.114+840'!AB246</f>
        <v>0.95399999999999996</v>
      </c>
      <c r="F247" s="139">
        <f>VLOOKUP($A247,'BC.114+840'!$B$13:$X$470,8,0)/1000</f>
        <v>2.6389999999999998</v>
      </c>
      <c r="G247" s="139">
        <f>VLOOKUP($A247,'BC.114+840'!$B$13:$X$470,9,0)/1000</f>
        <v>-0.36099999999999999</v>
      </c>
      <c r="H247" s="139">
        <f>VLOOKUP($A247,'BC.114+840'!$B$13:$X$470,14,0)/1000</f>
        <v>2.6269999999999998</v>
      </c>
      <c r="I247" s="139">
        <f>VLOOKUP($A247,'BC.114+840'!$B$13:$X$470,15,0)/1000</f>
        <v>-0.373</v>
      </c>
      <c r="J247" s="139">
        <f>VLOOKUP($A247,'BC.114+840'!$B$13:$X$470,20,0)/1000</f>
        <v>2.3519999999999999</v>
      </c>
      <c r="K247" s="139">
        <f>VLOOKUP($A247,'BC.114+840'!$B$13:$X$470,21,0)/1000</f>
        <v>-0.64800000000000002</v>
      </c>
      <c r="L247" s="137">
        <f t="shared" si="9"/>
        <v>-281</v>
      </c>
      <c r="M247" s="138">
        <f t="shared" si="10"/>
        <v>-473</v>
      </c>
      <c r="N247" s="137">
        <f t="shared" si="11"/>
        <v>-258</v>
      </c>
      <c r="O247" s="137"/>
    </row>
    <row r="248" spans="1:15">
      <c r="A248" s="76">
        <f>'BC.114+840'!B247</f>
        <v>45504</v>
      </c>
      <c r="B248" s="137">
        <v>234</v>
      </c>
      <c r="C248" s="139">
        <f>'BC.114+840'!M247/1000</f>
        <v>1.5269999999999999</v>
      </c>
      <c r="D248" s="139">
        <f>'BC.114+840'!AA247</f>
        <v>2.3239999999999998</v>
      </c>
      <c r="E248" s="140">
        <f>'BC.114+840'!AB247</f>
        <v>0.95399999999999996</v>
      </c>
      <c r="F248" s="139">
        <f>VLOOKUP($A248,'BC.114+840'!$B$13:$X$470,8,0)/1000</f>
        <v>2.6389999999999998</v>
      </c>
      <c r="G248" s="139">
        <f>VLOOKUP($A248,'BC.114+840'!$B$13:$X$470,9,0)/1000</f>
        <v>-0.36099999999999999</v>
      </c>
      <c r="H248" s="139">
        <f>VLOOKUP($A248,'BC.114+840'!$B$13:$X$470,14,0)/1000</f>
        <v>2.6269999999999998</v>
      </c>
      <c r="I248" s="139">
        <f>VLOOKUP($A248,'BC.114+840'!$B$13:$X$470,15,0)/1000</f>
        <v>-0.373</v>
      </c>
      <c r="J248" s="139">
        <f>VLOOKUP($A248,'BC.114+840'!$B$13:$X$470,20,0)/1000</f>
        <v>2.3519999999999999</v>
      </c>
      <c r="K248" s="139">
        <f>VLOOKUP($A248,'BC.114+840'!$B$13:$X$470,21,0)/1000</f>
        <v>-0.64800000000000002</v>
      </c>
      <c r="L248" s="137">
        <f t="shared" si="9"/>
        <v>-281</v>
      </c>
      <c r="M248" s="138">
        <f t="shared" si="10"/>
        <v>-473</v>
      </c>
      <c r="N248" s="137">
        <f t="shared" si="11"/>
        <v>-258</v>
      </c>
      <c r="O248" s="137"/>
    </row>
    <row r="249" spans="1:15">
      <c r="A249" s="76">
        <f>'BC.114+840'!B248</f>
        <v>45505</v>
      </c>
      <c r="B249" s="137">
        <v>235</v>
      </c>
      <c r="C249" s="139">
        <f>'BC.114+840'!M248/1000</f>
        <v>1.5269999999999999</v>
      </c>
      <c r="D249" s="139">
        <f>'BC.114+840'!AA248</f>
        <v>2.3239999999999998</v>
      </c>
      <c r="E249" s="140">
        <f>'BC.114+840'!AB248</f>
        <v>0.95399999999999996</v>
      </c>
      <c r="F249" s="139">
        <f>VLOOKUP($A249,'BC.114+840'!$B$13:$X$470,8,0)/1000</f>
        <v>2.6389999999999998</v>
      </c>
      <c r="G249" s="139">
        <f>VLOOKUP($A249,'BC.114+840'!$B$13:$X$470,9,0)/1000</f>
        <v>-0.36099999999999999</v>
      </c>
      <c r="H249" s="139">
        <f>VLOOKUP($A249,'BC.114+840'!$B$13:$X$470,14,0)/1000</f>
        <v>2.6269999999999998</v>
      </c>
      <c r="I249" s="139">
        <f>VLOOKUP($A249,'BC.114+840'!$B$13:$X$470,15,0)/1000</f>
        <v>-0.373</v>
      </c>
      <c r="J249" s="139">
        <f>VLOOKUP($A249,'BC.114+840'!$B$13:$X$470,20,0)/1000</f>
        <v>2.3519999999999999</v>
      </c>
      <c r="K249" s="139">
        <f>VLOOKUP($A249,'BC.114+840'!$B$13:$X$470,21,0)/1000</f>
        <v>-0.64800000000000002</v>
      </c>
      <c r="L249" s="137">
        <f t="shared" si="9"/>
        <v>-281</v>
      </c>
      <c r="M249" s="138">
        <f t="shared" si="10"/>
        <v>-473</v>
      </c>
      <c r="N249" s="137">
        <f t="shared" si="11"/>
        <v>-258</v>
      </c>
      <c r="O249" s="137"/>
    </row>
    <row r="250" spans="1:15">
      <c r="A250" s="76">
        <f>'BC.114+840'!B249</f>
        <v>45506</v>
      </c>
      <c r="B250" s="137">
        <v>236</v>
      </c>
      <c r="C250" s="139">
        <f>'BC.114+840'!M249/1000</f>
        <v>1.5269999999999999</v>
      </c>
      <c r="D250" s="139">
        <f>'BC.114+840'!AA249</f>
        <v>2.3239999999999998</v>
      </c>
      <c r="E250" s="140">
        <f>'BC.114+840'!AB249</f>
        <v>0.95399999999999996</v>
      </c>
      <c r="F250" s="139">
        <f>VLOOKUP($A250,'BC.114+840'!$B$13:$X$470,8,0)/1000</f>
        <v>2.6389999999999998</v>
      </c>
      <c r="G250" s="139">
        <f>VLOOKUP($A250,'BC.114+840'!$B$13:$X$470,9,0)/1000</f>
        <v>-0.36099999999999999</v>
      </c>
      <c r="H250" s="139">
        <f>VLOOKUP($A250,'BC.114+840'!$B$13:$X$470,14,0)/1000</f>
        <v>2.6269999999999998</v>
      </c>
      <c r="I250" s="139">
        <f>VLOOKUP($A250,'BC.114+840'!$B$13:$X$470,15,0)/1000</f>
        <v>-0.373</v>
      </c>
      <c r="J250" s="139">
        <f>VLOOKUP($A250,'BC.114+840'!$B$13:$X$470,20,0)/1000</f>
        <v>2.3519999999999999</v>
      </c>
      <c r="K250" s="139">
        <f>VLOOKUP($A250,'BC.114+840'!$B$13:$X$470,21,0)/1000</f>
        <v>-0.64800000000000002</v>
      </c>
      <c r="L250" s="137">
        <f t="shared" si="9"/>
        <v>-281</v>
      </c>
      <c r="M250" s="138">
        <f t="shared" si="10"/>
        <v>-473</v>
      </c>
      <c r="N250" s="137">
        <f t="shared" si="11"/>
        <v>-258</v>
      </c>
      <c r="O250" s="137"/>
    </row>
    <row r="251" spans="1:15">
      <c r="A251" s="76">
        <f>'BC.114+840'!B250</f>
        <v>45507</v>
      </c>
      <c r="B251" s="137">
        <v>237</v>
      </c>
      <c r="C251" s="139">
        <f>'BC.114+840'!M250/1000</f>
        <v>1.5269999999999999</v>
      </c>
      <c r="D251" s="139">
        <f>'BC.114+840'!AA250</f>
        <v>2.3239999999999998</v>
      </c>
      <c r="E251" s="140">
        <f>'BC.114+840'!AB250</f>
        <v>0.95399999999999996</v>
      </c>
      <c r="F251" s="139">
        <f>VLOOKUP($A251,'BC.114+840'!$B$13:$X$470,8,0)/1000</f>
        <v>2.6389999999999998</v>
      </c>
      <c r="G251" s="139">
        <f>VLOOKUP($A251,'BC.114+840'!$B$13:$X$470,9,0)/1000</f>
        <v>-0.36099999999999999</v>
      </c>
      <c r="H251" s="139">
        <f>VLOOKUP($A251,'BC.114+840'!$B$13:$X$470,14,0)/1000</f>
        <v>2.6269999999999998</v>
      </c>
      <c r="I251" s="139">
        <f>VLOOKUP($A251,'BC.114+840'!$B$13:$X$470,15,0)/1000</f>
        <v>-0.373</v>
      </c>
      <c r="J251" s="139">
        <f>VLOOKUP($A251,'BC.114+840'!$B$13:$X$470,20,0)/1000</f>
        <v>2.3519999999999999</v>
      </c>
      <c r="K251" s="139">
        <f>VLOOKUP($A251,'BC.114+840'!$B$13:$X$470,21,0)/1000</f>
        <v>-0.64800000000000002</v>
      </c>
      <c r="L251" s="137">
        <f t="shared" si="9"/>
        <v>-281</v>
      </c>
      <c r="M251" s="138">
        <f t="shared" si="10"/>
        <v>-473</v>
      </c>
      <c r="N251" s="137">
        <f t="shared" si="11"/>
        <v>-258</v>
      </c>
      <c r="O251" s="137"/>
    </row>
    <row r="252" spans="1:15">
      <c r="A252" s="76">
        <f>'BC.114+840'!B251</f>
        <v>45508</v>
      </c>
      <c r="B252" s="137">
        <v>238</v>
      </c>
      <c r="C252" s="139">
        <f>'BC.114+840'!M251/1000</f>
        <v>1.5269999999999999</v>
      </c>
      <c r="D252" s="139">
        <f>'BC.114+840'!AA251</f>
        <v>2.3239999999999998</v>
      </c>
      <c r="E252" s="140">
        <f>'BC.114+840'!AB251</f>
        <v>0.95399999999999996</v>
      </c>
      <c r="F252" s="139">
        <f>VLOOKUP($A252,'BC.114+840'!$B$13:$X$470,8,0)/1000</f>
        <v>2.6389999999999998</v>
      </c>
      <c r="G252" s="139">
        <f>VLOOKUP($A252,'BC.114+840'!$B$13:$X$470,9,0)/1000</f>
        <v>-0.36099999999999999</v>
      </c>
      <c r="H252" s="139">
        <f>VLOOKUP($A252,'BC.114+840'!$B$13:$X$470,14,0)/1000</f>
        <v>2.6269999999999998</v>
      </c>
      <c r="I252" s="139">
        <f>VLOOKUP($A252,'BC.114+840'!$B$13:$X$470,15,0)/1000</f>
        <v>-0.373</v>
      </c>
      <c r="J252" s="139">
        <f>VLOOKUP($A252,'BC.114+840'!$B$13:$X$470,20,0)/1000</f>
        <v>2.3519999999999999</v>
      </c>
      <c r="K252" s="139">
        <f>VLOOKUP($A252,'BC.114+840'!$B$13:$X$470,21,0)/1000</f>
        <v>-0.64800000000000002</v>
      </c>
      <c r="L252" s="137">
        <f t="shared" si="9"/>
        <v>-281</v>
      </c>
      <c r="M252" s="138">
        <f t="shared" si="10"/>
        <v>-473</v>
      </c>
      <c r="N252" s="137">
        <f t="shared" si="11"/>
        <v>-258</v>
      </c>
      <c r="O252" s="137"/>
    </row>
    <row r="253" spans="1:15">
      <c r="A253" s="76">
        <f>'BC.114+840'!B252</f>
        <v>45509</v>
      </c>
      <c r="B253" s="137">
        <v>239</v>
      </c>
      <c r="C253" s="139">
        <f>'BC.114+840'!M252/1000</f>
        <v>1.5269999999999999</v>
      </c>
      <c r="D253" s="139">
        <f>'BC.114+840'!AA252</f>
        <v>2.3239999999999998</v>
      </c>
      <c r="E253" s="140">
        <f>'BC.114+840'!AB252</f>
        <v>0.95399999999999996</v>
      </c>
      <c r="F253" s="139">
        <f>VLOOKUP($A253,'BC.114+840'!$B$13:$X$470,8,0)/1000</f>
        <v>2.6389999999999998</v>
      </c>
      <c r="G253" s="139">
        <f>VLOOKUP($A253,'BC.114+840'!$B$13:$X$470,9,0)/1000</f>
        <v>-0.36099999999999999</v>
      </c>
      <c r="H253" s="139">
        <f>VLOOKUP($A253,'BC.114+840'!$B$13:$X$470,14,0)/1000</f>
        <v>2.6269999999999998</v>
      </c>
      <c r="I253" s="139">
        <f>VLOOKUP($A253,'BC.114+840'!$B$13:$X$470,15,0)/1000</f>
        <v>-0.373</v>
      </c>
      <c r="J253" s="139">
        <f>VLOOKUP($A253,'BC.114+840'!$B$13:$X$470,20,0)/1000</f>
        <v>2.3519999999999999</v>
      </c>
      <c r="K253" s="139">
        <f>VLOOKUP($A253,'BC.114+840'!$B$13:$X$470,21,0)/1000</f>
        <v>-0.64800000000000002</v>
      </c>
      <c r="L253" s="137">
        <f t="shared" si="9"/>
        <v>-281</v>
      </c>
      <c r="M253" s="138">
        <f t="shared" si="10"/>
        <v>-473</v>
      </c>
      <c r="N253" s="137">
        <f t="shared" si="11"/>
        <v>-258</v>
      </c>
      <c r="O253" s="137"/>
    </row>
    <row r="254" spans="1:15">
      <c r="A254" s="76">
        <f>'BC.114+840'!B253</f>
        <v>45510</v>
      </c>
      <c r="B254" s="137">
        <v>240</v>
      </c>
      <c r="C254" s="139">
        <f>'BC.114+840'!M253/1000</f>
        <v>1.5269999999999999</v>
      </c>
      <c r="D254" s="139">
        <f>'BC.114+840'!AA253</f>
        <v>2.3239999999999998</v>
      </c>
      <c r="E254" s="140">
        <f>'BC.114+840'!AB253</f>
        <v>0.95399999999999996</v>
      </c>
      <c r="F254" s="139">
        <f>VLOOKUP($A254,'BC.114+840'!$B$13:$X$470,8,0)/1000</f>
        <v>2.6389999999999998</v>
      </c>
      <c r="G254" s="139">
        <f>VLOOKUP($A254,'BC.114+840'!$B$13:$X$470,9,0)/1000</f>
        <v>-0.36099999999999999</v>
      </c>
      <c r="H254" s="139">
        <f>VLOOKUP($A254,'BC.114+840'!$B$13:$X$470,14,0)/1000</f>
        <v>2.6269999999999998</v>
      </c>
      <c r="I254" s="139">
        <f>VLOOKUP($A254,'BC.114+840'!$B$13:$X$470,15,0)/1000</f>
        <v>-0.373</v>
      </c>
      <c r="J254" s="139">
        <f>VLOOKUP($A254,'BC.114+840'!$B$13:$X$470,20,0)/1000</f>
        <v>2.3519999999999999</v>
      </c>
      <c r="K254" s="139">
        <f>VLOOKUP($A254,'BC.114+840'!$B$13:$X$470,21,0)/1000</f>
        <v>-0.64800000000000002</v>
      </c>
      <c r="L254" s="137">
        <f t="shared" si="9"/>
        <v>-281</v>
      </c>
      <c r="M254" s="138">
        <f t="shared" si="10"/>
        <v>-473</v>
      </c>
      <c r="N254" s="137">
        <f t="shared" si="11"/>
        <v>-258</v>
      </c>
      <c r="O254" s="137"/>
    </row>
    <row r="255" spans="1:15">
      <c r="A255" s="76">
        <f>'BC.114+840'!B254</f>
        <v>45511</v>
      </c>
      <c r="B255" s="137">
        <f t="shared" ref="B255:B318" si="12">+B254+1</f>
        <v>241</v>
      </c>
      <c r="C255" s="139">
        <f>'BC.114+840'!M254/1000</f>
        <v>1.5269999999999999</v>
      </c>
      <c r="D255" s="139">
        <f>'BC.114+840'!AA254</f>
        <v>2.3239999999999998</v>
      </c>
      <c r="E255" s="140">
        <f>'BC.114+840'!AB254</f>
        <v>0.95399999999999996</v>
      </c>
      <c r="F255" s="139">
        <f>VLOOKUP($A255,'BC.114+840'!$B$13:$X$470,8,0)/1000</f>
        <v>2.6389999999999998</v>
      </c>
      <c r="G255" s="139">
        <f>VLOOKUP($A255,'BC.114+840'!$B$13:$X$470,9,0)/1000</f>
        <v>-0.36099999999999999</v>
      </c>
      <c r="H255" s="139">
        <f>VLOOKUP($A255,'BC.114+840'!$B$13:$X$470,14,0)/1000</f>
        <v>2.6269999999999998</v>
      </c>
      <c r="I255" s="139">
        <f>VLOOKUP($A255,'BC.114+840'!$B$13:$X$470,15,0)/1000</f>
        <v>-0.373</v>
      </c>
      <c r="J255" s="139">
        <f>VLOOKUP($A255,'BC.114+840'!$B$13:$X$470,20,0)/1000</f>
        <v>2.3519999999999999</v>
      </c>
      <c r="K255" s="139">
        <f>VLOOKUP($A255,'BC.114+840'!$B$13:$X$470,21,0)/1000</f>
        <v>-0.64800000000000002</v>
      </c>
      <c r="L255" s="137">
        <f t="shared" si="9"/>
        <v>-281</v>
      </c>
      <c r="M255" s="138">
        <f t="shared" si="10"/>
        <v>-473</v>
      </c>
      <c r="N255" s="137">
        <f t="shared" si="11"/>
        <v>-258</v>
      </c>
      <c r="O255" s="137"/>
    </row>
    <row r="256" spans="1:15">
      <c r="A256" s="76">
        <f>'BC.114+840'!B255</f>
        <v>45512</v>
      </c>
      <c r="B256" s="137">
        <f t="shared" si="12"/>
        <v>242</v>
      </c>
      <c r="C256" s="139">
        <f>'BC.114+840'!M255/1000</f>
        <v>1.5269999999999999</v>
      </c>
      <c r="D256" s="139">
        <f>'BC.114+840'!AA255</f>
        <v>2.3239999999999998</v>
      </c>
      <c r="E256" s="140">
        <f>'BC.114+840'!AB255</f>
        <v>0.95399999999999996</v>
      </c>
      <c r="F256" s="139">
        <f>VLOOKUP($A256,'BC.114+840'!$B$13:$X$470,8,0)/1000</f>
        <v>2.6389999999999998</v>
      </c>
      <c r="G256" s="139">
        <f>VLOOKUP($A256,'BC.114+840'!$B$13:$X$470,9,0)/1000</f>
        <v>-0.36099999999999999</v>
      </c>
      <c r="H256" s="139">
        <f>VLOOKUP($A256,'BC.114+840'!$B$13:$X$470,14,0)/1000</f>
        <v>2.6269999999999998</v>
      </c>
      <c r="I256" s="139">
        <f>VLOOKUP($A256,'BC.114+840'!$B$13:$X$470,15,0)/1000</f>
        <v>-0.373</v>
      </c>
      <c r="J256" s="139">
        <f>VLOOKUP($A256,'BC.114+840'!$B$13:$X$470,20,0)/1000</f>
        <v>2.3519999999999999</v>
      </c>
      <c r="K256" s="139">
        <f>VLOOKUP($A256,'BC.114+840'!$B$13:$X$470,21,0)/1000</f>
        <v>-0.64800000000000002</v>
      </c>
      <c r="L256" s="137">
        <f t="shared" si="9"/>
        <v>-281</v>
      </c>
      <c r="M256" s="138">
        <f t="shared" si="10"/>
        <v>-473</v>
      </c>
      <c r="N256" s="137">
        <f t="shared" si="11"/>
        <v>-258</v>
      </c>
      <c r="O256" s="137"/>
    </row>
    <row r="257" spans="1:15">
      <c r="A257" s="76">
        <f>'BC.114+840'!B256</f>
        <v>45513</v>
      </c>
      <c r="B257" s="137">
        <f t="shared" si="12"/>
        <v>243</v>
      </c>
      <c r="C257" s="139">
        <f>'BC.114+840'!M256/1000</f>
        <v>1.5269999999999999</v>
      </c>
      <c r="D257" s="139">
        <f>'BC.114+840'!AA256</f>
        <v>2.3239999999999998</v>
      </c>
      <c r="E257" s="140">
        <f>'BC.114+840'!AB256</f>
        <v>0.95399999999999996</v>
      </c>
      <c r="F257" s="139">
        <f>VLOOKUP($A257,'BC.114+840'!$B$13:$X$470,8,0)/1000</f>
        <v>2.6389999999999998</v>
      </c>
      <c r="G257" s="139">
        <f>VLOOKUP($A257,'BC.114+840'!$B$13:$X$470,9,0)/1000</f>
        <v>-0.36099999999999999</v>
      </c>
      <c r="H257" s="139">
        <f>VLOOKUP($A257,'BC.114+840'!$B$13:$X$470,14,0)/1000</f>
        <v>2.6269999999999998</v>
      </c>
      <c r="I257" s="139">
        <f>VLOOKUP($A257,'BC.114+840'!$B$13:$X$470,15,0)/1000</f>
        <v>-0.373</v>
      </c>
      <c r="J257" s="139">
        <f>VLOOKUP($A257,'BC.114+840'!$B$13:$X$470,20,0)/1000</f>
        <v>2.3519999999999999</v>
      </c>
      <c r="K257" s="139">
        <f>VLOOKUP($A257,'BC.114+840'!$B$13:$X$470,21,0)/1000</f>
        <v>-0.64800000000000002</v>
      </c>
      <c r="L257" s="137">
        <f t="shared" si="9"/>
        <v>-281</v>
      </c>
      <c r="M257" s="138">
        <f t="shared" si="10"/>
        <v>-473</v>
      </c>
      <c r="N257" s="137">
        <f t="shared" si="11"/>
        <v>-258</v>
      </c>
      <c r="O257" s="137"/>
    </row>
    <row r="258" spans="1:15">
      <c r="A258" s="76">
        <f>'BC.114+840'!B257</f>
        <v>45514</v>
      </c>
      <c r="B258" s="137">
        <f t="shared" si="12"/>
        <v>244</v>
      </c>
      <c r="C258" s="139">
        <f>'BC.114+840'!M257/1000</f>
        <v>1.5269999999999999</v>
      </c>
      <c r="D258" s="139">
        <f>'BC.114+840'!AA257</f>
        <v>2.3239999999999998</v>
      </c>
      <c r="E258" s="140">
        <f>'BC.114+840'!AB257</f>
        <v>0.95399999999999996</v>
      </c>
      <c r="F258" s="139">
        <f>VLOOKUP($A258,'BC.114+840'!$B$13:$X$470,8,0)/1000</f>
        <v>2.6389999999999998</v>
      </c>
      <c r="G258" s="139">
        <f>VLOOKUP($A258,'BC.114+840'!$B$13:$X$470,9,0)/1000</f>
        <v>-0.36099999999999999</v>
      </c>
      <c r="H258" s="139">
        <f>VLOOKUP($A258,'BC.114+840'!$B$13:$X$470,14,0)/1000</f>
        <v>2.6269999999999998</v>
      </c>
      <c r="I258" s="139">
        <f>VLOOKUP($A258,'BC.114+840'!$B$13:$X$470,15,0)/1000</f>
        <v>-0.373</v>
      </c>
      <c r="J258" s="139">
        <f>VLOOKUP($A258,'BC.114+840'!$B$13:$X$470,20,0)/1000</f>
        <v>2.3519999999999999</v>
      </c>
      <c r="K258" s="139">
        <f>VLOOKUP($A258,'BC.114+840'!$B$13:$X$470,21,0)/1000</f>
        <v>-0.64800000000000002</v>
      </c>
      <c r="L258" s="137">
        <f t="shared" si="9"/>
        <v>-281</v>
      </c>
      <c r="M258" s="138">
        <f t="shared" si="10"/>
        <v>-473</v>
      </c>
      <c r="N258" s="137">
        <f t="shared" si="11"/>
        <v>-258</v>
      </c>
      <c r="O258" s="137"/>
    </row>
    <row r="259" spans="1:15">
      <c r="A259" s="76">
        <f>'BC.114+840'!B258</f>
        <v>45515</v>
      </c>
      <c r="B259" s="137">
        <f t="shared" si="12"/>
        <v>245</v>
      </c>
      <c r="C259" s="139">
        <f>'BC.114+840'!M258/1000</f>
        <v>1.5269999999999999</v>
      </c>
      <c r="D259" s="139">
        <f>'BC.114+840'!AA258</f>
        <v>2.3239999999999998</v>
      </c>
      <c r="E259" s="140">
        <f>'BC.114+840'!AB258</f>
        <v>0.95399999999999996</v>
      </c>
      <c r="F259" s="139">
        <f>VLOOKUP($A259,'BC.114+840'!$B$13:$X$470,8,0)/1000</f>
        <v>2.6389999999999998</v>
      </c>
      <c r="G259" s="139">
        <f>VLOOKUP($A259,'BC.114+840'!$B$13:$X$470,9,0)/1000</f>
        <v>-0.36099999999999999</v>
      </c>
      <c r="H259" s="139">
        <f>VLOOKUP($A259,'BC.114+840'!$B$13:$X$470,14,0)/1000</f>
        <v>2.6269999999999998</v>
      </c>
      <c r="I259" s="139">
        <f>VLOOKUP($A259,'BC.114+840'!$B$13:$X$470,15,0)/1000</f>
        <v>-0.373</v>
      </c>
      <c r="J259" s="139">
        <f>VLOOKUP($A259,'BC.114+840'!$B$13:$X$470,20,0)/1000</f>
        <v>2.3519999999999999</v>
      </c>
      <c r="K259" s="139">
        <f>VLOOKUP($A259,'BC.114+840'!$B$13:$X$470,21,0)/1000</f>
        <v>-0.64800000000000002</v>
      </c>
      <c r="L259" s="137">
        <f t="shared" si="9"/>
        <v>-281</v>
      </c>
      <c r="M259" s="138">
        <f t="shared" si="10"/>
        <v>-473</v>
      </c>
      <c r="N259" s="137">
        <f t="shared" si="11"/>
        <v>-258</v>
      </c>
      <c r="O259" s="137"/>
    </row>
    <row r="260" spans="1:15">
      <c r="A260" s="76">
        <f>'BC.114+840'!B259</f>
        <v>45516</v>
      </c>
      <c r="B260" s="137">
        <f t="shared" si="12"/>
        <v>246</v>
      </c>
      <c r="C260" s="139">
        <f>'BC.114+840'!M259/1000</f>
        <v>1.5269999999999999</v>
      </c>
      <c r="D260" s="139">
        <f>'BC.114+840'!AA259</f>
        <v>2.3239999999999998</v>
      </c>
      <c r="E260" s="140">
        <f>'BC.114+840'!AB259</f>
        <v>0.95399999999999996</v>
      </c>
      <c r="F260" s="139">
        <f>VLOOKUP($A260,'BC.114+840'!$B$13:$X$470,8,0)/1000</f>
        <v>2.6389999999999998</v>
      </c>
      <c r="G260" s="139">
        <f>VLOOKUP($A260,'BC.114+840'!$B$13:$X$470,9,0)/1000</f>
        <v>-0.36099999999999999</v>
      </c>
      <c r="H260" s="139">
        <f>VLOOKUP($A260,'BC.114+840'!$B$13:$X$470,14,0)/1000</f>
        <v>2.6269999999999998</v>
      </c>
      <c r="I260" s="139">
        <f>VLOOKUP($A260,'BC.114+840'!$B$13:$X$470,15,0)/1000</f>
        <v>-0.373</v>
      </c>
      <c r="J260" s="139">
        <f>VLOOKUP($A260,'BC.114+840'!$B$13:$X$470,20,0)/1000</f>
        <v>2.3519999999999999</v>
      </c>
      <c r="K260" s="139">
        <f>VLOOKUP($A260,'BC.114+840'!$B$13:$X$470,21,0)/1000</f>
        <v>-0.64800000000000002</v>
      </c>
      <c r="L260" s="137">
        <f t="shared" si="9"/>
        <v>-281</v>
      </c>
      <c r="M260" s="138">
        <f t="shared" si="10"/>
        <v>-473</v>
      </c>
      <c r="N260" s="137">
        <f t="shared" si="11"/>
        <v>-258</v>
      </c>
      <c r="O260" s="137"/>
    </row>
    <row r="261" spans="1:15">
      <c r="A261" s="76">
        <f>'BC.114+840'!B260</f>
        <v>45517</v>
      </c>
      <c r="B261" s="137">
        <f t="shared" si="12"/>
        <v>247</v>
      </c>
      <c r="C261" s="139">
        <f>'BC.114+840'!M260/1000</f>
        <v>1.5269999999999999</v>
      </c>
      <c r="D261" s="139">
        <f>'BC.114+840'!AA260</f>
        <v>2.3239999999999998</v>
      </c>
      <c r="E261" s="140">
        <f>'BC.114+840'!AB260</f>
        <v>0.95399999999999996</v>
      </c>
      <c r="F261" s="139">
        <f>VLOOKUP($A261,'BC.114+840'!$B$13:$X$470,8,0)/1000</f>
        <v>2.6389999999999998</v>
      </c>
      <c r="G261" s="139">
        <f>VLOOKUP($A261,'BC.114+840'!$B$13:$X$470,9,0)/1000</f>
        <v>-0.36099999999999999</v>
      </c>
      <c r="H261" s="139">
        <f>VLOOKUP($A261,'BC.114+840'!$B$13:$X$470,14,0)/1000</f>
        <v>2.6269999999999998</v>
      </c>
      <c r="I261" s="139">
        <f>VLOOKUP($A261,'BC.114+840'!$B$13:$X$470,15,0)/1000</f>
        <v>-0.373</v>
      </c>
      <c r="J261" s="139">
        <f>VLOOKUP($A261,'BC.114+840'!$B$13:$X$470,20,0)/1000</f>
        <v>2.3519999999999999</v>
      </c>
      <c r="K261" s="139">
        <f>VLOOKUP($A261,'BC.114+840'!$B$13:$X$470,21,0)/1000</f>
        <v>-0.64800000000000002</v>
      </c>
      <c r="L261" s="137">
        <f t="shared" si="9"/>
        <v>-281</v>
      </c>
      <c r="M261" s="138">
        <f t="shared" si="10"/>
        <v>-473</v>
      </c>
      <c r="N261" s="137">
        <f t="shared" si="11"/>
        <v>-258</v>
      </c>
      <c r="O261" s="137"/>
    </row>
    <row r="262" spans="1:15">
      <c r="A262" s="76">
        <f>'BC.114+840'!B261</f>
        <v>45518</v>
      </c>
      <c r="B262" s="137">
        <f t="shared" si="12"/>
        <v>248</v>
      </c>
      <c r="C262" s="139">
        <f>'BC.114+840'!M261/1000</f>
        <v>1.5269999999999999</v>
      </c>
      <c r="D262" s="139">
        <f>'BC.114+840'!AA261</f>
        <v>2.3239999999999998</v>
      </c>
      <c r="E262" s="140">
        <f>'BC.114+840'!AB261</f>
        <v>0.95399999999999996</v>
      </c>
      <c r="F262" s="139">
        <f>VLOOKUP($A262,'BC.114+840'!$B$13:$X$470,8,0)/1000</f>
        <v>2.6389999999999998</v>
      </c>
      <c r="G262" s="139">
        <f>VLOOKUP($A262,'BC.114+840'!$B$13:$X$470,9,0)/1000</f>
        <v>-0.36099999999999999</v>
      </c>
      <c r="H262" s="139">
        <f>VLOOKUP($A262,'BC.114+840'!$B$13:$X$470,14,0)/1000</f>
        <v>2.6269999999999998</v>
      </c>
      <c r="I262" s="139">
        <f>VLOOKUP($A262,'BC.114+840'!$B$13:$X$470,15,0)/1000</f>
        <v>-0.373</v>
      </c>
      <c r="J262" s="139">
        <f>VLOOKUP($A262,'BC.114+840'!$B$13:$X$470,20,0)/1000</f>
        <v>2.3519999999999999</v>
      </c>
      <c r="K262" s="139">
        <f>VLOOKUP($A262,'BC.114+840'!$B$13:$X$470,21,0)/1000</f>
        <v>-0.64800000000000002</v>
      </c>
      <c r="L262" s="137">
        <f t="shared" si="9"/>
        <v>-281</v>
      </c>
      <c r="M262" s="138">
        <f t="shared" si="10"/>
        <v>-473</v>
      </c>
      <c r="N262" s="137">
        <f t="shared" si="11"/>
        <v>-258</v>
      </c>
      <c r="O262" s="137"/>
    </row>
    <row r="263" spans="1:15">
      <c r="A263" s="76">
        <f>'BC.114+840'!B262</f>
        <v>45519</v>
      </c>
      <c r="B263" s="137">
        <f t="shared" si="12"/>
        <v>249</v>
      </c>
      <c r="C263" s="139">
        <f>'BC.114+840'!M262/1000</f>
        <v>1.5269999999999999</v>
      </c>
      <c r="D263" s="139">
        <f>'BC.114+840'!AA262</f>
        <v>2.3239999999999998</v>
      </c>
      <c r="E263" s="140">
        <f>'BC.114+840'!AB262</f>
        <v>0.95399999999999996</v>
      </c>
      <c r="F263" s="139">
        <f>VLOOKUP($A263,'BC.114+840'!$B$13:$X$470,8,0)/1000</f>
        <v>2.6389999999999998</v>
      </c>
      <c r="G263" s="139">
        <f>VLOOKUP($A263,'BC.114+840'!$B$13:$X$470,9,0)/1000</f>
        <v>-0.36099999999999999</v>
      </c>
      <c r="H263" s="139">
        <f>VLOOKUP($A263,'BC.114+840'!$B$13:$X$470,14,0)/1000</f>
        <v>2.6269999999999998</v>
      </c>
      <c r="I263" s="139">
        <f>VLOOKUP($A263,'BC.114+840'!$B$13:$X$470,15,0)/1000</f>
        <v>-0.373</v>
      </c>
      <c r="J263" s="139">
        <f>VLOOKUP($A263,'BC.114+840'!$B$13:$X$470,20,0)/1000</f>
        <v>2.3519999999999999</v>
      </c>
      <c r="K263" s="139">
        <f>VLOOKUP($A263,'BC.114+840'!$B$13:$X$470,21,0)/1000</f>
        <v>-0.64800000000000002</v>
      </c>
      <c r="L263" s="137">
        <f t="shared" si="9"/>
        <v>-281</v>
      </c>
      <c r="M263" s="138">
        <f t="shared" si="10"/>
        <v>-473</v>
      </c>
      <c r="N263" s="137">
        <f t="shared" si="11"/>
        <v>-258</v>
      </c>
      <c r="O263" s="137"/>
    </row>
    <row r="264" spans="1:15">
      <c r="A264" s="76">
        <f>'BC.114+840'!B263</f>
        <v>45520</v>
      </c>
      <c r="B264" s="137">
        <f t="shared" si="12"/>
        <v>250</v>
      </c>
      <c r="C264" s="139">
        <f>'BC.114+840'!M263/1000</f>
        <v>1.5269999999999999</v>
      </c>
      <c r="D264" s="139">
        <f>'BC.114+840'!AA263</f>
        <v>2.3239999999999998</v>
      </c>
      <c r="E264" s="140">
        <f>'BC.114+840'!AB263</f>
        <v>0.95399999999999996</v>
      </c>
      <c r="F264" s="139">
        <f>VLOOKUP($A264,'BC.114+840'!$B$13:$X$470,8,0)/1000</f>
        <v>2.6389999999999998</v>
      </c>
      <c r="G264" s="139">
        <f>VLOOKUP($A264,'BC.114+840'!$B$13:$X$470,9,0)/1000</f>
        <v>-0.36099999999999999</v>
      </c>
      <c r="H264" s="139">
        <f>VLOOKUP($A264,'BC.114+840'!$B$13:$X$470,14,0)/1000</f>
        <v>2.6269999999999998</v>
      </c>
      <c r="I264" s="139">
        <f>VLOOKUP($A264,'BC.114+840'!$B$13:$X$470,15,0)/1000</f>
        <v>-0.373</v>
      </c>
      <c r="J264" s="139">
        <f>VLOOKUP($A264,'BC.114+840'!$B$13:$X$470,20,0)/1000</f>
        <v>2.3519999999999999</v>
      </c>
      <c r="K264" s="139">
        <f>VLOOKUP($A264,'BC.114+840'!$B$13:$X$470,21,0)/1000</f>
        <v>-0.64800000000000002</v>
      </c>
      <c r="L264" s="137">
        <f t="shared" si="9"/>
        <v>-281</v>
      </c>
      <c r="M264" s="138">
        <f t="shared" si="10"/>
        <v>-473</v>
      </c>
      <c r="N264" s="137">
        <f t="shared" si="11"/>
        <v>-258</v>
      </c>
      <c r="O264" s="137"/>
    </row>
    <row r="265" spans="1:15">
      <c r="A265" s="76">
        <f>'BC.114+840'!B264</f>
        <v>45521</v>
      </c>
      <c r="B265" s="137">
        <f t="shared" si="12"/>
        <v>251</v>
      </c>
      <c r="C265" s="139">
        <f>'BC.114+840'!M264/1000</f>
        <v>1.5269999999999999</v>
      </c>
      <c r="D265" s="139">
        <f>'BC.114+840'!AA264</f>
        <v>2.3239999999999998</v>
      </c>
      <c r="E265" s="140">
        <f>'BC.114+840'!AB264</f>
        <v>0.95399999999999996</v>
      </c>
      <c r="F265" s="139">
        <f>VLOOKUP($A265,'BC.114+840'!$B$13:$X$470,8,0)/1000</f>
        <v>2.6389999999999998</v>
      </c>
      <c r="G265" s="139">
        <f>VLOOKUP($A265,'BC.114+840'!$B$13:$X$470,9,0)/1000</f>
        <v>-0.36099999999999999</v>
      </c>
      <c r="H265" s="139">
        <f>VLOOKUP($A265,'BC.114+840'!$B$13:$X$470,14,0)/1000</f>
        <v>2.6269999999999998</v>
      </c>
      <c r="I265" s="139">
        <f>VLOOKUP($A265,'BC.114+840'!$B$13:$X$470,15,0)/1000</f>
        <v>-0.373</v>
      </c>
      <c r="J265" s="139">
        <f>VLOOKUP($A265,'BC.114+840'!$B$13:$X$470,20,0)/1000</f>
        <v>2.3519999999999999</v>
      </c>
      <c r="K265" s="139">
        <f>VLOOKUP($A265,'BC.114+840'!$B$13:$X$470,21,0)/1000</f>
        <v>-0.64800000000000002</v>
      </c>
      <c r="L265" s="137">
        <f t="shared" si="9"/>
        <v>-281</v>
      </c>
      <c r="M265" s="138">
        <f t="shared" si="10"/>
        <v>-473</v>
      </c>
      <c r="N265" s="137">
        <f t="shared" si="11"/>
        <v>-258</v>
      </c>
      <c r="O265" s="137"/>
    </row>
    <row r="266" spans="1:15">
      <c r="A266" s="76">
        <f>'BC.114+840'!B265</f>
        <v>45522</v>
      </c>
      <c r="B266" s="137">
        <f t="shared" si="12"/>
        <v>252</v>
      </c>
      <c r="C266" s="139">
        <f>'BC.114+840'!M265/1000</f>
        <v>1.5269999999999999</v>
      </c>
      <c r="D266" s="139">
        <f>'BC.114+840'!AA265</f>
        <v>2.3239999999999998</v>
      </c>
      <c r="E266" s="140">
        <f>'BC.114+840'!AB265</f>
        <v>0.95399999999999996</v>
      </c>
      <c r="F266" s="139">
        <f>VLOOKUP($A266,'BC.114+840'!$B$13:$X$470,8,0)/1000</f>
        <v>2.6389999999999998</v>
      </c>
      <c r="G266" s="139">
        <f>VLOOKUP($A266,'BC.114+840'!$B$13:$X$470,9,0)/1000</f>
        <v>-0.36099999999999999</v>
      </c>
      <c r="H266" s="139">
        <f>VLOOKUP($A266,'BC.114+840'!$B$13:$X$470,14,0)/1000</f>
        <v>2.6269999999999998</v>
      </c>
      <c r="I266" s="139">
        <f>VLOOKUP($A266,'BC.114+840'!$B$13:$X$470,15,0)/1000</f>
        <v>-0.373</v>
      </c>
      <c r="J266" s="139">
        <f>VLOOKUP($A266,'BC.114+840'!$B$13:$X$470,20,0)/1000</f>
        <v>2.3519999999999999</v>
      </c>
      <c r="K266" s="139">
        <f>VLOOKUP($A266,'BC.114+840'!$B$13:$X$470,21,0)/1000</f>
        <v>-0.64800000000000002</v>
      </c>
      <c r="L266" s="137">
        <f t="shared" si="9"/>
        <v>-281</v>
      </c>
      <c r="M266" s="138">
        <f t="shared" si="10"/>
        <v>-473</v>
      </c>
      <c r="N266" s="137">
        <f t="shared" si="11"/>
        <v>-258</v>
      </c>
      <c r="O266" s="137"/>
    </row>
    <row r="267" spans="1:15">
      <c r="A267" s="76">
        <f>'BC.114+840'!B266</f>
        <v>45523</v>
      </c>
      <c r="B267" s="137">
        <f t="shared" si="12"/>
        <v>253</v>
      </c>
      <c r="C267" s="139">
        <f>'BC.114+840'!M266/1000</f>
        <v>1.5269999999999999</v>
      </c>
      <c r="D267" s="139">
        <f>'BC.114+840'!AA266</f>
        <v>2.3239999999999998</v>
      </c>
      <c r="E267" s="140">
        <f>'BC.114+840'!AB266</f>
        <v>0.95399999999999996</v>
      </c>
      <c r="F267" s="139">
        <f>VLOOKUP($A267,'BC.114+840'!$B$13:$X$470,8,0)/1000</f>
        <v>2.6389999999999998</v>
      </c>
      <c r="G267" s="139">
        <f>VLOOKUP($A267,'BC.114+840'!$B$13:$X$470,9,0)/1000</f>
        <v>-0.36099999999999999</v>
      </c>
      <c r="H267" s="139">
        <f>VLOOKUP($A267,'BC.114+840'!$B$13:$X$470,14,0)/1000</f>
        <v>2.6269999999999998</v>
      </c>
      <c r="I267" s="139">
        <f>VLOOKUP($A267,'BC.114+840'!$B$13:$X$470,15,0)/1000</f>
        <v>-0.373</v>
      </c>
      <c r="J267" s="139">
        <f>VLOOKUP($A267,'BC.114+840'!$B$13:$X$470,20,0)/1000</f>
        <v>2.3519999999999999</v>
      </c>
      <c r="K267" s="139">
        <f>VLOOKUP($A267,'BC.114+840'!$B$13:$X$470,21,0)/1000</f>
        <v>-0.64800000000000002</v>
      </c>
      <c r="L267" s="137">
        <f t="shared" si="9"/>
        <v>-281</v>
      </c>
      <c r="M267" s="138">
        <f t="shared" si="10"/>
        <v>-473</v>
      </c>
      <c r="N267" s="137">
        <f t="shared" si="11"/>
        <v>-258</v>
      </c>
      <c r="O267" s="137"/>
    </row>
    <row r="268" spans="1:15">
      <c r="A268" s="76">
        <f>'BC.114+840'!B267</f>
        <v>45524</v>
      </c>
      <c r="B268" s="137">
        <f t="shared" si="12"/>
        <v>254</v>
      </c>
      <c r="C268" s="139">
        <f>'BC.114+840'!M267/1000</f>
        <v>1.5269999999999999</v>
      </c>
      <c r="D268" s="139">
        <f>'BC.114+840'!AA267</f>
        <v>2.3239999999999998</v>
      </c>
      <c r="E268" s="140">
        <f>'BC.114+840'!AB267</f>
        <v>0.95399999999999996</v>
      </c>
      <c r="F268" s="139">
        <f>VLOOKUP($A268,'BC.114+840'!$B$13:$X$470,8,0)/1000</f>
        <v>2.6389999999999998</v>
      </c>
      <c r="G268" s="139">
        <f>VLOOKUP($A268,'BC.114+840'!$B$13:$X$470,9,0)/1000</f>
        <v>-0.36099999999999999</v>
      </c>
      <c r="H268" s="139">
        <f>VLOOKUP($A268,'BC.114+840'!$B$13:$X$470,14,0)/1000</f>
        <v>2.6269999999999998</v>
      </c>
      <c r="I268" s="139">
        <f>VLOOKUP($A268,'BC.114+840'!$B$13:$X$470,15,0)/1000</f>
        <v>-0.373</v>
      </c>
      <c r="J268" s="139">
        <f>VLOOKUP($A268,'BC.114+840'!$B$13:$X$470,20,0)/1000</f>
        <v>2.3519999999999999</v>
      </c>
      <c r="K268" s="139">
        <f>VLOOKUP($A268,'BC.114+840'!$B$13:$X$470,21,0)/1000</f>
        <v>-0.64800000000000002</v>
      </c>
      <c r="L268" s="137">
        <f t="shared" si="9"/>
        <v>-281</v>
      </c>
      <c r="M268" s="138">
        <f t="shared" si="10"/>
        <v>-473</v>
      </c>
      <c r="N268" s="137">
        <f t="shared" si="11"/>
        <v>-258</v>
      </c>
      <c r="O268" s="137"/>
    </row>
    <row r="269" spans="1:15">
      <c r="A269" s="76">
        <f>'BC.114+840'!B268</f>
        <v>45525</v>
      </c>
      <c r="B269" s="137">
        <f t="shared" si="12"/>
        <v>255</v>
      </c>
      <c r="C269" s="139">
        <f>'BC.114+840'!M268/1000</f>
        <v>1.5269999999999999</v>
      </c>
      <c r="D269" s="139">
        <f>'BC.114+840'!AA268</f>
        <v>2.3239999999999998</v>
      </c>
      <c r="E269" s="140">
        <f>'BC.114+840'!AB268</f>
        <v>0.95399999999999996</v>
      </c>
      <c r="F269" s="139">
        <f>VLOOKUP($A269,'BC.114+840'!$B$13:$X$470,8,0)/1000</f>
        <v>2.6389999999999998</v>
      </c>
      <c r="G269" s="139">
        <f>VLOOKUP($A269,'BC.114+840'!$B$13:$X$470,9,0)/1000</f>
        <v>-0.36099999999999999</v>
      </c>
      <c r="H269" s="139">
        <f>VLOOKUP($A269,'BC.114+840'!$B$13:$X$470,14,0)/1000</f>
        <v>2.6269999999999998</v>
      </c>
      <c r="I269" s="139">
        <f>VLOOKUP($A269,'BC.114+840'!$B$13:$X$470,15,0)/1000</f>
        <v>-0.373</v>
      </c>
      <c r="J269" s="139">
        <f>VLOOKUP($A269,'BC.114+840'!$B$13:$X$470,20,0)/1000</f>
        <v>2.3519999999999999</v>
      </c>
      <c r="K269" s="139">
        <f>VLOOKUP($A269,'BC.114+840'!$B$13:$X$470,21,0)/1000</f>
        <v>-0.64800000000000002</v>
      </c>
      <c r="L269" s="137">
        <f t="shared" si="9"/>
        <v>-281</v>
      </c>
      <c r="M269" s="138">
        <f t="shared" si="10"/>
        <v>-473</v>
      </c>
      <c r="N269" s="137">
        <f t="shared" si="11"/>
        <v>-258</v>
      </c>
      <c r="O269" s="137"/>
    </row>
    <row r="270" spans="1:15">
      <c r="A270" s="76">
        <f>'BC.114+840'!B269</f>
        <v>45526</v>
      </c>
      <c r="B270" s="137">
        <f t="shared" si="12"/>
        <v>256</v>
      </c>
      <c r="C270" s="139">
        <f>'BC.114+840'!M269/1000</f>
        <v>1.5269999999999999</v>
      </c>
      <c r="D270" s="139">
        <f>'BC.114+840'!AA269</f>
        <v>2.3239999999999998</v>
      </c>
      <c r="E270" s="140">
        <f>'BC.114+840'!AB269</f>
        <v>0.95399999999999996</v>
      </c>
      <c r="F270" s="139">
        <f>VLOOKUP($A270,'BC.114+840'!$B$13:$X$470,8,0)/1000</f>
        <v>2.6389999999999998</v>
      </c>
      <c r="G270" s="139">
        <f>VLOOKUP($A270,'BC.114+840'!$B$13:$X$470,9,0)/1000</f>
        <v>-0.36099999999999999</v>
      </c>
      <c r="H270" s="139">
        <f>VLOOKUP($A270,'BC.114+840'!$B$13:$X$470,14,0)/1000</f>
        <v>2.6269999999999998</v>
      </c>
      <c r="I270" s="139">
        <f>VLOOKUP($A270,'BC.114+840'!$B$13:$X$470,15,0)/1000</f>
        <v>-0.373</v>
      </c>
      <c r="J270" s="139">
        <f>VLOOKUP($A270,'BC.114+840'!$B$13:$X$470,20,0)/1000</f>
        <v>2.3519999999999999</v>
      </c>
      <c r="K270" s="139">
        <f>VLOOKUP($A270,'BC.114+840'!$B$13:$X$470,21,0)/1000</f>
        <v>-0.64800000000000002</v>
      </c>
      <c r="L270" s="137">
        <f t="shared" ref="L270:L333" si="13">(G270-$G$14)*1000</f>
        <v>-281</v>
      </c>
      <c r="M270" s="138">
        <f t="shared" ref="M270:M333" si="14">(I270-$I$14)*1000</f>
        <v>-473</v>
      </c>
      <c r="N270" s="137">
        <f t="shared" si="11"/>
        <v>-258</v>
      </c>
      <c r="O270" s="137"/>
    </row>
    <row r="271" spans="1:15">
      <c r="A271" s="76">
        <f>'BC.114+840'!B270</f>
        <v>45527</v>
      </c>
      <c r="B271" s="137">
        <f t="shared" si="12"/>
        <v>257</v>
      </c>
      <c r="C271" s="139">
        <f>'BC.114+840'!M270/1000</f>
        <v>1.5269999999999999</v>
      </c>
      <c r="D271" s="139">
        <f>'BC.114+840'!AA270</f>
        <v>2.3239999999999998</v>
      </c>
      <c r="E271" s="140">
        <f>'BC.114+840'!AB270</f>
        <v>0.95399999999999996</v>
      </c>
      <c r="F271" s="139">
        <f>VLOOKUP($A271,'BC.114+840'!$B$13:$X$470,8,0)/1000</f>
        <v>2.6389999999999998</v>
      </c>
      <c r="G271" s="139">
        <f>VLOOKUP($A271,'BC.114+840'!$B$13:$X$470,9,0)/1000</f>
        <v>-0.36099999999999999</v>
      </c>
      <c r="H271" s="139">
        <f>VLOOKUP($A271,'BC.114+840'!$B$13:$X$470,14,0)/1000</f>
        <v>2.6269999999999998</v>
      </c>
      <c r="I271" s="139">
        <f>VLOOKUP($A271,'BC.114+840'!$B$13:$X$470,15,0)/1000</f>
        <v>-0.373</v>
      </c>
      <c r="J271" s="139">
        <f>VLOOKUP($A271,'BC.114+840'!$B$13:$X$470,20,0)/1000</f>
        <v>2.3519999999999999</v>
      </c>
      <c r="K271" s="139">
        <f>VLOOKUP($A271,'BC.114+840'!$B$13:$X$470,21,0)/1000</f>
        <v>-0.64800000000000002</v>
      </c>
      <c r="L271" s="137">
        <f t="shared" si="13"/>
        <v>-281</v>
      </c>
      <c r="M271" s="138">
        <f t="shared" si="14"/>
        <v>-473</v>
      </c>
      <c r="N271" s="137">
        <f t="shared" ref="N271:N334" si="15">(K271-$K$14)*1000</f>
        <v>-258</v>
      </c>
      <c r="O271" s="137"/>
    </row>
    <row r="272" spans="1:15">
      <c r="A272" s="76">
        <f>'BC.114+840'!B271</f>
        <v>45528</v>
      </c>
      <c r="B272" s="137">
        <f t="shared" si="12"/>
        <v>258</v>
      </c>
      <c r="C272" s="139">
        <f>'BC.114+840'!M271/1000</f>
        <v>1.5269999999999999</v>
      </c>
      <c r="D272" s="139">
        <f>'BC.114+840'!AA271</f>
        <v>2.3239999999999998</v>
      </c>
      <c r="E272" s="140">
        <f>'BC.114+840'!AB271</f>
        <v>0.95399999999999996</v>
      </c>
      <c r="F272" s="139">
        <f>VLOOKUP($A272,'BC.114+840'!$B$13:$X$470,8,0)/1000</f>
        <v>2.6389999999999998</v>
      </c>
      <c r="G272" s="139">
        <f>VLOOKUP($A272,'BC.114+840'!$B$13:$X$470,9,0)/1000</f>
        <v>-0.36099999999999999</v>
      </c>
      <c r="H272" s="139">
        <f>VLOOKUP($A272,'BC.114+840'!$B$13:$X$470,14,0)/1000</f>
        <v>2.6269999999999998</v>
      </c>
      <c r="I272" s="139">
        <f>VLOOKUP($A272,'BC.114+840'!$B$13:$X$470,15,0)/1000</f>
        <v>-0.373</v>
      </c>
      <c r="J272" s="139">
        <f>VLOOKUP($A272,'BC.114+840'!$B$13:$X$470,20,0)/1000</f>
        <v>2.3519999999999999</v>
      </c>
      <c r="K272" s="139">
        <f>VLOOKUP($A272,'BC.114+840'!$B$13:$X$470,21,0)/1000</f>
        <v>-0.64800000000000002</v>
      </c>
      <c r="L272" s="137">
        <f t="shared" si="13"/>
        <v>-281</v>
      </c>
      <c r="M272" s="138">
        <f t="shared" si="14"/>
        <v>-473</v>
      </c>
      <c r="N272" s="137">
        <f t="shared" si="15"/>
        <v>-258</v>
      </c>
      <c r="O272" s="137"/>
    </row>
    <row r="273" spans="1:15">
      <c r="A273" s="76">
        <f>'BC.114+840'!B272</f>
        <v>45529</v>
      </c>
      <c r="B273" s="137">
        <f t="shared" si="12"/>
        <v>259</v>
      </c>
      <c r="C273" s="139">
        <f>'BC.114+840'!M272/1000</f>
        <v>1.5269999999999999</v>
      </c>
      <c r="D273" s="139">
        <f>'BC.114+840'!AA272</f>
        <v>2.3239999999999998</v>
      </c>
      <c r="E273" s="140">
        <f>'BC.114+840'!AB272</f>
        <v>0.95399999999999996</v>
      </c>
      <c r="F273" s="139">
        <f>VLOOKUP($A273,'BC.114+840'!$B$13:$X$470,8,0)/1000</f>
        <v>2.6389999999999998</v>
      </c>
      <c r="G273" s="139">
        <f>VLOOKUP($A273,'BC.114+840'!$B$13:$X$470,9,0)/1000</f>
        <v>-0.36099999999999999</v>
      </c>
      <c r="H273" s="139">
        <f>VLOOKUP($A273,'BC.114+840'!$B$13:$X$470,14,0)/1000</f>
        <v>2.6269999999999998</v>
      </c>
      <c r="I273" s="139">
        <f>VLOOKUP($A273,'BC.114+840'!$B$13:$X$470,15,0)/1000</f>
        <v>-0.373</v>
      </c>
      <c r="J273" s="139">
        <f>VLOOKUP($A273,'BC.114+840'!$B$13:$X$470,20,0)/1000</f>
        <v>2.3519999999999999</v>
      </c>
      <c r="K273" s="139">
        <f>VLOOKUP($A273,'BC.114+840'!$B$13:$X$470,21,0)/1000</f>
        <v>-0.64800000000000002</v>
      </c>
      <c r="L273" s="137">
        <f t="shared" si="13"/>
        <v>-281</v>
      </c>
      <c r="M273" s="138">
        <f t="shared" si="14"/>
        <v>-473</v>
      </c>
      <c r="N273" s="137">
        <f t="shared" si="15"/>
        <v>-258</v>
      </c>
      <c r="O273" s="137"/>
    </row>
    <row r="274" spans="1:15">
      <c r="A274" s="76">
        <f>'BC.114+840'!B273</f>
        <v>45530</v>
      </c>
      <c r="B274" s="137">
        <f t="shared" si="12"/>
        <v>260</v>
      </c>
      <c r="C274" s="139">
        <f>'BC.114+840'!M273/1000</f>
        <v>1.5269999999999999</v>
      </c>
      <c r="D274" s="139">
        <f>'BC.114+840'!AA273</f>
        <v>2.3239999999999998</v>
      </c>
      <c r="E274" s="140">
        <f>'BC.114+840'!AB273</f>
        <v>0.95399999999999996</v>
      </c>
      <c r="F274" s="139">
        <f>VLOOKUP($A274,'BC.114+840'!$B$13:$X$470,8,0)/1000</f>
        <v>2.6389999999999998</v>
      </c>
      <c r="G274" s="139">
        <f>VLOOKUP($A274,'BC.114+840'!$B$13:$X$470,9,0)/1000</f>
        <v>-0.36099999999999999</v>
      </c>
      <c r="H274" s="139">
        <f>VLOOKUP($A274,'BC.114+840'!$B$13:$X$470,14,0)/1000</f>
        <v>2.6269999999999998</v>
      </c>
      <c r="I274" s="139">
        <f>VLOOKUP($A274,'BC.114+840'!$B$13:$X$470,15,0)/1000</f>
        <v>-0.373</v>
      </c>
      <c r="J274" s="139">
        <f>VLOOKUP($A274,'BC.114+840'!$B$13:$X$470,20,0)/1000</f>
        <v>2.3519999999999999</v>
      </c>
      <c r="K274" s="139">
        <f>VLOOKUP($A274,'BC.114+840'!$B$13:$X$470,21,0)/1000</f>
        <v>-0.64800000000000002</v>
      </c>
      <c r="L274" s="137">
        <f t="shared" si="13"/>
        <v>-281</v>
      </c>
      <c r="M274" s="138">
        <f t="shared" si="14"/>
        <v>-473</v>
      </c>
      <c r="N274" s="137">
        <f t="shared" si="15"/>
        <v>-258</v>
      </c>
      <c r="O274" s="137"/>
    </row>
    <row r="275" spans="1:15">
      <c r="A275" s="76">
        <f>'BC.114+840'!B274</f>
        <v>45531</v>
      </c>
      <c r="B275" s="137">
        <f t="shared" si="12"/>
        <v>261</v>
      </c>
      <c r="C275" s="139">
        <f>'BC.114+840'!M274/1000</f>
        <v>1.5269999999999999</v>
      </c>
      <c r="D275" s="139">
        <f>'BC.114+840'!AA274</f>
        <v>2.3239999999999998</v>
      </c>
      <c r="E275" s="140">
        <f>'BC.114+840'!AB274</f>
        <v>0.95399999999999996</v>
      </c>
      <c r="F275" s="139">
        <f>VLOOKUP($A275,'BC.114+840'!$B$13:$X$470,8,0)/1000</f>
        <v>2.6389999999999998</v>
      </c>
      <c r="G275" s="139">
        <f>VLOOKUP($A275,'BC.114+840'!$B$13:$X$470,9,0)/1000</f>
        <v>-0.36099999999999999</v>
      </c>
      <c r="H275" s="139">
        <f>VLOOKUP($A275,'BC.114+840'!$B$13:$X$470,14,0)/1000</f>
        <v>2.6269999999999998</v>
      </c>
      <c r="I275" s="139">
        <f>VLOOKUP($A275,'BC.114+840'!$B$13:$X$470,15,0)/1000</f>
        <v>-0.373</v>
      </c>
      <c r="J275" s="139">
        <f>VLOOKUP($A275,'BC.114+840'!$B$13:$X$470,20,0)/1000</f>
        <v>2.3519999999999999</v>
      </c>
      <c r="K275" s="139">
        <f>VLOOKUP($A275,'BC.114+840'!$B$13:$X$470,21,0)/1000</f>
        <v>-0.64800000000000002</v>
      </c>
      <c r="L275" s="137">
        <f t="shared" si="13"/>
        <v>-281</v>
      </c>
      <c r="M275" s="138">
        <f t="shared" si="14"/>
        <v>-473</v>
      </c>
      <c r="N275" s="137">
        <f t="shared" si="15"/>
        <v>-258</v>
      </c>
      <c r="O275" s="137"/>
    </row>
    <row r="276" spans="1:15">
      <c r="A276" s="76">
        <f>'BC.114+840'!B275</f>
        <v>45532</v>
      </c>
      <c r="B276" s="137">
        <f t="shared" si="12"/>
        <v>262</v>
      </c>
      <c r="C276" s="139">
        <f>'BC.114+840'!M275/1000</f>
        <v>1.5269999999999999</v>
      </c>
      <c r="D276" s="139">
        <f>'BC.114+840'!AA275</f>
        <v>2.3239999999999998</v>
      </c>
      <c r="E276" s="140">
        <f>'BC.114+840'!AB275</f>
        <v>0.95399999999999996</v>
      </c>
      <c r="F276" s="139">
        <f>VLOOKUP($A276,'BC.114+840'!$B$13:$X$470,8,0)/1000</f>
        <v>2.6389999999999998</v>
      </c>
      <c r="G276" s="139">
        <f>VLOOKUP($A276,'BC.114+840'!$B$13:$X$470,9,0)/1000</f>
        <v>-0.36099999999999999</v>
      </c>
      <c r="H276" s="139">
        <f>VLOOKUP($A276,'BC.114+840'!$B$13:$X$470,14,0)/1000</f>
        <v>2.6269999999999998</v>
      </c>
      <c r="I276" s="139">
        <f>VLOOKUP($A276,'BC.114+840'!$B$13:$X$470,15,0)/1000</f>
        <v>-0.373</v>
      </c>
      <c r="J276" s="139">
        <f>VLOOKUP($A276,'BC.114+840'!$B$13:$X$470,20,0)/1000</f>
        <v>2.3519999999999999</v>
      </c>
      <c r="K276" s="139">
        <f>VLOOKUP($A276,'BC.114+840'!$B$13:$X$470,21,0)/1000</f>
        <v>-0.64800000000000002</v>
      </c>
      <c r="L276" s="137">
        <f t="shared" si="13"/>
        <v>-281</v>
      </c>
      <c r="M276" s="138">
        <f t="shared" si="14"/>
        <v>-473</v>
      </c>
      <c r="N276" s="137">
        <f t="shared" si="15"/>
        <v>-258</v>
      </c>
      <c r="O276" s="137"/>
    </row>
    <row r="277" spans="1:15">
      <c r="A277" s="76">
        <f>'BC.114+840'!B276</f>
        <v>45533</v>
      </c>
      <c r="B277" s="137">
        <f t="shared" si="12"/>
        <v>263</v>
      </c>
      <c r="C277" s="139">
        <f>'BC.114+840'!M276/1000</f>
        <v>1.5269999999999999</v>
      </c>
      <c r="D277" s="139">
        <f>'BC.114+840'!AA276</f>
        <v>2.3239999999999998</v>
      </c>
      <c r="E277" s="140">
        <f>'BC.114+840'!AB276</f>
        <v>0.95399999999999996</v>
      </c>
      <c r="F277" s="139">
        <f>VLOOKUP($A277,'BC.114+840'!$B$13:$X$470,8,0)/1000</f>
        <v>2.6389999999999998</v>
      </c>
      <c r="G277" s="139">
        <f>VLOOKUP($A277,'BC.114+840'!$B$13:$X$470,9,0)/1000</f>
        <v>-0.36099999999999999</v>
      </c>
      <c r="H277" s="139">
        <f>VLOOKUP($A277,'BC.114+840'!$B$13:$X$470,14,0)/1000</f>
        <v>2.6269999999999998</v>
      </c>
      <c r="I277" s="139">
        <f>VLOOKUP($A277,'BC.114+840'!$B$13:$X$470,15,0)/1000</f>
        <v>-0.373</v>
      </c>
      <c r="J277" s="139">
        <f>VLOOKUP($A277,'BC.114+840'!$B$13:$X$470,20,0)/1000</f>
        <v>2.3519999999999999</v>
      </c>
      <c r="K277" s="139">
        <f>VLOOKUP($A277,'BC.114+840'!$B$13:$X$470,21,0)/1000</f>
        <v>-0.64800000000000002</v>
      </c>
      <c r="L277" s="137">
        <f t="shared" si="13"/>
        <v>-281</v>
      </c>
      <c r="M277" s="138">
        <f t="shared" si="14"/>
        <v>-473</v>
      </c>
      <c r="N277" s="137">
        <f t="shared" si="15"/>
        <v>-258</v>
      </c>
      <c r="O277" s="137"/>
    </row>
    <row r="278" spans="1:15">
      <c r="A278" s="76">
        <f>'BC.114+840'!B277</f>
        <v>45534</v>
      </c>
      <c r="B278" s="137">
        <f t="shared" si="12"/>
        <v>264</v>
      </c>
      <c r="C278" s="139">
        <f>'BC.114+840'!M277/1000</f>
        <v>1.5269999999999999</v>
      </c>
      <c r="D278" s="139">
        <f>'BC.114+840'!AA277</f>
        <v>2.3239999999999998</v>
      </c>
      <c r="E278" s="140">
        <f>'BC.114+840'!AB277</f>
        <v>0.95399999999999996</v>
      </c>
      <c r="F278" s="139">
        <f>VLOOKUP($A278,'BC.114+840'!$B$13:$X$470,8,0)/1000</f>
        <v>2.6389999999999998</v>
      </c>
      <c r="G278" s="139">
        <f>VLOOKUP($A278,'BC.114+840'!$B$13:$X$470,9,0)/1000</f>
        <v>-0.36099999999999999</v>
      </c>
      <c r="H278" s="139">
        <f>VLOOKUP($A278,'BC.114+840'!$B$13:$X$470,14,0)/1000</f>
        <v>2.6269999999999998</v>
      </c>
      <c r="I278" s="139">
        <f>VLOOKUP($A278,'BC.114+840'!$B$13:$X$470,15,0)/1000</f>
        <v>-0.373</v>
      </c>
      <c r="J278" s="139">
        <f>VLOOKUP($A278,'BC.114+840'!$B$13:$X$470,20,0)/1000</f>
        <v>2.3519999999999999</v>
      </c>
      <c r="K278" s="139">
        <f>VLOOKUP($A278,'BC.114+840'!$B$13:$X$470,21,0)/1000</f>
        <v>-0.64800000000000002</v>
      </c>
      <c r="L278" s="137">
        <f t="shared" si="13"/>
        <v>-281</v>
      </c>
      <c r="M278" s="138">
        <f t="shared" si="14"/>
        <v>-473</v>
      </c>
      <c r="N278" s="137">
        <f t="shared" si="15"/>
        <v>-258</v>
      </c>
      <c r="O278" s="137"/>
    </row>
    <row r="279" spans="1:15">
      <c r="A279" s="76">
        <f>'BC.114+840'!B278</f>
        <v>45535</v>
      </c>
      <c r="B279" s="137">
        <f t="shared" si="12"/>
        <v>265</v>
      </c>
      <c r="C279" s="139">
        <f>'BC.114+840'!M278/1000</f>
        <v>1.5269999999999999</v>
      </c>
      <c r="D279" s="139">
        <f>'BC.114+840'!AA278</f>
        <v>2.3239999999999998</v>
      </c>
      <c r="E279" s="140">
        <f>'BC.114+840'!AB278</f>
        <v>0.95399999999999996</v>
      </c>
      <c r="F279" s="139">
        <f>VLOOKUP($A279,'BC.114+840'!$B$13:$X$470,8,0)/1000</f>
        <v>2.6389999999999998</v>
      </c>
      <c r="G279" s="139">
        <f>VLOOKUP($A279,'BC.114+840'!$B$13:$X$470,9,0)/1000</f>
        <v>-0.36099999999999999</v>
      </c>
      <c r="H279" s="139">
        <f>VLOOKUP($A279,'BC.114+840'!$B$13:$X$470,14,0)/1000</f>
        <v>2.6269999999999998</v>
      </c>
      <c r="I279" s="139">
        <f>VLOOKUP($A279,'BC.114+840'!$B$13:$X$470,15,0)/1000</f>
        <v>-0.373</v>
      </c>
      <c r="J279" s="139">
        <f>VLOOKUP($A279,'BC.114+840'!$B$13:$X$470,20,0)/1000</f>
        <v>2.3519999999999999</v>
      </c>
      <c r="K279" s="139">
        <f>VLOOKUP($A279,'BC.114+840'!$B$13:$X$470,21,0)/1000</f>
        <v>-0.64800000000000002</v>
      </c>
      <c r="L279" s="137">
        <f t="shared" si="13"/>
        <v>-281</v>
      </c>
      <c r="M279" s="138">
        <f t="shared" si="14"/>
        <v>-473</v>
      </c>
      <c r="N279" s="137">
        <f t="shared" si="15"/>
        <v>-258</v>
      </c>
      <c r="O279" s="137"/>
    </row>
    <row r="280" spans="1:15">
      <c r="A280" s="76">
        <f>'BC.114+840'!B279</f>
        <v>45536</v>
      </c>
      <c r="B280" s="137">
        <f t="shared" si="12"/>
        <v>266</v>
      </c>
      <c r="C280" s="139">
        <f>'BC.114+840'!M279/1000</f>
        <v>1.5269999999999999</v>
      </c>
      <c r="D280" s="139">
        <f>'BC.114+840'!AA279</f>
        <v>2.3239999999999998</v>
      </c>
      <c r="E280" s="140">
        <f>'BC.114+840'!AB279</f>
        <v>0.95399999999999996</v>
      </c>
      <c r="F280" s="139">
        <f>VLOOKUP($A280,'BC.114+840'!$B$13:$X$470,8,0)/1000</f>
        <v>2.6389999999999998</v>
      </c>
      <c r="G280" s="139">
        <f>VLOOKUP($A280,'BC.114+840'!$B$13:$X$470,9,0)/1000</f>
        <v>-0.36099999999999999</v>
      </c>
      <c r="H280" s="139">
        <f>VLOOKUP($A280,'BC.114+840'!$B$13:$X$470,14,0)/1000</f>
        <v>2.6269999999999998</v>
      </c>
      <c r="I280" s="139">
        <f>VLOOKUP($A280,'BC.114+840'!$B$13:$X$470,15,0)/1000</f>
        <v>-0.373</v>
      </c>
      <c r="J280" s="139">
        <f>VLOOKUP($A280,'BC.114+840'!$B$13:$X$470,20,0)/1000</f>
        <v>2.3519999999999999</v>
      </c>
      <c r="K280" s="139">
        <f>VLOOKUP($A280,'BC.114+840'!$B$13:$X$470,21,0)/1000</f>
        <v>-0.64800000000000002</v>
      </c>
      <c r="L280" s="137">
        <f t="shared" si="13"/>
        <v>-281</v>
      </c>
      <c r="M280" s="138">
        <f t="shared" si="14"/>
        <v>-473</v>
      </c>
      <c r="N280" s="137">
        <f t="shared" si="15"/>
        <v>-258</v>
      </c>
      <c r="O280" s="137"/>
    </row>
    <row r="281" spans="1:15">
      <c r="A281" s="76">
        <f>'BC.114+840'!B280</f>
        <v>45537</v>
      </c>
      <c r="B281" s="137">
        <f t="shared" si="12"/>
        <v>267</v>
      </c>
      <c r="C281" s="139">
        <f>'BC.114+840'!M280/1000</f>
        <v>1.5269999999999999</v>
      </c>
      <c r="D281" s="139">
        <f>'BC.114+840'!AA280</f>
        <v>2.3239999999999998</v>
      </c>
      <c r="E281" s="140">
        <f>'BC.114+840'!AB280</f>
        <v>0.95399999999999996</v>
      </c>
      <c r="F281" s="139">
        <f>VLOOKUP($A281,'BC.114+840'!$B$13:$X$470,8,0)/1000</f>
        <v>2.6389999999999998</v>
      </c>
      <c r="G281" s="139">
        <f>VLOOKUP($A281,'BC.114+840'!$B$13:$X$470,9,0)/1000</f>
        <v>-0.36099999999999999</v>
      </c>
      <c r="H281" s="139">
        <f>VLOOKUP($A281,'BC.114+840'!$B$13:$X$470,14,0)/1000</f>
        <v>2.6269999999999998</v>
      </c>
      <c r="I281" s="139">
        <f>VLOOKUP($A281,'BC.114+840'!$B$13:$X$470,15,0)/1000</f>
        <v>-0.373</v>
      </c>
      <c r="J281" s="139">
        <f>VLOOKUP($A281,'BC.114+840'!$B$13:$X$470,20,0)/1000</f>
        <v>2.3519999999999999</v>
      </c>
      <c r="K281" s="139">
        <f>VLOOKUP($A281,'BC.114+840'!$B$13:$X$470,21,0)/1000</f>
        <v>-0.64800000000000002</v>
      </c>
      <c r="L281" s="137">
        <f t="shared" si="13"/>
        <v>-281</v>
      </c>
      <c r="M281" s="138">
        <f t="shared" si="14"/>
        <v>-473</v>
      </c>
      <c r="N281" s="137">
        <f t="shared" si="15"/>
        <v>-258</v>
      </c>
      <c r="O281" s="137"/>
    </row>
    <row r="282" spans="1:15">
      <c r="A282" s="76">
        <f>'BC.114+840'!B281</f>
        <v>45538</v>
      </c>
      <c r="B282" s="137">
        <f t="shared" si="12"/>
        <v>268</v>
      </c>
      <c r="C282" s="139">
        <f>'BC.114+840'!M281/1000</f>
        <v>1.5269999999999999</v>
      </c>
      <c r="D282" s="139">
        <f>'BC.114+840'!AA281</f>
        <v>2.3239999999999998</v>
      </c>
      <c r="E282" s="140">
        <f>'BC.114+840'!AB281</f>
        <v>0.95399999999999996</v>
      </c>
      <c r="F282" s="139">
        <f>VLOOKUP($A282,'BC.114+840'!$B$13:$X$470,8,0)/1000</f>
        <v>2.6389999999999998</v>
      </c>
      <c r="G282" s="139">
        <f>VLOOKUP($A282,'BC.114+840'!$B$13:$X$470,9,0)/1000</f>
        <v>-0.36099999999999999</v>
      </c>
      <c r="H282" s="139">
        <f>VLOOKUP($A282,'BC.114+840'!$B$13:$X$470,14,0)/1000</f>
        <v>2.6269999999999998</v>
      </c>
      <c r="I282" s="139">
        <f>VLOOKUP($A282,'BC.114+840'!$B$13:$X$470,15,0)/1000</f>
        <v>-0.373</v>
      </c>
      <c r="J282" s="139">
        <f>VLOOKUP($A282,'BC.114+840'!$B$13:$X$470,20,0)/1000</f>
        <v>2.3519999999999999</v>
      </c>
      <c r="K282" s="139">
        <f>VLOOKUP($A282,'BC.114+840'!$B$13:$X$470,21,0)/1000</f>
        <v>-0.64800000000000002</v>
      </c>
      <c r="L282" s="137">
        <f t="shared" si="13"/>
        <v>-281</v>
      </c>
      <c r="M282" s="138">
        <f t="shared" si="14"/>
        <v>-473</v>
      </c>
      <c r="N282" s="137">
        <f t="shared" si="15"/>
        <v>-258</v>
      </c>
      <c r="O282" s="137"/>
    </row>
    <row r="283" spans="1:15">
      <c r="A283" s="76">
        <f>'BC.114+840'!B282</f>
        <v>45539</v>
      </c>
      <c r="B283" s="137">
        <f t="shared" si="12"/>
        <v>269</v>
      </c>
      <c r="C283" s="139">
        <f>'BC.114+840'!M282/1000</f>
        <v>1.5269999999999999</v>
      </c>
      <c r="D283" s="139">
        <f>'BC.114+840'!AA282</f>
        <v>2.3239999999999998</v>
      </c>
      <c r="E283" s="140">
        <f>'BC.114+840'!AB282</f>
        <v>0.95399999999999996</v>
      </c>
      <c r="F283" s="139">
        <f>VLOOKUP($A283,'BC.114+840'!$B$13:$X$470,8,0)/1000</f>
        <v>2.6389999999999998</v>
      </c>
      <c r="G283" s="139">
        <f>VLOOKUP($A283,'BC.114+840'!$B$13:$X$470,9,0)/1000</f>
        <v>-0.36099999999999999</v>
      </c>
      <c r="H283" s="139">
        <f>VLOOKUP($A283,'BC.114+840'!$B$13:$X$470,14,0)/1000</f>
        <v>2.6269999999999998</v>
      </c>
      <c r="I283" s="139">
        <f>VLOOKUP($A283,'BC.114+840'!$B$13:$X$470,15,0)/1000</f>
        <v>-0.373</v>
      </c>
      <c r="J283" s="139">
        <f>VLOOKUP($A283,'BC.114+840'!$B$13:$X$470,20,0)/1000</f>
        <v>2.3519999999999999</v>
      </c>
      <c r="K283" s="139">
        <f>VLOOKUP($A283,'BC.114+840'!$B$13:$X$470,21,0)/1000</f>
        <v>-0.64800000000000002</v>
      </c>
      <c r="L283" s="137">
        <f t="shared" si="13"/>
        <v>-281</v>
      </c>
      <c r="M283" s="138">
        <f t="shared" si="14"/>
        <v>-473</v>
      </c>
      <c r="N283" s="137">
        <f t="shared" si="15"/>
        <v>-258</v>
      </c>
      <c r="O283" s="137"/>
    </row>
    <row r="284" spans="1:15">
      <c r="A284" s="76">
        <f>'BC.114+840'!B283</f>
        <v>45540</v>
      </c>
      <c r="B284" s="137">
        <f t="shared" si="12"/>
        <v>270</v>
      </c>
      <c r="C284" s="139">
        <f>'BC.114+840'!M283/1000</f>
        <v>1.5269999999999999</v>
      </c>
      <c r="D284" s="139">
        <f>'BC.114+840'!AA283</f>
        <v>2.3239999999999998</v>
      </c>
      <c r="E284" s="140">
        <f>'BC.114+840'!AB283</f>
        <v>0.95399999999999996</v>
      </c>
      <c r="F284" s="139">
        <f>VLOOKUP($A284,'BC.114+840'!$B$13:$X$470,8,0)/1000</f>
        <v>2.6389999999999998</v>
      </c>
      <c r="G284" s="139">
        <f>VLOOKUP($A284,'BC.114+840'!$B$13:$X$470,9,0)/1000</f>
        <v>-0.36099999999999999</v>
      </c>
      <c r="H284" s="139">
        <f>VLOOKUP($A284,'BC.114+840'!$B$13:$X$470,14,0)/1000</f>
        <v>2.6269999999999998</v>
      </c>
      <c r="I284" s="139">
        <f>VLOOKUP($A284,'BC.114+840'!$B$13:$X$470,15,0)/1000</f>
        <v>-0.373</v>
      </c>
      <c r="J284" s="139">
        <f>VLOOKUP($A284,'BC.114+840'!$B$13:$X$470,20,0)/1000</f>
        <v>2.3519999999999999</v>
      </c>
      <c r="K284" s="139">
        <f>VLOOKUP($A284,'BC.114+840'!$B$13:$X$470,21,0)/1000</f>
        <v>-0.64800000000000002</v>
      </c>
      <c r="L284" s="137">
        <f t="shared" si="13"/>
        <v>-281</v>
      </c>
      <c r="M284" s="138">
        <f t="shared" si="14"/>
        <v>-473</v>
      </c>
      <c r="N284" s="137">
        <f t="shared" si="15"/>
        <v>-258</v>
      </c>
      <c r="O284" s="137"/>
    </row>
    <row r="285" spans="1:15">
      <c r="A285" s="76">
        <f>'BC.114+840'!B284</f>
        <v>45541</v>
      </c>
      <c r="B285" s="137">
        <f t="shared" si="12"/>
        <v>271</v>
      </c>
      <c r="C285" s="139">
        <f>'BC.114+840'!M284/1000</f>
        <v>1.5269999999999999</v>
      </c>
      <c r="D285" s="139">
        <f>'BC.114+840'!AA284</f>
        <v>2.3239999999999998</v>
      </c>
      <c r="E285" s="140">
        <f>'BC.114+840'!AB284</f>
        <v>0.95399999999999996</v>
      </c>
      <c r="F285" s="139">
        <f>VLOOKUP($A285,'BC.114+840'!$B$13:$X$470,8,0)/1000</f>
        <v>2.6389999999999998</v>
      </c>
      <c r="G285" s="139">
        <f>VLOOKUP($A285,'BC.114+840'!$B$13:$X$470,9,0)/1000</f>
        <v>-0.36099999999999999</v>
      </c>
      <c r="H285" s="139">
        <f>VLOOKUP($A285,'BC.114+840'!$B$13:$X$470,14,0)/1000</f>
        <v>2.6269999999999998</v>
      </c>
      <c r="I285" s="139">
        <f>VLOOKUP($A285,'BC.114+840'!$B$13:$X$470,15,0)/1000</f>
        <v>-0.373</v>
      </c>
      <c r="J285" s="139">
        <f>VLOOKUP($A285,'BC.114+840'!$B$13:$X$470,20,0)/1000</f>
        <v>2.3519999999999999</v>
      </c>
      <c r="K285" s="139">
        <f>VLOOKUP($A285,'BC.114+840'!$B$13:$X$470,21,0)/1000</f>
        <v>-0.64800000000000002</v>
      </c>
      <c r="L285" s="137">
        <f t="shared" si="13"/>
        <v>-281</v>
      </c>
      <c r="M285" s="138">
        <f t="shared" si="14"/>
        <v>-473</v>
      </c>
      <c r="N285" s="137">
        <f t="shared" si="15"/>
        <v>-258</v>
      </c>
      <c r="O285" s="137"/>
    </row>
    <row r="286" spans="1:15">
      <c r="A286" s="76">
        <f>'BC.114+840'!B285</f>
        <v>45542</v>
      </c>
      <c r="B286" s="137">
        <f t="shared" si="12"/>
        <v>272</v>
      </c>
      <c r="C286" s="139">
        <f>'BC.114+840'!M285/1000</f>
        <v>1.5269999999999999</v>
      </c>
      <c r="D286" s="139">
        <f>'BC.114+840'!AA285</f>
        <v>2.3239999999999998</v>
      </c>
      <c r="E286" s="140">
        <f>'BC.114+840'!AB285</f>
        <v>0.95399999999999996</v>
      </c>
      <c r="F286" s="139">
        <f>VLOOKUP($A286,'BC.114+840'!$B$13:$X$470,8,0)/1000</f>
        <v>2.6389999999999998</v>
      </c>
      <c r="G286" s="139">
        <f>VLOOKUP($A286,'BC.114+840'!$B$13:$X$470,9,0)/1000</f>
        <v>-0.36099999999999999</v>
      </c>
      <c r="H286" s="139">
        <f>VLOOKUP($A286,'BC.114+840'!$B$13:$X$470,14,0)/1000</f>
        <v>2.6269999999999998</v>
      </c>
      <c r="I286" s="139">
        <f>VLOOKUP($A286,'BC.114+840'!$B$13:$X$470,15,0)/1000</f>
        <v>-0.373</v>
      </c>
      <c r="J286" s="139">
        <f>VLOOKUP($A286,'BC.114+840'!$B$13:$X$470,20,0)/1000</f>
        <v>2.3519999999999999</v>
      </c>
      <c r="K286" s="139">
        <f>VLOOKUP($A286,'BC.114+840'!$B$13:$X$470,21,0)/1000</f>
        <v>-0.64800000000000002</v>
      </c>
      <c r="L286" s="137">
        <f t="shared" si="13"/>
        <v>-281</v>
      </c>
      <c r="M286" s="138">
        <f t="shared" si="14"/>
        <v>-473</v>
      </c>
      <c r="N286" s="137">
        <f t="shared" si="15"/>
        <v>-258</v>
      </c>
      <c r="O286" s="137"/>
    </row>
    <row r="287" spans="1:15">
      <c r="A287" s="76">
        <f>'BC.114+840'!B286</f>
        <v>45543</v>
      </c>
      <c r="B287" s="137">
        <f t="shared" si="12"/>
        <v>273</v>
      </c>
      <c r="C287" s="139">
        <f>'BC.114+840'!M286/1000</f>
        <v>1.5269999999999999</v>
      </c>
      <c r="D287" s="139">
        <f>'BC.114+840'!AA286</f>
        <v>2.3239999999999998</v>
      </c>
      <c r="E287" s="140">
        <f>'BC.114+840'!AB286</f>
        <v>0.95399999999999996</v>
      </c>
      <c r="F287" s="139">
        <f>VLOOKUP($A287,'BC.114+840'!$B$13:$X$470,8,0)/1000</f>
        <v>2.6389999999999998</v>
      </c>
      <c r="G287" s="139">
        <f>VLOOKUP($A287,'BC.114+840'!$B$13:$X$470,9,0)/1000</f>
        <v>-0.36099999999999999</v>
      </c>
      <c r="H287" s="139">
        <f>VLOOKUP($A287,'BC.114+840'!$B$13:$X$470,14,0)/1000</f>
        <v>2.6269999999999998</v>
      </c>
      <c r="I287" s="139">
        <f>VLOOKUP($A287,'BC.114+840'!$B$13:$X$470,15,0)/1000</f>
        <v>-0.373</v>
      </c>
      <c r="J287" s="139">
        <f>VLOOKUP($A287,'BC.114+840'!$B$13:$X$470,20,0)/1000</f>
        <v>2.3519999999999999</v>
      </c>
      <c r="K287" s="139">
        <f>VLOOKUP($A287,'BC.114+840'!$B$13:$X$470,21,0)/1000</f>
        <v>-0.64800000000000002</v>
      </c>
      <c r="L287" s="137">
        <f t="shared" si="13"/>
        <v>-281</v>
      </c>
      <c r="M287" s="138">
        <f t="shared" si="14"/>
        <v>-473</v>
      </c>
      <c r="N287" s="137">
        <f t="shared" si="15"/>
        <v>-258</v>
      </c>
      <c r="O287" s="137"/>
    </row>
    <row r="288" spans="1:15">
      <c r="A288" s="76">
        <f>'BC.114+840'!B287</f>
        <v>45544</v>
      </c>
      <c r="B288" s="137">
        <f t="shared" si="12"/>
        <v>274</v>
      </c>
      <c r="C288" s="139">
        <f>'BC.114+840'!M287/1000</f>
        <v>1.5269999999999999</v>
      </c>
      <c r="D288" s="139">
        <f>'BC.114+840'!AA287</f>
        <v>2.3239999999999998</v>
      </c>
      <c r="E288" s="140">
        <f>'BC.114+840'!AB287</f>
        <v>0.95399999999999996</v>
      </c>
      <c r="F288" s="139">
        <f>VLOOKUP($A288,'BC.114+840'!$B$13:$X$470,8,0)/1000</f>
        <v>2.6389999999999998</v>
      </c>
      <c r="G288" s="139">
        <f>VLOOKUP($A288,'BC.114+840'!$B$13:$X$470,9,0)/1000</f>
        <v>-0.36099999999999999</v>
      </c>
      <c r="H288" s="139">
        <f>VLOOKUP($A288,'BC.114+840'!$B$13:$X$470,14,0)/1000</f>
        <v>2.6269999999999998</v>
      </c>
      <c r="I288" s="139">
        <f>VLOOKUP($A288,'BC.114+840'!$B$13:$X$470,15,0)/1000</f>
        <v>-0.373</v>
      </c>
      <c r="J288" s="139">
        <f>VLOOKUP($A288,'BC.114+840'!$B$13:$X$470,20,0)/1000</f>
        <v>2.3519999999999999</v>
      </c>
      <c r="K288" s="139">
        <f>VLOOKUP($A288,'BC.114+840'!$B$13:$X$470,21,0)/1000</f>
        <v>-0.64800000000000002</v>
      </c>
      <c r="L288" s="137">
        <f t="shared" si="13"/>
        <v>-281</v>
      </c>
      <c r="M288" s="138">
        <f t="shared" si="14"/>
        <v>-473</v>
      </c>
      <c r="N288" s="137">
        <f t="shared" si="15"/>
        <v>-258</v>
      </c>
      <c r="O288" s="137"/>
    </row>
    <row r="289" spans="1:15">
      <c r="A289" s="76">
        <f>'BC.114+840'!B288</f>
        <v>45545</v>
      </c>
      <c r="B289" s="137">
        <f t="shared" si="12"/>
        <v>275</v>
      </c>
      <c r="C289" s="139">
        <f>'BC.114+840'!M288/1000</f>
        <v>1.5269999999999999</v>
      </c>
      <c r="D289" s="139">
        <f>'BC.114+840'!AA288</f>
        <v>2.3239999999999998</v>
      </c>
      <c r="E289" s="140">
        <f>'BC.114+840'!AB288</f>
        <v>0.95399999999999996</v>
      </c>
      <c r="F289" s="139">
        <f>VLOOKUP($A289,'BC.114+840'!$B$13:$X$470,8,0)/1000</f>
        <v>2.6389999999999998</v>
      </c>
      <c r="G289" s="139">
        <f>VLOOKUP($A289,'BC.114+840'!$B$13:$X$470,9,0)/1000</f>
        <v>-0.36099999999999999</v>
      </c>
      <c r="H289" s="139">
        <f>VLOOKUP($A289,'BC.114+840'!$B$13:$X$470,14,0)/1000</f>
        <v>2.6269999999999998</v>
      </c>
      <c r="I289" s="139">
        <f>VLOOKUP($A289,'BC.114+840'!$B$13:$X$470,15,0)/1000</f>
        <v>-0.373</v>
      </c>
      <c r="J289" s="139">
        <f>VLOOKUP($A289,'BC.114+840'!$B$13:$X$470,20,0)/1000</f>
        <v>2.3519999999999999</v>
      </c>
      <c r="K289" s="139">
        <f>VLOOKUP($A289,'BC.114+840'!$B$13:$X$470,21,0)/1000</f>
        <v>-0.64800000000000002</v>
      </c>
      <c r="L289" s="137">
        <f t="shared" si="13"/>
        <v>-281</v>
      </c>
      <c r="M289" s="138">
        <f t="shared" si="14"/>
        <v>-473</v>
      </c>
      <c r="N289" s="137">
        <f t="shared" si="15"/>
        <v>-258</v>
      </c>
      <c r="O289" s="137"/>
    </row>
    <row r="290" spans="1:15">
      <c r="A290" s="76">
        <f>'BC.114+840'!B289</f>
        <v>45546</v>
      </c>
      <c r="B290" s="137">
        <f t="shared" si="12"/>
        <v>276</v>
      </c>
      <c r="C290" s="139">
        <f>'BC.114+840'!M289/1000</f>
        <v>1.5269999999999999</v>
      </c>
      <c r="D290" s="139">
        <f>'BC.114+840'!AA289</f>
        <v>2.3239999999999998</v>
      </c>
      <c r="E290" s="140">
        <f>'BC.114+840'!AB289</f>
        <v>0.95399999999999996</v>
      </c>
      <c r="F290" s="139">
        <f>VLOOKUP($A290,'BC.114+840'!$B$13:$X$470,8,0)/1000</f>
        <v>2.6389999999999998</v>
      </c>
      <c r="G290" s="139">
        <f>VLOOKUP($A290,'BC.114+840'!$B$13:$X$470,9,0)/1000</f>
        <v>-0.36099999999999999</v>
      </c>
      <c r="H290" s="139">
        <f>VLOOKUP($A290,'BC.114+840'!$B$13:$X$470,14,0)/1000</f>
        <v>2.6269999999999998</v>
      </c>
      <c r="I290" s="139">
        <f>VLOOKUP($A290,'BC.114+840'!$B$13:$X$470,15,0)/1000</f>
        <v>-0.373</v>
      </c>
      <c r="J290" s="139">
        <f>VLOOKUP($A290,'BC.114+840'!$B$13:$X$470,20,0)/1000</f>
        <v>2.3519999999999999</v>
      </c>
      <c r="K290" s="139">
        <f>VLOOKUP($A290,'BC.114+840'!$B$13:$X$470,21,0)/1000</f>
        <v>-0.64800000000000002</v>
      </c>
      <c r="L290" s="137">
        <f t="shared" si="13"/>
        <v>-281</v>
      </c>
      <c r="M290" s="138">
        <f t="shared" si="14"/>
        <v>-473</v>
      </c>
      <c r="N290" s="137">
        <f t="shared" si="15"/>
        <v>-258</v>
      </c>
      <c r="O290" s="137"/>
    </row>
    <row r="291" spans="1:15">
      <c r="A291" s="76">
        <f>'BC.114+840'!B290</f>
        <v>45547</v>
      </c>
      <c r="B291" s="137">
        <f t="shared" si="12"/>
        <v>277</v>
      </c>
      <c r="C291" s="139">
        <f>'BC.114+840'!M290/1000</f>
        <v>1.5269999999999999</v>
      </c>
      <c r="D291" s="139">
        <f>'BC.114+840'!AA290</f>
        <v>2.3239999999999998</v>
      </c>
      <c r="E291" s="140">
        <f>'BC.114+840'!AB290</f>
        <v>0.95399999999999996</v>
      </c>
      <c r="F291" s="139">
        <f>VLOOKUP($A291,'BC.114+840'!$B$13:$X$470,8,0)/1000</f>
        <v>2.6389999999999998</v>
      </c>
      <c r="G291" s="139">
        <f>VLOOKUP($A291,'BC.114+840'!$B$13:$X$470,9,0)/1000</f>
        <v>-0.36099999999999999</v>
      </c>
      <c r="H291" s="139">
        <f>VLOOKUP($A291,'BC.114+840'!$B$13:$X$470,14,0)/1000</f>
        <v>2.6269999999999998</v>
      </c>
      <c r="I291" s="139">
        <f>VLOOKUP($A291,'BC.114+840'!$B$13:$X$470,15,0)/1000</f>
        <v>-0.373</v>
      </c>
      <c r="J291" s="139">
        <f>VLOOKUP($A291,'BC.114+840'!$B$13:$X$470,20,0)/1000</f>
        <v>2.3519999999999999</v>
      </c>
      <c r="K291" s="139">
        <f>VLOOKUP($A291,'BC.114+840'!$B$13:$X$470,21,0)/1000</f>
        <v>-0.64800000000000002</v>
      </c>
      <c r="L291" s="137">
        <f t="shared" si="13"/>
        <v>-281</v>
      </c>
      <c r="M291" s="138">
        <f t="shared" si="14"/>
        <v>-473</v>
      </c>
      <c r="N291" s="137">
        <f t="shared" si="15"/>
        <v>-258</v>
      </c>
      <c r="O291" s="137"/>
    </row>
    <row r="292" spans="1:15">
      <c r="A292" s="76">
        <f>'BC.114+840'!B291</f>
        <v>45548</v>
      </c>
      <c r="B292" s="137">
        <f t="shared" si="12"/>
        <v>278</v>
      </c>
      <c r="C292" s="139">
        <f>'BC.114+840'!M291/1000</f>
        <v>1.5269999999999999</v>
      </c>
      <c r="D292" s="139">
        <f>'BC.114+840'!AA291</f>
        <v>2.3239999999999998</v>
      </c>
      <c r="E292" s="140">
        <f>'BC.114+840'!AB291</f>
        <v>0.95399999999999996</v>
      </c>
      <c r="F292" s="139">
        <f>VLOOKUP($A292,'BC.114+840'!$B$13:$X$470,8,0)/1000</f>
        <v>2.6389999999999998</v>
      </c>
      <c r="G292" s="139">
        <f>VLOOKUP($A292,'BC.114+840'!$B$13:$X$470,9,0)/1000</f>
        <v>-0.36099999999999999</v>
      </c>
      <c r="H292" s="139">
        <f>VLOOKUP($A292,'BC.114+840'!$B$13:$X$470,14,0)/1000</f>
        <v>2.6269999999999998</v>
      </c>
      <c r="I292" s="139">
        <f>VLOOKUP($A292,'BC.114+840'!$B$13:$X$470,15,0)/1000</f>
        <v>-0.373</v>
      </c>
      <c r="J292" s="139">
        <f>VLOOKUP($A292,'BC.114+840'!$B$13:$X$470,20,0)/1000</f>
        <v>2.3519999999999999</v>
      </c>
      <c r="K292" s="139">
        <f>VLOOKUP($A292,'BC.114+840'!$B$13:$X$470,21,0)/1000</f>
        <v>-0.64800000000000002</v>
      </c>
      <c r="L292" s="137">
        <f t="shared" si="13"/>
        <v>-281</v>
      </c>
      <c r="M292" s="138">
        <f t="shared" si="14"/>
        <v>-473</v>
      </c>
      <c r="N292" s="137">
        <f t="shared" si="15"/>
        <v>-258</v>
      </c>
      <c r="O292" s="137"/>
    </row>
    <row r="293" spans="1:15">
      <c r="A293" s="76">
        <f>'BC.114+840'!B292</f>
        <v>45549</v>
      </c>
      <c r="B293" s="137">
        <f t="shared" si="12"/>
        <v>279</v>
      </c>
      <c r="C293" s="139">
        <f>'BC.114+840'!M292/1000</f>
        <v>1.5269999999999999</v>
      </c>
      <c r="D293" s="139">
        <f>'BC.114+840'!AA292</f>
        <v>2.3239999999999998</v>
      </c>
      <c r="E293" s="140">
        <f>'BC.114+840'!AB292</f>
        <v>0.95399999999999996</v>
      </c>
      <c r="F293" s="139">
        <f>VLOOKUP($A293,'BC.114+840'!$B$13:$X$470,8,0)/1000</f>
        <v>2.6389999999999998</v>
      </c>
      <c r="G293" s="139">
        <f>VLOOKUP($A293,'BC.114+840'!$B$13:$X$470,9,0)/1000</f>
        <v>-0.36099999999999999</v>
      </c>
      <c r="H293" s="139">
        <f>VLOOKUP($A293,'BC.114+840'!$B$13:$X$470,14,0)/1000</f>
        <v>2.6269999999999998</v>
      </c>
      <c r="I293" s="139">
        <f>VLOOKUP($A293,'BC.114+840'!$B$13:$X$470,15,0)/1000</f>
        <v>-0.373</v>
      </c>
      <c r="J293" s="139">
        <f>VLOOKUP($A293,'BC.114+840'!$B$13:$X$470,20,0)/1000</f>
        <v>2.3519999999999999</v>
      </c>
      <c r="K293" s="139">
        <f>VLOOKUP($A293,'BC.114+840'!$B$13:$X$470,21,0)/1000</f>
        <v>-0.64800000000000002</v>
      </c>
      <c r="L293" s="137">
        <f t="shared" si="13"/>
        <v>-281</v>
      </c>
      <c r="M293" s="138">
        <f t="shared" si="14"/>
        <v>-473</v>
      </c>
      <c r="N293" s="137">
        <f t="shared" si="15"/>
        <v>-258</v>
      </c>
      <c r="O293" s="137"/>
    </row>
    <row r="294" spans="1:15">
      <c r="A294" s="76">
        <f>'BC.114+840'!B293</f>
        <v>45550</v>
      </c>
      <c r="B294" s="137">
        <f t="shared" si="12"/>
        <v>280</v>
      </c>
      <c r="C294" s="139">
        <f>'BC.114+840'!M293/1000</f>
        <v>1.5269999999999999</v>
      </c>
      <c r="D294" s="139">
        <f>'BC.114+840'!AA293</f>
        <v>2.3239999999999998</v>
      </c>
      <c r="E294" s="140">
        <f>'BC.114+840'!AB293</f>
        <v>0.95399999999999996</v>
      </c>
      <c r="F294" s="139">
        <f>VLOOKUP($A294,'BC.114+840'!$B$13:$X$470,8,0)/1000</f>
        <v>2.6389999999999998</v>
      </c>
      <c r="G294" s="139">
        <f>VLOOKUP($A294,'BC.114+840'!$B$13:$X$470,9,0)/1000</f>
        <v>-0.36099999999999999</v>
      </c>
      <c r="H294" s="139">
        <f>VLOOKUP($A294,'BC.114+840'!$B$13:$X$470,14,0)/1000</f>
        <v>2.6269999999999998</v>
      </c>
      <c r="I294" s="139">
        <f>VLOOKUP($A294,'BC.114+840'!$B$13:$X$470,15,0)/1000</f>
        <v>-0.373</v>
      </c>
      <c r="J294" s="139">
        <f>VLOOKUP($A294,'BC.114+840'!$B$13:$X$470,20,0)/1000</f>
        <v>2.3519999999999999</v>
      </c>
      <c r="K294" s="139">
        <f>VLOOKUP($A294,'BC.114+840'!$B$13:$X$470,21,0)/1000</f>
        <v>-0.64800000000000002</v>
      </c>
      <c r="L294" s="137">
        <f t="shared" si="13"/>
        <v>-281</v>
      </c>
      <c r="M294" s="138">
        <f t="shared" si="14"/>
        <v>-473</v>
      </c>
      <c r="N294" s="137">
        <f t="shared" si="15"/>
        <v>-258</v>
      </c>
      <c r="O294" s="137"/>
    </row>
    <row r="295" spans="1:15">
      <c r="A295" s="76">
        <f>'BC.114+840'!B294</f>
        <v>45551</v>
      </c>
      <c r="B295" s="137">
        <f t="shared" si="12"/>
        <v>281</v>
      </c>
      <c r="C295" s="139">
        <f>'BC.114+840'!M294/1000</f>
        <v>1.5269999999999999</v>
      </c>
      <c r="D295" s="139">
        <f>'BC.114+840'!AA294</f>
        <v>2.3239999999999998</v>
      </c>
      <c r="E295" s="140">
        <f>'BC.114+840'!AB294</f>
        <v>0.95399999999999996</v>
      </c>
      <c r="F295" s="139">
        <f>VLOOKUP($A295,'BC.114+840'!$B$13:$X$470,8,0)/1000</f>
        <v>2.6389999999999998</v>
      </c>
      <c r="G295" s="139">
        <f>VLOOKUP($A295,'BC.114+840'!$B$13:$X$470,9,0)/1000</f>
        <v>-0.36099999999999999</v>
      </c>
      <c r="H295" s="139">
        <f>VLOOKUP($A295,'BC.114+840'!$B$13:$X$470,14,0)/1000</f>
        <v>2.6269999999999998</v>
      </c>
      <c r="I295" s="139">
        <f>VLOOKUP($A295,'BC.114+840'!$B$13:$X$470,15,0)/1000</f>
        <v>-0.373</v>
      </c>
      <c r="J295" s="139">
        <f>VLOOKUP($A295,'BC.114+840'!$B$13:$X$470,20,0)/1000</f>
        <v>2.3519999999999999</v>
      </c>
      <c r="K295" s="139">
        <f>VLOOKUP($A295,'BC.114+840'!$B$13:$X$470,21,0)/1000</f>
        <v>-0.64800000000000002</v>
      </c>
      <c r="L295" s="137">
        <f t="shared" si="13"/>
        <v>-281</v>
      </c>
      <c r="M295" s="138">
        <f t="shared" si="14"/>
        <v>-473</v>
      </c>
      <c r="N295" s="137">
        <f t="shared" si="15"/>
        <v>-258</v>
      </c>
      <c r="O295" s="137"/>
    </row>
    <row r="296" spans="1:15">
      <c r="A296" s="76">
        <f>'BC.114+840'!B295</f>
        <v>45552</v>
      </c>
      <c r="B296" s="137">
        <f t="shared" si="12"/>
        <v>282</v>
      </c>
      <c r="C296" s="139">
        <f>'BC.114+840'!M295/1000</f>
        <v>1.5269999999999999</v>
      </c>
      <c r="D296" s="139">
        <f>'BC.114+840'!AA295</f>
        <v>2.3239999999999998</v>
      </c>
      <c r="E296" s="140">
        <f>'BC.114+840'!AB295</f>
        <v>0.95399999999999996</v>
      </c>
      <c r="F296" s="139">
        <f>VLOOKUP($A296,'BC.114+840'!$B$13:$X$470,8,0)/1000</f>
        <v>2.6389999999999998</v>
      </c>
      <c r="G296" s="139">
        <f>VLOOKUP($A296,'BC.114+840'!$B$13:$X$470,9,0)/1000</f>
        <v>-0.36099999999999999</v>
      </c>
      <c r="H296" s="139">
        <f>VLOOKUP($A296,'BC.114+840'!$B$13:$X$470,14,0)/1000</f>
        <v>2.6269999999999998</v>
      </c>
      <c r="I296" s="139">
        <f>VLOOKUP($A296,'BC.114+840'!$B$13:$X$470,15,0)/1000</f>
        <v>-0.373</v>
      </c>
      <c r="J296" s="139">
        <f>VLOOKUP($A296,'BC.114+840'!$B$13:$X$470,20,0)/1000</f>
        <v>2.3519999999999999</v>
      </c>
      <c r="K296" s="139">
        <f>VLOOKUP($A296,'BC.114+840'!$B$13:$X$470,21,0)/1000</f>
        <v>-0.64800000000000002</v>
      </c>
      <c r="L296" s="137">
        <f t="shared" si="13"/>
        <v>-281</v>
      </c>
      <c r="M296" s="138">
        <f t="shared" si="14"/>
        <v>-473</v>
      </c>
      <c r="N296" s="137">
        <f t="shared" si="15"/>
        <v>-258</v>
      </c>
      <c r="O296" s="137"/>
    </row>
    <row r="297" spans="1:15">
      <c r="A297" s="76">
        <f>'BC.114+840'!B296</f>
        <v>45553</v>
      </c>
      <c r="B297" s="137">
        <f t="shared" si="12"/>
        <v>283</v>
      </c>
      <c r="C297" s="139">
        <f>'BC.114+840'!M296/1000</f>
        <v>1.5269999999999999</v>
      </c>
      <c r="D297" s="139">
        <f>'BC.114+840'!AA296</f>
        <v>2.3239999999999998</v>
      </c>
      <c r="E297" s="140">
        <f>'BC.114+840'!AB296</f>
        <v>0.95399999999999996</v>
      </c>
      <c r="F297" s="139">
        <f>VLOOKUP($A297,'BC.114+840'!$B$13:$X$470,8,0)/1000</f>
        <v>2.6389999999999998</v>
      </c>
      <c r="G297" s="139">
        <f>VLOOKUP($A297,'BC.114+840'!$B$13:$X$470,9,0)/1000</f>
        <v>-0.36099999999999999</v>
      </c>
      <c r="H297" s="139">
        <f>VLOOKUP($A297,'BC.114+840'!$B$13:$X$470,14,0)/1000</f>
        <v>2.6269999999999998</v>
      </c>
      <c r="I297" s="139">
        <f>VLOOKUP($A297,'BC.114+840'!$B$13:$X$470,15,0)/1000</f>
        <v>-0.373</v>
      </c>
      <c r="J297" s="139">
        <f>VLOOKUP($A297,'BC.114+840'!$B$13:$X$470,20,0)/1000</f>
        <v>2.3519999999999999</v>
      </c>
      <c r="K297" s="139">
        <f>VLOOKUP($A297,'BC.114+840'!$B$13:$X$470,21,0)/1000</f>
        <v>-0.64800000000000002</v>
      </c>
      <c r="L297" s="137">
        <f t="shared" si="13"/>
        <v>-281</v>
      </c>
      <c r="M297" s="138">
        <f t="shared" si="14"/>
        <v>-473</v>
      </c>
      <c r="N297" s="137">
        <f t="shared" si="15"/>
        <v>-258</v>
      </c>
      <c r="O297" s="137"/>
    </row>
    <row r="298" spans="1:15">
      <c r="A298" s="76">
        <f>'BC.114+840'!B297</f>
        <v>45554</v>
      </c>
      <c r="B298" s="137">
        <f t="shared" si="12"/>
        <v>284</v>
      </c>
      <c r="C298" s="139">
        <f>'BC.114+840'!M297/1000</f>
        <v>1.5269999999999999</v>
      </c>
      <c r="D298" s="139">
        <f>'BC.114+840'!AA297</f>
        <v>2.3239999999999998</v>
      </c>
      <c r="E298" s="140">
        <f>'BC.114+840'!AB297</f>
        <v>0.95399999999999996</v>
      </c>
      <c r="F298" s="139">
        <f>VLOOKUP($A298,'BC.114+840'!$B$13:$X$470,8,0)/1000</f>
        <v>2.6389999999999998</v>
      </c>
      <c r="G298" s="139">
        <f>VLOOKUP($A298,'BC.114+840'!$B$13:$X$470,9,0)/1000</f>
        <v>-0.36099999999999999</v>
      </c>
      <c r="H298" s="139">
        <f>VLOOKUP($A298,'BC.114+840'!$B$13:$X$470,14,0)/1000</f>
        <v>2.6269999999999998</v>
      </c>
      <c r="I298" s="139">
        <f>VLOOKUP($A298,'BC.114+840'!$B$13:$X$470,15,0)/1000</f>
        <v>-0.373</v>
      </c>
      <c r="J298" s="139">
        <f>VLOOKUP($A298,'BC.114+840'!$B$13:$X$470,20,0)/1000</f>
        <v>2.3519999999999999</v>
      </c>
      <c r="K298" s="139">
        <f>VLOOKUP($A298,'BC.114+840'!$B$13:$X$470,21,0)/1000</f>
        <v>-0.64800000000000002</v>
      </c>
      <c r="L298" s="137">
        <f t="shared" si="13"/>
        <v>-281</v>
      </c>
      <c r="M298" s="138">
        <f t="shared" si="14"/>
        <v>-473</v>
      </c>
      <c r="N298" s="137">
        <f t="shared" si="15"/>
        <v>-258</v>
      </c>
      <c r="O298" s="137"/>
    </row>
    <row r="299" spans="1:15">
      <c r="A299" s="76">
        <f>'BC.114+840'!B298</f>
        <v>45555</v>
      </c>
      <c r="B299" s="137">
        <f t="shared" si="12"/>
        <v>285</v>
      </c>
      <c r="C299" s="139">
        <f>'BC.114+840'!M298/1000</f>
        <v>1.5269999999999999</v>
      </c>
      <c r="D299" s="139">
        <f>'BC.114+840'!AA298</f>
        <v>2.3239999999999998</v>
      </c>
      <c r="E299" s="140">
        <f>'BC.114+840'!AB298</f>
        <v>0.95399999999999996</v>
      </c>
      <c r="F299" s="139">
        <f>VLOOKUP($A299,'BC.114+840'!$B$13:$X$470,8,0)/1000</f>
        <v>2.6389999999999998</v>
      </c>
      <c r="G299" s="139">
        <f>VLOOKUP($A299,'BC.114+840'!$B$13:$X$470,9,0)/1000</f>
        <v>-0.36099999999999999</v>
      </c>
      <c r="H299" s="139">
        <f>VLOOKUP($A299,'BC.114+840'!$B$13:$X$470,14,0)/1000</f>
        <v>2.6269999999999998</v>
      </c>
      <c r="I299" s="139">
        <f>VLOOKUP($A299,'BC.114+840'!$B$13:$X$470,15,0)/1000</f>
        <v>-0.373</v>
      </c>
      <c r="J299" s="139">
        <f>VLOOKUP($A299,'BC.114+840'!$B$13:$X$470,20,0)/1000</f>
        <v>2.3519999999999999</v>
      </c>
      <c r="K299" s="139">
        <f>VLOOKUP($A299,'BC.114+840'!$B$13:$X$470,21,0)/1000</f>
        <v>-0.64800000000000002</v>
      </c>
      <c r="L299" s="137">
        <f t="shared" si="13"/>
        <v>-281</v>
      </c>
      <c r="M299" s="138">
        <f t="shared" si="14"/>
        <v>-473</v>
      </c>
      <c r="N299" s="137">
        <f t="shared" si="15"/>
        <v>-258</v>
      </c>
      <c r="O299" s="137"/>
    </row>
    <row r="300" spans="1:15">
      <c r="A300" s="76">
        <f>'BC.114+840'!B299</f>
        <v>45556</v>
      </c>
      <c r="B300" s="137">
        <f t="shared" si="12"/>
        <v>286</v>
      </c>
      <c r="C300" s="139">
        <f>'BC.114+840'!M299/1000</f>
        <v>1.5269999999999999</v>
      </c>
      <c r="D300" s="139">
        <f>'BC.114+840'!AA299</f>
        <v>2.3239999999999998</v>
      </c>
      <c r="E300" s="140">
        <f>'BC.114+840'!AB299</f>
        <v>0.95399999999999996</v>
      </c>
      <c r="F300" s="139">
        <f>VLOOKUP($A300,'BC.114+840'!$B$13:$X$470,8,0)/1000</f>
        <v>2.6389999999999998</v>
      </c>
      <c r="G300" s="139">
        <f>VLOOKUP($A300,'BC.114+840'!$B$13:$X$470,9,0)/1000</f>
        <v>-0.36099999999999999</v>
      </c>
      <c r="H300" s="139">
        <f>VLOOKUP($A300,'BC.114+840'!$B$13:$X$470,14,0)/1000</f>
        <v>2.6269999999999998</v>
      </c>
      <c r="I300" s="139">
        <f>VLOOKUP($A300,'BC.114+840'!$B$13:$X$470,15,0)/1000</f>
        <v>-0.373</v>
      </c>
      <c r="J300" s="139">
        <f>VLOOKUP($A300,'BC.114+840'!$B$13:$X$470,20,0)/1000</f>
        <v>2.3519999999999999</v>
      </c>
      <c r="K300" s="139">
        <f>VLOOKUP($A300,'BC.114+840'!$B$13:$X$470,21,0)/1000</f>
        <v>-0.64800000000000002</v>
      </c>
      <c r="L300" s="137">
        <f t="shared" si="13"/>
        <v>-281</v>
      </c>
      <c r="M300" s="138">
        <f t="shared" si="14"/>
        <v>-473</v>
      </c>
      <c r="N300" s="137">
        <f t="shared" si="15"/>
        <v>-258</v>
      </c>
      <c r="O300" s="137"/>
    </row>
    <row r="301" spans="1:15">
      <c r="A301" s="76">
        <f>'BC.114+840'!B300</f>
        <v>45557</v>
      </c>
      <c r="B301" s="137">
        <f t="shared" si="12"/>
        <v>287</v>
      </c>
      <c r="C301" s="139">
        <f>'BC.114+840'!M300/1000</f>
        <v>1.5269999999999999</v>
      </c>
      <c r="D301" s="139">
        <f>'BC.114+840'!AA300</f>
        <v>2.3239999999999998</v>
      </c>
      <c r="E301" s="140">
        <f>'BC.114+840'!AB300</f>
        <v>0.95399999999999996</v>
      </c>
      <c r="F301" s="139">
        <f>VLOOKUP($A301,'BC.114+840'!$B$13:$X$470,8,0)/1000</f>
        <v>2.6389999999999998</v>
      </c>
      <c r="G301" s="139">
        <f>VLOOKUP($A301,'BC.114+840'!$B$13:$X$470,9,0)/1000</f>
        <v>-0.36099999999999999</v>
      </c>
      <c r="H301" s="139">
        <f>VLOOKUP($A301,'BC.114+840'!$B$13:$X$470,14,0)/1000</f>
        <v>2.6269999999999998</v>
      </c>
      <c r="I301" s="139">
        <f>VLOOKUP($A301,'BC.114+840'!$B$13:$X$470,15,0)/1000</f>
        <v>-0.373</v>
      </c>
      <c r="J301" s="139">
        <f>VLOOKUP($A301,'BC.114+840'!$B$13:$X$470,20,0)/1000</f>
        <v>2.3519999999999999</v>
      </c>
      <c r="K301" s="139">
        <f>VLOOKUP($A301,'BC.114+840'!$B$13:$X$470,21,0)/1000</f>
        <v>-0.64800000000000002</v>
      </c>
      <c r="L301" s="137">
        <f t="shared" si="13"/>
        <v>-281</v>
      </c>
      <c r="M301" s="138">
        <f t="shared" si="14"/>
        <v>-473</v>
      </c>
      <c r="N301" s="137">
        <f t="shared" si="15"/>
        <v>-258</v>
      </c>
      <c r="O301" s="137"/>
    </row>
    <row r="302" spans="1:15">
      <c r="A302" s="76">
        <f>'BC.114+840'!B301</f>
        <v>45558</v>
      </c>
      <c r="B302" s="137">
        <f t="shared" si="12"/>
        <v>288</v>
      </c>
      <c r="C302" s="139">
        <f>'BC.114+840'!M301/1000</f>
        <v>1.5269999999999999</v>
      </c>
      <c r="D302" s="139">
        <f>'BC.114+840'!AA301</f>
        <v>2.3239999999999998</v>
      </c>
      <c r="E302" s="140">
        <f>'BC.114+840'!AB301</f>
        <v>0.95399999999999996</v>
      </c>
      <c r="F302" s="139">
        <f>VLOOKUP($A302,'BC.114+840'!$B$13:$X$470,8,0)/1000</f>
        <v>2.6389999999999998</v>
      </c>
      <c r="G302" s="139">
        <f>VLOOKUP($A302,'BC.114+840'!$B$13:$X$470,9,0)/1000</f>
        <v>-0.36099999999999999</v>
      </c>
      <c r="H302" s="139">
        <f>VLOOKUP($A302,'BC.114+840'!$B$13:$X$470,14,0)/1000</f>
        <v>2.6269999999999998</v>
      </c>
      <c r="I302" s="139">
        <f>VLOOKUP($A302,'BC.114+840'!$B$13:$X$470,15,0)/1000</f>
        <v>-0.373</v>
      </c>
      <c r="J302" s="139">
        <f>VLOOKUP($A302,'BC.114+840'!$B$13:$X$470,20,0)/1000</f>
        <v>2.3519999999999999</v>
      </c>
      <c r="K302" s="139">
        <f>VLOOKUP($A302,'BC.114+840'!$B$13:$X$470,21,0)/1000</f>
        <v>-0.64800000000000002</v>
      </c>
      <c r="L302" s="137">
        <f t="shared" si="13"/>
        <v>-281</v>
      </c>
      <c r="M302" s="138">
        <f t="shared" si="14"/>
        <v>-473</v>
      </c>
      <c r="N302" s="137">
        <f t="shared" si="15"/>
        <v>-258</v>
      </c>
      <c r="O302" s="137"/>
    </row>
    <row r="303" spans="1:15">
      <c r="A303" s="76">
        <f>'BC.114+840'!B302</f>
        <v>45559</v>
      </c>
      <c r="B303" s="137">
        <f t="shared" si="12"/>
        <v>289</v>
      </c>
      <c r="C303" s="139">
        <f>'BC.114+840'!M302/1000</f>
        <v>1.5269999999999999</v>
      </c>
      <c r="D303" s="139">
        <f>'BC.114+840'!AA302</f>
        <v>2.3239999999999998</v>
      </c>
      <c r="E303" s="140">
        <f>'BC.114+840'!AB302</f>
        <v>0.95399999999999996</v>
      </c>
      <c r="F303" s="139">
        <f>VLOOKUP($A303,'BC.114+840'!$B$13:$X$470,8,0)/1000</f>
        <v>2.6389999999999998</v>
      </c>
      <c r="G303" s="139">
        <f>VLOOKUP($A303,'BC.114+840'!$B$13:$X$470,9,0)/1000</f>
        <v>-0.36099999999999999</v>
      </c>
      <c r="H303" s="139">
        <f>VLOOKUP($A303,'BC.114+840'!$B$13:$X$470,14,0)/1000</f>
        <v>2.6269999999999998</v>
      </c>
      <c r="I303" s="139">
        <f>VLOOKUP($A303,'BC.114+840'!$B$13:$X$470,15,0)/1000</f>
        <v>-0.373</v>
      </c>
      <c r="J303" s="139">
        <f>VLOOKUP($A303,'BC.114+840'!$B$13:$X$470,20,0)/1000</f>
        <v>2.3519999999999999</v>
      </c>
      <c r="K303" s="139">
        <f>VLOOKUP($A303,'BC.114+840'!$B$13:$X$470,21,0)/1000</f>
        <v>-0.64800000000000002</v>
      </c>
      <c r="L303" s="137">
        <f t="shared" si="13"/>
        <v>-281</v>
      </c>
      <c r="M303" s="138">
        <f t="shared" si="14"/>
        <v>-473</v>
      </c>
      <c r="N303" s="137">
        <f t="shared" si="15"/>
        <v>-258</v>
      </c>
      <c r="O303" s="137"/>
    </row>
    <row r="304" spans="1:15">
      <c r="A304" s="76">
        <f>'BC.114+840'!B303</f>
        <v>45560</v>
      </c>
      <c r="B304" s="137">
        <f t="shared" si="12"/>
        <v>290</v>
      </c>
      <c r="C304" s="139">
        <f>'BC.114+840'!M303/1000</f>
        <v>1.5269999999999999</v>
      </c>
      <c r="D304" s="139">
        <f>'BC.114+840'!AA303</f>
        <v>2.3239999999999998</v>
      </c>
      <c r="E304" s="140">
        <f>'BC.114+840'!AB303</f>
        <v>0.95399999999999996</v>
      </c>
      <c r="F304" s="139">
        <f>VLOOKUP($A304,'BC.114+840'!$B$13:$X$470,8,0)/1000</f>
        <v>2.6389999999999998</v>
      </c>
      <c r="G304" s="139">
        <f>VLOOKUP($A304,'BC.114+840'!$B$13:$X$470,9,0)/1000</f>
        <v>-0.36099999999999999</v>
      </c>
      <c r="H304" s="139">
        <f>VLOOKUP($A304,'BC.114+840'!$B$13:$X$470,14,0)/1000</f>
        <v>2.6269999999999998</v>
      </c>
      <c r="I304" s="139">
        <f>VLOOKUP($A304,'BC.114+840'!$B$13:$X$470,15,0)/1000</f>
        <v>-0.373</v>
      </c>
      <c r="J304" s="139">
        <f>VLOOKUP($A304,'BC.114+840'!$B$13:$X$470,20,0)/1000</f>
        <v>2.3519999999999999</v>
      </c>
      <c r="K304" s="139">
        <f>VLOOKUP($A304,'BC.114+840'!$B$13:$X$470,21,0)/1000</f>
        <v>-0.64800000000000002</v>
      </c>
      <c r="L304" s="137">
        <f t="shared" si="13"/>
        <v>-281</v>
      </c>
      <c r="M304" s="138">
        <f t="shared" si="14"/>
        <v>-473</v>
      </c>
      <c r="N304" s="137">
        <f t="shared" si="15"/>
        <v>-258</v>
      </c>
      <c r="O304" s="137"/>
    </row>
    <row r="305" spans="1:15">
      <c r="A305" s="76">
        <f>'BC.114+840'!B304</f>
        <v>45561</v>
      </c>
      <c r="B305" s="137">
        <f t="shared" si="12"/>
        <v>291</v>
      </c>
      <c r="C305" s="139">
        <f>'BC.114+840'!M304/1000</f>
        <v>1.5269999999999999</v>
      </c>
      <c r="D305" s="139">
        <f>'BC.114+840'!AA304</f>
        <v>2.3239999999999998</v>
      </c>
      <c r="E305" s="140">
        <f>'BC.114+840'!AB304</f>
        <v>0.95399999999999996</v>
      </c>
      <c r="F305" s="139">
        <f>VLOOKUP($A305,'BC.114+840'!$B$13:$X$470,8,0)/1000</f>
        <v>2.6389999999999998</v>
      </c>
      <c r="G305" s="139">
        <f>VLOOKUP($A305,'BC.114+840'!$B$13:$X$470,9,0)/1000</f>
        <v>-0.36099999999999999</v>
      </c>
      <c r="H305" s="139">
        <f>VLOOKUP($A305,'BC.114+840'!$B$13:$X$470,14,0)/1000</f>
        <v>2.6269999999999998</v>
      </c>
      <c r="I305" s="139">
        <f>VLOOKUP($A305,'BC.114+840'!$B$13:$X$470,15,0)/1000</f>
        <v>-0.373</v>
      </c>
      <c r="J305" s="139">
        <f>VLOOKUP($A305,'BC.114+840'!$B$13:$X$470,20,0)/1000</f>
        <v>2.3519999999999999</v>
      </c>
      <c r="K305" s="139">
        <f>VLOOKUP($A305,'BC.114+840'!$B$13:$X$470,21,0)/1000</f>
        <v>-0.64800000000000002</v>
      </c>
      <c r="L305" s="137">
        <f t="shared" si="13"/>
        <v>-281</v>
      </c>
      <c r="M305" s="138">
        <f t="shared" si="14"/>
        <v>-473</v>
      </c>
      <c r="N305" s="137">
        <f t="shared" si="15"/>
        <v>-258</v>
      </c>
      <c r="O305" s="137"/>
    </row>
    <row r="306" spans="1:15">
      <c r="A306" s="76">
        <f>'BC.114+840'!B305</f>
        <v>45562</v>
      </c>
      <c r="B306" s="137">
        <f t="shared" si="12"/>
        <v>292</v>
      </c>
      <c r="C306" s="139">
        <f>'BC.114+840'!M305/1000</f>
        <v>1.5269999999999999</v>
      </c>
      <c r="D306" s="139">
        <f>'BC.114+840'!AA305</f>
        <v>2.3239999999999998</v>
      </c>
      <c r="E306" s="140">
        <f>'BC.114+840'!AB305</f>
        <v>0.95399999999999996</v>
      </c>
      <c r="F306" s="139">
        <f>VLOOKUP($A306,'BC.114+840'!$B$13:$X$470,8,0)/1000</f>
        <v>2.6389999999999998</v>
      </c>
      <c r="G306" s="139">
        <f>VLOOKUP($A306,'BC.114+840'!$B$13:$X$470,9,0)/1000</f>
        <v>-0.36099999999999999</v>
      </c>
      <c r="H306" s="139">
        <f>VLOOKUP($A306,'BC.114+840'!$B$13:$X$470,14,0)/1000</f>
        <v>2.6269999999999998</v>
      </c>
      <c r="I306" s="139">
        <f>VLOOKUP($A306,'BC.114+840'!$B$13:$X$470,15,0)/1000</f>
        <v>-0.373</v>
      </c>
      <c r="J306" s="139">
        <f>VLOOKUP($A306,'BC.114+840'!$B$13:$X$470,20,0)/1000</f>
        <v>2.3519999999999999</v>
      </c>
      <c r="K306" s="139">
        <f>VLOOKUP($A306,'BC.114+840'!$B$13:$X$470,21,0)/1000</f>
        <v>-0.64800000000000002</v>
      </c>
      <c r="L306" s="137">
        <f t="shared" si="13"/>
        <v>-281</v>
      </c>
      <c r="M306" s="138">
        <f t="shared" si="14"/>
        <v>-473</v>
      </c>
      <c r="N306" s="137">
        <f t="shared" si="15"/>
        <v>-258</v>
      </c>
      <c r="O306" s="137"/>
    </row>
    <row r="307" spans="1:15">
      <c r="A307" s="76">
        <f>'BC.114+840'!B306</f>
        <v>45563</v>
      </c>
      <c r="B307" s="137">
        <f t="shared" si="12"/>
        <v>293</v>
      </c>
      <c r="C307" s="139">
        <f>'BC.114+840'!M306/1000</f>
        <v>1.5269999999999999</v>
      </c>
      <c r="D307" s="139">
        <f>'BC.114+840'!AA306</f>
        <v>2.3239999999999998</v>
      </c>
      <c r="E307" s="140">
        <f>'BC.114+840'!AB306</f>
        <v>0.95399999999999996</v>
      </c>
      <c r="F307" s="139">
        <f>VLOOKUP($A307,'BC.114+840'!$B$13:$X$470,8,0)/1000</f>
        <v>2.6389999999999998</v>
      </c>
      <c r="G307" s="139">
        <f>VLOOKUP($A307,'BC.114+840'!$B$13:$X$470,9,0)/1000</f>
        <v>-0.36099999999999999</v>
      </c>
      <c r="H307" s="139">
        <f>VLOOKUP($A307,'BC.114+840'!$B$13:$X$470,14,0)/1000</f>
        <v>2.6269999999999998</v>
      </c>
      <c r="I307" s="139">
        <f>VLOOKUP($A307,'BC.114+840'!$B$13:$X$470,15,0)/1000</f>
        <v>-0.373</v>
      </c>
      <c r="J307" s="139">
        <f>VLOOKUP($A307,'BC.114+840'!$B$13:$X$470,20,0)/1000</f>
        <v>2.3519999999999999</v>
      </c>
      <c r="K307" s="139">
        <f>VLOOKUP($A307,'BC.114+840'!$B$13:$X$470,21,0)/1000</f>
        <v>-0.64800000000000002</v>
      </c>
      <c r="L307" s="137">
        <f t="shared" si="13"/>
        <v>-281</v>
      </c>
      <c r="M307" s="138">
        <f t="shared" si="14"/>
        <v>-473</v>
      </c>
      <c r="N307" s="137">
        <f t="shared" si="15"/>
        <v>-258</v>
      </c>
      <c r="O307" s="137"/>
    </row>
    <row r="308" spans="1:15">
      <c r="A308" s="76">
        <f>'BC.114+840'!B307</f>
        <v>45564</v>
      </c>
      <c r="B308" s="137">
        <f t="shared" si="12"/>
        <v>294</v>
      </c>
      <c r="C308" s="139">
        <f>'BC.114+840'!M307/1000</f>
        <v>1.5269999999999999</v>
      </c>
      <c r="D308" s="139">
        <f>'BC.114+840'!AA307</f>
        <v>2.3239999999999998</v>
      </c>
      <c r="E308" s="140">
        <f>'BC.114+840'!AB307</f>
        <v>0.95399999999999996</v>
      </c>
      <c r="F308" s="139">
        <f>VLOOKUP($A308,'BC.114+840'!$B$13:$X$470,8,0)/1000</f>
        <v>2.6389999999999998</v>
      </c>
      <c r="G308" s="139">
        <f>VLOOKUP($A308,'BC.114+840'!$B$13:$X$470,9,0)/1000</f>
        <v>-0.36099999999999999</v>
      </c>
      <c r="H308" s="139">
        <f>VLOOKUP($A308,'BC.114+840'!$B$13:$X$470,14,0)/1000</f>
        <v>2.6269999999999998</v>
      </c>
      <c r="I308" s="139">
        <f>VLOOKUP($A308,'BC.114+840'!$B$13:$X$470,15,0)/1000</f>
        <v>-0.373</v>
      </c>
      <c r="J308" s="139">
        <f>VLOOKUP($A308,'BC.114+840'!$B$13:$X$470,20,0)/1000</f>
        <v>2.3519999999999999</v>
      </c>
      <c r="K308" s="139">
        <f>VLOOKUP($A308,'BC.114+840'!$B$13:$X$470,21,0)/1000</f>
        <v>-0.64800000000000002</v>
      </c>
      <c r="L308" s="137">
        <f t="shared" si="13"/>
        <v>-281</v>
      </c>
      <c r="M308" s="138">
        <f t="shared" si="14"/>
        <v>-473</v>
      </c>
      <c r="N308" s="137">
        <f t="shared" si="15"/>
        <v>-258</v>
      </c>
      <c r="O308" s="137"/>
    </row>
    <row r="309" spans="1:15">
      <c r="A309" s="76">
        <f>'BC.114+840'!B308</f>
        <v>45565</v>
      </c>
      <c r="B309" s="137">
        <f t="shared" si="12"/>
        <v>295</v>
      </c>
      <c r="C309" s="139">
        <f>'BC.114+840'!M308/1000</f>
        <v>1.5269999999999999</v>
      </c>
      <c r="D309" s="139">
        <f>'BC.114+840'!AA308</f>
        <v>2.3239999999999998</v>
      </c>
      <c r="E309" s="140">
        <f>'BC.114+840'!AB308</f>
        <v>0.95399999999999996</v>
      </c>
      <c r="F309" s="139">
        <f>VLOOKUP($A309,'BC.114+840'!$B$13:$X$470,8,0)/1000</f>
        <v>2.6389999999999998</v>
      </c>
      <c r="G309" s="139">
        <f>VLOOKUP($A309,'BC.114+840'!$B$13:$X$470,9,0)/1000</f>
        <v>-0.36099999999999999</v>
      </c>
      <c r="H309" s="139">
        <f>VLOOKUP($A309,'BC.114+840'!$B$13:$X$470,14,0)/1000</f>
        <v>2.6269999999999998</v>
      </c>
      <c r="I309" s="139">
        <f>VLOOKUP($A309,'BC.114+840'!$B$13:$X$470,15,0)/1000</f>
        <v>-0.373</v>
      </c>
      <c r="J309" s="139">
        <f>VLOOKUP($A309,'BC.114+840'!$B$13:$X$470,20,0)/1000</f>
        <v>2.3519999999999999</v>
      </c>
      <c r="K309" s="139">
        <f>VLOOKUP($A309,'BC.114+840'!$B$13:$X$470,21,0)/1000</f>
        <v>-0.64800000000000002</v>
      </c>
      <c r="L309" s="137">
        <f t="shared" si="13"/>
        <v>-281</v>
      </c>
      <c r="M309" s="138">
        <f t="shared" si="14"/>
        <v>-473</v>
      </c>
      <c r="N309" s="137">
        <f t="shared" si="15"/>
        <v>-258</v>
      </c>
      <c r="O309" s="137"/>
    </row>
    <row r="310" spans="1:15">
      <c r="A310" s="76">
        <f>'BC.114+840'!B309</f>
        <v>45566</v>
      </c>
      <c r="B310" s="137">
        <f t="shared" si="12"/>
        <v>296</v>
      </c>
      <c r="C310" s="139">
        <f>'BC.114+840'!M309/1000</f>
        <v>1.5269999999999999</v>
      </c>
      <c r="D310" s="139">
        <f>'BC.114+840'!AA309</f>
        <v>2.3239999999999998</v>
      </c>
      <c r="E310" s="140">
        <f>'BC.114+840'!AB309</f>
        <v>0.95399999999999996</v>
      </c>
      <c r="F310" s="139">
        <f>VLOOKUP($A310,'BC.114+840'!$B$13:$X$470,8,0)/1000</f>
        <v>2.6389999999999998</v>
      </c>
      <c r="G310" s="139">
        <f>VLOOKUP($A310,'BC.114+840'!$B$13:$X$470,9,0)/1000</f>
        <v>-0.36099999999999999</v>
      </c>
      <c r="H310" s="139">
        <f>VLOOKUP($A310,'BC.114+840'!$B$13:$X$470,14,0)/1000</f>
        <v>2.6269999999999998</v>
      </c>
      <c r="I310" s="139">
        <f>VLOOKUP($A310,'BC.114+840'!$B$13:$X$470,15,0)/1000</f>
        <v>-0.373</v>
      </c>
      <c r="J310" s="139">
        <f>VLOOKUP($A310,'BC.114+840'!$B$13:$X$470,20,0)/1000</f>
        <v>2.3519999999999999</v>
      </c>
      <c r="K310" s="139">
        <f>VLOOKUP($A310,'BC.114+840'!$B$13:$X$470,21,0)/1000</f>
        <v>-0.64800000000000002</v>
      </c>
      <c r="L310" s="137">
        <f t="shared" si="13"/>
        <v>-281</v>
      </c>
      <c r="M310" s="138">
        <f t="shared" si="14"/>
        <v>-473</v>
      </c>
      <c r="N310" s="137">
        <f t="shared" si="15"/>
        <v>-258</v>
      </c>
      <c r="O310" s="137"/>
    </row>
    <row r="311" spans="1:15">
      <c r="A311" s="76">
        <f>'BC.114+840'!B310</f>
        <v>45567</v>
      </c>
      <c r="B311" s="137">
        <f t="shared" si="12"/>
        <v>297</v>
      </c>
      <c r="C311" s="139">
        <f>'BC.114+840'!M310/1000</f>
        <v>1.5269999999999999</v>
      </c>
      <c r="D311" s="139">
        <f>'BC.114+840'!AA310</f>
        <v>2.3239999999999998</v>
      </c>
      <c r="E311" s="140">
        <f>'BC.114+840'!AB310</f>
        <v>0.95399999999999996</v>
      </c>
      <c r="F311" s="139">
        <f>VLOOKUP($A311,'BC.114+840'!$B$13:$X$470,8,0)/1000</f>
        <v>2.6389999999999998</v>
      </c>
      <c r="G311" s="139">
        <f>VLOOKUP($A311,'BC.114+840'!$B$13:$X$470,9,0)/1000</f>
        <v>-0.36099999999999999</v>
      </c>
      <c r="H311" s="139">
        <f>VLOOKUP($A311,'BC.114+840'!$B$13:$X$470,14,0)/1000</f>
        <v>2.6269999999999998</v>
      </c>
      <c r="I311" s="139">
        <f>VLOOKUP($A311,'BC.114+840'!$B$13:$X$470,15,0)/1000</f>
        <v>-0.373</v>
      </c>
      <c r="J311" s="139">
        <f>VLOOKUP($A311,'BC.114+840'!$B$13:$X$470,20,0)/1000</f>
        <v>2.3519999999999999</v>
      </c>
      <c r="K311" s="139">
        <f>VLOOKUP($A311,'BC.114+840'!$B$13:$X$470,21,0)/1000</f>
        <v>-0.64800000000000002</v>
      </c>
      <c r="L311" s="137">
        <f t="shared" si="13"/>
        <v>-281</v>
      </c>
      <c r="M311" s="138">
        <f t="shared" si="14"/>
        <v>-473</v>
      </c>
      <c r="N311" s="137">
        <f t="shared" si="15"/>
        <v>-258</v>
      </c>
      <c r="O311" s="137"/>
    </row>
    <row r="312" spans="1:15">
      <c r="A312" s="76">
        <f>'BC.114+840'!B311</f>
        <v>45568</v>
      </c>
      <c r="B312" s="137">
        <f t="shared" si="12"/>
        <v>298</v>
      </c>
      <c r="C312" s="139">
        <f>'BC.114+840'!M311/1000</f>
        <v>1.5269999999999999</v>
      </c>
      <c r="D312" s="139">
        <f>'BC.114+840'!AA311</f>
        <v>2.3239999999999998</v>
      </c>
      <c r="E312" s="140">
        <f>'BC.114+840'!AB311</f>
        <v>0.95399999999999996</v>
      </c>
      <c r="F312" s="139">
        <f>VLOOKUP($A312,'BC.114+840'!$B$13:$X$470,8,0)/1000</f>
        <v>2.6389999999999998</v>
      </c>
      <c r="G312" s="139">
        <f>VLOOKUP($A312,'BC.114+840'!$B$13:$X$470,9,0)/1000</f>
        <v>-0.36099999999999999</v>
      </c>
      <c r="H312" s="139">
        <f>VLOOKUP($A312,'BC.114+840'!$B$13:$X$470,14,0)/1000</f>
        <v>2.6269999999999998</v>
      </c>
      <c r="I312" s="139">
        <f>VLOOKUP($A312,'BC.114+840'!$B$13:$X$470,15,0)/1000</f>
        <v>-0.373</v>
      </c>
      <c r="J312" s="139">
        <f>VLOOKUP($A312,'BC.114+840'!$B$13:$X$470,20,0)/1000</f>
        <v>2.3519999999999999</v>
      </c>
      <c r="K312" s="139">
        <f>VLOOKUP($A312,'BC.114+840'!$B$13:$X$470,21,0)/1000</f>
        <v>-0.64800000000000002</v>
      </c>
      <c r="L312" s="137">
        <f t="shared" si="13"/>
        <v>-281</v>
      </c>
      <c r="M312" s="138">
        <f t="shared" si="14"/>
        <v>-473</v>
      </c>
      <c r="N312" s="137">
        <f t="shared" si="15"/>
        <v>-258</v>
      </c>
      <c r="O312" s="137"/>
    </row>
    <row r="313" spans="1:15">
      <c r="A313" s="76">
        <f>'BC.114+840'!B312</f>
        <v>45569</v>
      </c>
      <c r="B313" s="137">
        <f t="shared" si="12"/>
        <v>299</v>
      </c>
      <c r="C313" s="139">
        <f>'BC.114+840'!M312/1000</f>
        <v>1.5269999999999999</v>
      </c>
      <c r="D313" s="139">
        <f>'BC.114+840'!AA312</f>
        <v>2.3239999999999998</v>
      </c>
      <c r="E313" s="140">
        <f>'BC.114+840'!AB312</f>
        <v>0.95399999999999996</v>
      </c>
      <c r="F313" s="139">
        <f>VLOOKUP($A313,'BC.114+840'!$B$13:$X$470,8,0)/1000</f>
        <v>2.6389999999999998</v>
      </c>
      <c r="G313" s="139">
        <f>VLOOKUP($A313,'BC.114+840'!$B$13:$X$470,9,0)/1000</f>
        <v>-0.36099999999999999</v>
      </c>
      <c r="H313" s="139">
        <f>VLOOKUP($A313,'BC.114+840'!$B$13:$X$470,14,0)/1000</f>
        <v>2.6269999999999998</v>
      </c>
      <c r="I313" s="139">
        <f>VLOOKUP($A313,'BC.114+840'!$B$13:$X$470,15,0)/1000</f>
        <v>-0.373</v>
      </c>
      <c r="J313" s="139">
        <f>VLOOKUP($A313,'BC.114+840'!$B$13:$X$470,20,0)/1000</f>
        <v>2.3519999999999999</v>
      </c>
      <c r="K313" s="139">
        <f>VLOOKUP($A313,'BC.114+840'!$B$13:$X$470,21,0)/1000</f>
        <v>-0.64800000000000002</v>
      </c>
      <c r="L313" s="137">
        <f t="shared" si="13"/>
        <v>-281</v>
      </c>
      <c r="M313" s="138">
        <f t="shared" si="14"/>
        <v>-473</v>
      </c>
      <c r="N313" s="137">
        <f t="shared" si="15"/>
        <v>-258</v>
      </c>
      <c r="O313" s="137"/>
    </row>
    <row r="314" spans="1:15">
      <c r="A314" s="76">
        <f>'BC.114+840'!B313</f>
        <v>45570</v>
      </c>
      <c r="B314" s="137">
        <f t="shared" si="12"/>
        <v>300</v>
      </c>
      <c r="C314" s="139">
        <f>'BC.114+840'!M313/1000</f>
        <v>1.5269999999999999</v>
      </c>
      <c r="D314" s="139">
        <f>'BC.114+840'!AA313</f>
        <v>2.3239999999999998</v>
      </c>
      <c r="E314" s="140">
        <f>'BC.114+840'!AB313</f>
        <v>0.95399999999999996</v>
      </c>
      <c r="F314" s="139">
        <f>VLOOKUP($A314,'BC.114+840'!$B$13:$X$470,8,0)/1000</f>
        <v>2.6389999999999998</v>
      </c>
      <c r="G314" s="139">
        <f>VLOOKUP($A314,'BC.114+840'!$B$13:$X$470,9,0)/1000</f>
        <v>-0.36099999999999999</v>
      </c>
      <c r="H314" s="139">
        <f>VLOOKUP($A314,'BC.114+840'!$B$13:$X$470,14,0)/1000</f>
        <v>2.6269999999999998</v>
      </c>
      <c r="I314" s="139">
        <f>VLOOKUP($A314,'BC.114+840'!$B$13:$X$470,15,0)/1000</f>
        <v>-0.373</v>
      </c>
      <c r="J314" s="139">
        <f>VLOOKUP($A314,'BC.114+840'!$B$13:$X$470,20,0)/1000</f>
        <v>2.3519999999999999</v>
      </c>
      <c r="K314" s="139">
        <f>VLOOKUP($A314,'BC.114+840'!$B$13:$X$470,21,0)/1000</f>
        <v>-0.64800000000000002</v>
      </c>
      <c r="L314" s="137">
        <f t="shared" si="13"/>
        <v>-281</v>
      </c>
      <c r="M314" s="138">
        <f t="shared" si="14"/>
        <v>-473</v>
      </c>
      <c r="N314" s="137">
        <f t="shared" si="15"/>
        <v>-258</v>
      </c>
      <c r="O314" s="137"/>
    </row>
    <row r="315" spans="1:15">
      <c r="A315" s="76">
        <f>'BC.114+840'!B314</f>
        <v>45571</v>
      </c>
      <c r="B315" s="137">
        <f t="shared" si="12"/>
        <v>301</v>
      </c>
      <c r="C315" s="139">
        <f>'BC.114+840'!M314/1000</f>
        <v>1.5269999999999999</v>
      </c>
      <c r="D315" s="139">
        <f>'BC.114+840'!AA314</f>
        <v>2.3239999999999998</v>
      </c>
      <c r="E315" s="140">
        <f>'BC.114+840'!AB314</f>
        <v>0.95399999999999996</v>
      </c>
      <c r="F315" s="139">
        <f>VLOOKUP($A315,'BC.114+840'!$B$13:$X$470,8,0)/1000</f>
        <v>2.6389999999999998</v>
      </c>
      <c r="G315" s="139">
        <f>VLOOKUP($A315,'BC.114+840'!$B$13:$X$470,9,0)/1000</f>
        <v>-0.36099999999999999</v>
      </c>
      <c r="H315" s="139">
        <f>VLOOKUP($A315,'BC.114+840'!$B$13:$X$470,14,0)/1000</f>
        <v>2.6269999999999998</v>
      </c>
      <c r="I315" s="139">
        <f>VLOOKUP($A315,'BC.114+840'!$B$13:$X$470,15,0)/1000</f>
        <v>-0.373</v>
      </c>
      <c r="J315" s="139">
        <f>VLOOKUP($A315,'BC.114+840'!$B$13:$X$470,20,0)/1000</f>
        <v>2.3519999999999999</v>
      </c>
      <c r="K315" s="139">
        <f>VLOOKUP($A315,'BC.114+840'!$B$13:$X$470,21,0)/1000</f>
        <v>-0.64800000000000002</v>
      </c>
      <c r="L315" s="137">
        <f t="shared" si="13"/>
        <v>-281</v>
      </c>
      <c r="M315" s="138">
        <f t="shared" si="14"/>
        <v>-473</v>
      </c>
      <c r="N315" s="137">
        <f t="shared" si="15"/>
        <v>-258</v>
      </c>
      <c r="O315" s="137"/>
    </row>
    <row r="316" spans="1:15">
      <c r="A316" s="76">
        <f>'BC.114+840'!B315</f>
        <v>45572</v>
      </c>
      <c r="B316" s="137">
        <f t="shared" si="12"/>
        <v>302</v>
      </c>
      <c r="C316" s="139">
        <f>'BC.114+840'!M315/1000</f>
        <v>1.5269999999999999</v>
      </c>
      <c r="D316" s="139">
        <f>'BC.114+840'!AA315</f>
        <v>2.3239999999999998</v>
      </c>
      <c r="E316" s="140">
        <f>'BC.114+840'!AB315</f>
        <v>0.95399999999999996</v>
      </c>
      <c r="F316" s="139">
        <f>VLOOKUP($A316,'BC.114+840'!$B$13:$X$470,8,0)/1000</f>
        <v>2.6389999999999998</v>
      </c>
      <c r="G316" s="139">
        <f>VLOOKUP($A316,'BC.114+840'!$B$13:$X$470,9,0)/1000</f>
        <v>-0.36099999999999999</v>
      </c>
      <c r="H316" s="139">
        <f>VLOOKUP($A316,'BC.114+840'!$B$13:$X$470,14,0)/1000</f>
        <v>2.6269999999999998</v>
      </c>
      <c r="I316" s="139">
        <f>VLOOKUP($A316,'BC.114+840'!$B$13:$X$470,15,0)/1000</f>
        <v>-0.373</v>
      </c>
      <c r="J316" s="139">
        <f>VLOOKUP($A316,'BC.114+840'!$B$13:$X$470,20,0)/1000</f>
        <v>2.3519999999999999</v>
      </c>
      <c r="K316" s="139">
        <f>VLOOKUP($A316,'BC.114+840'!$B$13:$X$470,21,0)/1000</f>
        <v>-0.64800000000000002</v>
      </c>
      <c r="L316" s="137">
        <f t="shared" si="13"/>
        <v>-281</v>
      </c>
      <c r="M316" s="138">
        <f t="shared" si="14"/>
        <v>-473</v>
      </c>
      <c r="N316" s="137">
        <f t="shared" si="15"/>
        <v>-258</v>
      </c>
      <c r="O316" s="137"/>
    </row>
    <row r="317" spans="1:15">
      <c r="A317" s="76">
        <f>'BC.114+840'!B316</f>
        <v>45573</v>
      </c>
      <c r="B317" s="137">
        <f t="shared" si="12"/>
        <v>303</v>
      </c>
      <c r="C317" s="139">
        <f>'BC.114+840'!M316/1000</f>
        <v>1.5269999999999999</v>
      </c>
      <c r="D317" s="139">
        <f>'BC.114+840'!AA316</f>
        <v>2.3239999999999998</v>
      </c>
      <c r="E317" s="140">
        <f>'BC.114+840'!AB316</f>
        <v>0.95399999999999996</v>
      </c>
      <c r="F317" s="139">
        <f>VLOOKUP($A317,'BC.114+840'!$B$13:$X$470,8,0)/1000</f>
        <v>2.6389999999999998</v>
      </c>
      <c r="G317" s="139">
        <f>VLOOKUP($A317,'BC.114+840'!$B$13:$X$470,9,0)/1000</f>
        <v>-0.36099999999999999</v>
      </c>
      <c r="H317" s="139">
        <f>VLOOKUP($A317,'BC.114+840'!$B$13:$X$470,14,0)/1000</f>
        <v>2.6269999999999998</v>
      </c>
      <c r="I317" s="139">
        <f>VLOOKUP($A317,'BC.114+840'!$B$13:$X$470,15,0)/1000</f>
        <v>-0.373</v>
      </c>
      <c r="J317" s="139">
        <f>VLOOKUP($A317,'BC.114+840'!$B$13:$X$470,20,0)/1000</f>
        <v>2.3519999999999999</v>
      </c>
      <c r="K317" s="139">
        <f>VLOOKUP($A317,'BC.114+840'!$B$13:$X$470,21,0)/1000</f>
        <v>-0.64800000000000002</v>
      </c>
      <c r="L317" s="137">
        <f t="shared" si="13"/>
        <v>-281</v>
      </c>
      <c r="M317" s="138">
        <f t="shared" si="14"/>
        <v>-473</v>
      </c>
      <c r="N317" s="137">
        <f t="shared" si="15"/>
        <v>-258</v>
      </c>
      <c r="O317" s="137"/>
    </row>
    <row r="318" spans="1:15">
      <c r="A318" s="76">
        <f>'BC.114+840'!B317</f>
        <v>45574</v>
      </c>
      <c r="B318" s="137">
        <f t="shared" si="12"/>
        <v>304</v>
      </c>
      <c r="C318" s="139">
        <f>'BC.114+840'!M317/1000</f>
        <v>1.5269999999999999</v>
      </c>
      <c r="D318" s="139">
        <f>'BC.114+840'!AA317</f>
        <v>2.3239999999999998</v>
      </c>
      <c r="E318" s="140">
        <f>'BC.114+840'!AB317</f>
        <v>0.95399999999999996</v>
      </c>
      <c r="F318" s="139">
        <f>VLOOKUP($A318,'BC.114+840'!$B$13:$X$470,8,0)/1000</f>
        <v>2.6389999999999998</v>
      </c>
      <c r="G318" s="139">
        <f>VLOOKUP($A318,'BC.114+840'!$B$13:$X$470,9,0)/1000</f>
        <v>-0.36099999999999999</v>
      </c>
      <c r="H318" s="139">
        <f>VLOOKUP($A318,'BC.114+840'!$B$13:$X$470,14,0)/1000</f>
        <v>2.6269999999999998</v>
      </c>
      <c r="I318" s="139">
        <f>VLOOKUP($A318,'BC.114+840'!$B$13:$X$470,15,0)/1000</f>
        <v>-0.373</v>
      </c>
      <c r="J318" s="139">
        <f>VLOOKUP($A318,'BC.114+840'!$B$13:$X$470,20,0)/1000</f>
        <v>2.3519999999999999</v>
      </c>
      <c r="K318" s="139">
        <f>VLOOKUP($A318,'BC.114+840'!$B$13:$X$470,21,0)/1000</f>
        <v>-0.64800000000000002</v>
      </c>
      <c r="L318" s="137">
        <f t="shared" si="13"/>
        <v>-281</v>
      </c>
      <c r="M318" s="138">
        <f t="shared" si="14"/>
        <v>-473</v>
      </c>
      <c r="N318" s="137">
        <f t="shared" si="15"/>
        <v>-258</v>
      </c>
      <c r="O318" s="137"/>
    </row>
    <row r="319" spans="1:15">
      <c r="A319" s="76">
        <f>'BC.114+840'!B318</f>
        <v>45575</v>
      </c>
      <c r="B319" s="137">
        <f t="shared" ref="B319:B382" si="16">+B318+1</f>
        <v>305</v>
      </c>
      <c r="C319" s="139">
        <f>'BC.114+840'!M318/1000</f>
        <v>1.5269999999999999</v>
      </c>
      <c r="D319" s="139">
        <f>'BC.114+840'!AA318</f>
        <v>2.3239999999999998</v>
      </c>
      <c r="E319" s="140">
        <f>'BC.114+840'!AB318</f>
        <v>0.95399999999999996</v>
      </c>
      <c r="F319" s="139">
        <f>VLOOKUP($A319,'BC.114+840'!$B$13:$X$470,8,0)/1000</f>
        <v>2.6389999999999998</v>
      </c>
      <c r="G319" s="139">
        <f>VLOOKUP($A319,'BC.114+840'!$B$13:$X$470,9,0)/1000</f>
        <v>-0.36099999999999999</v>
      </c>
      <c r="H319" s="139">
        <f>VLOOKUP($A319,'BC.114+840'!$B$13:$X$470,14,0)/1000</f>
        <v>2.6269999999999998</v>
      </c>
      <c r="I319" s="139">
        <f>VLOOKUP($A319,'BC.114+840'!$B$13:$X$470,15,0)/1000</f>
        <v>-0.373</v>
      </c>
      <c r="J319" s="139">
        <f>VLOOKUP($A319,'BC.114+840'!$B$13:$X$470,20,0)/1000</f>
        <v>2.3519999999999999</v>
      </c>
      <c r="K319" s="139">
        <f>VLOOKUP($A319,'BC.114+840'!$B$13:$X$470,21,0)/1000</f>
        <v>-0.64800000000000002</v>
      </c>
      <c r="L319" s="137">
        <f t="shared" si="13"/>
        <v>-281</v>
      </c>
      <c r="M319" s="138">
        <f t="shared" si="14"/>
        <v>-473</v>
      </c>
      <c r="N319" s="137">
        <f t="shared" si="15"/>
        <v>-258</v>
      </c>
      <c r="O319" s="137"/>
    </row>
    <row r="320" spans="1:15">
      <c r="A320" s="76">
        <f>'BC.114+840'!B319</f>
        <v>45576</v>
      </c>
      <c r="B320" s="137">
        <f t="shared" si="16"/>
        <v>306</v>
      </c>
      <c r="C320" s="139">
        <f>'BC.114+840'!M319/1000</f>
        <v>1.5269999999999999</v>
      </c>
      <c r="D320" s="139">
        <f>'BC.114+840'!AA319</f>
        <v>2.3239999999999998</v>
      </c>
      <c r="E320" s="140">
        <f>'BC.114+840'!AB319</f>
        <v>0.95399999999999996</v>
      </c>
      <c r="F320" s="139">
        <f>VLOOKUP($A320,'BC.114+840'!$B$13:$X$470,8,0)/1000</f>
        <v>2.6389999999999998</v>
      </c>
      <c r="G320" s="139">
        <f>VLOOKUP($A320,'BC.114+840'!$B$13:$X$470,9,0)/1000</f>
        <v>-0.36099999999999999</v>
      </c>
      <c r="H320" s="139">
        <f>VLOOKUP($A320,'BC.114+840'!$B$13:$X$470,14,0)/1000</f>
        <v>2.6269999999999998</v>
      </c>
      <c r="I320" s="139">
        <f>VLOOKUP($A320,'BC.114+840'!$B$13:$X$470,15,0)/1000</f>
        <v>-0.373</v>
      </c>
      <c r="J320" s="139">
        <f>VLOOKUP($A320,'BC.114+840'!$B$13:$X$470,20,0)/1000</f>
        <v>2.3519999999999999</v>
      </c>
      <c r="K320" s="139">
        <f>VLOOKUP($A320,'BC.114+840'!$B$13:$X$470,21,0)/1000</f>
        <v>-0.64800000000000002</v>
      </c>
      <c r="L320" s="137">
        <f t="shared" si="13"/>
        <v>-281</v>
      </c>
      <c r="M320" s="138">
        <f t="shared" si="14"/>
        <v>-473</v>
      </c>
      <c r="N320" s="137">
        <f t="shared" si="15"/>
        <v>-258</v>
      </c>
      <c r="O320" s="137"/>
    </row>
    <row r="321" spans="1:15">
      <c r="A321" s="76">
        <f>'BC.114+840'!B320</f>
        <v>45577</v>
      </c>
      <c r="B321" s="137">
        <f t="shared" si="16"/>
        <v>307</v>
      </c>
      <c r="C321" s="139">
        <f>'BC.114+840'!M320/1000</f>
        <v>1.5269999999999999</v>
      </c>
      <c r="D321" s="139">
        <f>'BC.114+840'!AA320</f>
        <v>2.3239999999999998</v>
      </c>
      <c r="E321" s="140">
        <f>'BC.114+840'!AB320</f>
        <v>0.95399999999999996</v>
      </c>
      <c r="F321" s="139">
        <f>VLOOKUP($A321,'BC.114+840'!$B$13:$X$470,8,0)/1000</f>
        <v>2.6389999999999998</v>
      </c>
      <c r="G321" s="139">
        <f>VLOOKUP($A321,'BC.114+840'!$B$13:$X$470,9,0)/1000</f>
        <v>-0.36099999999999999</v>
      </c>
      <c r="H321" s="139">
        <f>VLOOKUP($A321,'BC.114+840'!$B$13:$X$470,14,0)/1000</f>
        <v>2.6269999999999998</v>
      </c>
      <c r="I321" s="139">
        <f>VLOOKUP($A321,'BC.114+840'!$B$13:$X$470,15,0)/1000</f>
        <v>-0.373</v>
      </c>
      <c r="J321" s="139">
        <f>VLOOKUP($A321,'BC.114+840'!$B$13:$X$470,20,0)/1000</f>
        <v>2.3519999999999999</v>
      </c>
      <c r="K321" s="139">
        <f>VLOOKUP($A321,'BC.114+840'!$B$13:$X$470,21,0)/1000</f>
        <v>-0.64800000000000002</v>
      </c>
      <c r="L321" s="137">
        <f t="shared" si="13"/>
        <v>-281</v>
      </c>
      <c r="M321" s="138">
        <f t="shared" si="14"/>
        <v>-473</v>
      </c>
      <c r="N321" s="137">
        <f t="shared" si="15"/>
        <v>-258</v>
      </c>
      <c r="O321" s="137"/>
    </row>
    <row r="322" spans="1:15">
      <c r="A322" s="76">
        <f>'BC.114+840'!B321</f>
        <v>45578</v>
      </c>
      <c r="B322" s="137">
        <f t="shared" si="16"/>
        <v>308</v>
      </c>
      <c r="C322" s="139">
        <f>'BC.114+840'!M321/1000</f>
        <v>1.5269999999999999</v>
      </c>
      <c r="D322" s="139">
        <f>'BC.114+840'!AA321</f>
        <v>2.3239999999999998</v>
      </c>
      <c r="E322" s="140">
        <f>'BC.114+840'!AB321</f>
        <v>0.95399999999999996</v>
      </c>
      <c r="F322" s="139">
        <f>VLOOKUP($A322,'BC.114+840'!$B$13:$X$470,8,0)/1000</f>
        <v>2.6389999999999998</v>
      </c>
      <c r="G322" s="139">
        <f>VLOOKUP($A322,'BC.114+840'!$B$13:$X$470,9,0)/1000</f>
        <v>-0.36099999999999999</v>
      </c>
      <c r="H322" s="139">
        <f>VLOOKUP($A322,'BC.114+840'!$B$13:$X$470,14,0)/1000</f>
        <v>2.6269999999999998</v>
      </c>
      <c r="I322" s="139">
        <f>VLOOKUP($A322,'BC.114+840'!$B$13:$X$470,15,0)/1000</f>
        <v>-0.373</v>
      </c>
      <c r="J322" s="139">
        <f>VLOOKUP($A322,'BC.114+840'!$B$13:$X$470,20,0)/1000</f>
        <v>2.3519999999999999</v>
      </c>
      <c r="K322" s="139">
        <f>VLOOKUP($A322,'BC.114+840'!$B$13:$X$470,21,0)/1000</f>
        <v>-0.64800000000000002</v>
      </c>
      <c r="L322" s="137">
        <f t="shared" si="13"/>
        <v>-281</v>
      </c>
      <c r="M322" s="138">
        <f t="shared" si="14"/>
        <v>-473</v>
      </c>
      <c r="N322" s="137">
        <f t="shared" si="15"/>
        <v>-258</v>
      </c>
      <c r="O322" s="137"/>
    </row>
    <row r="323" spans="1:15">
      <c r="A323" s="76">
        <f>'BC.114+840'!B322</f>
        <v>45579</v>
      </c>
      <c r="B323" s="137">
        <f t="shared" si="16"/>
        <v>309</v>
      </c>
      <c r="C323" s="139">
        <f>'BC.114+840'!M322/1000</f>
        <v>1.5269999999999999</v>
      </c>
      <c r="D323" s="139">
        <f>'BC.114+840'!AA322</f>
        <v>2.3239999999999998</v>
      </c>
      <c r="E323" s="140">
        <f>'BC.114+840'!AB322</f>
        <v>0.95399999999999996</v>
      </c>
      <c r="F323" s="139">
        <f>VLOOKUP($A323,'BC.114+840'!$B$13:$X$470,8,0)/1000</f>
        <v>2.6389999999999998</v>
      </c>
      <c r="G323" s="139">
        <f>VLOOKUP($A323,'BC.114+840'!$B$13:$X$470,9,0)/1000</f>
        <v>-0.36099999999999999</v>
      </c>
      <c r="H323" s="139">
        <f>VLOOKUP($A323,'BC.114+840'!$B$13:$X$470,14,0)/1000</f>
        <v>2.6269999999999998</v>
      </c>
      <c r="I323" s="139">
        <f>VLOOKUP($A323,'BC.114+840'!$B$13:$X$470,15,0)/1000</f>
        <v>-0.373</v>
      </c>
      <c r="J323" s="139">
        <f>VLOOKUP($A323,'BC.114+840'!$B$13:$X$470,20,0)/1000</f>
        <v>2.3519999999999999</v>
      </c>
      <c r="K323" s="139">
        <f>VLOOKUP($A323,'BC.114+840'!$B$13:$X$470,21,0)/1000</f>
        <v>-0.64800000000000002</v>
      </c>
      <c r="L323" s="137">
        <f t="shared" si="13"/>
        <v>-281</v>
      </c>
      <c r="M323" s="138">
        <f t="shared" si="14"/>
        <v>-473</v>
      </c>
      <c r="N323" s="137">
        <f t="shared" si="15"/>
        <v>-258</v>
      </c>
      <c r="O323" s="137"/>
    </row>
    <row r="324" spans="1:15">
      <c r="A324" s="76">
        <f>'BC.114+840'!B323</f>
        <v>45580</v>
      </c>
      <c r="B324" s="137">
        <f t="shared" si="16"/>
        <v>310</v>
      </c>
      <c r="C324" s="139">
        <f>'BC.114+840'!M323/1000</f>
        <v>1.5269999999999999</v>
      </c>
      <c r="D324" s="139">
        <f>'BC.114+840'!AA323</f>
        <v>2.3239999999999998</v>
      </c>
      <c r="E324" s="140">
        <f>'BC.114+840'!AB323</f>
        <v>0.95399999999999996</v>
      </c>
      <c r="F324" s="139">
        <f>VLOOKUP($A324,'BC.114+840'!$B$13:$X$470,8,0)/1000</f>
        <v>2.6389999999999998</v>
      </c>
      <c r="G324" s="139">
        <f>VLOOKUP($A324,'BC.114+840'!$B$13:$X$470,9,0)/1000</f>
        <v>-0.36099999999999999</v>
      </c>
      <c r="H324" s="139">
        <f>VLOOKUP($A324,'BC.114+840'!$B$13:$X$470,14,0)/1000</f>
        <v>2.6269999999999998</v>
      </c>
      <c r="I324" s="139">
        <f>VLOOKUP($A324,'BC.114+840'!$B$13:$X$470,15,0)/1000</f>
        <v>-0.373</v>
      </c>
      <c r="J324" s="139">
        <f>VLOOKUP($A324,'BC.114+840'!$B$13:$X$470,20,0)/1000</f>
        <v>2.3519999999999999</v>
      </c>
      <c r="K324" s="139">
        <f>VLOOKUP($A324,'BC.114+840'!$B$13:$X$470,21,0)/1000</f>
        <v>-0.64800000000000002</v>
      </c>
      <c r="L324" s="137">
        <f t="shared" si="13"/>
        <v>-281</v>
      </c>
      <c r="M324" s="138">
        <f t="shared" si="14"/>
        <v>-473</v>
      </c>
      <c r="N324" s="137">
        <f t="shared" si="15"/>
        <v>-258</v>
      </c>
      <c r="O324" s="137"/>
    </row>
    <row r="325" spans="1:15">
      <c r="A325" s="76">
        <f>'BC.114+840'!B324</f>
        <v>45581</v>
      </c>
      <c r="B325" s="137">
        <f t="shared" si="16"/>
        <v>311</v>
      </c>
      <c r="C325" s="139">
        <f>'BC.114+840'!M324/1000</f>
        <v>1.5269999999999999</v>
      </c>
      <c r="D325" s="139">
        <f>'BC.114+840'!AA324</f>
        <v>2.3239999999999998</v>
      </c>
      <c r="E325" s="140">
        <f>'BC.114+840'!AB324</f>
        <v>0.95399999999999996</v>
      </c>
      <c r="F325" s="139">
        <f>VLOOKUP($A325,'BC.114+840'!$B$13:$X$470,8,0)/1000</f>
        <v>2.6389999999999998</v>
      </c>
      <c r="G325" s="139">
        <f>VLOOKUP($A325,'BC.114+840'!$B$13:$X$470,9,0)/1000</f>
        <v>-0.36099999999999999</v>
      </c>
      <c r="H325" s="139">
        <f>VLOOKUP($A325,'BC.114+840'!$B$13:$X$470,14,0)/1000</f>
        <v>2.6269999999999998</v>
      </c>
      <c r="I325" s="139">
        <f>VLOOKUP($A325,'BC.114+840'!$B$13:$X$470,15,0)/1000</f>
        <v>-0.373</v>
      </c>
      <c r="J325" s="139">
        <f>VLOOKUP($A325,'BC.114+840'!$B$13:$X$470,20,0)/1000</f>
        <v>2.3519999999999999</v>
      </c>
      <c r="K325" s="139">
        <f>VLOOKUP($A325,'BC.114+840'!$B$13:$X$470,21,0)/1000</f>
        <v>-0.64800000000000002</v>
      </c>
      <c r="L325" s="137">
        <f t="shared" si="13"/>
        <v>-281</v>
      </c>
      <c r="M325" s="138">
        <f t="shared" si="14"/>
        <v>-473</v>
      </c>
      <c r="N325" s="137">
        <f t="shared" si="15"/>
        <v>-258</v>
      </c>
      <c r="O325" s="137"/>
    </row>
    <row r="326" spans="1:15">
      <c r="A326" s="76">
        <f>'BC.114+840'!B325</f>
        <v>45582</v>
      </c>
      <c r="B326" s="137">
        <f t="shared" si="16"/>
        <v>312</v>
      </c>
      <c r="C326" s="139">
        <f>'BC.114+840'!M325/1000</f>
        <v>1.5269999999999999</v>
      </c>
      <c r="D326" s="139">
        <f>'BC.114+840'!AA325</f>
        <v>2.3239999999999998</v>
      </c>
      <c r="E326" s="140">
        <f>'BC.114+840'!AB325</f>
        <v>0.95399999999999996</v>
      </c>
      <c r="F326" s="139">
        <f>VLOOKUP($A326,'BC.114+840'!$B$13:$X$470,8,0)/1000</f>
        <v>2.6389999999999998</v>
      </c>
      <c r="G326" s="139">
        <f>VLOOKUP($A326,'BC.114+840'!$B$13:$X$470,9,0)/1000</f>
        <v>-0.36099999999999999</v>
      </c>
      <c r="H326" s="139">
        <f>VLOOKUP($A326,'BC.114+840'!$B$13:$X$470,14,0)/1000</f>
        <v>2.6269999999999998</v>
      </c>
      <c r="I326" s="139">
        <f>VLOOKUP($A326,'BC.114+840'!$B$13:$X$470,15,0)/1000</f>
        <v>-0.373</v>
      </c>
      <c r="J326" s="139">
        <f>VLOOKUP($A326,'BC.114+840'!$B$13:$X$470,20,0)/1000</f>
        <v>2.3519999999999999</v>
      </c>
      <c r="K326" s="139">
        <f>VLOOKUP($A326,'BC.114+840'!$B$13:$X$470,21,0)/1000</f>
        <v>-0.64800000000000002</v>
      </c>
      <c r="L326" s="137">
        <f t="shared" si="13"/>
        <v>-281</v>
      </c>
      <c r="M326" s="138">
        <f t="shared" si="14"/>
        <v>-473</v>
      </c>
      <c r="N326" s="137">
        <f t="shared" si="15"/>
        <v>-258</v>
      </c>
      <c r="O326" s="137"/>
    </row>
    <row r="327" spans="1:15">
      <c r="A327" s="76">
        <f>'BC.114+840'!B326</f>
        <v>45583</v>
      </c>
      <c r="B327" s="137">
        <f t="shared" si="16"/>
        <v>313</v>
      </c>
      <c r="C327" s="139">
        <f>'BC.114+840'!M326/1000</f>
        <v>1.5269999999999999</v>
      </c>
      <c r="D327" s="139">
        <f>'BC.114+840'!AA326</f>
        <v>2.3239999999999998</v>
      </c>
      <c r="E327" s="140">
        <f>'BC.114+840'!AB326</f>
        <v>0.95399999999999996</v>
      </c>
      <c r="F327" s="139">
        <f>VLOOKUP($A327,'BC.114+840'!$B$13:$X$470,8,0)/1000</f>
        <v>2.6389999999999998</v>
      </c>
      <c r="G327" s="139">
        <f>VLOOKUP($A327,'BC.114+840'!$B$13:$X$470,9,0)/1000</f>
        <v>-0.36099999999999999</v>
      </c>
      <c r="H327" s="139">
        <f>VLOOKUP($A327,'BC.114+840'!$B$13:$X$470,14,0)/1000</f>
        <v>2.6269999999999998</v>
      </c>
      <c r="I327" s="139">
        <f>VLOOKUP($A327,'BC.114+840'!$B$13:$X$470,15,0)/1000</f>
        <v>-0.373</v>
      </c>
      <c r="J327" s="139">
        <f>VLOOKUP($A327,'BC.114+840'!$B$13:$X$470,20,0)/1000</f>
        <v>2.3519999999999999</v>
      </c>
      <c r="K327" s="139">
        <f>VLOOKUP($A327,'BC.114+840'!$B$13:$X$470,21,0)/1000</f>
        <v>-0.64800000000000002</v>
      </c>
      <c r="L327" s="137">
        <f t="shared" si="13"/>
        <v>-281</v>
      </c>
      <c r="M327" s="138">
        <f t="shared" si="14"/>
        <v>-473</v>
      </c>
      <c r="N327" s="137">
        <f t="shared" si="15"/>
        <v>-258</v>
      </c>
      <c r="O327" s="137"/>
    </row>
    <row r="328" spans="1:15">
      <c r="A328" s="76">
        <f>'BC.114+840'!B327</f>
        <v>45584</v>
      </c>
      <c r="B328" s="137">
        <f t="shared" si="16"/>
        <v>314</v>
      </c>
      <c r="C328" s="139">
        <f>'BC.114+840'!M327/1000</f>
        <v>1.5269999999999999</v>
      </c>
      <c r="D328" s="139">
        <f>'BC.114+840'!AA327</f>
        <v>2.3239999999999998</v>
      </c>
      <c r="E328" s="140">
        <f>'BC.114+840'!AB327</f>
        <v>0.95399999999999996</v>
      </c>
      <c r="F328" s="139">
        <f>VLOOKUP($A328,'BC.114+840'!$B$13:$X$470,8,0)/1000</f>
        <v>2.6389999999999998</v>
      </c>
      <c r="G328" s="139">
        <f>VLOOKUP($A328,'BC.114+840'!$B$13:$X$470,9,0)/1000</f>
        <v>-0.36099999999999999</v>
      </c>
      <c r="H328" s="139">
        <f>VLOOKUP($A328,'BC.114+840'!$B$13:$X$470,14,0)/1000</f>
        <v>2.6269999999999998</v>
      </c>
      <c r="I328" s="139">
        <f>VLOOKUP($A328,'BC.114+840'!$B$13:$X$470,15,0)/1000</f>
        <v>-0.373</v>
      </c>
      <c r="J328" s="139">
        <f>VLOOKUP($A328,'BC.114+840'!$B$13:$X$470,20,0)/1000</f>
        <v>2.3519999999999999</v>
      </c>
      <c r="K328" s="139">
        <f>VLOOKUP($A328,'BC.114+840'!$B$13:$X$470,21,0)/1000</f>
        <v>-0.64800000000000002</v>
      </c>
      <c r="L328" s="137">
        <f t="shared" si="13"/>
        <v>-281</v>
      </c>
      <c r="M328" s="138">
        <f t="shared" si="14"/>
        <v>-473</v>
      </c>
      <c r="N328" s="137">
        <f t="shared" si="15"/>
        <v>-258</v>
      </c>
      <c r="O328" s="137"/>
    </row>
    <row r="329" spans="1:15">
      <c r="A329" s="76">
        <f>'BC.114+840'!B328</f>
        <v>45585</v>
      </c>
      <c r="B329" s="137">
        <f t="shared" si="16"/>
        <v>315</v>
      </c>
      <c r="C329" s="139">
        <f>'BC.114+840'!M328/1000</f>
        <v>1.5269999999999999</v>
      </c>
      <c r="D329" s="139">
        <f>'BC.114+840'!AA328</f>
        <v>2.3239999999999998</v>
      </c>
      <c r="E329" s="140">
        <f>'BC.114+840'!AB328</f>
        <v>0.95399999999999996</v>
      </c>
      <c r="F329" s="139">
        <f>VLOOKUP($A329,'BC.114+840'!$B$13:$X$470,8,0)/1000</f>
        <v>2.6389999999999998</v>
      </c>
      <c r="G329" s="139">
        <f>VLOOKUP($A329,'BC.114+840'!$B$13:$X$470,9,0)/1000</f>
        <v>-0.36099999999999999</v>
      </c>
      <c r="H329" s="139">
        <f>VLOOKUP($A329,'BC.114+840'!$B$13:$X$470,14,0)/1000</f>
        <v>2.6269999999999998</v>
      </c>
      <c r="I329" s="139">
        <f>VLOOKUP($A329,'BC.114+840'!$B$13:$X$470,15,0)/1000</f>
        <v>-0.373</v>
      </c>
      <c r="J329" s="139">
        <f>VLOOKUP($A329,'BC.114+840'!$B$13:$X$470,20,0)/1000</f>
        <v>2.3519999999999999</v>
      </c>
      <c r="K329" s="139">
        <f>VLOOKUP($A329,'BC.114+840'!$B$13:$X$470,21,0)/1000</f>
        <v>-0.64800000000000002</v>
      </c>
      <c r="L329" s="137">
        <f t="shared" si="13"/>
        <v>-281</v>
      </c>
      <c r="M329" s="138">
        <f t="shared" si="14"/>
        <v>-473</v>
      </c>
      <c r="N329" s="137">
        <f t="shared" si="15"/>
        <v>-258</v>
      </c>
      <c r="O329" s="137"/>
    </row>
    <row r="330" spans="1:15">
      <c r="A330" s="76">
        <f>'BC.114+840'!B329</f>
        <v>45586</v>
      </c>
      <c r="B330" s="137">
        <f t="shared" si="16"/>
        <v>316</v>
      </c>
      <c r="C330" s="139">
        <f>'BC.114+840'!M329/1000</f>
        <v>1.5269999999999999</v>
      </c>
      <c r="D330" s="139">
        <f>'BC.114+840'!AA329</f>
        <v>2.3239999999999998</v>
      </c>
      <c r="E330" s="140">
        <f>'BC.114+840'!AB329</f>
        <v>0.95399999999999996</v>
      </c>
      <c r="F330" s="139">
        <f>VLOOKUP($A330,'BC.114+840'!$B$13:$X$470,8,0)/1000</f>
        <v>2.6389999999999998</v>
      </c>
      <c r="G330" s="139">
        <f>VLOOKUP($A330,'BC.114+840'!$B$13:$X$470,9,0)/1000</f>
        <v>-0.36099999999999999</v>
      </c>
      <c r="H330" s="139">
        <f>VLOOKUP($A330,'BC.114+840'!$B$13:$X$470,14,0)/1000</f>
        <v>2.6269999999999998</v>
      </c>
      <c r="I330" s="139">
        <f>VLOOKUP($A330,'BC.114+840'!$B$13:$X$470,15,0)/1000</f>
        <v>-0.373</v>
      </c>
      <c r="J330" s="139">
        <f>VLOOKUP($A330,'BC.114+840'!$B$13:$X$470,20,0)/1000</f>
        <v>2.3519999999999999</v>
      </c>
      <c r="K330" s="139">
        <f>VLOOKUP($A330,'BC.114+840'!$B$13:$X$470,21,0)/1000</f>
        <v>-0.64800000000000002</v>
      </c>
      <c r="L330" s="137">
        <f t="shared" si="13"/>
        <v>-281</v>
      </c>
      <c r="M330" s="138">
        <f t="shared" si="14"/>
        <v>-473</v>
      </c>
      <c r="N330" s="137">
        <f t="shared" si="15"/>
        <v>-258</v>
      </c>
      <c r="O330" s="137"/>
    </row>
    <row r="331" spans="1:15">
      <c r="A331" s="76">
        <f>'BC.114+840'!B330</f>
        <v>45587</v>
      </c>
      <c r="B331" s="137">
        <f t="shared" si="16"/>
        <v>317</v>
      </c>
      <c r="C331" s="139">
        <f>'BC.114+840'!M330/1000</f>
        <v>1.5269999999999999</v>
      </c>
      <c r="D331" s="139">
        <f>'BC.114+840'!AA330</f>
        <v>2.3239999999999998</v>
      </c>
      <c r="E331" s="140">
        <f>'BC.114+840'!AB330</f>
        <v>0.95399999999999996</v>
      </c>
      <c r="F331" s="139">
        <f>VLOOKUP($A331,'BC.114+840'!$B$13:$X$470,8,0)/1000</f>
        <v>2.6389999999999998</v>
      </c>
      <c r="G331" s="139">
        <f>VLOOKUP($A331,'BC.114+840'!$B$13:$X$470,9,0)/1000</f>
        <v>-0.36099999999999999</v>
      </c>
      <c r="H331" s="139">
        <f>VLOOKUP($A331,'BC.114+840'!$B$13:$X$470,14,0)/1000</f>
        <v>2.6269999999999998</v>
      </c>
      <c r="I331" s="139">
        <f>VLOOKUP($A331,'BC.114+840'!$B$13:$X$470,15,0)/1000</f>
        <v>-0.373</v>
      </c>
      <c r="J331" s="139">
        <f>VLOOKUP($A331,'BC.114+840'!$B$13:$X$470,20,0)/1000</f>
        <v>2.3519999999999999</v>
      </c>
      <c r="K331" s="139">
        <f>VLOOKUP($A331,'BC.114+840'!$B$13:$X$470,21,0)/1000</f>
        <v>-0.64800000000000002</v>
      </c>
      <c r="L331" s="137">
        <f t="shared" si="13"/>
        <v>-281</v>
      </c>
      <c r="M331" s="138">
        <f t="shared" si="14"/>
        <v>-473</v>
      </c>
      <c r="N331" s="137">
        <f t="shared" si="15"/>
        <v>-258</v>
      </c>
      <c r="O331" s="137"/>
    </row>
    <row r="332" spans="1:15">
      <c r="A332" s="76">
        <f>'BC.114+840'!B331</f>
        <v>45588</v>
      </c>
      <c r="B332" s="137">
        <f t="shared" si="16"/>
        <v>318</v>
      </c>
      <c r="C332" s="139">
        <f>'BC.114+840'!M331/1000</f>
        <v>1.5269999999999999</v>
      </c>
      <c r="D332" s="139">
        <f>'BC.114+840'!AA331</f>
        <v>2.3239999999999998</v>
      </c>
      <c r="E332" s="140">
        <f>'BC.114+840'!AB331</f>
        <v>0.95399999999999996</v>
      </c>
      <c r="F332" s="139">
        <f>VLOOKUP($A332,'BC.114+840'!$B$13:$X$470,8,0)/1000</f>
        <v>2.6389999999999998</v>
      </c>
      <c r="G332" s="139">
        <f>VLOOKUP($A332,'BC.114+840'!$B$13:$X$470,9,0)/1000</f>
        <v>-0.36099999999999999</v>
      </c>
      <c r="H332" s="139">
        <f>VLOOKUP($A332,'BC.114+840'!$B$13:$X$470,14,0)/1000</f>
        <v>2.6269999999999998</v>
      </c>
      <c r="I332" s="139">
        <f>VLOOKUP($A332,'BC.114+840'!$B$13:$X$470,15,0)/1000</f>
        <v>-0.373</v>
      </c>
      <c r="J332" s="139">
        <f>VLOOKUP($A332,'BC.114+840'!$B$13:$X$470,20,0)/1000</f>
        <v>2.3519999999999999</v>
      </c>
      <c r="K332" s="139">
        <f>VLOOKUP($A332,'BC.114+840'!$B$13:$X$470,21,0)/1000</f>
        <v>-0.64800000000000002</v>
      </c>
      <c r="L332" s="137">
        <f t="shared" si="13"/>
        <v>-281</v>
      </c>
      <c r="M332" s="138">
        <f t="shared" si="14"/>
        <v>-473</v>
      </c>
      <c r="N332" s="137">
        <f t="shared" si="15"/>
        <v>-258</v>
      </c>
      <c r="O332" s="137"/>
    </row>
    <row r="333" spans="1:15">
      <c r="A333" s="76">
        <f>'BC.114+840'!B332</f>
        <v>45589</v>
      </c>
      <c r="B333" s="137">
        <f t="shared" si="16"/>
        <v>319</v>
      </c>
      <c r="C333" s="139">
        <f>'BC.114+840'!M332/1000</f>
        <v>1.5269999999999999</v>
      </c>
      <c r="D333" s="139">
        <f>'BC.114+840'!AA332</f>
        <v>2.3239999999999998</v>
      </c>
      <c r="E333" s="140">
        <f>'BC.114+840'!AB332</f>
        <v>0.95399999999999996</v>
      </c>
      <c r="F333" s="139">
        <f>VLOOKUP($A333,'BC.114+840'!$B$13:$X$470,8,0)/1000</f>
        <v>2.6389999999999998</v>
      </c>
      <c r="G333" s="139">
        <f>VLOOKUP($A333,'BC.114+840'!$B$13:$X$470,9,0)/1000</f>
        <v>-0.36099999999999999</v>
      </c>
      <c r="H333" s="139">
        <f>VLOOKUP($A333,'BC.114+840'!$B$13:$X$470,14,0)/1000</f>
        <v>2.6269999999999998</v>
      </c>
      <c r="I333" s="139">
        <f>VLOOKUP($A333,'BC.114+840'!$B$13:$X$470,15,0)/1000</f>
        <v>-0.373</v>
      </c>
      <c r="J333" s="139">
        <f>VLOOKUP($A333,'BC.114+840'!$B$13:$X$470,20,0)/1000</f>
        <v>2.3519999999999999</v>
      </c>
      <c r="K333" s="139">
        <f>VLOOKUP($A333,'BC.114+840'!$B$13:$X$470,21,0)/1000</f>
        <v>-0.64800000000000002</v>
      </c>
      <c r="L333" s="137">
        <f t="shared" si="13"/>
        <v>-281</v>
      </c>
      <c r="M333" s="138">
        <f t="shared" si="14"/>
        <v>-473</v>
      </c>
      <c r="N333" s="137">
        <f t="shared" si="15"/>
        <v>-258</v>
      </c>
      <c r="O333" s="137"/>
    </row>
    <row r="334" spans="1:15">
      <c r="A334" s="76">
        <f>'BC.114+840'!B333</f>
        <v>45590</v>
      </c>
      <c r="B334" s="137">
        <f t="shared" si="16"/>
        <v>320</v>
      </c>
      <c r="C334" s="139">
        <f>'BC.114+840'!M333/1000</f>
        <v>1.5269999999999999</v>
      </c>
      <c r="D334" s="139">
        <f>'BC.114+840'!AA333</f>
        <v>2.3239999999999998</v>
      </c>
      <c r="E334" s="140">
        <f>'BC.114+840'!AB333</f>
        <v>0.95399999999999996</v>
      </c>
      <c r="F334" s="139">
        <f>VLOOKUP($A334,'BC.114+840'!$B$13:$X$470,8,0)/1000</f>
        <v>2.6389999999999998</v>
      </c>
      <c r="G334" s="139">
        <f>VLOOKUP($A334,'BC.114+840'!$B$13:$X$470,9,0)/1000</f>
        <v>-0.36099999999999999</v>
      </c>
      <c r="H334" s="139">
        <f>VLOOKUP($A334,'BC.114+840'!$B$13:$X$470,14,0)/1000</f>
        <v>2.6269999999999998</v>
      </c>
      <c r="I334" s="139">
        <f>VLOOKUP($A334,'BC.114+840'!$B$13:$X$470,15,0)/1000</f>
        <v>-0.373</v>
      </c>
      <c r="J334" s="139">
        <f>VLOOKUP($A334,'BC.114+840'!$B$13:$X$470,20,0)/1000</f>
        <v>2.3519999999999999</v>
      </c>
      <c r="K334" s="139">
        <f>VLOOKUP($A334,'BC.114+840'!$B$13:$X$470,21,0)/1000</f>
        <v>-0.64800000000000002</v>
      </c>
      <c r="L334" s="137">
        <f t="shared" ref="L334:L397" si="17">(G334-$G$14)*1000</f>
        <v>-281</v>
      </c>
      <c r="M334" s="138">
        <f t="shared" ref="M334:M397" si="18">(I334-$I$14)*1000</f>
        <v>-473</v>
      </c>
      <c r="N334" s="137">
        <f t="shared" si="15"/>
        <v>-258</v>
      </c>
      <c r="O334" s="137"/>
    </row>
    <row r="335" spans="1:15">
      <c r="A335" s="76">
        <f>'BC.114+840'!B334</f>
        <v>45591</v>
      </c>
      <c r="B335" s="137">
        <f t="shared" si="16"/>
        <v>321</v>
      </c>
      <c r="C335" s="139">
        <f>'BC.114+840'!M334/1000</f>
        <v>1.5269999999999999</v>
      </c>
      <c r="D335" s="139">
        <f>'BC.114+840'!AA334</f>
        <v>2.3239999999999998</v>
      </c>
      <c r="E335" s="140">
        <f>'BC.114+840'!AB334</f>
        <v>0.95399999999999996</v>
      </c>
      <c r="F335" s="139">
        <f>VLOOKUP($A335,'BC.114+840'!$B$13:$X$470,8,0)/1000</f>
        <v>2.6389999999999998</v>
      </c>
      <c r="G335" s="139">
        <f>VLOOKUP($A335,'BC.114+840'!$B$13:$X$470,9,0)/1000</f>
        <v>-0.36099999999999999</v>
      </c>
      <c r="H335" s="139">
        <f>VLOOKUP($A335,'BC.114+840'!$B$13:$X$470,14,0)/1000</f>
        <v>2.6269999999999998</v>
      </c>
      <c r="I335" s="139">
        <f>VLOOKUP($A335,'BC.114+840'!$B$13:$X$470,15,0)/1000</f>
        <v>-0.373</v>
      </c>
      <c r="J335" s="139">
        <f>VLOOKUP($A335,'BC.114+840'!$B$13:$X$470,20,0)/1000</f>
        <v>2.3519999999999999</v>
      </c>
      <c r="K335" s="139">
        <f>VLOOKUP($A335,'BC.114+840'!$B$13:$X$470,21,0)/1000</f>
        <v>-0.64800000000000002</v>
      </c>
      <c r="L335" s="137">
        <f t="shared" si="17"/>
        <v>-281</v>
      </c>
      <c r="M335" s="138">
        <f t="shared" si="18"/>
        <v>-473</v>
      </c>
      <c r="N335" s="137">
        <f t="shared" ref="N335:N398" si="19">(K335-$K$14)*1000</f>
        <v>-258</v>
      </c>
      <c r="O335" s="137"/>
    </row>
    <row r="336" spans="1:15">
      <c r="A336" s="76">
        <f>'BC.114+840'!B335</f>
        <v>45592</v>
      </c>
      <c r="B336" s="137">
        <f t="shared" si="16"/>
        <v>322</v>
      </c>
      <c r="C336" s="139">
        <f>'BC.114+840'!M335/1000</f>
        <v>1.5269999999999999</v>
      </c>
      <c r="D336" s="139">
        <f>'BC.114+840'!AA335</f>
        <v>2.3239999999999998</v>
      </c>
      <c r="E336" s="140">
        <f>'BC.114+840'!AB335</f>
        <v>0.95399999999999996</v>
      </c>
      <c r="F336" s="139">
        <f>VLOOKUP($A336,'BC.114+840'!$B$13:$X$470,8,0)/1000</f>
        <v>2.6389999999999998</v>
      </c>
      <c r="G336" s="139">
        <f>VLOOKUP($A336,'BC.114+840'!$B$13:$X$470,9,0)/1000</f>
        <v>-0.36099999999999999</v>
      </c>
      <c r="H336" s="139">
        <f>VLOOKUP($A336,'BC.114+840'!$B$13:$X$470,14,0)/1000</f>
        <v>2.6269999999999998</v>
      </c>
      <c r="I336" s="139">
        <f>VLOOKUP($A336,'BC.114+840'!$B$13:$X$470,15,0)/1000</f>
        <v>-0.373</v>
      </c>
      <c r="J336" s="139">
        <f>VLOOKUP($A336,'BC.114+840'!$B$13:$X$470,20,0)/1000</f>
        <v>2.3519999999999999</v>
      </c>
      <c r="K336" s="139">
        <f>VLOOKUP($A336,'BC.114+840'!$B$13:$X$470,21,0)/1000</f>
        <v>-0.64800000000000002</v>
      </c>
      <c r="L336" s="137">
        <f t="shared" si="17"/>
        <v>-281</v>
      </c>
      <c r="M336" s="138">
        <f t="shared" si="18"/>
        <v>-473</v>
      </c>
      <c r="N336" s="137">
        <f t="shared" si="19"/>
        <v>-258</v>
      </c>
      <c r="O336" s="137"/>
    </row>
    <row r="337" spans="1:15">
      <c r="A337" s="76">
        <f>'BC.114+840'!B336</f>
        <v>45593</v>
      </c>
      <c r="B337" s="137">
        <f t="shared" si="16"/>
        <v>323</v>
      </c>
      <c r="C337" s="139">
        <f>'BC.114+840'!M336/1000</f>
        <v>1.5269999999999999</v>
      </c>
      <c r="D337" s="139">
        <f>'BC.114+840'!AA336</f>
        <v>2.3239999999999998</v>
      </c>
      <c r="E337" s="140">
        <f>'BC.114+840'!AB336</f>
        <v>0.95399999999999996</v>
      </c>
      <c r="F337" s="139">
        <f>VLOOKUP($A337,'BC.114+840'!$B$13:$X$470,8,0)/1000</f>
        <v>2.6389999999999998</v>
      </c>
      <c r="G337" s="139">
        <f>VLOOKUP($A337,'BC.114+840'!$B$13:$X$470,9,0)/1000</f>
        <v>-0.36099999999999999</v>
      </c>
      <c r="H337" s="139">
        <f>VLOOKUP($A337,'BC.114+840'!$B$13:$X$470,14,0)/1000</f>
        <v>2.6269999999999998</v>
      </c>
      <c r="I337" s="139">
        <f>VLOOKUP($A337,'BC.114+840'!$B$13:$X$470,15,0)/1000</f>
        <v>-0.373</v>
      </c>
      <c r="J337" s="139">
        <f>VLOOKUP($A337,'BC.114+840'!$B$13:$X$470,20,0)/1000</f>
        <v>2.3519999999999999</v>
      </c>
      <c r="K337" s="139">
        <f>VLOOKUP($A337,'BC.114+840'!$B$13:$X$470,21,0)/1000</f>
        <v>-0.64800000000000002</v>
      </c>
      <c r="L337" s="137">
        <f t="shared" si="17"/>
        <v>-281</v>
      </c>
      <c r="M337" s="138">
        <f t="shared" si="18"/>
        <v>-473</v>
      </c>
      <c r="N337" s="137">
        <f t="shared" si="19"/>
        <v>-258</v>
      </c>
      <c r="O337" s="137"/>
    </row>
    <row r="338" spans="1:15">
      <c r="A338" s="76">
        <f>'BC.114+840'!B337</f>
        <v>45594</v>
      </c>
      <c r="B338" s="137">
        <f t="shared" si="16"/>
        <v>324</v>
      </c>
      <c r="C338" s="139">
        <f>'BC.114+840'!M337/1000</f>
        <v>1.5269999999999999</v>
      </c>
      <c r="D338" s="139">
        <f>'BC.114+840'!AA337</f>
        <v>2.3239999999999998</v>
      </c>
      <c r="E338" s="140">
        <f>'BC.114+840'!AB337</f>
        <v>0.95399999999999996</v>
      </c>
      <c r="F338" s="139">
        <f>VLOOKUP($A338,'BC.114+840'!$B$13:$X$470,8,0)/1000</f>
        <v>2.6389999999999998</v>
      </c>
      <c r="G338" s="139">
        <f>VLOOKUP($A338,'BC.114+840'!$B$13:$X$470,9,0)/1000</f>
        <v>-0.36099999999999999</v>
      </c>
      <c r="H338" s="139">
        <f>VLOOKUP($A338,'BC.114+840'!$B$13:$X$470,14,0)/1000</f>
        <v>2.6269999999999998</v>
      </c>
      <c r="I338" s="139">
        <f>VLOOKUP($A338,'BC.114+840'!$B$13:$X$470,15,0)/1000</f>
        <v>-0.373</v>
      </c>
      <c r="J338" s="139">
        <f>VLOOKUP($A338,'BC.114+840'!$B$13:$X$470,20,0)/1000</f>
        <v>2.3519999999999999</v>
      </c>
      <c r="K338" s="139">
        <f>VLOOKUP($A338,'BC.114+840'!$B$13:$X$470,21,0)/1000</f>
        <v>-0.64800000000000002</v>
      </c>
      <c r="L338" s="137">
        <f t="shared" si="17"/>
        <v>-281</v>
      </c>
      <c r="M338" s="138">
        <f t="shared" si="18"/>
        <v>-473</v>
      </c>
      <c r="N338" s="137">
        <f t="shared" si="19"/>
        <v>-258</v>
      </c>
      <c r="O338" s="137"/>
    </row>
    <row r="339" spans="1:15">
      <c r="A339" s="76">
        <f>'BC.114+840'!B338</f>
        <v>45595</v>
      </c>
      <c r="B339" s="137">
        <f t="shared" si="16"/>
        <v>325</v>
      </c>
      <c r="C339" s="139">
        <f>'BC.114+840'!M338/1000</f>
        <v>1.5269999999999999</v>
      </c>
      <c r="D339" s="139">
        <f>'BC.114+840'!AA338</f>
        <v>2.3239999999999998</v>
      </c>
      <c r="E339" s="140">
        <f>'BC.114+840'!AB338</f>
        <v>0.95399999999999996</v>
      </c>
      <c r="F339" s="139">
        <f>VLOOKUP($A339,'BC.114+840'!$B$13:$X$470,8,0)/1000</f>
        <v>2.6389999999999998</v>
      </c>
      <c r="G339" s="139">
        <f>VLOOKUP($A339,'BC.114+840'!$B$13:$X$470,9,0)/1000</f>
        <v>-0.36099999999999999</v>
      </c>
      <c r="H339" s="139">
        <f>VLOOKUP($A339,'BC.114+840'!$B$13:$X$470,14,0)/1000</f>
        <v>2.6269999999999998</v>
      </c>
      <c r="I339" s="139">
        <f>VLOOKUP($A339,'BC.114+840'!$B$13:$X$470,15,0)/1000</f>
        <v>-0.373</v>
      </c>
      <c r="J339" s="139">
        <f>VLOOKUP($A339,'BC.114+840'!$B$13:$X$470,20,0)/1000</f>
        <v>2.3519999999999999</v>
      </c>
      <c r="K339" s="139">
        <f>VLOOKUP($A339,'BC.114+840'!$B$13:$X$470,21,0)/1000</f>
        <v>-0.64800000000000002</v>
      </c>
      <c r="L339" s="137">
        <f t="shared" si="17"/>
        <v>-281</v>
      </c>
      <c r="M339" s="138">
        <f t="shared" si="18"/>
        <v>-473</v>
      </c>
      <c r="N339" s="137">
        <f t="shared" si="19"/>
        <v>-258</v>
      </c>
      <c r="O339" s="137"/>
    </row>
    <row r="340" spans="1:15">
      <c r="A340" s="76">
        <f>'BC.114+840'!B339</f>
        <v>45596</v>
      </c>
      <c r="B340" s="137">
        <f t="shared" si="16"/>
        <v>326</v>
      </c>
      <c r="C340" s="139">
        <f>'BC.114+840'!M339/1000</f>
        <v>1.5269999999999999</v>
      </c>
      <c r="D340" s="139">
        <f>'BC.114+840'!AA339</f>
        <v>2.3239999999999998</v>
      </c>
      <c r="E340" s="140">
        <f>'BC.114+840'!AB339</f>
        <v>0.95399999999999996</v>
      </c>
      <c r="F340" s="139">
        <f>VLOOKUP($A340,'BC.114+840'!$B$13:$X$470,8,0)/1000</f>
        <v>2.6389999999999998</v>
      </c>
      <c r="G340" s="139">
        <f>VLOOKUP($A340,'BC.114+840'!$B$13:$X$470,9,0)/1000</f>
        <v>-0.36099999999999999</v>
      </c>
      <c r="H340" s="139">
        <f>VLOOKUP($A340,'BC.114+840'!$B$13:$X$470,14,0)/1000</f>
        <v>2.6269999999999998</v>
      </c>
      <c r="I340" s="139">
        <f>VLOOKUP($A340,'BC.114+840'!$B$13:$X$470,15,0)/1000</f>
        <v>-0.373</v>
      </c>
      <c r="J340" s="139">
        <f>VLOOKUP($A340,'BC.114+840'!$B$13:$X$470,20,0)/1000</f>
        <v>2.3519999999999999</v>
      </c>
      <c r="K340" s="139">
        <f>VLOOKUP($A340,'BC.114+840'!$B$13:$X$470,21,0)/1000</f>
        <v>-0.64800000000000002</v>
      </c>
      <c r="L340" s="137">
        <f t="shared" si="17"/>
        <v>-281</v>
      </c>
      <c r="M340" s="138">
        <f t="shared" si="18"/>
        <v>-473</v>
      </c>
      <c r="N340" s="137">
        <f t="shared" si="19"/>
        <v>-258</v>
      </c>
      <c r="O340" s="137"/>
    </row>
    <row r="341" spans="1:15">
      <c r="A341" s="76">
        <f>'BC.114+840'!B340</f>
        <v>45597</v>
      </c>
      <c r="B341" s="137">
        <f t="shared" si="16"/>
        <v>327</v>
      </c>
      <c r="C341" s="139">
        <f>'BC.114+840'!M340/1000</f>
        <v>1.5269999999999999</v>
      </c>
      <c r="D341" s="139">
        <f>'BC.114+840'!AA340</f>
        <v>2.3239999999999998</v>
      </c>
      <c r="E341" s="140">
        <f>'BC.114+840'!AB340</f>
        <v>0.95399999999999996</v>
      </c>
      <c r="F341" s="139">
        <f>VLOOKUP($A341,'BC.114+840'!$B$13:$X$470,8,0)/1000</f>
        <v>2.6389999999999998</v>
      </c>
      <c r="G341" s="139">
        <f>VLOOKUP($A341,'BC.114+840'!$B$13:$X$470,9,0)/1000</f>
        <v>-0.36099999999999999</v>
      </c>
      <c r="H341" s="139">
        <f>VLOOKUP($A341,'BC.114+840'!$B$13:$X$470,14,0)/1000</f>
        <v>2.6269999999999998</v>
      </c>
      <c r="I341" s="139">
        <f>VLOOKUP($A341,'BC.114+840'!$B$13:$X$470,15,0)/1000</f>
        <v>-0.373</v>
      </c>
      <c r="J341" s="139">
        <f>VLOOKUP($A341,'BC.114+840'!$B$13:$X$470,20,0)/1000</f>
        <v>2.3519999999999999</v>
      </c>
      <c r="K341" s="139">
        <f>VLOOKUP($A341,'BC.114+840'!$B$13:$X$470,21,0)/1000</f>
        <v>-0.64800000000000002</v>
      </c>
      <c r="L341" s="137">
        <f t="shared" si="17"/>
        <v>-281</v>
      </c>
      <c r="M341" s="138">
        <f t="shared" si="18"/>
        <v>-473</v>
      </c>
      <c r="N341" s="137">
        <f t="shared" si="19"/>
        <v>-258</v>
      </c>
      <c r="O341" s="137"/>
    </row>
    <row r="342" spans="1:15">
      <c r="A342" s="76">
        <f>'BC.114+840'!B341</f>
        <v>45598</v>
      </c>
      <c r="B342" s="137">
        <f t="shared" si="16"/>
        <v>328</v>
      </c>
      <c r="C342" s="139">
        <f>'BC.114+840'!M341/1000</f>
        <v>1.5269999999999999</v>
      </c>
      <c r="D342" s="139">
        <f>'BC.114+840'!AA341</f>
        <v>2.3239999999999998</v>
      </c>
      <c r="E342" s="140">
        <f>'BC.114+840'!AB341</f>
        <v>0.95399999999999996</v>
      </c>
      <c r="F342" s="139">
        <f>VLOOKUP($A342,'BC.114+840'!$B$13:$X$470,8,0)/1000</f>
        <v>2.6389999999999998</v>
      </c>
      <c r="G342" s="139">
        <f>VLOOKUP($A342,'BC.114+840'!$B$13:$X$470,9,0)/1000</f>
        <v>-0.36099999999999999</v>
      </c>
      <c r="H342" s="139">
        <f>VLOOKUP($A342,'BC.114+840'!$B$13:$X$470,14,0)/1000</f>
        <v>2.6269999999999998</v>
      </c>
      <c r="I342" s="139">
        <f>VLOOKUP($A342,'BC.114+840'!$B$13:$X$470,15,0)/1000</f>
        <v>-0.373</v>
      </c>
      <c r="J342" s="139">
        <f>VLOOKUP($A342,'BC.114+840'!$B$13:$X$470,20,0)/1000</f>
        <v>2.3519999999999999</v>
      </c>
      <c r="K342" s="139">
        <f>VLOOKUP($A342,'BC.114+840'!$B$13:$X$470,21,0)/1000</f>
        <v>-0.64800000000000002</v>
      </c>
      <c r="L342" s="137">
        <f t="shared" si="17"/>
        <v>-281</v>
      </c>
      <c r="M342" s="138">
        <f t="shared" si="18"/>
        <v>-473</v>
      </c>
      <c r="N342" s="137">
        <f t="shared" si="19"/>
        <v>-258</v>
      </c>
      <c r="O342" s="137"/>
    </row>
    <row r="343" spans="1:15">
      <c r="A343" s="76">
        <f>'BC.114+840'!B342</f>
        <v>45599</v>
      </c>
      <c r="B343" s="137">
        <f t="shared" si="16"/>
        <v>329</v>
      </c>
      <c r="C343" s="139">
        <f>'BC.114+840'!M342/1000</f>
        <v>1.5269999999999999</v>
      </c>
      <c r="D343" s="139">
        <f>'BC.114+840'!AA342</f>
        <v>2.3239999999999998</v>
      </c>
      <c r="E343" s="140">
        <f>'BC.114+840'!AB342</f>
        <v>0.95399999999999996</v>
      </c>
      <c r="F343" s="139">
        <f>VLOOKUP($A343,'BC.114+840'!$B$13:$X$470,8,0)/1000</f>
        <v>2.6389999999999998</v>
      </c>
      <c r="G343" s="139">
        <f>VLOOKUP($A343,'BC.114+840'!$B$13:$X$470,9,0)/1000</f>
        <v>-0.36099999999999999</v>
      </c>
      <c r="H343" s="139">
        <f>VLOOKUP($A343,'BC.114+840'!$B$13:$X$470,14,0)/1000</f>
        <v>2.6269999999999998</v>
      </c>
      <c r="I343" s="139">
        <f>VLOOKUP($A343,'BC.114+840'!$B$13:$X$470,15,0)/1000</f>
        <v>-0.373</v>
      </c>
      <c r="J343" s="139">
        <f>VLOOKUP($A343,'BC.114+840'!$B$13:$X$470,20,0)/1000</f>
        <v>2.3519999999999999</v>
      </c>
      <c r="K343" s="139">
        <f>VLOOKUP($A343,'BC.114+840'!$B$13:$X$470,21,0)/1000</f>
        <v>-0.64800000000000002</v>
      </c>
      <c r="L343" s="137">
        <f t="shared" si="17"/>
        <v>-281</v>
      </c>
      <c r="M343" s="138">
        <f t="shared" si="18"/>
        <v>-473</v>
      </c>
      <c r="N343" s="137">
        <f t="shared" si="19"/>
        <v>-258</v>
      </c>
      <c r="O343" s="137"/>
    </row>
    <row r="344" spans="1:15">
      <c r="A344" s="76">
        <f>'BC.114+840'!B343</f>
        <v>45600</v>
      </c>
      <c r="B344" s="137">
        <f t="shared" si="16"/>
        <v>330</v>
      </c>
      <c r="C344" s="139">
        <f>'BC.114+840'!M343/1000</f>
        <v>1.5269999999999999</v>
      </c>
      <c r="D344" s="139">
        <f>'BC.114+840'!AA343</f>
        <v>2.3239999999999998</v>
      </c>
      <c r="E344" s="140">
        <f>'BC.114+840'!AB343</f>
        <v>0.95399999999999996</v>
      </c>
      <c r="F344" s="139">
        <f>VLOOKUP($A344,'BC.114+840'!$B$13:$X$470,8,0)/1000</f>
        <v>2.6389999999999998</v>
      </c>
      <c r="G344" s="139">
        <f>VLOOKUP($A344,'BC.114+840'!$B$13:$X$470,9,0)/1000</f>
        <v>-0.36099999999999999</v>
      </c>
      <c r="H344" s="139">
        <f>VLOOKUP($A344,'BC.114+840'!$B$13:$X$470,14,0)/1000</f>
        <v>2.6269999999999998</v>
      </c>
      <c r="I344" s="139">
        <f>VLOOKUP($A344,'BC.114+840'!$B$13:$X$470,15,0)/1000</f>
        <v>-0.373</v>
      </c>
      <c r="J344" s="139">
        <f>VLOOKUP($A344,'BC.114+840'!$B$13:$X$470,20,0)/1000</f>
        <v>2.3519999999999999</v>
      </c>
      <c r="K344" s="139">
        <f>VLOOKUP($A344,'BC.114+840'!$B$13:$X$470,21,0)/1000</f>
        <v>-0.64800000000000002</v>
      </c>
      <c r="L344" s="137">
        <f t="shared" si="17"/>
        <v>-281</v>
      </c>
      <c r="M344" s="138">
        <f t="shared" si="18"/>
        <v>-473</v>
      </c>
      <c r="N344" s="137">
        <f t="shared" si="19"/>
        <v>-258</v>
      </c>
      <c r="O344" s="137"/>
    </row>
    <row r="345" spans="1:15">
      <c r="A345" s="76">
        <f>'BC.114+840'!B344</f>
        <v>45601</v>
      </c>
      <c r="B345" s="137">
        <f t="shared" si="16"/>
        <v>331</v>
      </c>
      <c r="C345" s="139">
        <f>'BC.114+840'!M344/1000</f>
        <v>1.5269999999999999</v>
      </c>
      <c r="D345" s="139">
        <f>'BC.114+840'!AA344</f>
        <v>2.3239999999999998</v>
      </c>
      <c r="E345" s="140">
        <f>'BC.114+840'!AB344</f>
        <v>0.95399999999999996</v>
      </c>
      <c r="F345" s="139">
        <f>VLOOKUP($A345,'BC.114+840'!$B$13:$X$470,8,0)/1000</f>
        <v>2.6389999999999998</v>
      </c>
      <c r="G345" s="139">
        <f>VLOOKUP($A345,'BC.114+840'!$B$13:$X$470,9,0)/1000</f>
        <v>-0.36099999999999999</v>
      </c>
      <c r="H345" s="139">
        <f>VLOOKUP($A345,'BC.114+840'!$B$13:$X$470,14,0)/1000</f>
        <v>2.6269999999999998</v>
      </c>
      <c r="I345" s="139">
        <f>VLOOKUP($A345,'BC.114+840'!$B$13:$X$470,15,0)/1000</f>
        <v>-0.373</v>
      </c>
      <c r="J345" s="139">
        <f>VLOOKUP($A345,'BC.114+840'!$B$13:$X$470,20,0)/1000</f>
        <v>2.3519999999999999</v>
      </c>
      <c r="K345" s="139">
        <f>VLOOKUP($A345,'BC.114+840'!$B$13:$X$470,21,0)/1000</f>
        <v>-0.64800000000000002</v>
      </c>
      <c r="L345" s="137">
        <f t="shared" si="17"/>
        <v>-281</v>
      </c>
      <c r="M345" s="138">
        <f t="shared" si="18"/>
        <v>-473</v>
      </c>
      <c r="N345" s="137">
        <f t="shared" si="19"/>
        <v>-258</v>
      </c>
      <c r="O345" s="137"/>
    </row>
    <row r="346" spans="1:15">
      <c r="A346" s="76">
        <f>'BC.114+840'!B345</f>
        <v>45602</v>
      </c>
      <c r="B346" s="137">
        <f t="shared" si="16"/>
        <v>332</v>
      </c>
      <c r="C346" s="139">
        <f>'BC.114+840'!M345/1000</f>
        <v>1.5269999999999999</v>
      </c>
      <c r="D346" s="139">
        <f>'BC.114+840'!AA345</f>
        <v>2.3239999999999998</v>
      </c>
      <c r="E346" s="140">
        <f>'BC.114+840'!AB345</f>
        <v>0.95399999999999996</v>
      </c>
      <c r="F346" s="139">
        <f>VLOOKUP($A346,'BC.114+840'!$B$13:$X$470,8,0)/1000</f>
        <v>2.6389999999999998</v>
      </c>
      <c r="G346" s="139">
        <f>VLOOKUP($A346,'BC.114+840'!$B$13:$X$470,9,0)/1000</f>
        <v>-0.36099999999999999</v>
      </c>
      <c r="H346" s="139">
        <f>VLOOKUP($A346,'BC.114+840'!$B$13:$X$470,14,0)/1000</f>
        <v>2.6269999999999998</v>
      </c>
      <c r="I346" s="139">
        <f>VLOOKUP($A346,'BC.114+840'!$B$13:$X$470,15,0)/1000</f>
        <v>-0.373</v>
      </c>
      <c r="J346" s="139">
        <f>VLOOKUP($A346,'BC.114+840'!$B$13:$X$470,20,0)/1000</f>
        <v>2.3519999999999999</v>
      </c>
      <c r="K346" s="139">
        <f>VLOOKUP($A346,'BC.114+840'!$B$13:$X$470,21,0)/1000</f>
        <v>-0.64800000000000002</v>
      </c>
      <c r="L346" s="137">
        <f t="shared" si="17"/>
        <v>-281</v>
      </c>
      <c r="M346" s="138">
        <f t="shared" si="18"/>
        <v>-473</v>
      </c>
      <c r="N346" s="137">
        <f t="shared" si="19"/>
        <v>-258</v>
      </c>
      <c r="O346" s="137"/>
    </row>
    <row r="347" spans="1:15">
      <c r="A347" s="76">
        <f>'BC.114+840'!B346</f>
        <v>45603</v>
      </c>
      <c r="B347" s="137">
        <f t="shared" si="16"/>
        <v>333</v>
      </c>
      <c r="C347" s="139">
        <f>'BC.114+840'!M346/1000</f>
        <v>1.5269999999999999</v>
      </c>
      <c r="D347" s="139">
        <f>'BC.114+840'!AA346</f>
        <v>2.3239999999999998</v>
      </c>
      <c r="E347" s="140">
        <f>'BC.114+840'!AB346</f>
        <v>0.95399999999999996</v>
      </c>
      <c r="F347" s="139">
        <f>VLOOKUP($A347,'BC.114+840'!$B$13:$X$470,8,0)/1000</f>
        <v>2.6389999999999998</v>
      </c>
      <c r="G347" s="139">
        <f>VLOOKUP($A347,'BC.114+840'!$B$13:$X$470,9,0)/1000</f>
        <v>-0.36099999999999999</v>
      </c>
      <c r="H347" s="139">
        <f>VLOOKUP($A347,'BC.114+840'!$B$13:$X$470,14,0)/1000</f>
        <v>2.6269999999999998</v>
      </c>
      <c r="I347" s="139">
        <f>VLOOKUP($A347,'BC.114+840'!$B$13:$X$470,15,0)/1000</f>
        <v>-0.373</v>
      </c>
      <c r="J347" s="139">
        <f>VLOOKUP($A347,'BC.114+840'!$B$13:$X$470,20,0)/1000</f>
        <v>2.3519999999999999</v>
      </c>
      <c r="K347" s="139">
        <f>VLOOKUP($A347,'BC.114+840'!$B$13:$X$470,21,0)/1000</f>
        <v>-0.64800000000000002</v>
      </c>
      <c r="L347" s="137">
        <f t="shared" si="17"/>
        <v>-281</v>
      </c>
      <c r="M347" s="138">
        <f t="shared" si="18"/>
        <v>-473</v>
      </c>
      <c r="N347" s="137">
        <f t="shared" si="19"/>
        <v>-258</v>
      </c>
      <c r="O347" s="137"/>
    </row>
    <row r="348" spans="1:15">
      <c r="A348" s="76">
        <f>'BC.114+840'!B347</f>
        <v>45604</v>
      </c>
      <c r="B348" s="137">
        <f t="shared" si="16"/>
        <v>334</v>
      </c>
      <c r="C348" s="139">
        <f>'BC.114+840'!M347/1000</f>
        <v>1.5269999999999999</v>
      </c>
      <c r="D348" s="139">
        <f>'BC.114+840'!AA347</f>
        <v>2.3239999999999998</v>
      </c>
      <c r="E348" s="140">
        <f>'BC.114+840'!AB347</f>
        <v>0.95399999999999996</v>
      </c>
      <c r="F348" s="139">
        <f>VLOOKUP($A348,'BC.114+840'!$B$13:$X$470,8,0)/1000</f>
        <v>2.6389999999999998</v>
      </c>
      <c r="G348" s="139">
        <f>VLOOKUP($A348,'BC.114+840'!$B$13:$X$470,9,0)/1000</f>
        <v>-0.36099999999999999</v>
      </c>
      <c r="H348" s="139">
        <f>VLOOKUP($A348,'BC.114+840'!$B$13:$X$470,14,0)/1000</f>
        <v>2.6269999999999998</v>
      </c>
      <c r="I348" s="139">
        <f>VLOOKUP($A348,'BC.114+840'!$B$13:$X$470,15,0)/1000</f>
        <v>-0.373</v>
      </c>
      <c r="J348" s="139">
        <f>VLOOKUP($A348,'BC.114+840'!$B$13:$X$470,20,0)/1000</f>
        <v>2.3519999999999999</v>
      </c>
      <c r="K348" s="139">
        <f>VLOOKUP($A348,'BC.114+840'!$B$13:$X$470,21,0)/1000</f>
        <v>-0.64800000000000002</v>
      </c>
      <c r="L348" s="137">
        <f t="shared" si="17"/>
        <v>-281</v>
      </c>
      <c r="M348" s="138">
        <f t="shared" si="18"/>
        <v>-473</v>
      </c>
      <c r="N348" s="137">
        <f t="shared" si="19"/>
        <v>-258</v>
      </c>
      <c r="O348" s="137"/>
    </row>
    <row r="349" spans="1:15">
      <c r="A349" s="76">
        <f>'BC.114+840'!B348</f>
        <v>45605</v>
      </c>
      <c r="B349" s="137">
        <f t="shared" si="16"/>
        <v>335</v>
      </c>
      <c r="C349" s="139">
        <f>'BC.114+840'!M348/1000</f>
        <v>1.5269999999999999</v>
      </c>
      <c r="D349" s="139">
        <f>'BC.114+840'!AA348</f>
        <v>2.3239999999999998</v>
      </c>
      <c r="E349" s="140">
        <f>'BC.114+840'!AB348</f>
        <v>0.95399999999999996</v>
      </c>
      <c r="F349" s="139">
        <f>VLOOKUP($A349,'BC.114+840'!$B$13:$X$470,8,0)/1000</f>
        <v>2.6389999999999998</v>
      </c>
      <c r="G349" s="139">
        <f>VLOOKUP($A349,'BC.114+840'!$B$13:$X$470,9,0)/1000</f>
        <v>-0.36099999999999999</v>
      </c>
      <c r="H349" s="139">
        <f>VLOOKUP($A349,'BC.114+840'!$B$13:$X$470,14,0)/1000</f>
        <v>2.6269999999999998</v>
      </c>
      <c r="I349" s="139">
        <f>VLOOKUP($A349,'BC.114+840'!$B$13:$X$470,15,0)/1000</f>
        <v>-0.373</v>
      </c>
      <c r="J349" s="139">
        <f>VLOOKUP($A349,'BC.114+840'!$B$13:$X$470,20,0)/1000</f>
        <v>2.3519999999999999</v>
      </c>
      <c r="K349" s="139">
        <f>VLOOKUP($A349,'BC.114+840'!$B$13:$X$470,21,0)/1000</f>
        <v>-0.64800000000000002</v>
      </c>
      <c r="L349" s="137">
        <f t="shared" si="17"/>
        <v>-281</v>
      </c>
      <c r="M349" s="138">
        <f t="shared" si="18"/>
        <v>-473</v>
      </c>
      <c r="N349" s="137">
        <f t="shared" si="19"/>
        <v>-258</v>
      </c>
      <c r="O349" s="137"/>
    </row>
    <row r="350" spans="1:15">
      <c r="A350" s="76">
        <f>'BC.114+840'!B349</f>
        <v>45606</v>
      </c>
      <c r="B350" s="137">
        <f t="shared" si="16"/>
        <v>336</v>
      </c>
      <c r="C350" s="139">
        <f>'BC.114+840'!M349/1000</f>
        <v>1.5269999999999999</v>
      </c>
      <c r="D350" s="139">
        <f>'BC.114+840'!AA349</f>
        <v>2.3239999999999998</v>
      </c>
      <c r="E350" s="140">
        <f>'BC.114+840'!AB349</f>
        <v>0.95399999999999996</v>
      </c>
      <c r="F350" s="139">
        <f>VLOOKUP($A350,'BC.114+840'!$B$13:$X$470,8,0)/1000</f>
        <v>2.6389999999999998</v>
      </c>
      <c r="G350" s="139">
        <f>VLOOKUP($A350,'BC.114+840'!$B$13:$X$470,9,0)/1000</f>
        <v>-0.36099999999999999</v>
      </c>
      <c r="H350" s="139">
        <f>VLOOKUP($A350,'BC.114+840'!$B$13:$X$470,14,0)/1000</f>
        <v>2.6269999999999998</v>
      </c>
      <c r="I350" s="139">
        <f>VLOOKUP($A350,'BC.114+840'!$B$13:$X$470,15,0)/1000</f>
        <v>-0.373</v>
      </c>
      <c r="J350" s="139">
        <f>VLOOKUP($A350,'BC.114+840'!$B$13:$X$470,20,0)/1000</f>
        <v>2.3519999999999999</v>
      </c>
      <c r="K350" s="139">
        <f>VLOOKUP($A350,'BC.114+840'!$B$13:$X$470,21,0)/1000</f>
        <v>-0.64800000000000002</v>
      </c>
      <c r="L350" s="137">
        <f t="shared" si="17"/>
        <v>-281</v>
      </c>
      <c r="M350" s="138">
        <f t="shared" si="18"/>
        <v>-473</v>
      </c>
      <c r="N350" s="137">
        <f t="shared" si="19"/>
        <v>-258</v>
      </c>
      <c r="O350" s="137"/>
    </row>
    <row r="351" spans="1:15">
      <c r="A351" s="76">
        <f>'BC.114+840'!B350</f>
        <v>45607</v>
      </c>
      <c r="B351" s="137">
        <f t="shared" si="16"/>
        <v>337</v>
      </c>
      <c r="C351" s="139">
        <f>'BC.114+840'!M350/1000</f>
        <v>1.5269999999999999</v>
      </c>
      <c r="D351" s="139">
        <f>'BC.114+840'!AA350</f>
        <v>2.3239999999999998</v>
      </c>
      <c r="E351" s="140">
        <f>'BC.114+840'!AB350</f>
        <v>0.95399999999999996</v>
      </c>
      <c r="F351" s="139">
        <f>VLOOKUP($A351,'BC.114+840'!$B$13:$X$470,8,0)/1000</f>
        <v>2.6389999999999998</v>
      </c>
      <c r="G351" s="139">
        <f>VLOOKUP($A351,'BC.114+840'!$B$13:$X$470,9,0)/1000</f>
        <v>-0.36099999999999999</v>
      </c>
      <c r="H351" s="139">
        <f>VLOOKUP($A351,'BC.114+840'!$B$13:$X$470,14,0)/1000</f>
        <v>2.6269999999999998</v>
      </c>
      <c r="I351" s="139">
        <f>VLOOKUP($A351,'BC.114+840'!$B$13:$X$470,15,0)/1000</f>
        <v>-0.373</v>
      </c>
      <c r="J351" s="139">
        <f>VLOOKUP($A351,'BC.114+840'!$B$13:$X$470,20,0)/1000</f>
        <v>2.3519999999999999</v>
      </c>
      <c r="K351" s="139">
        <f>VLOOKUP($A351,'BC.114+840'!$B$13:$X$470,21,0)/1000</f>
        <v>-0.64800000000000002</v>
      </c>
      <c r="L351" s="137">
        <f t="shared" si="17"/>
        <v>-281</v>
      </c>
      <c r="M351" s="138">
        <f t="shared" si="18"/>
        <v>-473</v>
      </c>
      <c r="N351" s="137">
        <f t="shared" si="19"/>
        <v>-258</v>
      </c>
      <c r="O351" s="137"/>
    </row>
    <row r="352" spans="1:15">
      <c r="A352" s="76">
        <f>'BC.114+840'!B351</f>
        <v>45608</v>
      </c>
      <c r="B352" s="137">
        <f t="shared" si="16"/>
        <v>338</v>
      </c>
      <c r="C352" s="139">
        <f>'BC.114+840'!M351/1000</f>
        <v>1.5269999999999999</v>
      </c>
      <c r="D352" s="139">
        <f>'BC.114+840'!AA351</f>
        <v>2.3239999999999998</v>
      </c>
      <c r="E352" s="140">
        <f>'BC.114+840'!AB351</f>
        <v>0.95399999999999996</v>
      </c>
      <c r="F352" s="139">
        <f>VLOOKUP($A352,'BC.114+840'!$B$13:$X$470,8,0)/1000</f>
        <v>2.6389999999999998</v>
      </c>
      <c r="G352" s="139">
        <f>VLOOKUP($A352,'BC.114+840'!$B$13:$X$470,9,0)/1000</f>
        <v>-0.36099999999999999</v>
      </c>
      <c r="H352" s="139">
        <f>VLOOKUP($A352,'BC.114+840'!$B$13:$X$470,14,0)/1000</f>
        <v>2.6269999999999998</v>
      </c>
      <c r="I352" s="139">
        <f>VLOOKUP($A352,'BC.114+840'!$B$13:$X$470,15,0)/1000</f>
        <v>-0.373</v>
      </c>
      <c r="J352" s="139">
        <f>VLOOKUP($A352,'BC.114+840'!$B$13:$X$470,20,0)/1000</f>
        <v>2.3519999999999999</v>
      </c>
      <c r="K352" s="139">
        <f>VLOOKUP($A352,'BC.114+840'!$B$13:$X$470,21,0)/1000</f>
        <v>-0.64800000000000002</v>
      </c>
      <c r="L352" s="137">
        <f t="shared" si="17"/>
        <v>-281</v>
      </c>
      <c r="M352" s="138">
        <f t="shared" si="18"/>
        <v>-473</v>
      </c>
      <c r="N352" s="137">
        <f t="shared" si="19"/>
        <v>-258</v>
      </c>
      <c r="O352" s="137"/>
    </row>
    <row r="353" spans="1:15">
      <c r="A353" s="76">
        <f>'BC.114+840'!B352</f>
        <v>45609</v>
      </c>
      <c r="B353" s="137">
        <f t="shared" si="16"/>
        <v>339</v>
      </c>
      <c r="C353" s="139">
        <f>'BC.114+840'!M352/1000</f>
        <v>1.5269999999999999</v>
      </c>
      <c r="D353" s="139">
        <f>'BC.114+840'!AA352</f>
        <v>2.3239999999999998</v>
      </c>
      <c r="E353" s="140">
        <f>'BC.114+840'!AB352</f>
        <v>0.95399999999999996</v>
      </c>
      <c r="F353" s="139">
        <f>VLOOKUP($A353,'BC.114+840'!$B$13:$X$470,8,0)/1000</f>
        <v>2.6389999999999998</v>
      </c>
      <c r="G353" s="139">
        <f>VLOOKUP($A353,'BC.114+840'!$B$13:$X$470,9,0)/1000</f>
        <v>-0.36099999999999999</v>
      </c>
      <c r="H353" s="139">
        <f>VLOOKUP($A353,'BC.114+840'!$B$13:$X$470,14,0)/1000</f>
        <v>2.6269999999999998</v>
      </c>
      <c r="I353" s="139">
        <f>VLOOKUP($A353,'BC.114+840'!$B$13:$X$470,15,0)/1000</f>
        <v>-0.373</v>
      </c>
      <c r="J353" s="139">
        <f>VLOOKUP($A353,'BC.114+840'!$B$13:$X$470,20,0)/1000</f>
        <v>2.3519999999999999</v>
      </c>
      <c r="K353" s="139">
        <f>VLOOKUP($A353,'BC.114+840'!$B$13:$X$470,21,0)/1000</f>
        <v>-0.64800000000000002</v>
      </c>
      <c r="L353" s="137">
        <f t="shared" si="17"/>
        <v>-281</v>
      </c>
      <c r="M353" s="138">
        <f t="shared" si="18"/>
        <v>-473</v>
      </c>
      <c r="N353" s="137">
        <f t="shared" si="19"/>
        <v>-258</v>
      </c>
      <c r="O353" s="137"/>
    </row>
    <row r="354" spans="1:15">
      <c r="A354" s="76">
        <f>'BC.114+840'!B353</f>
        <v>45610</v>
      </c>
      <c r="B354" s="137">
        <f t="shared" si="16"/>
        <v>340</v>
      </c>
      <c r="C354" s="139">
        <f>'BC.114+840'!M353/1000</f>
        <v>1.5269999999999999</v>
      </c>
      <c r="D354" s="139">
        <f>'BC.114+840'!AA353</f>
        <v>2.3239999999999998</v>
      </c>
      <c r="E354" s="140">
        <f>'BC.114+840'!AB353</f>
        <v>0.95399999999999996</v>
      </c>
      <c r="F354" s="139">
        <f>VLOOKUP($A354,'BC.114+840'!$B$13:$X$470,8,0)/1000</f>
        <v>2.6389999999999998</v>
      </c>
      <c r="G354" s="139">
        <f>VLOOKUP($A354,'BC.114+840'!$B$13:$X$470,9,0)/1000</f>
        <v>-0.36099999999999999</v>
      </c>
      <c r="H354" s="139">
        <f>VLOOKUP($A354,'BC.114+840'!$B$13:$X$470,14,0)/1000</f>
        <v>2.6269999999999998</v>
      </c>
      <c r="I354" s="139">
        <f>VLOOKUP($A354,'BC.114+840'!$B$13:$X$470,15,0)/1000</f>
        <v>-0.373</v>
      </c>
      <c r="J354" s="139">
        <f>VLOOKUP($A354,'BC.114+840'!$B$13:$X$470,20,0)/1000</f>
        <v>2.3519999999999999</v>
      </c>
      <c r="K354" s="139">
        <f>VLOOKUP($A354,'BC.114+840'!$B$13:$X$470,21,0)/1000</f>
        <v>-0.64800000000000002</v>
      </c>
      <c r="L354" s="137">
        <f t="shared" si="17"/>
        <v>-281</v>
      </c>
      <c r="M354" s="138">
        <f t="shared" si="18"/>
        <v>-473</v>
      </c>
      <c r="N354" s="137">
        <f t="shared" si="19"/>
        <v>-258</v>
      </c>
      <c r="O354" s="137"/>
    </row>
    <row r="355" spans="1:15">
      <c r="A355" s="76">
        <f>'BC.114+840'!B354</f>
        <v>45611</v>
      </c>
      <c r="B355" s="137">
        <f t="shared" si="16"/>
        <v>341</v>
      </c>
      <c r="C355" s="139">
        <f>'BC.114+840'!M354/1000</f>
        <v>1.5269999999999999</v>
      </c>
      <c r="D355" s="139">
        <f>'BC.114+840'!AA354</f>
        <v>2.3239999999999998</v>
      </c>
      <c r="E355" s="140">
        <f>'BC.114+840'!AB354</f>
        <v>0.95399999999999996</v>
      </c>
      <c r="F355" s="139">
        <f>VLOOKUP($A355,'BC.114+840'!$B$13:$X$470,8,0)/1000</f>
        <v>2.6389999999999998</v>
      </c>
      <c r="G355" s="139">
        <f>VLOOKUP($A355,'BC.114+840'!$B$13:$X$470,9,0)/1000</f>
        <v>-0.36099999999999999</v>
      </c>
      <c r="H355" s="139">
        <f>VLOOKUP($A355,'BC.114+840'!$B$13:$X$470,14,0)/1000</f>
        <v>2.6269999999999998</v>
      </c>
      <c r="I355" s="139">
        <f>VLOOKUP($A355,'BC.114+840'!$B$13:$X$470,15,0)/1000</f>
        <v>-0.373</v>
      </c>
      <c r="J355" s="139">
        <f>VLOOKUP($A355,'BC.114+840'!$B$13:$X$470,20,0)/1000</f>
        <v>2.3519999999999999</v>
      </c>
      <c r="K355" s="139">
        <f>VLOOKUP($A355,'BC.114+840'!$B$13:$X$470,21,0)/1000</f>
        <v>-0.64800000000000002</v>
      </c>
      <c r="L355" s="137">
        <f t="shared" si="17"/>
        <v>-281</v>
      </c>
      <c r="M355" s="138">
        <f t="shared" si="18"/>
        <v>-473</v>
      </c>
      <c r="N355" s="137">
        <f t="shared" si="19"/>
        <v>-258</v>
      </c>
      <c r="O355" s="137"/>
    </row>
    <row r="356" spans="1:15">
      <c r="A356" s="76">
        <f>'BC.114+840'!B355</f>
        <v>45612</v>
      </c>
      <c r="B356" s="137">
        <f t="shared" si="16"/>
        <v>342</v>
      </c>
      <c r="C356" s="139">
        <f>'BC.114+840'!M355/1000</f>
        <v>1.5269999999999999</v>
      </c>
      <c r="D356" s="139">
        <f>'BC.114+840'!AA355</f>
        <v>2.3239999999999998</v>
      </c>
      <c r="E356" s="140">
        <f>'BC.114+840'!AB355</f>
        <v>0.95399999999999996</v>
      </c>
      <c r="F356" s="139">
        <f>VLOOKUP($A356,'BC.114+840'!$B$13:$X$470,8,0)/1000</f>
        <v>2.6389999999999998</v>
      </c>
      <c r="G356" s="139">
        <f>VLOOKUP($A356,'BC.114+840'!$B$13:$X$470,9,0)/1000</f>
        <v>-0.36099999999999999</v>
      </c>
      <c r="H356" s="139">
        <f>VLOOKUP($A356,'BC.114+840'!$B$13:$X$470,14,0)/1000</f>
        <v>2.6269999999999998</v>
      </c>
      <c r="I356" s="139">
        <f>VLOOKUP($A356,'BC.114+840'!$B$13:$X$470,15,0)/1000</f>
        <v>-0.373</v>
      </c>
      <c r="J356" s="139">
        <f>VLOOKUP($A356,'BC.114+840'!$B$13:$X$470,20,0)/1000</f>
        <v>2.3519999999999999</v>
      </c>
      <c r="K356" s="139">
        <f>VLOOKUP($A356,'BC.114+840'!$B$13:$X$470,21,0)/1000</f>
        <v>-0.64800000000000002</v>
      </c>
      <c r="L356" s="137">
        <f t="shared" si="17"/>
        <v>-281</v>
      </c>
      <c r="M356" s="138">
        <f t="shared" si="18"/>
        <v>-473</v>
      </c>
      <c r="N356" s="137">
        <f t="shared" si="19"/>
        <v>-258</v>
      </c>
      <c r="O356" s="137"/>
    </row>
    <row r="357" spans="1:15">
      <c r="A357" s="76">
        <f>'BC.114+840'!B356</f>
        <v>45613</v>
      </c>
      <c r="B357" s="137">
        <f t="shared" si="16"/>
        <v>343</v>
      </c>
      <c r="C357" s="139">
        <f>'BC.114+840'!M356/1000</f>
        <v>1.5269999999999999</v>
      </c>
      <c r="D357" s="139">
        <f>'BC.114+840'!AA356</f>
        <v>2.3239999999999998</v>
      </c>
      <c r="E357" s="140">
        <f>'BC.114+840'!AB356</f>
        <v>0.95399999999999996</v>
      </c>
      <c r="F357" s="139">
        <f>VLOOKUP($A357,'BC.114+840'!$B$13:$X$470,8,0)/1000</f>
        <v>2.6389999999999998</v>
      </c>
      <c r="G357" s="139">
        <f>VLOOKUP($A357,'BC.114+840'!$B$13:$X$470,9,0)/1000</f>
        <v>-0.36099999999999999</v>
      </c>
      <c r="H357" s="139">
        <f>VLOOKUP($A357,'BC.114+840'!$B$13:$X$470,14,0)/1000</f>
        <v>2.6269999999999998</v>
      </c>
      <c r="I357" s="139">
        <f>VLOOKUP($A357,'BC.114+840'!$B$13:$X$470,15,0)/1000</f>
        <v>-0.373</v>
      </c>
      <c r="J357" s="139">
        <f>VLOOKUP($A357,'BC.114+840'!$B$13:$X$470,20,0)/1000</f>
        <v>2.3519999999999999</v>
      </c>
      <c r="K357" s="139">
        <f>VLOOKUP($A357,'BC.114+840'!$B$13:$X$470,21,0)/1000</f>
        <v>-0.64800000000000002</v>
      </c>
      <c r="L357" s="137">
        <f t="shared" si="17"/>
        <v>-281</v>
      </c>
      <c r="M357" s="138">
        <f t="shared" si="18"/>
        <v>-473</v>
      </c>
      <c r="N357" s="137">
        <f t="shared" si="19"/>
        <v>-258</v>
      </c>
      <c r="O357" s="137"/>
    </row>
    <row r="358" spans="1:15">
      <c r="A358" s="76">
        <f>'BC.114+840'!B357</f>
        <v>45614</v>
      </c>
      <c r="B358" s="137">
        <f t="shared" si="16"/>
        <v>344</v>
      </c>
      <c r="C358" s="139">
        <f>'BC.114+840'!M357/1000</f>
        <v>1.5269999999999999</v>
      </c>
      <c r="D358" s="139">
        <f>'BC.114+840'!AA357</f>
        <v>2.3239999999999998</v>
      </c>
      <c r="E358" s="140">
        <f>'BC.114+840'!AB357</f>
        <v>0.95399999999999996</v>
      </c>
      <c r="F358" s="139">
        <f>VLOOKUP($A358,'BC.114+840'!$B$13:$X$470,8,0)/1000</f>
        <v>2.6389999999999998</v>
      </c>
      <c r="G358" s="139">
        <f>VLOOKUP($A358,'BC.114+840'!$B$13:$X$470,9,0)/1000</f>
        <v>-0.36099999999999999</v>
      </c>
      <c r="H358" s="139">
        <f>VLOOKUP($A358,'BC.114+840'!$B$13:$X$470,14,0)/1000</f>
        <v>2.6269999999999998</v>
      </c>
      <c r="I358" s="139">
        <f>VLOOKUP($A358,'BC.114+840'!$B$13:$X$470,15,0)/1000</f>
        <v>-0.373</v>
      </c>
      <c r="J358" s="139">
        <f>VLOOKUP($A358,'BC.114+840'!$B$13:$X$470,20,0)/1000</f>
        <v>2.3519999999999999</v>
      </c>
      <c r="K358" s="139">
        <f>VLOOKUP($A358,'BC.114+840'!$B$13:$X$470,21,0)/1000</f>
        <v>-0.64800000000000002</v>
      </c>
      <c r="L358" s="137">
        <f t="shared" si="17"/>
        <v>-281</v>
      </c>
      <c r="M358" s="138">
        <f t="shared" si="18"/>
        <v>-473</v>
      </c>
      <c r="N358" s="137">
        <f t="shared" si="19"/>
        <v>-258</v>
      </c>
      <c r="O358" s="137"/>
    </row>
    <row r="359" spans="1:15">
      <c r="A359" s="76">
        <f>'BC.114+840'!B358</f>
        <v>45615</v>
      </c>
      <c r="B359" s="137">
        <f t="shared" si="16"/>
        <v>345</v>
      </c>
      <c r="C359" s="139">
        <f>'BC.114+840'!M358/1000</f>
        <v>1.5269999999999999</v>
      </c>
      <c r="D359" s="139">
        <f>'BC.114+840'!AA358</f>
        <v>2.3239999999999998</v>
      </c>
      <c r="E359" s="140">
        <f>'BC.114+840'!AB358</f>
        <v>0.95399999999999996</v>
      </c>
      <c r="F359" s="139">
        <f>VLOOKUP($A359,'BC.114+840'!$B$13:$X$470,8,0)/1000</f>
        <v>2.6389999999999998</v>
      </c>
      <c r="G359" s="139">
        <f>VLOOKUP($A359,'BC.114+840'!$B$13:$X$470,9,0)/1000</f>
        <v>-0.36099999999999999</v>
      </c>
      <c r="H359" s="139">
        <f>VLOOKUP($A359,'BC.114+840'!$B$13:$X$470,14,0)/1000</f>
        <v>2.6269999999999998</v>
      </c>
      <c r="I359" s="139">
        <f>VLOOKUP($A359,'BC.114+840'!$B$13:$X$470,15,0)/1000</f>
        <v>-0.373</v>
      </c>
      <c r="J359" s="139">
        <f>VLOOKUP($A359,'BC.114+840'!$B$13:$X$470,20,0)/1000</f>
        <v>2.3519999999999999</v>
      </c>
      <c r="K359" s="139">
        <f>VLOOKUP($A359,'BC.114+840'!$B$13:$X$470,21,0)/1000</f>
        <v>-0.64800000000000002</v>
      </c>
      <c r="L359" s="137">
        <f t="shared" si="17"/>
        <v>-281</v>
      </c>
      <c r="M359" s="138">
        <f t="shared" si="18"/>
        <v>-473</v>
      </c>
      <c r="N359" s="137">
        <f t="shared" si="19"/>
        <v>-258</v>
      </c>
      <c r="O359" s="137"/>
    </row>
    <row r="360" spans="1:15">
      <c r="A360" s="76">
        <f>'BC.114+840'!B359</f>
        <v>45616</v>
      </c>
      <c r="B360" s="137">
        <f t="shared" si="16"/>
        <v>346</v>
      </c>
      <c r="C360" s="139">
        <f>'BC.114+840'!M359/1000</f>
        <v>1.5269999999999999</v>
      </c>
      <c r="D360" s="139">
        <f>'BC.114+840'!AA359</f>
        <v>2.3239999999999998</v>
      </c>
      <c r="E360" s="140">
        <f>'BC.114+840'!AB359</f>
        <v>0.95399999999999996</v>
      </c>
      <c r="F360" s="139">
        <f>VLOOKUP($A360,'BC.114+840'!$B$13:$X$470,8,0)/1000</f>
        <v>2.6389999999999998</v>
      </c>
      <c r="G360" s="139">
        <f>VLOOKUP($A360,'BC.114+840'!$B$13:$X$470,9,0)/1000</f>
        <v>-0.36099999999999999</v>
      </c>
      <c r="H360" s="139">
        <f>VLOOKUP($A360,'BC.114+840'!$B$13:$X$470,14,0)/1000</f>
        <v>2.6269999999999998</v>
      </c>
      <c r="I360" s="139">
        <f>VLOOKUP($A360,'BC.114+840'!$B$13:$X$470,15,0)/1000</f>
        <v>-0.373</v>
      </c>
      <c r="J360" s="139">
        <f>VLOOKUP($A360,'BC.114+840'!$B$13:$X$470,20,0)/1000</f>
        <v>2.3519999999999999</v>
      </c>
      <c r="K360" s="139">
        <f>VLOOKUP($A360,'BC.114+840'!$B$13:$X$470,21,0)/1000</f>
        <v>-0.64800000000000002</v>
      </c>
      <c r="L360" s="137">
        <f t="shared" si="17"/>
        <v>-281</v>
      </c>
      <c r="M360" s="138">
        <f t="shared" si="18"/>
        <v>-473</v>
      </c>
      <c r="N360" s="137">
        <f t="shared" si="19"/>
        <v>-258</v>
      </c>
      <c r="O360" s="137"/>
    </row>
    <row r="361" spans="1:15">
      <c r="A361" s="76">
        <f>'BC.114+840'!B360</f>
        <v>45617</v>
      </c>
      <c r="B361" s="137">
        <f t="shared" si="16"/>
        <v>347</v>
      </c>
      <c r="C361" s="139">
        <f>'BC.114+840'!M360/1000</f>
        <v>1.5269999999999999</v>
      </c>
      <c r="D361" s="139">
        <f>'BC.114+840'!AA360</f>
        <v>2.3239999999999998</v>
      </c>
      <c r="E361" s="140">
        <f>'BC.114+840'!AB360</f>
        <v>0.95399999999999996</v>
      </c>
      <c r="F361" s="139">
        <f>VLOOKUP($A361,'BC.114+840'!$B$13:$X$470,8,0)/1000</f>
        <v>2.6389999999999998</v>
      </c>
      <c r="G361" s="139">
        <f>VLOOKUP($A361,'BC.114+840'!$B$13:$X$470,9,0)/1000</f>
        <v>-0.36099999999999999</v>
      </c>
      <c r="H361" s="139">
        <f>VLOOKUP($A361,'BC.114+840'!$B$13:$X$470,14,0)/1000</f>
        <v>2.6269999999999998</v>
      </c>
      <c r="I361" s="139">
        <f>VLOOKUP($A361,'BC.114+840'!$B$13:$X$470,15,0)/1000</f>
        <v>-0.373</v>
      </c>
      <c r="J361" s="139">
        <f>VLOOKUP($A361,'BC.114+840'!$B$13:$X$470,20,0)/1000</f>
        <v>2.3519999999999999</v>
      </c>
      <c r="K361" s="139">
        <f>VLOOKUP($A361,'BC.114+840'!$B$13:$X$470,21,0)/1000</f>
        <v>-0.64800000000000002</v>
      </c>
      <c r="L361" s="137">
        <f t="shared" si="17"/>
        <v>-281</v>
      </c>
      <c r="M361" s="138">
        <f t="shared" si="18"/>
        <v>-473</v>
      </c>
      <c r="N361" s="137">
        <f t="shared" si="19"/>
        <v>-258</v>
      </c>
      <c r="O361" s="137"/>
    </row>
    <row r="362" spans="1:15">
      <c r="A362" s="76">
        <f>'BC.114+840'!B361</f>
        <v>45618</v>
      </c>
      <c r="B362" s="137">
        <f t="shared" si="16"/>
        <v>348</v>
      </c>
      <c r="C362" s="139">
        <f>'BC.114+840'!M361/1000</f>
        <v>1.5269999999999999</v>
      </c>
      <c r="D362" s="139">
        <f>'BC.114+840'!AA361</f>
        <v>2.3239999999999998</v>
      </c>
      <c r="E362" s="140">
        <f>'BC.114+840'!AB361</f>
        <v>0.95399999999999996</v>
      </c>
      <c r="F362" s="139">
        <f>VLOOKUP($A362,'BC.114+840'!$B$13:$X$470,8,0)/1000</f>
        <v>2.6389999999999998</v>
      </c>
      <c r="G362" s="139">
        <f>VLOOKUP($A362,'BC.114+840'!$B$13:$X$470,9,0)/1000</f>
        <v>-0.36099999999999999</v>
      </c>
      <c r="H362" s="139">
        <f>VLOOKUP($A362,'BC.114+840'!$B$13:$X$470,14,0)/1000</f>
        <v>2.6269999999999998</v>
      </c>
      <c r="I362" s="139">
        <f>VLOOKUP($A362,'BC.114+840'!$B$13:$X$470,15,0)/1000</f>
        <v>-0.373</v>
      </c>
      <c r="J362" s="139">
        <f>VLOOKUP($A362,'BC.114+840'!$B$13:$X$470,20,0)/1000</f>
        <v>2.3519999999999999</v>
      </c>
      <c r="K362" s="139">
        <f>VLOOKUP($A362,'BC.114+840'!$B$13:$X$470,21,0)/1000</f>
        <v>-0.64800000000000002</v>
      </c>
      <c r="L362" s="137">
        <f t="shared" si="17"/>
        <v>-281</v>
      </c>
      <c r="M362" s="138">
        <f t="shared" si="18"/>
        <v>-473</v>
      </c>
      <c r="N362" s="137">
        <f t="shared" si="19"/>
        <v>-258</v>
      </c>
      <c r="O362" s="137"/>
    </row>
    <row r="363" spans="1:15">
      <c r="A363" s="76">
        <f>'BC.114+840'!B362</f>
        <v>45619</v>
      </c>
      <c r="B363" s="137">
        <f t="shared" si="16"/>
        <v>349</v>
      </c>
      <c r="C363" s="139">
        <f>'BC.114+840'!M362/1000</f>
        <v>1.5269999999999999</v>
      </c>
      <c r="D363" s="139">
        <f>'BC.114+840'!AA362</f>
        <v>2.3239999999999998</v>
      </c>
      <c r="E363" s="140">
        <f>'BC.114+840'!AB362</f>
        <v>0.95399999999999996</v>
      </c>
      <c r="F363" s="139">
        <f>VLOOKUP($A363,'BC.114+840'!$B$13:$X$470,8,0)/1000</f>
        <v>2.6389999999999998</v>
      </c>
      <c r="G363" s="139">
        <f>VLOOKUP($A363,'BC.114+840'!$B$13:$X$470,9,0)/1000</f>
        <v>-0.36099999999999999</v>
      </c>
      <c r="H363" s="139">
        <f>VLOOKUP($A363,'BC.114+840'!$B$13:$X$470,14,0)/1000</f>
        <v>2.6269999999999998</v>
      </c>
      <c r="I363" s="139">
        <f>VLOOKUP($A363,'BC.114+840'!$B$13:$X$470,15,0)/1000</f>
        <v>-0.373</v>
      </c>
      <c r="J363" s="139">
        <f>VLOOKUP($A363,'BC.114+840'!$B$13:$X$470,20,0)/1000</f>
        <v>2.3519999999999999</v>
      </c>
      <c r="K363" s="139">
        <f>VLOOKUP($A363,'BC.114+840'!$B$13:$X$470,21,0)/1000</f>
        <v>-0.64800000000000002</v>
      </c>
      <c r="L363" s="137">
        <f t="shared" si="17"/>
        <v>-281</v>
      </c>
      <c r="M363" s="138">
        <f t="shared" si="18"/>
        <v>-473</v>
      </c>
      <c r="N363" s="137">
        <f t="shared" si="19"/>
        <v>-258</v>
      </c>
      <c r="O363" s="137"/>
    </row>
    <row r="364" spans="1:15">
      <c r="A364" s="76">
        <f>'BC.114+840'!B363</f>
        <v>45620</v>
      </c>
      <c r="B364" s="137">
        <f t="shared" si="16"/>
        <v>350</v>
      </c>
      <c r="C364" s="139">
        <f>'BC.114+840'!M363/1000</f>
        <v>1.5269999999999999</v>
      </c>
      <c r="D364" s="139">
        <f>'BC.114+840'!AA363</f>
        <v>2.3239999999999998</v>
      </c>
      <c r="E364" s="140">
        <f>'BC.114+840'!AB363</f>
        <v>0.95399999999999996</v>
      </c>
      <c r="F364" s="139">
        <f>VLOOKUP($A364,'BC.114+840'!$B$13:$X$470,8,0)/1000</f>
        <v>2.6389999999999998</v>
      </c>
      <c r="G364" s="139">
        <f>VLOOKUP($A364,'BC.114+840'!$B$13:$X$470,9,0)/1000</f>
        <v>-0.36099999999999999</v>
      </c>
      <c r="H364" s="139">
        <f>VLOOKUP($A364,'BC.114+840'!$B$13:$X$470,14,0)/1000</f>
        <v>2.6269999999999998</v>
      </c>
      <c r="I364" s="139">
        <f>VLOOKUP($A364,'BC.114+840'!$B$13:$X$470,15,0)/1000</f>
        <v>-0.373</v>
      </c>
      <c r="J364" s="139">
        <f>VLOOKUP($A364,'BC.114+840'!$B$13:$X$470,20,0)/1000</f>
        <v>2.3519999999999999</v>
      </c>
      <c r="K364" s="139">
        <f>VLOOKUP($A364,'BC.114+840'!$B$13:$X$470,21,0)/1000</f>
        <v>-0.64800000000000002</v>
      </c>
      <c r="L364" s="137">
        <f t="shared" si="17"/>
        <v>-281</v>
      </c>
      <c r="M364" s="138">
        <f t="shared" si="18"/>
        <v>-473</v>
      </c>
      <c r="N364" s="137">
        <f t="shared" si="19"/>
        <v>-258</v>
      </c>
      <c r="O364" s="137"/>
    </row>
    <row r="365" spans="1:15">
      <c r="A365" s="76">
        <f>'BC.114+840'!B364</f>
        <v>45621</v>
      </c>
      <c r="B365" s="137">
        <f t="shared" si="16"/>
        <v>351</v>
      </c>
      <c r="C365" s="139">
        <f>'BC.114+840'!M364/1000</f>
        <v>1.5269999999999999</v>
      </c>
      <c r="D365" s="139">
        <f>'BC.114+840'!AA364</f>
        <v>2.3239999999999998</v>
      </c>
      <c r="E365" s="140">
        <f>'BC.114+840'!AB364</f>
        <v>0.95399999999999996</v>
      </c>
      <c r="F365" s="139">
        <f>VLOOKUP($A365,'BC.114+840'!$B$13:$X$470,8,0)/1000</f>
        <v>2.6389999999999998</v>
      </c>
      <c r="G365" s="139">
        <f>VLOOKUP($A365,'BC.114+840'!$B$13:$X$470,9,0)/1000</f>
        <v>-0.36099999999999999</v>
      </c>
      <c r="H365" s="139">
        <f>VLOOKUP($A365,'BC.114+840'!$B$13:$X$470,14,0)/1000</f>
        <v>2.6269999999999998</v>
      </c>
      <c r="I365" s="139">
        <f>VLOOKUP($A365,'BC.114+840'!$B$13:$X$470,15,0)/1000</f>
        <v>-0.373</v>
      </c>
      <c r="J365" s="139">
        <f>VLOOKUP($A365,'BC.114+840'!$B$13:$X$470,20,0)/1000</f>
        <v>2.3519999999999999</v>
      </c>
      <c r="K365" s="139">
        <f>VLOOKUP($A365,'BC.114+840'!$B$13:$X$470,21,0)/1000</f>
        <v>-0.64800000000000002</v>
      </c>
      <c r="L365" s="137">
        <f t="shared" si="17"/>
        <v>-281</v>
      </c>
      <c r="M365" s="138">
        <f t="shared" si="18"/>
        <v>-473</v>
      </c>
      <c r="N365" s="137">
        <f t="shared" si="19"/>
        <v>-258</v>
      </c>
      <c r="O365" s="137"/>
    </row>
    <row r="366" spans="1:15">
      <c r="A366" s="76">
        <f>'BC.114+840'!B365</f>
        <v>45622</v>
      </c>
      <c r="B366" s="137">
        <f t="shared" si="16"/>
        <v>352</v>
      </c>
      <c r="C366" s="139">
        <f>'BC.114+840'!M365/1000</f>
        <v>1.5269999999999999</v>
      </c>
      <c r="D366" s="139">
        <f>'BC.114+840'!AA365</f>
        <v>2.3239999999999998</v>
      </c>
      <c r="E366" s="140">
        <f>'BC.114+840'!AB365</f>
        <v>0.95399999999999996</v>
      </c>
      <c r="F366" s="139">
        <f>VLOOKUP($A366,'BC.114+840'!$B$13:$X$470,8,0)/1000</f>
        <v>2.6389999999999998</v>
      </c>
      <c r="G366" s="139">
        <f>VLOOKUP($A366,'BC.114+840'!$B$13:$X$470,9,0)/1000</f>
        <v>-0.36099999999999999</v>
      </c>
      <c r="H366" s="139">
        <f>VLOOKUP($A366,'BC.114+840'!$B$13:$X$470,14,0)/1000</f>
        <v>2.6269999999999998</v>
      </c>
      <c r="I366" s="139">
        <f>VLOOKUP($A366,'BC.114+840'!$B$13:$X$470,15,0)/1000</f>
        <v>-0.373</v>
      </c>
      <c r="J366" s="139">
        <f>VLOOKUP($A366,'BC.114+840'!$B$13:$X$470,20,0)/1000</f>
        <v>2.3519999999999999</v>
      </c>
      <c r="K366" s="139">
        <f>VLOOKUP($A366,'BC.114+840'!$B$13:$X$470,21,0)/1000</f>
        <v>-0.64800000000000002</v>
      </c>
      <c r="L366" s="137">
        <f t="shared" si="17"/>
        <v>-281</v>
      </c>
      <c r="M366" s="138">
        <f t="shared" si="18"/>
        <v>-473</v>
      </c>
      <c r="N366" s="137">
        <f t="shared" si="19"/>
        <v>-258</v>
      </c>
      <c r="O366" s="137"/>
    </row>
    <row r="367" spans="1:15">
      <c r="A367" s="76">
        <f>'BC.114+840'!B366</f>
        <v>45623</v>
      </c>
      <c r="B367" s="137">
        <f t="shared" si="16"/>
        <v>353</v>
      </c>
      <c r="C367" s="139">
        <f>'BC.114+840'!M366/1000</f>
        <v>1.5269999999999999</v>
      </c>
      <c r="D367" s="139">
        <f>'BC.114+840'!AA366</f>
        <v>2.3239999999999998</v>
      </c>
      <c r="E367" s="140">
        <f>'BC.114+840'!AB366</f>
        <v>0.95399999999999996</v>
      </c>
      <c r="F367" s="139">
        <f>VLOOKUP($A367,'BC.114+840'!$B$13:$X$470,8,0)/1000</f>
        <v>2.6389999999999998</v>
      </c>
      <c r="G367" s="139">
        <f>VLOOKUP($A367,'BC.114+840'!$B$13:$X$470,9,0)/1000</f>
        <v>-0.36099999999999999</v>
      </c>
      <c r="H367" s="139">
        <f>VLOOKUP($A367,'BC.114+840'!$B$13:$X$470,14,0)/1000</f>
        <v>2.6269999999999998</v>
      </c>
      <c r="I367" s="139">
        <f>VLOOKUP($A367,'BC.114+840'!$B$13:$X$470,15,0)/1000</f>
        <v>-0.373</v>
      </c>
      <c r="J367" s="139">
        <f>VLOOKUP($A367,'BC.114+840'!$B$13:$X$470,20,0)/1000</f>
        <v>2.3519999999999999</v>
      </c>
      <c r="K367" s="139">
        <f>VLOOKUP($A367,'BC.114+840'!$B$13:$X$470,21,0)/1000</f>
        <v>-0.64800000000000002</v>
      </c>
      <c r="L367" s="137">
        <f t="shared" si="17"/>
        <v>-281</v>
      </c>
      <c r="M367" s="138">
        <f t="shared" si="18"/>
        <v>-473</v>
      </c>
      <c r="N367" s="137">
        <f t="shared" si="19"/>
        <v>-258</v>
      </c>
      <c r="O367" s="137"/>
    </row>
    <row r="368" spans="1:15">
      <c r="A368" s="76">
        <f>'BC.114+840'!B367</f>
        <v>45624</v>
      </c>
      <c r="B368" s="137">
        <f t="shared" si="16"/>
        <v>354</v>
      </c>
      <c r="C368" s="139">
        <f>'BC.114+840'!M367/1000</f>
        <v>1.5269999999999999</v>
      </c>
      <c r="D368" s="139">
        <f>'BC.114+840'!AA367</f>
        <v>2.3239999999999998</v>
      </c>
      <c r="E368" s="140">
        <f>'BC.114+840'!AB367</f>
        <v>0.95399999999999996</v>
      </c>
      <c r="F368" s="139">
        <f>VLOOKUP($A368,'BC.114+840'!$B$13:$X$470,8,0)/1000</f>
        <v>2.6389999999999998</v>
      </c>
      <c r="G368" s="139">
        <f>VLOOKUP($A368,'BC.114+840'!$B$13:$X$470,9,0)/1000</f>
        <v>-0.36099999999999999</v>
      </c>
      <c r="H368" s="139">
        <f>VLOOKUP($A368,'BC.114+840'!$B$13:$X$470,14,0)/1000</f>
        <v>2.6269999999999998</v>
      </c>
      <c r="I368" s="139">
        <f>VLOOKUP($A368,'BC.114+840'!$B$13:$X$470,15,0)/1000</f>
        <v>-0.373</v>
      </c>
      <c r="J368" s="139">
        <f>VLOOKUP($A368,'BC.114+840'!$B$13:$X$470,20,0)/1000</f>
        <v>2.3519999999999999</v>
      </c>
      <c r="K368" s="139">
        <f>VLOOKUP($A368,'BC.114+840'!$B$13:$X$470,21,0)/1000</f>
        <v>-0.64800000000000002</v>
      </c>
      <c r="L368" s="137">
        <f t="shared" si="17"/>
        <v>-281</v>
      </c>
      <c r="M368" s="138">
        <f t="shared" si="18"/>
        <v>-473</v>
      </c>
      <c r="N368" s="137">
        <f t="shared" si="19"/>
        <v>-258</v>
      </c>
      <c r="O368" s="137"/>
    </row>
    <row r="369" spans="1:15">
      <c r="A369" s="76">
        <f>'BC.114+840'!B368</f>
        <v>45625</v>
      </c>
      <c r="B369" s="137">
        <f t="shared" si="16"/>
        <v>355</v>
      </c>
      <c r="C369" s="139">
        <f>'BC.114+840'!M368/1000</f>
        <v>1.5269999999999999</v>
      </c>
      <c r="D369" s="139">
        <f>'BC.114+840'!AA368</f>
        <v>2.3239999999999998</v>
      </c>
      <c r="E369" s="140">
        <f>'BC.114+840'!AB368</f>
        <v>0.95399999999999996</v>
      </c>
      <c r="F369" s="139">
        <f>VLOOKUP($A369,'BC.114+840'!$B$13:$X$470,8,0)/1000</f>
        <v>2.6389999999999998</v>
      </c>
      <c r="G369" s="139">
        <f>VLOOKUP($A369,'BC.114+840'!$B$13:$X$470,9,0)/1000</f>
        <v>-0.36099999999999999</v>
      </c>
      <c r="H369" s="139">
        <f>VLOOKUP($A369,'BC.114+840'!$B$13:$X$470,14,0)/1000</f>
        <v>2.6269999999999998</v>
      </c>
      <c r="I369" s="139">
        <f>VLOOKUP($A369,'BC.114+840'!$B$13:$X$470,15,0)/1000</f>
        <v>-0.373</v>
      </c>
      <c r="J369" s="139">
        <f>VLOOKUP($A369,'BC.114+840'!$B$13:$X$470,20,0)/1000</f>
        <v>2.3519999999999999</v>
      </c>
      <c r="K369" s="139">
        <f>VLOOKUP($A369,'BC.114+840'!$B$13:$X$470,21,0)/1000</f>
        <v>-0.64800000000000002</v>
      </c>
      <c r="L369" s="137">
        <f t="shared" si="17"/>
        <v>-281</v>
      </c>
      <c r="M369" s="138">
        <f t="shared" si="18"/>
        <v>-473</v>
      </c>
      <c r="N369" s="137">
        <f t="shared" si="19"/>
        <v>-258</v>
      </c>
      <c r="O369" s="137"/>
    </row>
    <row r="370" spans="1:15">
      <c r="A370" s="76">
        <f>'BC.114+840'!B369</f>
        <v>45626</v>
      </c>
      <c r="B370" s="137">
        <f t="shared" si="16"/>
        <v>356</v>
      </c>
      <c r="C370" s="139">
        <f>'BC.114+840'!M369/1000</f>
        <v>1.5269999999999999</v>
      </c>
      <c r="D370" s="139">
        <f>'BC.114+840'!AA369</f>
        <v>2.3239999999999998</v>
      </c>
      <c r="E370" s="140">
        <f>'BC.114+840'!AB369</f>
        <v>0.95399999999999996</v>
      </c>
      <c r="F370" s="139">
        <f>VLOOKUP($A370,'BC.114+840'!$B$13:$X$470,8,0)/1000</f>
        <v>2.6389999999999998</v>
      </c>
      <c r="G370" s="139">
        <f>VLOOKUP($A370,'BC.114+840'!$B$13:$X$470,9,0)/1000</f>
        <v>-0.36099999999999999</v>
      </c>
      <c r="H370" s="139">
        <f>VLOOKUP($A370,'BC.114+840'!$B$13:$X$470,14,0)/1000</f>
        <v>2.6269999999999998</v>
      </c>
      <c r="I370" s="139">
        <f>VLOOKUP($A370,'BC.114+840'!$B$13:$X$470,15,0)/1000</f>
        <v>-0.373</v>
      </c>
      <c r="J370" s="139">
        <f>VLOOKUP($A370,'BC.114+840'!$B$13:$X$470,20,0)/1000</f>
        <v>2.3519999999999999</v>
      </c>
      <c r="K370" s="139">
        <f>VLOOKUP($A370,'BC.114+840'!$B$13:$X$470,21,0)/1000</f>
        <v>-0.64800000000000002</v>
      </c>
      <c r="L370" s="137">
        <f t="shared" si="17"/>
        <v>-281</v>
      </c>
      <c r="M370" s="138">
        <f t="shared" si="18"/>
        <v>-473</v>
      </c>
      <c r="N370" s="137">
        <f t="shared" si="19"/>
        <v>-258</v>
      </c>
      <c r="O370" s="137"/>
    </row>
    <row r="371" spans="1:15">
      <c r="A371" s="76">
        <f>'BC.114+840'!B370</f>
        <v>45627</v>
      </c>
      <c r="B371" s="137">
        <f t="shared" si="16"/>
        <v>357</v>
      </c>
      <c r="C371" s="139">
        <f>'BC.114+840'!M370/1000</f>
        <v>1.5269999999999999</v>
      </c>
      <c r="D371" s="139">
        <f>'BC.114+840'!AA370</f>
        <v>2.3239999999999998</v>
      </c>
      <c r="E371" s="140">
        <f>'BC.114+840'!AB370</f>
        <v>0.95399999999999996</v>
      </c>
      <c r="F371" s="139">
        <f>VLOOKUP($A371,'BC.114+840'!$B$13:$X$470,8,0)/1000</f>
        <v>2.6389999999999998</v>
      </c>
      <c r="G371" s="139">
        <f>VLOOKUP($A371,'BC.114+840'!$B$13:$X$470,9,0)/1000</f>
        <v>-0.36099999999999999</v>
      </c>
      <c r="H371" s="139">
        <f>VLOOKUP($A371,'BC.114+840'!$B$13:$X$470,14,0)/1000</f>
        <v>2.6269999999999998</v>
      </c>
      <c r="I371" s="139">
        <f>VLOOKUP($A371,'BC.114+840'!$B$13:$X$470,15,0)/1000</f>
        <v>-0.373</v>
      </c>
      <c r="J371" s="139">
        <f>VLOOKUP($A371,'BC.114+840'!$B$13:$X$470,20,0)/1000</f>
        <v>2.3519999999999999</v>
      </c>
      <c r="K371" s="139">
        <f>VLOOKUP($A371,'BC.114+840'!$B$13:$X$470,21,0)/1000</f>
        <v>-0.64800000000000002</v>
      </c>
      <c r="L371" s="137">
        <f t="shared" si="17"/>
        <v>-281</v>
      </c>
      <c r="M371" s="138">
        <f t="shared" si="18"/>
        <v>-473</v>
      </c>
      <c r="N371" s="137">
        <f t="shared" si="19"/>
        <v>-258</v>
      </c>
      <c r="O371" s="137"/>
    </row>
    <row r="372" spans="1:15">
      <c r="A372" s="76">
        <f>'BC.114+840'!B371</f>
        <v>45628</v>
      </c>
      <c r="B372" s="137">
        <f t="shared" si="16"/>
        <v>358</v>
      </c>
      <c r="C372" s="139">
        <f>'BC.114+840'!M371/1000</f>
        <v>1.5269999999999999</v>
      </c>
      <c r="D372" s="139">
        <f>'BC.114+840'!AA371</f>
        <v>2.3239999999999998</v>
      </c>
      <c r="E372" s="140">
        <f>'BC.114+840'!AB371</f>
        <v>0.95399999999999996</v>
      </c>
      <c r="F372" s="139">
        <f>VLOOKUP($A372,'BC.114+840'!$B$13:$X$470,8,0)/1000</f>
        <v>2.6389999999999998</v>
      </c>
      <c r="G372" s="139">
        <f>VLOOKUP($A372,'BC.114+840'!$B$13:$X$470,9,0)/1000</f>
        <v>-0.36099999999999999</v>
      </c>
      <c r="H372" s="139">
        <f>VLOOKUP($A372,'BC.114+840'!$B$13:$X$470,14,0)/1000</f>
        <v>2.6269999999999998</v>
      </c>
      <c r="I372" s="139">
        <f>VLOOKUP($A372,'BC.114+840'!$B$13:$X$470,15,0)/1000</f>
        <v>-0.373</v>
      </c>
      <c r="J372" s="139">
        <f>VLOOKUP($A372,'BC.114+840'!$B$13:$X$470,20,0)/1000</f>
        <v>2.3519999999999999</v>
      </c>
      <c r="K372" s="139">
        <f>VLOOKUP($A372,'BC.114+840'!$B$13:$X$470,21,0)/1000</f>
        <v>-0.64800000000000002</v>
      </c>
      <c r="L372" s="137">
        <f t="shared" si="17"/>
        <v>-281</v>
      </c>
      <c r="M372" s="138">
        <f t="shared" si="18"/>
        <v>-473</v>
      </c>
      <c r="N372" s="137">
        <f t="shared" si="19"/>
        <v>-258</v>
      </c>
      <c r="O372" s="137"/>
    </row>
    <row r="373" spans="1:15">
      <c r="A373" s="76">
        <f>'BC.114+840'!B372</f>
        <v>45629</v>
      </c>
      <c r="B373" s="137">
        <f t="shared" si="16"/>
        <v>359</v>
      </c>
      <c r="C373" s="139">
        <f>'BC.114+840'!M372/1000</f>
        <v>1.5269999999999999</v>
      </c>
      <c r="D373" s="139">
        <f>'BC.114+840'!AA372</f>
        <v>2.3239999999999998</v>
      </c>
      <c r="E373" s="140">
        <f>'BC.114+840'!AB372</f>
        <v>0.95399999999999996</v>
      </c>
      <c r="F373" s="139">
        <f>VLOOKUP($A373,'BC.114+840'!$B$13:$X$470,8,0)/1000</f>
        <v>2.6389999999999998</v>
      </c>
      <c r="G373" s="139">
        <f>VLOOKUP($A373,'BC.114+840'!$B$13:$X$470,9,0)/1000</f>
        <v>-0.36099999999999999</v>
      </c>
      <c r="H373" s="139">
        <f>VLOOKUP($A373,'BC.114+840'!$B$13:$X$470,14,0)/1000</f>
        <v>2.6269999999999998</v>
      </c>
      <c r="I373" s="139">
        <f>VLOOKUP($A373,'BC.114+840'!$B$13:$X$470,15,0)/1000</f>
        <v>-0.373</v>
      </c>
      <c r="J373" s="139">
        <f>VLOOKUP($A373,'BC.114+840'!$B$13:$X$470,20,0)/1000</f>
        <v>2.3519999999999999</v>
      </c>
      <c r="K373" s="139">
        <f>VLOOKUP($A373,'BC.114+840'!$B$13:$X$470,21,0)/1000</f>
        <v>-0.64800000000000002</v>
      </c>
      <c r="L373" s="137">
        <f t="shared" si="17"/>
        <v>-281</v>
      </c>
      <c r="M373" s="138">
        <f t="shared" si="18"/>
        <v>-473</v>
      </c>
      <c r="N373" s="137">
        <f t="shared" si="19"/>
        <v>-258</v>
      </c>
      <c r="O373" s="137"/>
    </row>
    <row r="374" spans="1:15">
      <c r="A374" s="76">
        <f>'BC.114+840'!B373</f>
        <v>45630</v>
      </c>
      <c r="B374" s="137">
        <f t="shared" si="16"/>
        <v>360</v>
      </c>
      <c r="C374" s="139">
        <f>'BC.114+840'!M373/1000</f>
        <v>1.5269999999999999</v>
      </c>
      <c r="D374" s="139">
        <f>'BC.114+840'!AA373</f>
        <v>2.3239999999999998</v>
      </c>
      <c r="E374" s="140">
        <f>'BC.114+840'!AB373</f>
        <v>0.95399999999999996</v>
      </c>
      <c r="F374" s="139">
        <f>VLOOKUP($A374,'BC.114+840'!$B$13:$X$470,8,0)/1000</f>
        <v>2.6389999999999998</v>
      </c>
      <c r="G374" s="139">
        <f>VLOOKUP($A374,'BC.114+840'!$B$13:$X$470,9,0)/1000</f>
        <v>-0.36099999999999999</v>
      </c>
      <c r="H374" s="139">
        <f>VLOOKUP($A374,'BC.114+840'!$B$13:$X$470,14,0)/1000</f>
        <v>2.6269999999999998</v>
      </c>
      <c r="I374" s="139">
        <f>VLOOKUP($A374,'BC.114+840'!$B$13:$X$470,15,0)/1000</f>
        <v>-0.373</v>
      </c>
      <c r="J374" s="139">
        <f>VLOOKUP($A374,'BC.114+840'!$B$13:$X$470,20,0)/1000</f>
        <v>2.3519999999999999</v>
      </c>
      <c r="K374" s="139">
        <f>VLOOKUP($A374,'BC.114+840'!$B$13:$X$470,21,0)/1000</f>
        <v>-0.64800000000000002</v>
      </c>
      <c r="L374" s="137">
        <f t="shared" si="17"/>
        <v>-281</v>
      </c>
      <c r="M374" s="138">
        <f t="shared" si="18"/>
        <v>-473</v>
      </c>
      <c r="N374" s="137">
        <f t="shared" si="19"/>
        <v>-258</v>
      </c>
      <c r="O374" s="137"/>
    </row>
    <row r="375" spans="1:15">
      <c r="A375" s="76">
        <f>'BC.114+840'!B374</f>
        <v>45631</v>
      </c>
      <c r="B375" s="137">
        <f t="shared" si="16"/>
        <v>361</v>
      </c>
      <c r="C375" s="139">
        <f>'BC.114+840'!M374/1000</f>
        <v>1.5269999999999999</v>
      </c>
      <c r="D375" s="139">
        <f>'BC.114+840'!AA374</f>
        <v>2.3239999999999998</v>
      </c>
      <c r="E375" s="140">
        <f>'BC.114+840'!AB374</f>
        <v>0.95399999999999996</v>
      </c>
      <c r="F375" s="139">
        <f>VLOOKUP($A375,'BC.114+840'!$B$13:$X$470,8,0)/1000</f>
        <v>2.6389999999999998</v>
      </c>
      <c r="G375" s="139">
        <f>VLOOKUP($A375,'BC.114+840'!$B$13:$X$470,9,0)/1000</f>
        <v>-0.36099999999999999</v>
      </c>
      <c r="H375" s="139">
        <f>VLOOKUP($A375,'BC.114+840'!$B$13:$X$470,14,0)/1000</f>
        <v>2.6269999999999998</v>
      </c>
      <c r="I375" s="139">
        <f>VLOOKUP($A375,'BC.114+840'!$B$13:$X$470,15,0)/1000</f>
        <v>-0.373</v>
      </c>
      <c r="J375" s="139">
        <f>VLOOKUP($A375,'BC.114+840'!$B$13:$X$470,20,0)/1000</f>
        <v>2.3519999999999999</v>
      </c>
      <c r="K375" s="139">
        <f>VLOOKUP($A375,'BC.114+840'!$B$13:$X$470,21,0)/1000</f>
        <v>-0.64800000000000002</v>
      </c>
      <c r="L375" s="137">
        <f t="shared" si="17"/>
        <v>-281</v>
      </c>
      <c r="M375" s="138">
        <f t="shared" si="18"/>
        <v>-473</v>
      </c>
      <c r="N375" s="137">
        <f t="shared" si="19"/>
        <v>-258</v>
      </c>
      <c r="O375" s="137"/>
    </row>
    <row r="376" spans="1:15">
      <c r="A376" s="76">
        <f>'BC.114+840'!B375</f>
        <v>45632</v>
      </c>
      <c r="B376" s="137">
        <f t="shared" si="16"/>
        <v>362</v>
      </c>
      <c r="C376" s="139">
        <f>'BC.114+840'!M375/1000</f>
        <v>1.5269999999999999</v>
      </c>
      <c r="D376" s="139">
        <f>'BC.114+840'!AA375</f>
        <v>2.3239999999999998</v>
      </c>
      <c r="E376" s="140">
        <f>'BC.114+840'!AB375</f>
        <v>0.95399999999999996</v>
      </c>
      <c r="F376" s="139">
        <f>VLOOKUP($A376,'BC.114+840'!$B$13:$X$470,8,0)/1000</f>
        <v>2.6389999999999998</v>
      </c>
      <c r="G376" s="139">
        <f>VLOOKUP($A376,'BC.114+840'!$B$13:$X$470,9,0)/1000</f>
        <v>-0.36099999999999999</v>
      </c>
      <c r="H376" s="139">
        <f>VLOOKUP($A376,'BC.114+840'!$B$13:$X$470,14,0)/1000</f>
        <v>2.6269999999999998</v>
      </c>
      <c r="I376" s="139">
        <f>VLOOKUP($A376,'BC.114+840'!$B$13:$X$470,15,0)/1000</f>
        <v>-0.373</v>
      </c>
      <c r="J376" s="139">
        <f>VLOOKUP($A376,'BC.114+840'!$B$13:$X$470,20,0)/1000</f>
        <v>2.3519999999999999</v>
      </c>
      <c r="K376" s="139">
        <f>VLOOKUP($A376,'BC.114+840'!$B$13:$X$470,21,0)/1000</f>
        <v>-0.64800000000000002</v>
      </c>
      <c r="L376" s="137">
        <f t="shared" si="17"/>
        <v>-281</v>
      </c>
      <c r="M376" s="138">
        <f t="shared" si="18"/>
        <v>-473</v>
      </c>
      <c r="N376" s="137">
        <f t="shared" si="19"/>
        <v>-258</v>
      </c>
      <c r="O376" s="137"/>
    </row>
    <row r="377" spans="1:15">
      <c r="A377" s="76">
        <f>'BC.114+840'!B376</f>
        <v>45633</v>
      </c>
      <c r="B377" s="137">
        <f t="shared" si="16"/>
        <v>363</v>
      </c>
      <c r="C377" s="139">
        <f>'BC.114+840'!M376/1000</f>
        <v>1.5269999999999999</v>
      </c>
      <c r="D377" s="139">
        <f>'BC.114+840'!AA376</f>
        <v>2.3239999999999998</v>
      </c>
      <c r="E377" s="140">
        <f>'BC.114+840'!AB376</f>
        <v>0.95399999999999996</v>
      </c>
      <c r="F377" s="139">
        <f>VLOOKUP($A377,'BC.114+840'!$B$13:$X$470,8,0)/1000</f>
        <v>2.6389999999999998</v>
      </c>
      <c r="G377" s="139">
        <f>VLOOKUP($A377,'BC.114+840'!$B$13:$X$470,9,0)/1000</f>
        <v>-0.36099999999999999</v>
      </c>
      <c r="H377" s="139">
        <f>VLOOKUP($A377,'BC.114+840'!$B$13:$X$470,14,0)/1000</f>
        <v>2.6269999999999998</v>
      </c>
      <c r="I377" s="139">
        <f>VLOOKUP($A377,'BC.114+840'!$B$13:$X$470,15,0)/1000</f>
        <v>-0.373</v>
      </c>
      <c r="J377" s="139">
        <f>VLOOKUP($A377,'BC.114+840'!$B$13:$X$470,20,0)/1000</f>
        <v>2.3519999999999999</v>
      </c>
      <c r="K377" s="139">
        <f>VLOOKUP($A377,'BC.114+840'!$B$13:$X$470,21,0)/1000</f>
        <v>-0.64800000000000002</v>
      </c>
      <c r="L377" s="137">
        <f t="shared" si="17"/>
        <v>-281</v>
      </c>
      <c r="M377" s="138">
        <f t="shared" si="18"/>
        <v>-473</v>
      </c>
      <c r="N377" s="137">
        <f t="shared" si="19"/>
        <v>-258</v>
      </c>
      <c r="O377" s="137"/>
    </row>
    <row r="378" spans="1:15">
      <c r="A378" s="76">
        <f>'BC.114+840'!B377</f>
        <v>45634</v>
      </c>
      <c r="B378" s="137">
        <f t="shared" si="16"/>
        <v>364</v>
      </c>
      <c r="C378" s="139">
        <f>'BC.114+840'!M377/1000</f>
        <v>1.5269999999999999</v>
      </c>
      <c r="D378" s="139">
        <f>'BC.114+840'!AA377</f>
        <v>2.3239999999999998</v>
      </c>
      <c r="E378" s="140">
        <f>'BC.114+840'!AB377</f>
        <v>0.95399999999999996</v>
      </c>
      <c r="F378" s="139">
        <f>VLOOKUP($A378,'BC.114+840'!$B$13:$X$470,8,0)/1000</f>
        <v>2.6389999999999998</v>
      </c>
      <c r="G378" s="139">
        <f>VLOOKUP($A378,'BC.114+840'!$B$13:$X$470,9,0)/1000</f>
        <v>-0.36099999999999999</v>
      </c>
      <c r="H378" s="139">
        <f>VLOOKUP($A378,'BC.114+840'!$B$13:$X$470,14,0)/1000</f>
        <v>2.6269999999999998</v>
      </c>
      <c r="I378" s="139">
        <f>VLOOKUP($A378,'BC.114+840'!$B$13:$X$470,15,0)/1000</f>
        <v>-0.373</v>
      </c>
      <c r="J378" s="139">
        <f>VLOOKUP($A378,'BC.114+840'!$B$13:$X$470,20,0)/1000</f>
        <v>2.3519999999999999</v>
      </c>
      <c r="K378" s="139">
        <f>VLOOKUP($A378,'BC.114+840'!$B$13:$X$470,21,0)/1000</f>
        <v>-0.64800000000000002</v>
      </c>
      <c r="L378" s="137">
        <f t="shared" si="17"/>
        <v>-281</v>
      </c>
      <c r="M378" s="138">
        <f t="shared" si="18"/>
        <v>-473</v>
      </c>
      <c r="N378" s="137">
        <f t="shared" si="19"/>
        <v>-258</v>
      </c>
      <c r="O378" s="137"/>
    </row>
    <row r="379" spans="1:15">
      <c r="A379" s="76">
        <f>'BC.114+840'!B378</f>
        <v>45635</v>
      </c>
      <c r="B379" s="137">
        <f t="shared" si="16"/>
        <v>365</v>
      </c>
      <c r="C379" s="139">
        <f>'BC.114+840'!M378/1000</f>
        <v>1.5269999999999999</v>
      </c>
      <c r="D379" s="139">
        <f>'BC.114+840'!AA378</f>
        <v>2.3239999999999998</v>
      </c>
      <c r="E379" s="140">
        <f>'BC.114+840'!AB378</f>
        <v>0.95399999999999996</v>
      </c>
      <c r="F379" s="139">
        <f>VLOOKUP($A379,'BC.114+840'!$B$13:$X$470,8,0)/1000</f>
        <v>2.6389999999999998</v>
      </c>
      <c r="G379" s="139">
        <f>VLOOKUP($A379,'BC.114+840'!$B$13:$X$470,9,0)/1000</f>
        <v>-0.36099999999999999</v>
      </c>
      <c r="H379" s="139">
        <f>VLOOKUP($A379,'BC.114+840'!$B$13:$X$470,14,0)/1000</f>
        <v>2.6269999999999998</v>
      </c>
      <c r="I379" s="139">
        <f>VLOOKUP($A379,'BC.114+840'!$B$13:$X$470,15,0)/1000</f>
        <v>-0.373</v>
      </c>
      <c r="J379" s="139">
        <f>VLOOKUP($A379,'BC.114+840'!$B$13:$X$470,20,0)/1000</f>
        <v>2.3519999999999999</v>
      </c>
      <c r="K379" s="139">
        <f>VLOOKUP($A379,'BC.114+840'!$B$13:$X$470,21,0)/1000</f>
        <v>-0.64800000000000002</v>
      </c>
      <c r="L379" s="137">
        <f t="shared" si="17"/>
        <v>-281</v>
      </c>
      <c r="M379" s="138">
        <f t="shared" si="18"/>
        <v>-473</v>
      </c>
      <c r="N379" s="137">
        <f t="shared" si="19"/>
        <v>-258</v>
      </c>
      <c r="O379" s="137"/>
    </row>
    <row r="380" spans="1:15">
      <c r="A380" s="76">
        <f>'BC.114+840'!B379</f>
        <v>45636</v>
      </c>
      <c r="B380" s="137">
        <f t="shared" si="16"/>
        <v>366</v>
      </c>
      <c r="C380" s="139">
        <f>'BC.114+840'!M379/1000</f>
        <v>1.5269999999999999</v>
      </c>
      <c r="D380" s="139">
        <f>'BC.114+840'!AA379</f>
        <v>2.3239999999999998</v>
      </c>
      <c r="E380" s="140">
        <f>'BC.114+840'!AB379</f>
        <v>0.95399999999999996</v>
      </c>
      <c r="F380" s="139">
        <f>VLOOKUP($A380,'BC.114+840'!$B$13:$X$470,8,0)/1000</f>
        <v>2.6389999999999998</v>
      </c>
      <c r="G380" s="139">
        <f>VLOOKUP($A380,'BC.114+840'!$B$13:$X$470,9,0)/1000</f>
        <v>-0.36099999999999999</v>
      </c>
      <c r="H380" s="139">
        <f>VLOOKUP($A380,'BC.114+840'!$B$13:$X$470,14,0)/1000</f>
        <v>2.6269999999999998</v>
      </c>
      <c r="I380" s="139">
        <f>VLOOKUP($A380,'BC.114+840'!$B$13:$X$470,15,0)/1000</f>
        <v>-0.373</v>
      </c>
      <c r="J380" s="139">
        <f>VLOOKUP($A380,'BC.114+840'!$B$13:$X$470,20,0)/1000</f>
        <v>2.3519999999999999</v>
      </c>
      <c r="K380" s="139">
        <f>VLOOKUP($A380,'BC.114+840'!$B$13:$X$470,21,0)/1000</f>
        <v>-0.64800000000000002</v>
      </c>
      <c r="L380" s="137">
        <f t="shared" si="17"/>
        <v>-281</v>
      </c>
      <c r="M380" s="138">
        <f t="shared" si="18"/>
        <v>-473</v>
      </c>
      <c r="N380" s="137">
        <f t="shared" si="19"/>
        <v>-258</v>
      </c>
      <c r="O380" s="137"/>
    </row>
    <row r="381" spans="1:15">
      <c r="A381" s="76">
        <f>'BC.114+840'!B380</f>
        <v>45637</v>
      </c>
      <c r="B381" s="137">
        <f t="shared" si="16"/>
        <v>367</v>
      </c>
      <c r="C381" s="139">
        <f>'BC.114+840'!M380/1000</f>
        <v>1.5269999999999999</v>
      </c>
      <c r="D381" s="139">
        <f>'BC.114+840'!AA380</f>
        <v>2.3239999999999998</v>
      </c>
      <c r="E381" s="140">
        <f>'BC.114+840'!AB380</f>
        <v>0.95399999999999996</v>
      </c>
      <c r="F381" s="139">
        <f>VLOOKUP($A381,'BC.114+840'!$B$13:$X$470,8,0)/1000</f>
        <v>2.6389999999999998</v>
      </c>
      <c r="G381" s="139">
        <f>VLOOKUP($A381,'BC.114+840'!$B$13:$X$470,9,0)/1000</f>
        <v>-0.36099999999999999</v>
      </c>
      <c r="H381" s="139">
        <f>VLOOKUP($A381,'BC.114+840'!$B$13:$X$470,14,0)/1000</f>
        <v>2.6269999999999998</v>
      </c>
      <c r="I381" s="139">
        <f>VLOOKUP($A381,'BC.114+840'!$B$13:$X$470,15,0)/1000</f>
        <v>-0.373</v>
      </c>
      <c r="J381" s="139">
        <f>VLOOKUP($A381,'BC.114+840'!$B$13:$X$470,20,0)/1000</f>
        <v>2.3519999999999999</v>
      </c>
      <c r="K381" s="139">
        <f>VLOOKUP($A381,'BC.114+840'!$B$13:$X$470,21,0)/1000</f>
        <v>-0.64800000000000002</v>
      </c>
      <c r="L381" s="137">
        <f t="shared" si="17"/>
        <v>-281</v>
      </c>
      <c r="M381" s="138">
        <f t="shared" si="18"/>
        <v>-473</v>
      </c>
      <c r="N381" s="137">
        <f t="shared" si="19"/>
        <v>-258</v>
      </c>
      <c r="O381" s="137"/>
    </row>
    <row r="382" spans="1:15">
      <c r="A382" s="76">
        <f>'BC.114+840'!B381</f>
        <v>45638</v>
      </c>
      <c r="B382" s="137">
        <f t="shared" si="16"/>
        <v>368</v>
      </c>
      <c r="C382" s="139">
        <f>'BC.114+840'!M381/1000</f>
        <v>1.7170000000000001</v>
      </c>
      <c r="D382" s="139">
        <f>'BC.114+840'!AA381</f>
        <v>2.5139999999999998</v>
      </c>
      <c r="E382" s="140">
        <f>'BC.114+840'!AB381</f>
        <v>1.1339999999999999</v>
      </c>
      <c r="F382" s="139">
        <f>VLOOKUP($A382,'BC.114+840'!$B$13:$X$470,8,0)/1000</f>
        <v>2.629</v>
      </c>
      <c r="G382" s="139">
        <f>VLOOKUP($A382,'BC.114+840'!$B$13:$X$470,9,0)/1000</f>
        <v>-0.371</v>
      </c>
      <c r="H382" s="139">
        <f>VLOOKUP($A382,'BC.114+840'!$B$13:$X$470,14,0)/1000</f>
        <v>2.617</v>
      </c>
      <c r="I382" s="139">
        <f>VLOOKUP($A382,'BC.114+840'!$B$13:$X$470,15,0)/1000</f>
        <v>-0.38300000000000001</v>
      </c>
      <c r="J382" s="139">
        <f>VLOOKUP($A382,'BC.114+840'!$B$13:$X$470,20,0)/1000</f>
        <v>2.3420000000000001</v>
      </c>
      <c r="K382" s="139">
        <f>VLOOKUP($A382,'BC.114+840'!$B$13:$X$470,21,0)/1000</f>
        <v>-0.65800000000000003</v>
      </c>
      <c r="L382" s="137">
        <f t="shared" si="17"/>
        <v>-291</v>
      </c>
      <c r="M382" s="138">
        <f t="shared" si="18"/>
        <v>-483</v>
      </c>
      <c r="N382" s="137">
        <f t="shared" si="19"/>
        <v>-268</v>
      </c>
      <c r="O382" s="137"/>
    </row>
    <row r="383" spans="1:15">
      <c r="A383" s="76">
        <f>'BC.114+840'!B382</f>
        <v>45639</v>
      </c>
      <c r="B383" s="137">
        <f t="shared" ref="B383:B446" si="20">+B382+1</f>
        <v>369</v>
      </c>
      <c r="C383" s="139">
        <f>'BC.114+840'!M382/1000</f>
        <v>1.7070000000000001</v>
      </c>
      <c r="D383" s="139">
        <f>'BC.114+840'!AA382</f>
        <v>2.5139999999999998</v>
      </c>
      <c r="E383" s="140">
        <f>'BC.114+840'!AB382</f>
        <v>1.1140000000000001</v>
      </c>
      <c r="F383" s="139">
        <f>VLOOKUP($A383,'BC.114+840'!$B$13:$X$470,8,0)/1000</f>
        <v>2.6190000000000002</v>
      </c>
      <c r="G383" s="139">
        <f>VLOOKUP($A383,'BC.114+840'!$B$13:$X$470,9,0)/1000</f>
        <v>-0.38100000000000001</v>
      </c>
      <c r="H383" s="139">
        <f>VLOOKUP($A383,'BC.114+840'!$B$13:$X$470,14,0)/1000</f>
        <v>2.6070000000000002</v>
      </c>
      <c r="I383" s="139">
        <f>VLOOKUP($A383,'BC.114+840'!$B$13:$X$470,15,0)/1000</f>
        <v>-0.39300000000000002</v>
      </c>
      <c r="J383" s="139">
        <f>VLOOKUP($A383,'BC.114+840'!$B$13:$X$470,20,0)/1000</f>
        <v>2.3340000000000001</v>
      </c>
      <c r="K383" s="139">
        <f>VLOOKUP($A383,'BC.114+840'!$B$13:$X$470,21,0)/1000</f>
        <v>-0.66600000000000004</v>
      </c>
      <c r="L383" s="137">
        <f t="shared" si="17"/>
        <v>-301</v>
      </c>
      <c r="M383" s="138">
        <f t="shared" si="18"/>
        <v>-493</v>
      </c>
      <c r="N383" s="137">
        <f t="shared" si="19"/>
        <v>-276</v>
      </c>
      <c r="O383" s="137"/>
    </row>
    <row r="384" spans="1:15">
      <c r="A384" s="76">
        <f>'BC.114+840'!B383</f>
        <v>45640</v>
      </c>
      <c r="B384" s="137">
        <f t="shared" si="20"/>
        <v>370</v>
      </c>
      <c r="C384" s="139">
        <f>'BC.114+840'!M383/1000</f>
        <v>1.6970000000000001</v>
      </c>
      <c r="D384" s="139">
        <f>'BC.114+840'!AA383</f>
        <v>2.5139999999999998</v>
      </c>
      <c r="E384" s="140">
        <f>'BC.114+840'!AB383</f>
        <v>1.0940000000000001</v>
      </c>
      <c r="F384" s="139">
        <f>VLOOKUP($A384,'BC.114+840'!$B$13:$X$470,8,0)/1000</f>
        <v>2.613</v>
      </c>
      <c r="G384" s="139">
        <f>VLOOKUP($A384,'BC.114+840'!$B$13:$X$470,9,0)/1000</f>
        <v>-0.38700000000000001</v>
      </c>
      <c r="H384" s="139">
        <f>VLOOKUP($A384,'BC.114+840'!$B$13:$X$470,14,0)/1000</f>
        <v>2.597</v>
      </c>
      <c r="I384" s="139">
        <f>VLOOKUP($A384,'BC.114+840'!$B$13:$X$470,15,0)/1000</f>
        <v>-0.40300000000000002</v>
      </c>
      <c r="J384" s="139">
        <f>VLOOKUP($A384,'BC.114+840'!$B$13:$X$470,20,0)/1000</f>
        <v>2.3290000000000002</v>
      </c>
      <c r="K384" s="139">
        <f>VLOOKUP($A384,'BC.114+840'!$B$13:$X$470,21,0)/1000</f>
        <v>-0.67100000000000004</v>
      </c>
      <c r="L384" s="137">
        <f t="shared" si="17"/>
        <v>-307</v>
      </c>
      <c r="M384" s="138">
        <f t="shared" si="18"/>
        <v>-503</v>
      </c>
      <c r="N384" s="137">
        <f t="shared" si="19"/>
        <v>-281</v>
      </c>
      <c r="O384" s="137"/>
    </row>
    <row r="385" spans="1:15">
      <c r="A385" s="76">
        <f>'BC.114+840'!B384</f>
        <v>45641</v>
      </c>
      <c r="B385" s="137">
        <f t="shared" si="20"/>
        <v>371</v>
      </c>
      <c r="C385" s="139">
        <f>'BC.114+840'!M384/1000</f>
        <v>1.69</v>
      </c>
      <c r="D385" s="139">
        <f>'BC.114+840'!AA384</f>
        <v>2.5139999999999998</v>
      </c>
      <c r="E385" s="140">
        <f>'BC.114+840'!AB384</f>
        <v>1.08</v>
      </c>
      <c r="F385" s="139">
        <f>VLOOKUP($A385,'BC.114+840'!$B$13:$X$470,8,0)/1000</f>
        <v>2.605</v>
      </c>
      <c r="G385" s="139">
        <f>VLOOKUP($A385,'BC.114+840'!$B$13:$X$470,9,0)/1000</f>
        <v>-0.39500000000000002</v>
      </c>
      <c r="H385" s="139">
        <f>VLOOKUP($A385,'BC.114+840'!$B$13:$X$470,14,0)/1000</f>
        <v>2.59</v>
      </c>
      <c r="I385" s="139">
        <f>VLOOKUP($A385,'BC.114+840'!$B$13:$X$470,15,0)/1000</f>
        <v>-0.41</v>
      </c>
      <c r="J385" s="139">
        <f>VLOOKUP($A385,'BC.114+840'!$B$13:$X$470,20,0)/1000</f>
        <v>2.323</v>
      </c>
      <c r="K385" s="139">
        <f>VLOOKUP($A385,'BC.114+840'!$B$13:$X$470,21,0)/1000</f>
        <v>-0.67700000000000005</v>
      </c>
      <c r="L385" s="137">
        <f t="shared" si="17"/>
        <v>-315</v>
      </c>
      <c r="M385" s="138">
        <f t="shared" si="18"/>
        <v>-510</v>
      </c>
      <c r="N385" s="137">
        <f t="shared" si="19"/>
        <v>-287.00000000000006</v>
      </c>
      <c r="O385" s="137"/>
    </row>
    <row r="386" spans="1:15">
      <c r="A386" s="76">
        <f>'BC.114+840'!B385</f>
        <v>45642</v>
      </c>
      <c r="B386" s="137">
        <f t="shared" si="20"/>
        <v>372</v>
      </c>
      <c r="C386" s="139">
        <f>'BC.114+840'!M385/1000</f>
        <v>1.98</v>
      </c>
      <c r="D386" s="139">
        <f>'BC.114+840'!AA385</f>
        <v>2.8039999999999998</v>
      </c>
      <c r="E386" s="140">
        <f>'BC.114+840'!AB385</f>
        <v>1.36</v>
      </c>
      <c r="F386" s="139">
        <f>VLOOKUP($A386,'BC.114+840'!$B$13:$X$470,8,0)/1000</f>
        <v>2.5950000000000002</v>
      </c>
      <c r="G386" s="139">
        <f>VLOOKUP($A386,'BC.114+840'!$B$13:$X$470,9,0)/1000</f>
        <v>-0.40500000000000003</v>
      </c>
      <c r="H386" s="139">
        <f>VLOOKUP($A386,'BC.114+840'!$B$13:$X$470,14,0)/1000</f>
        <v>2.58</v>
      </c>
      <c r="I386" s="139">
        <f>VLOOKUP($A386,'BC.114+840'!$B$13:$X$470,15,0)/1000</f>
        <v>-0.42</v>
      </c>
      <c r="J386" s="139">
        <f>VLOOKUP($A386,'BC.114+840'!$B$13:$X$470,20,0)/1000</f>
        <v>2.3130000000000002</v>
      </c>
      <c r="K386" s="139">
        <f>VLOOKUP($A386,'BC.114+840'!$B$13:$X$470,21,0)/1000</f>
        <v>-0.68700000000000006</v>
      </c>
      <c r="L386" s="137">
        <f t="shared" si="17"/>
        <v>-325</v>
      </c>
      <c r="M386" s="138">
        <f t="shared" si="18"/>
        <v>-520</v>
      </c>
      <c r="N386" s="137">
        <f t="shared" si="19"/>
        <v>-297.00000000000006</v>
      </c>
      <c r="O386" s="137"/>
    </row>
    <row r="387" spans="1:15">
      <c r="A387" s="76">
        <f>'BC.114+840'!B386</f>
        <v>45643</v>
      </c>
      <c r="B387" s="137">
        <f t="shared" si="20"/>
        <v>373</v>
      </c>
      <c r="C387" s="139">
        <f>'BC.114+840'!M386/1000</f>
        <v>1.97</v>
      </c>
      <c r="D387" s="139">
        <f>'BC.114+840'!AA386</f>
        <v>2.8039999999999998</v>
      </c>
      <c r="E387" s="140">
        <f>'BC.114+840'!AB386</f>
        <v>1.34</v>
      </c>
      <c r="F387" s="139">
        <f>VLOOKUP($A387,'BC.114+840'!$B$13:$X$470,8,0)/1000</f>
        <v>2.5859999999999999</v>
      </c>
      <c r="G387" s="139">
        <f>VLOOKUP($A387,'BC.114+840'!$B$13:$X$470,9,0)/1000</f>
        <v>-0.41399999999999998</v>
      </c>
      <c r="H387" s="139">
        <f>VLOOKUP($A387,'BC.114+840'!$B$13:$X$470,14,0)/1000</f>
        <v>2.57</v>
      </c>
      <c r="I387" s="139">
        <f>VLOOKUP($A387,'BC.114+840'!$B$13:$X$470,15,0)/1000</f>
        <v>-0.43</v>
      </c>
      <c r="J387" s="139">
        <f>VLOOKUP($A387,'BC.114+840'!$B$13:$X$470,20,0)/1000</f>
        <v>2.3090000000000002</v>
      </c>
      <c r="K387" s="139">
        <f>VLOOKUP($A387,'BC.114+840'!$B$13:$X$470,21,0)/1000</f>
        <v>-0.69099999999999995</v>
      </c>
      <c r="L387" s="137">
        <f t="shared" si="17"/>
        <v>-333.99999999999994</v>
      </c>
      <c r="M387" s="138">
        <f t="shared" si="18"/>
        <v>-530</v>
      </c>
      <c r="N387" s="137">
        <f t="shared" si="19"/>
        <v>-300.99999999999994</v>
      </c>
      <c r="O387" s="137"/>
    </row>
    <row r="388" spans="1:15">
      <c r="A388" s="76">
        <f>'BC.114+840'!B387</f>
        <v>45644</v>
      </c>
      <c r="B388" s="137">
        <f t="shared" si="20"/>
        <v>374</v>
      </c>
      <c r="C388" s="139">
        <f>'BC.114+840'!M387/1000</f>
        <v>1.96</v>
      </c>
      <c r="D388" s="139">
        <f>'BC.114+840'!AA387</f>
        <v>2.8039999999999998</v>
      </c>
      <c r="E388" s="140">
        <f>'BC.114+840'!AB387</f>
        <v>1.32</v>
      </c>
      <c r="F388" s="139">
        <f>VLOOKUP($A388,'BC.114+840'!$B$13:$X$470,8,0)/1000</f>
        <v>2.577</v>
      </c>
      <c r="G388" s="139">
        <f>VLOOKUP($A388,'BC.114+840'!$B$13:$X$470,9,0)/1000</f>
        <v>-0.42299999999999999</v>
      </c>
      <c r="H388" s="139">
        <f>VLOOKUP($A388,'BC.114+840'!$B$13:$X$470,14,0)/1000</f>
        <v>2.56</v>
      </c>
      <c r="I388" s="139">
        <f>VLOOKUP($A388,'BC.114+840'!$B$13:$X$470,15,0)/1000</f>
        <v>-0.44</v>
      </c>
      <c r="J388" s="139">
        <f>VLOOKUP($A388,'BC.114+840'!$B$13:$X$470,20,0)/1000</f>
        <v>2.306</v>
      </c>
      <c r="K388" s="139">
        <f>VLOOKUP($A388,'BC.114+840'!$B$13:$X$470,21,0)/1000</f>
        <v>-0.69399999999999995</v>
      </c>
      <c r="L388" s="137">
        <f t="shared" si="17"/>
        <v>-343</v>
      </c>
      <c r="M388" s="138">
        <f t="shared" si="18"/>
        <v>-540</v>
      </c>
      <c r="N388" s="137">
        <f t="shared" si="19"/>
        <v>-303.99999999999994</v>
      </c>
      <c r="O388" s="137"/>
    </row>
    <row r="389" spans="1:15">
      <c r="A389" s="76">
        <f>'BC.114+840'!B388</f>
        <v>45645</v>
      </c>
      <c r="B389" s="137">
        <f t="shared" si="20"/>
        <v>375</v>
      </c>
      <c r="C389" s="139">
        <f>'BC.114+840'!M388/1000</f>
        <v>1.9530000000000001</v>
      </c>
      <c r="D389" s="139">
        <f>'BC.114+840'!AA388</f>
        <v>2.8039999999999998</v>
      </c>
      <c r="E389" s="140">
        <f>'BC.114+840'!AB388</f>
        <v>1.306</v>
      </c>
      <c r="F389" s="139">
        <f>VLOOKUP($A389,'BC.114+840'!$B$13:$X$470,8,0)/1000</f>
        <v>2.5680000000000001</v>
      </c>
      <c r="G389" s="139">
        <f>VLOOKUP($A389,'BC.114+840'!$B$13:$X$470,9,0)/1000</f>
        <v>-0.432</v>
      </c>
      <c r="H389" s="139">
        <f>VLOOKUP($A389,'BC.114+840'!$B$13:$X$470,14,0)/1000</f>
        <v>2.5529999999999999</v>
      </c>
      <c r="I389" s="139">
        <f>VLOOKUP($A389,'BC.114+840'!$B$13:$X$470,15,0)/1000</f>
        <v>-0.44700000000000001</v>
      </c>
      <c r="J389" s="139">
        <f>VLOOKUP($A389,'BC.114+840'!$B$13:$X$470,20,0)/1000</f>
        <v>2.302</v>
      </c>
      <c r="K389" s="139">
        <f>VLOOKUP($A389,'BC.114+840'!$B$13:$X$470,21,0)/1000</f>
        <v>-0.69799999999999995</v>
      </c>
      <c r="L389" s="137">
        <f t="shared" si="17"/>
        <v>-352</v>
      </c>
      <c r="M389" s="138">
        <f t="shared" si="18"/>
        <v>-547</v>
      </c>
      <c r="N389" s="137">
        <f t="shared" si="19"/>
        <v>-307.99999999999994</v>
      </c>
      <c r="O389" s="137"/>
    </row>
    <row r="390" spans="1:15">
      <c r="A390" s="76">
        <f>'BC.114+840'!B389</f>
        <v>45646</v>
      </c>
      <c r="B390" s="137">
        <f t="shared" si="20"/>
        <v>376</v>
      </c>
      <c r="C390" s="139">
        <f>'BC.114+840'!M389/1000</f>
        <v>1.946</v>
      </c>
      <c r="D390" s="139">
        <f>'BC.114+840'!AA389</f>
        <v>2.8039999999999998</v>
      </c>
      <c r="E390" s="140">
        <f>'BC.114+840'!AB389</f>
        <v>1.292</v>
      </c>
      <c r="F390" s="139">
        <f>VLOOKUP($A390,'BC.114+840'!$B$13:$X$470,8,0)/1000</f>
        <v>2.5590000000000002</v>
      </c>
      <c r="G390" s="139">
        <f>VLOOKUP($A390,'BC.114+840'!$B$13:$X$470,9,0)/1000</f>
        <v>-0.441</v>
      </c>
      <c r="H390" s="139">
        <f>VLOOKUP($A390,'BC.114+840'!$B$13:$X$470,14,0)/1000</f>
        <v>2.5459999999999998</v>
      </c>
      <c r="I390" s="139">
        <f>VLOOKUP($A390,'BC.114+840'!$B$13:$X$470,15,0)/1000</f>
        <v>-0.45400000000000001</v>
      </c>
      <c r="J390" s="139">
        <f>VLOOKUP($A390,'BC.114+840'!$B$13:$X$470,20,0)/1000</f>
        <v>2.2999999999999998</v>
      </c>
      <c r="K390" s="139">
        <f>VLOOKUP($A390,'BC.114+840'!$B$13:$X$470,21,0)/1000</f>
        <v>-0.7</v>
      </c>
      <c r="L390" s="137">
        <f t="shared" si="17"/>
        <v>-361</v>
      </c>
      <c r="M390" s="138">
        <f t="shared" si="18"/>
        <v>-554</v>
      </c>
      <c r="N390" s="137">
        <f t="shared" si="19"/>
        <v>-309.99999999999994</v>
      </c>
      <c r="O390" s="137"/>
    </row>
    <row r="391" spans="1:15">
      <c r="A391" s="76">
        <f>'BC.114+840'!B390</f>
        <v>45647</v>
      </c>
      <c r="B391" s="137">
        <f t="shared" si="20"/>
        <v>377</v>
      </c>
      <c r="C391" s="139">
        <f>'BC.114+840'!M390/1000</f>
        <v>2.2360000000000002</v>
      </c>
      <c r="D391" s="139">
        <f>'BC.114+840'!AA390</f>
        <v>3.097</v>
      </c>
      <c r="E391" s="140">
        <f>'BC.114+840'!AB390</f>
        <v>1.5720000000000001</v>
      </c>
      <c r="F391" s="139">
        <f>VLOOKUP($A391,'BC.114+840'!$B$13:$X$470,8,0)/1000</f>
        <v>2.5489999999999999</v>
      </c>
      <c r="G391" s="139">
        <f>VLOOKUP($A391,'BC.114+840'!$B$13:$X$470,9,0)/1000</f>
        <v>-0.45100000000000001</v>
      </c>
      <c r="H391" s="139">
        <f>VLOOKUP($A391,'BC.114+840'!$B$13:$X$470,14,0)/1000</f>
        <v>2.536</v>
      </c>
      <c r="I391" s="139">
        <f>VLOOKUP($A391,'BC.114+840'!$B$13:$X$470,15,0)/1000</f>
        <v>-0.46400000000000002</v>
      </c>
      <c r="J391" s="139">
        <f>VLOOKUP($A391,'BC.114+840'!$B$13:$X$470,20,0)/1000</f>
        <v>2.2930000000000001</v>
      </c>
      <c r="K391" s="139">
        <f>VLOOKUP($A391,'BC.114+840'!$B$13:$X$470,21,0)/1000</f>
        <v>-0.70699999999999996</v>
      </c>
      <c r="L391" s="137">
        <f t="shared" si="17"/>
        <v>-371</v>
      </c>
      <c r="M391" s="138">
        <f t="shared" si="18"/>
        <v>-564</v>
      </c>
      <c r="N391" s="137">
        <f t="shared" si="19"/>
        <v>-316.99999999999994</v>
      </c>
      <c r="O391" s="137"/>
    </row>
    <row r="392" spans="1:15">
      <c r="A392" s="76">
        <f>'BC.114+840'!B391</f>
        <v>45648</v>
      </c>
      <c r="B392" s="137">
        <f t="shared" si="20"/>
        <v>378</v>
      </c>
      <c r="C392" s="139">
        <f>'BC.114+840'!M391/1000</f>
        <v>2.226</v>
      </c>
      <c r="D392" s="139">
        <f>'BC.114+840'!AA391</f>
        <v>3.097</v>
      </c>
      <c r="E392" s="140">
        <f>'BC.114+840'!AB391</f>
        <v>1.552</v>
      </c>
      <c r="F392" s="139">
        <f>VLOOKUP($A392,'BC.114+840'!$B$13:$X$470,8,0)/1000</f>
        <v>2.54</v>
      </c>
      <c r="G392" s="139">
        <f>VLOOKUP($A392,'BC.114+840'!$B$13:$X$470,9,0)/1000</f>
        <v>-0.46</v>
      </c>
      <c r="H392" s="139">
        <f>VLOOKUP($A392,'BC.114+840'!$B$13:$X$470,14,0)/1000</f>
        <v>2.5259999999999998</v>
      </c>
      <c r="I392" s="139">
        <f>VLOOKUP($A392,'BC.114+840'!$B$13:$X$470,15,0)/1000</f>
        <v>-0.47399999999999998</v>
      </c>
      <c r="J392" s="139">
        <f>VLOOKUP($A392,'BC.114+840'!$B$13:$X$470,20,0)/1000</f>
        <v>2.2890000000000001</v>
      </c>
      <c r="K392" s="139">
        <f>VLOOKUP($A392,'BC.114+840'!$B$13:$X$470,21,0)/1000</f>
        <v>-0.71099999999999997</v>
      </c>
      <c r="L392" s="137">
        <f t="shared" si="17"/>
        <v>-380</v>
      </c>
      <c r="M392" s="138">
        <f t="shared" si="18"/>
        <v>-574</v>
      </c>
      <c r="N392" s="137">
        <f t="shared" si="19"/>
        <v>-320.99999999999994</v>
      </c>
      <c r="O392" s="137"/>
    </row>
    <row r="393" spans="1:15">
      <c r="A393" s="76">
        <f>'BC.114+840'!B392</f>
        <v>45649</v>
      </c>
      <c r="B393" s="137">
        <f t="shared" si="20"/>
        <v>379</v>
      </c>
      <c r="C393" s="139">
        <f>'BC.114+840'!M392/1000</f>
        <v>2.2160000000000002</v>
      </c>
      <c r="D393" s="139">
        <f>'BC.114+840'!AA392</f>
        <v>3.097</v>
      </c>
      <c r="E393" s="140">
        <f>'BC.114+840'!AB392</f>
        <v>1.532</v>
      </c>
      <c r="F393" s="139">
        <f>VLOOKUP($A393,'BC.114+840'!$B$13:$X$470,8,0)/1000</f>
        <v>2.532</v>
      </c>
      <c r="G393" s="139">
        <f>VLOOKUP($A393,'BC.114+840'!$B$13:$X$470,9,0)/1000</f>
        <v>-0.46800000000000003</v>
      </c>
      <c r="H393" s="139">
        <f>VLOOKUP($A393,'BC.114+840'!$B$13:$X$470,14,0)/1000</f>
        <v>2.516</v>
      </c>
      <c r="I393" s="139">
        <f>VLOOKUP($A393,'BC.114+840'!$B$13:$X$470,15,0)/1000</f>
        <v>-0.48399999999999999</v>
      </c>
      <c r="J393" s="139">
        <f>VLOOKUP($A393,'BC.114+840'!$B$13:$X$470,20,0)/1000</f>
        <v>2.286</v>
      </c>
      <c r="K393" s="139">
        <f>VLOOKUP($A393,'BC.114+840'!$B$13:$X$470,21,0)/1000</f>
        <v>-0.71399999999999997</v>
      </c>
      <c r="L393" s="137">
        <f t="shared" si="17"/>
        <v>-388</v>
      </c>
      <c r="M393" s="138">
        <f t="shared" si="18"/>
        <v>-584</v>
      </c>
      <c r="N393" s="137">
        <f t="shared" si="19"/>
        <v>-323.99999999999994</v>
      </c>
      <c r="O393" s="137"/>
    </row>
    <row r="394" spans="1:15">
      <c r="A394" s="76">
        <f>'BC.114+840'!B393</f>
        <v>45650</v>
      </c>
      <c r="B394" s="137">
        <f t="shared" si="20"/>
        <v>380</v>
      </c>
      <c r="C394" s="139">
        <f>'BC.114+840'!M393/1000</f>
        <v>2.2090000000000001</v>
      </c>
      <c r="D394" s="139">
        <f>'BC.114+840'!AA393</f>
        <v>3.097</v>
      </c>
      <c r="E394" s="140">
        <f>'BC.114+840'!AB393</f>
        <v>1.518</v>
      </c>
      <c r="F394" s="139">
        <f>VLOOKUP($A394,'BC.114+840'!$B$13:$X$470,8,0)/1000</f>
        <v>2.524</v>
      </c>
      <c r="G394" s="139">
        <f>VLOOKUP($A394,'BC.114+840'!$B$13:$X$470,9,0)/1000</f>
        <v>-0.47599999999999998</v>
      </c>
      <c r="H394" s="139">
        <f>VLOOKUP($A394,'BC.114+840'!$B$13:$X$470,14,0)/1000</f>
        <v>2.5089999999999999</v>
      </c>
      <c r="I394" s="139">
        <f>VLOOKUP($A394,'BC.114+840'!$B$13:$X$470,15,0)/1000</f>
        <v>-0.49099999999999999</v>
      </c>
      <c r="J394" s="139">
        <f>VLOOKUP($A394,'BC.114+840'!$B$13:$X$470,20,0)/1000</f>
        <v>2.282</v>
      </c>
      <c r="K394" s="139">
        <f>VLOOKUP($A394,'BC.114+840'!$B$13:$X$470,21,0)/1000</f>
        <v>-0.71799999999999997</v>
      </c>
      <c r="L394" s="137">
        <f t="shared" si="17"/>
        <v>-395.99999999999994</v>
      </c>
      <c r="M394" s="138">
        <f t="shared" si="18"/>
        <v>-591</v>
      </c>
      <c r="N394" s="137">
        <f t="shared" si="19"/>
        <v>-327.99999999999994</v>
      </c>
      <c r="O394" s="137"/>
    </row>
    <row r="395" spans="1:15">
      <c r="A395" s="76">
        <f>'BC.114+840'!B394</f>
        <v>45651</v>
      </c>
      <c r="B395" s="137">
        <f t="shared" si="20"/>
        <v>381</v>
      </c>
      <c r="C395" s="139">
        <f>'BC.114+840'!M394/1000</f>
        <v>2.202</v>
      </c>
      <c r="D395" s="139">
        <f>'BC.114+840'!AA394</f>
        <v>3.097</v>
      </c>
      <c r="E395" s="140">
        <f>'BC.114+840'!AB394</f>
        <v>1.504</v>
      </c>
      <c r="F395" s="139">
        <f>VLOOKUP($A395,'BC.114+840'!$B$13:$X$470,8,0)/1000</f>
        <v>2.5150000000000001</v>
      </c>
      <c r="G395" s="139">
        <f>VLOOKUP($A395,'BC.114+840'!$B$13:$X$470,9,0)/1000</f>
        <v>-0.48499999999999999</v>
      </c>
      <c r="H395" s="139">
        <f>VLOOKUP($A395,'BC.114+840'!$B$13:$X$470,14,0)/1000</f>
        <v>2.5019999999999998</v>
      </c>
      <c r="I395" s="139">
        <f>VLOOKUP($A395,'BC.114+840'!$B$13:$X$470,15,0)/1000</f>
        <v>-0.498</v>
      </c>
      <c r="J395" s="139">
        <f>VLOOKUP($A395,'BC.114+840'!$B$13:$X$470,20,0)/1000</f>
        <v>2.2799999999999998</v>
      </c>
      <c r="K395" s="139">
        <f>VLOOKUP($A395,'BC.114+840'!$B$13:$X$470,21,0)/1000</f>
        <v>-0.72</v>
      </c>
      <c r="L395" s="137">
        <f t="shared" si="17"/>
        <v>-404.99999999999994</v>
      </c>
      <c r="M395" s="138">
        <f t="shared" si="18"/>
        <v>-598</v>
      </c>
      <c r="N395" s="137">
        <f t="shared" si="19"/>
        <v>-329.99999999999994</v>
      </c>
      <c r="O395" s="137"/>
    </row>
    <row r="396" spans="1:15">
      <c r="A396" s="76">
        <f>'BC.114+840'!B395</f>
        <v>45652</v>
      </c>
      <c r="B396" s="137">
        <f t="shared" si="20"/>
        <v>382</v>
      </c>
      <c r="C396" s="139">
        <f>'BC.114+840'!M395/1000</f>
        <v>2.492</v>
      </c>
      <c r="D396" s="139">
        <f>'BC.114+840'!AA395</f>
        <v>3.3879999999999999</v>
      </c>
      <c r="E396" s="140">
        <f>'BC.114+840'!AB395</f>
        <v>1.784</v>
      </c>
      <c r="F396" s="139">
        <f>VLOOKUP($A396,'BC.114+840'!$B$13:$X$470,8,0)/1000</f>
        <v>2.5049999999999999</v>
      </c>
      <c r="G396" s="139">
        <f>VLOOKUP($A396,'BC.114+840'!$B$13:$X$470,9,0)/1000</f>
        <v>-0.495</v>
      </c>
      <c r="H396" s="139">
        <f>VLOOKUP($A396,'BC.114+840'!$B$13:$X$470,14,0)/1000</f>
        <v>2.492</v>
      </c>
      <c r="I396" s="139">
        <f>VLOOKUP($A396,'BC.114+840'!$B$13:$X$470,15,0)/1000</f>
        <v>-0.50800000000000001</v>
      </c>
      <c r="J396" s="139">
        <f>VLOOKUP($A396,'BC.114+840'!$B$13:$X$470,20,0)/1000</f>
        <v>2.2709999999999999</v>
      </c>
      <c r="K396" s="139">
        <f>VLOOKUP($A396,'BC.114+840'!$B$13:$X$470,21,0)/1000</f>
        <v>-0.72899999999999998</v>
      </c>
      <c r="L396" s="137">
        <f t="shared" si="17"/>
        <v>-415</v>
      </c>
      <c r="M396" s="138">
        <f t="shared" si="18"/>
        <v>-608</v>
      </c>
      <c r="N396" s="137">
        <f t="shared" si="19"/>
        <v>-338.99999999999994</v>
      </c>
      <c r="O396" s="137"/>
    </row>
    <row r="397" spans="1:15">
      <c r="A397" s="76">
        <f>'BC.114+840'!B396</f>
        <v>45653</v>
      </c>
      <c r="B397" s="137">
        <f t="shared" si="20"/>
        <v>383</v>
      </c>
      <c r="C397" s="139">
        <f>'BC.114+840'!M396/1000</f>
        <v>2.4820000000000002</v>
      </c>
      <c r="D397" s="139">
        <f>'BC.114+840'!AA396</f>
        <v>3.3879999999999999</v>
      </c>
      <c r="E397" s="140">
        <f>'BC.114+840'!AB396</f>
        <v>1.764</v>
      </c>
      <c r="F397" s="139">
        <f>VLOOKUP($A397,'BC.114+840'!$B$13:$X$470,8,0)/1000</f>
        <v>2.496</v>
      </c>
      <c r="G397" s="139">
        <f>VLOOKUP($A397,'BC.114+840'!$B$13:$X$470,9,0)/1000</f>
        <v>-0.504</v>
      </c>
      <c r="H397" s="139">
        <f>VLOOKUP($A397,'BC.114+840'!$B$13:$X$470,14,0)/1000</f>
        <v>2.4820000000000002</v>
      </c>
      <c r="I397" s="139">
        <f>VLOOKUP($A397,'BC.114+840'!$B$13:$X$470,15,0)/1000</f>
        <v>-0.51800000000000002</v>
      </c>
      <c r="J397" s="139">
        <f>VLOOKUP($A397,'BC.114+840'!$B$13:$X$470,20,0)/1000</f>
        <v>2.2629999999999999</v>
      </c>
      <c r="K397" s="139">
        <f>VLOOKUP($A397,'BC.114+840'!$B$13:$X$470,21,0)/1000</f>
        <v>-0.73699999999999999</v>
      </c>
      <c r="L397" s="137">
        <f t="shared" si="17"/>
        <v>-424</v>
      </c>
      <c r="M397" s="138">
        <f t="shared" si="18"/>
        <v>-618</v>
      </c>
      <c r="N397" s="137">
        <f t="shared" si="19"/>
        <v>-347</v>
      </c>
      <c r="O397" s="137"/>
    </row>
    <row r="398" spans="1:15">
      <c r="A398" s="76">
        <f>'BC.114+840'!B397</f>
        <v>45654</v>
      </c>
      <c r="B398" s="137">
        <f t="shared" si="20"/>
        <v>384</v>
      </c>
      <c r="C398" s="139">
        <f>'BC.114+840'!M397/1000</f>
        <v>2.472</v>
      </c>
      <c r="D398" s="139">
        <f>'BC.114+840'!AA397</f>
        <v>3.3879999999999999</v>
      </c>
      <c r="E398" s="140">
        <f>'BC.114+840'!AB397</f>
        <v>1.744</v>
      </c>
      <c r="F398" s="139">
        <f>VLOOKUP($A398,'BC.114+840'!$B$13:$X$470,8,0)/1000</f>
        <v>2.488</v>
      </c>
      <c r="G398" s="139">
        <f>VLOOKUP($A398,'BC.114+840'!$B$13:$X$470,9,0)/1000</f>
        <v>-0.51200000000000001</v>
      </c>
      <c r="H398" s="139">
        <f>VLOOKUP($A398,'BC.114+840'!$B$13:$X$470,14,0)/1000</f>
        <v>2.472</v>
      </c>
      <c r="I398" s="139">
        <f>VLOOKUP($A398,'BC.114+840'!$B$13:$X$470,15,0)/1000</f>
        <v>-0.52800000000000002</v>
      </c>
      <c r="J398" s="139">
        <f>VLOOKUP($A398,'BC.114+840'!$B$13:$X$470,20,0)/1000</f>
        <v>2.2559999999999998</v>
      </c>
      <c r="K398" s="139">
        <f>VLOOKUP($A398,'BC.114+840'!$B$13:$X$470,21,0)/1000</f>
        <v>-0.74399999999999999</v>
      </c>
      <c r="L398" s="137">
        <f t="shared" ref="L398:L461" si="21">(G398-$G$14)*1000</f>
        <v>-432</v>
      </c>
      <c r="M398" s="138">
        <f t="shared" ref="M398:M461" si="22">(I398-$I$14)*1000</f>
        <v>-628</v>
      </c>
      <c r="N398" s="137">
        <f t="shared" si="19"/>
        <v>-354</v>
      </c>
      <c r="O398" s="137"/>
    </row>
    <row r="399" spans="1:15">
      <c r="A399" s="76">
        <f>'BC.114+840'!B398</f>
        <v>45655</v>
      </c>
      <c r="B399" s="137">
        <f t="shared" si="20"/>
        <v>385</v>
      </c>
      <c r="C399" s="139">
        <f>'BC.114+840'!M398/1000</f>
        <v>2.464</v>
      </c>
      <c r="D399" s="139">
        <f>'BC.114+840'!AA398</f>
        <v>3.3879999999999999</v>
      </c>
      <c r="E399" s="140">
        <f>'BC.114+840'!AB398</f>
        <v>1.728</v>
      </c>
      <c r="F399" s="139">
        <f>VLOOKUP($A399,'BC.114+840'!$B$13:$X$470,8,0)/1000</f>
        <v>2.4790000000000001</v>
      </c>
      <c r="G399" s="139">
        <f>VLOOKUP($A399,'BC.114+840'!$B$13:$X$470,9,0)/1000</f>
        <v>-0.52100000000000002</v>
      </c>
      <c r="H399" s="139">
        <f>VLOOKUP($A399,'BC.114+840'!$B$13:$X$470,14,0)/1000</f>
        <v>2.464</v>
      </c>
      <c r="I399" s="139">
        <f>VLOOKUP($A399,'BC.114+840'!$B$13:$X$470,15,0)/1000</f>
        <v>-0.53600000000000003</v>
      </c>
      <c r="J399" s="139">
        <f>VLOOKUP($A399,'BC.114+840'!$B$13:$X$470,20,0)/1000</f>
        <v>2.2480000000000002</v>
      </c>
      <c r="K399" s="139">
        <f>VLOOKUP($A399,'BC.114+840'!$B$13:$X$470,21,0)/1000</f>
        <v>-0.752</v>
      </c>
      <c r="L399" s="137">
        <f t="shared" si="21"/>
        <v>-441</v>
      </c>
      <c r="M399" s="138">
        <f t="shared" si="22"/>
        <v>-636</v>
      </c>
      <c r="N399" s="137">
        <f t="shared" ref="N399:N462" si="23">(K399-$K$14)*1000</f>
        <v>-362</v>
      </c>
      <c r="O399" s="137"/>
    </row>
    <row r="400" spans="1:15">
      <c r="A400" s="76">
        <f>'BC.114+840'!B399</f>
        <v>45656</v>
      </c>
      <c r="B400" s="137">
        <f t="shared" si="20"/>
        <v>386</v>
      </c>
      <c r="C400" s="139">
        <f>'BC.114+840'!M399/1000</f>
        <v>2.4550000000000001</v>
      </c>
      <c r="D400" s="139">
        <f>'BC.114+840'!AA399</f>
        <v>3.3879999999999999</v>
      </c>
      <c r="E400" s="140">
        <f>'BC.114+840'!AB399</f>
        <v>1.71</v>
      </c>
      <c r="F400" s="139">
        <f>VLOOKUP($A400,'BC.114+840'!$B$13:$X$470,8,0)/1000</f>
        <v>2.4710000000000001</v>
      </c>
      <c r="G400" s="139">
        <f>VLOOKUP($A400,'BC.114+840'!$B$13:$X$470,9,0)/1000</f>
        <v>-0.52900000000000003</v>
      </c>
      <c r="H400" s="139">
        <f>VLOOKUP($A400,'BC.114+840'!$B$13:$X$470,14,0)/1000</f>
        <v>2.4550000000000001</v>
      </c>
      <c r="I400" s="139">
        <f>VLOOKUP($A400,'BC.114+840'!$B$13:$X$470,15,0)/1000</f>
        <v>-0.54500000000000004</v>
      </c>
      <c r="J400" s="139">
        <f>VLOOKUP($A400,'BC.114+840'!$B$13:$X$470,20,0)/1000</f>
        <v>2.2440000000000002</v>
      </c>
      <c r="K400" s="139">
        <f>VLOOKUP($A400,'BC.114+840'!$B$13:$X$470,21,0)/1000</f>
        <v>-0.75600000000000001</v>
      </c>
      <c r="L400" s="137">
        <f t="shared" si="21"/>
        <v>-449</v>
      </c>
      <c r="M400" s="138">
        <f t="shared" si="22"/>
        <v>-645</v>
      </c>
      <c r="N400" s="137">
        <f t="shared" si="23"/>
        <v>-366</v>
      </c>
      <c r="O400" s="137"/>
    </row>
    <row r="401" spans="1:15">
      <c r="A401" s="76">
        <f>'BC.114+840'!B400</f>
        <v>45657</v>
      </c>
      <c r="B401" s="137">
        <f t="shared" si="20"/>
        <v>387</v>
      </c>
      <c r="C401" s="139">
        <f>'BC.114+840'!M400/1000</f>
        <v>2.4470000000000001</v>
      </c>
      <c r="D401" s="139">
        <f>'BC.114+840'!AA400</f>
        <v>3.3879999999999999</v>
      </c>
      <c r="E401" s="140">
        <f>'BC.114+840'!AB400</f>
        <v>1.694</v>
      </c>
      <c r="F401" s="139">
        <f>VLOOKUP($A401,'BC.114+840'!$B$13:$X$470,8,0)/1000</f>
        <v>2.4620000000000002</v>
      </c>
      <c r="G401" s="139">
        <f>VLOOKUP($A401,'BC.114+840'!$B$13:$X$470,9,0)/1000</f>
        <v>-0.53800000000000003</v>
      </c>
      <c r="H401" s="139">
        <f>VLOOKUP($A401,'BC.114+840'!$B$13:$X$470,14,0)/1000</f>
        <v>2.4470000000000001</v>
      </c>
      <c r="I401" s="139">
        <f>VLOOKUP($A401,'BC.114+840'!$B$13:$X$470,15,0)/1000</f>
        <v>-0.55300000000000005</v>
      </c>
      <c r="J401" s="139">
        <f>VLOOKUP($A401,'BC.114+840'!$B$13:$X$470,20,0)/1000</f>
        <v>2.2410000000000001</v>
      </c>
      <c r="K401" s="139">
        <f>VLOOKUP($A401,'BC.114+840'!$B$13:$X$470,21,0)/1000</f>
        <v>-0.75900000000000001</v>
      </c>
      <c r="L401" s="137">
        <f t="shared" si="21"/>
        <v>-458</v>
      </c>
      <c r="M401" s="138">
        <f t="shared" si="22"/>
        <v>-653</v>
      </c>
      <c r="N401" s="137">
        <f t="shared" si="23"/>
        <v>-369</v>
      </c>
      <c r="O401" s="137"/>
    </row>
    <row r="402" spans="1:15">
      <c r="A402" s="76">
        <f>'BC.114+840'!B401</f>
        <v>45658</v>
      </c>
      <c r="B402" s="137">
        <f t="shared" si="20"/>
        <v>388</v>
      </c>
      <c r="C402" s="139">
        <f>'BC.114+840'!M401/1000</f>
        <v>2.4380000000000002</v>
      </c>
      <c r="D402" s="139">
        <f>'BC.114+840'!AA401</f>
        <v>3.3879999999999999</v>
      </c>
      <c r="E402" s="140">
        <f>'BC.114+840'!AB401</f>
        <v>1.6759999999999999</v>
      </c>
      <c r="F402" s="139">
        <f>VLOOKUP($A402,'BC.114+840'!$B$13:$X$470,8,0)/1000</f>
        <v>2.4540000000000002</v>
      </c>
      <c r="G402" s="139">
        <f>VLOOKUP($A402,'BC.114+840'!$B$13:$X$470,9,0)/1000</f>
        <v>-0.54600000000000004</v>
      </c>
      <c r="H402" s="139">
        <f>VLOOKUP($A402,'BC.114+840'!$B$13:$X$470,14,0)/1000</f>
        <v>2.4380000000000002</v>
      </c>
      <c r="I402" s="139">
        <f>VLOOKUP($A402,'BC.114+840'!$B$13:$X$470,15,0)/1000</f>
        <v>-0.56200000000000006</v>
      </c>
      <c r="J402" s="139">
        <f>VLOOKUP($A402,'BC.114+840'!$B$13:$X$470,20,0)/1000</f>
        <v>2.2370000000000001</v>
      </c>
      <c r="K402" s="139">
        <f>VLOOKUP($A402,'BC.114+840'!$B$13:$X$470,21,0)/1000</f>
        <v>-0.76300000000000001</v>
      </c>
      <c r="L402" s="137">
        <f t="shared" si="21"/>
        <v>-466</v>
      </c>
      <c r="M402" s="138">
        <f t="shared" si="22"/>
        <v>-662</v>
      </c>
      <c r="N402" s="137">
        <f t="shared" si="23"/>
        <v>-373</v>
      </c>
      <c r="O402" s="137"/>
    </row>
    <row r="403" spans="1:15">
      <c r="A403" s="76">
        <f>'BC.114+840'!B402</f>
        <v>45659</v>
      </c>
      <c r="B403" s="137">
        <f t="shared" si="20"/>
        <v>389</v>
      </c>
      <c r="C403" s="139">
        <f>'BC.114+840'!M402/1000</f>
        <v>2.4289999999999998</v>
      </c>
      <c r="D403" s="139">
        <f>'BC.114+840'!AA402</f>
        <v>3.3879999999999999</v>
      </c>
      <c r="E403" s="140">
        <f>'BC.114+840'!AB402</f>
        <v>1.6579999999999999</v>
      </c>
      <c r="F403" s="139">
        <f>VLOOKUP($A403,'BC.114+840'!$B$13:$X$470,8,0)/1000</f>
        <v>2.4460000000000002</v>
      </c>
      <c r="G403" s="139">
        <f>VLOOKUP($A403,'BC.114+840'!$B$13:$X$470,9,0)/1000</f>
        <v>-0.55400000000000005</v>
      </c>
      <c r="H403" s="139">
        <f>VLOOKUP($A403,'BC.114+840'!$B$13:$X$470,14,0)/1000</f>
        <v>2.4289999999999998</v>
      </c>
      <c r="I403" s="139">
        <f>VLOOKUP($A403,'BC.114+840'!$B$13:$X$470,15,0)/1000</f>
        <v>-0.57099999999999995</v>
      </c>
      <c r="J403" s="139">
        <f>VLOOKUP($A403,'BC.114+840'!$B$13:$X$470,20,0)/1000</f>
        <v>2.2349999999999999</v>
      </c>
      <c r="K403" s="139">
        <f>VLOOKUP($A403,'BC.114+840'!$B$13:$X$470,21,0)/1000</f>
        <v>-0.76500000000000001</v>
      </c>
      <c r="L403" s="137">
        <f t="shared" si="21"/>
        <v>-474.00000000000006</v>
      </c>
      <c r="M403" s="138">
        <f t="shared" si="22"/>
        <v>-670.99999999999989</v>
      </c>
      <c r="N403" s="137">
        <f t="shared" si="23"/>
        <v>-375</v>
      </c>
      <c r="O403" s="137"/>
    </row>
    <row r="404" spans="1:15">
      <c r="A404" s="76">
        <f>'BC.114+840'!B403</f>
        <v>45660</v>
      </c>
      <c r="B404" s="137">
        <f t="shared" si="20"/>
        <v>390</v>
      </c>
      <c r="C404" s="139">
        <f>'BC.114+840'!M403/1000</f>
        <v>2.42</v>
      </c>
      <c r="D404" s="139">
        <f>'BC.114+840'!AA403</f>
        <v>3.3879999999999999</v>
      </c>
      <c r="E404" s="140">
        <f>'BC.114+840'!AB403</f>
        <v>1.64</v>
      </c>
      <c r="F404" s="139">
        <f>VLOOKUP($A404,'BC.114+840'!$B$13:$X$470,8,0)/1000</f>
        <v>2.4380000000000002</v>
      </c>
      <c r="G404" s="139">
        <f>VLOOKUP($A404,'BC.114+840'!$B$13:$X$470,9,0)/1000</f>
        <v>-0.56200000000000006</v>
      </c>
      <c r="H404" s="139">
        <f>VLOOKUP($A404,'BC.114+840'!$B$13:$X$470,14,0)/1000</f>
        <v>2.42</v>
      </c>
      <c r="I404" s="139">
        <f>VLOOKUP($A404,'BC.114+840'!$B$13:$X$470,15,0)/1000</f>
        <v>-0.57999999999999996</v>
      </c>
      <c r="J404" s="139">
        <f>VLOOKUP($A404,'BC.114+840'!$B$13:$X$470,20,0)/1000</f>
        <v>2.23</v>
      </c>
      <c r="K404" s="139">
        <f>VLOOKUP($A404,'BC.114+840'!$B$13:$X$470,21,0)/1000</f>
        <v>-0.77</v>
      </c>
      <c r="L404" s="137">
        <f t="shared" si="21"/>
        <v>-482.00000000000006</v>
      </c>
      <c r="M404" s="138">
        <f t="shared" si="22"/>
        <v>-679.99999999999989</v>
      </c>
      <c r="N404" s="137">
        <f t="shared" si="23"/>
        <v>-380</v>
      </c>
      <c r="O404" s="137"/>
    </row>
    <row r="405" spans="1:15">
      <c r="A405" s="76">
        <f>'BC.114+840'!B404</f>
        <v>45661</v>
      </c>
      <c r="B405" s="137">
        <f t="shared" si="20"/>
        <v>391</v>
      </c>
      <c r="C405" s="139">
        <f>'BC.114+840'!M404/1000</f>
        <v>2.4119999999999999</v>
      </c>
      <c r="D405" s="139">
        <f>'BC.114+840'!AA404</f>
        <v>3.3879999999999999</v>
      </c>
      <c r="E405" s="140">
        <f>'BC.114+840'!AB404</f>
        <v>1.6240000000000001</v>
      </c>
      <c r="F405" s="139">
        <f>VLOOKUP($A405,'BC.114+840'!$B$13:$X$470,8,0)/1000</f>
        <v>2.431</v>
      </c>
      <c r="G405" s="139">
        <f>VLOOKUP($A405,'BC.114+840'!$B$13:$X$470,9,0)/1000</f>
        <v>-0.56899999999999995</v>
      </c>
      <c r="H405" s="139">
        <f>VLOOKUP($A405,'BC.114+840'!$B$13:$X$470,14,0)/1000</f>
        <v>2.4119999999999999</v>
      </c>
      <c r="I405" s="139">
        <f>VLOOKUP($A405,'BC.114+840'!$B$13:$X$470,15,0)/1000</f>
        <v>-0.58799999999999997</v>
      </c>
      <c r="J405" s="139">
        <f>VLOOKUP($A405,'BC.114+840'!$B$13:$X$470,20,0)/1000</f>
        <v>2.2250000000000001</v>
      </c>
      <c r="K405" s="139">
        <f>VLOOKUP($A405,'BC.114+840'!$B$13:$X$470,21,0)/1000</f>
        <v>-0.77500000000000002</v>
      </c>
      <c r="L405" s="137">
        <f t="shared" si="21"/>
        <v>-488.99999999999994</v>
      </c>
      <c r="M405" s="138">
        <f t="shared" si="22"/>
        <v>-688</v>
      </c>
      <c r="N405" s="137">
        <f t="shared" si="23"/>
        <v>-385</v>
      </c>
      <c r="O405" s="137"/>
    </row>
    <row r="406" spans="1:15">
      <c r="A406" s="76">
        <f>'BC.114+840'!B405</f>
        <v>45662</v>
      </c>
      <c r="B406" s="137">
        <f t="shared" si="20"/>
        <v>392</v>
      </c>
      <c r="C406" s="139">
        <f>'BC.114+840'!M405/1000</f>
        <v>2.4039999999999999</v>
      </c>
      <c r="D406" s="139">
        <f>'BC.114+840'!AA405</f>
        <v>3.3879999999999999</v>
      </c>
      <c r="E406" s="140">
        <f>'BC.114+840'!AB405</f>
        <v>1.6080000000000001</v>
      </c>
      <c r="F406" s="139">
        <f>VLOOKUP($A406,'BC.114+840'!$B$13:$X$470,8,0)/1000</f>
        <v>2.4220000000000002</v>
      </c>
      <c r="G406" s="139">
        <f>VLOOKUP($A406,'BC.114+840'!$B$13:$X$470,9,0)/1000</f>
        <v>-0.57799999999999996</v>
      </c>
      <c r="H406" s="139">
        <f>VLOOKUP($A406,'BC.114+840'!$B$13:$X$470,14,0)/1000</f>
        <v>2.4039999999999999</v>
      </c>
      <c r="I406" s="139">
        <f>VLOOKUP($A406,'BC.114+840'!$B$13:$X$470,15,0)/1000</f>
        <v>-0.59599999999999997</v>
      </c>
      <c r="J406" s="139">
        <f>VLOOKUP($A406,'BC.114+840'!$B$13:$X$470,20,0)/1000</f>
        <v>2.2210000000000001</v>
      </c>
      <c r="K406" s="139">
        <f>VLOOKUP($A406,'BC.114+840'!$B$13:$X$470,21,0)/1000</f>
        <v>-0.77900000000000003</v>
      </c>
      <c r="L406" s="137">
        <f t="shared" si="21"/>
        <v>-497.99999999999994</v>
      </c>
      <c r="M406" s="138">
        <f t="shared" si="22"/>
        <v>-696</v>
      </c>
      <c r="N406" s="137">
        <f t="shared" si="23"/>
        <v>-389</v>
      </c>
      <c r="O406" s="137"/>
    </row>
    <row r="407" spans="1:15">
      <c r="A407" s="76">
        <f>'BC.114+840'!B406</f>
        <v>45663</v>
      </c>
      <c r="B407" s="137">
        <f t="shared" si="20"/>
        <v>393</v>
      </c>
      <c r="C407" s="139">
        <f>'BC.114+840'!M406/1000</f>
        <v>2.395</v>
      </c>
      <c r="D407" s="139">
        <f>'BC.114+840'!AA406</f>
        <v>3.3879999999999999</v>
      </c>
      <c r="E407" s="140">
        <f>'BC.114+840'!AB406</f>
        <v>1.59</v>
      </c>
      <c r="F407" s="139">
        <f>VLOOKUP($A407,'BC.114+840'!$B$13:$X$470,8,0)/1000</f>
        <v>2.4140000000000001</v>
      </c>
      <c r="G407" s="139">
        <f>VLOOKUP($A407,'BC.114+840'!$B$13:$X$470,9,0)/1000</f>
        <v>-0.58599999999999997</v>
      </c>
      <c r="H407" s="139">
        <f>VLOOKUP($A407,'BC.114+840'!$B$13:$X$470,14,0)/1000</f>
        <v>2.395</v>
      </c>
      <c r="I407" s="139">
        <f>VLOOKUP($A407,'BC.114+840'!$B$13:$X$470,15,0)/1000</f>
        <v>-0.60499999999999998</v>
      </c>
      <c r="J407" s="139">
        <f>VLOOKUP($A407,'BC.114+840'!$B$13:$X$470,20,0)/1000</f>
        <v>2.218</v>
      </c>
      <c r="K407" s="139">
        <f>VLOOKUP($A407,'BC.114+840'!$B$13:$X$470,21,0)/1000</f>
        <v>-0.78200000000000003</v>
      </c>
      <c r="L407" s="137">
        <f t="shared" si="21"/>
        <v>-506</v>
      </c>
      <c r="M407" s="138">
        <f t="shared" si="22"/>
        <v>-705</v>
      </c>
      <c r="N407" s="137">
        <f t="shared" si="23"/>
        <v>-392</v>
      </c>
      <c r="O407" s="137"/>
    </row>
    <row r="408" spans="1:15">
      <c r="A408" s="76">
        <f>'BC.114+840'!B407</f>
        <v>45664</v>
      </c>
      <c r="B408" s="137">
        <f t="shared" si="20"/>
        <v>394</v>
      </c>
      <c r="C408" s="139">
        <f>'BC.114+840'!M407/1000</f>
        <v>2.3860000000000001</v>
      </c>
      <c r="D408" s="139">
        <f>'BC.114+840'!AA407</f>
        <v>3.3879999999999999</v>
      </c>
      <c r="E408" s="140">
        <f>'BC.114+840'!AB407</f>
        <v>1.5720000000000001</v>
      </c>
      <c r="F408" s="139">
        <f>VLOOKUP($A408,'BC.114+840'!$B$13:$X$470,8,0)/1000</f>
        <v>2.4060000000000001</v>
      </c>
      <c r="G408" s="139">
        <f>VLOOKUP($A408,'BC.114+840'!$B$13:$X$470,9,0)/1000</f>
        <v>-0.59399999999999997</v>
      </c>
      <c r="H408" s="139">
        <f>VLOOKUP($A408,'BC.114+840'!$B$13:$X$470,14,0)/1000</f>
        <v>2.3860000000000001</v>
      </c>
      <c r="I408" s="139">
        <f>VLOOKUP($A408,'BC.114+840'!$B$13:$X$470,15,0)/1000</f>
        <v>-0.61399999999999999</v>
      </c>
      <c r="J408" s="139">
        <f>VLOOKUP($A408,'BC.114+840'!$B$13:$X$470,20,0)/1000</f>
        <v>2.2149999999999999</v>
      </c>
      <c r="K408" s="139">
        <f>VLOOKUP($A408,'BC.114+840'!$B$13:$X$470,21,0)/1000</f>
        <v>-0.78500000000000003</v>
      </c>
      <c r="L408" s="137">
        <f t="shared" si="21"/>
        <v>-514</v>
      </c>
      <c r="M408" s="138">
        <f t="shared" si="22"/>
        <v>-714</v>
      </c>
      <c r="N408" s="137">
        <f t="shared" si="23"/>
        <v>-395</v>
      </c>
      <c r="O408" s="137"/>
    </row>
    <row r="409" spans="1:15">
      <c r="A409" s="76">
        <f>'BC.114+840'!B408</f>
        <v>45665</v>
      </c>
      <c r="B409" s="137">
        <f t="shared" si="20"/>
        <v>395</v>
      </c>
      <c r="C409" s="139">
        <f>'BC.114+840'!M408/1000</f>
        <v>2.3769999999999998</v>
      </c>
      <c r="D409" s="139">
        <f>'BC.114+840'!AA408</f>
        <v>3.3879999999999999</v>
      </c>
      <c r="E409" s="140">
        <f>'BC.114+840'!AB408</f>
        <v>1.554</v>
      </c>
      <c r="F409" s="139">
        <f>VLOOKUP($A409,'BC.114+840'!$B$13:$X$470,8,0)/1000</f>
        <v>2.3980000000000001</v>
      </c>
      <c r="G409" s="139">
        <f>VLOOKUP($A409,'BC.114+840'!$B$13:$X$470,9,0)/1000</f>
        <v>-0.60199999999999998</v>
      </c>
      <c r="H409" s="139">
        <f>VLOOKUP($A409,'BC.114+840'!$B$13:$X$470,14,0)/1000</f>
        <v>2.3769999999999998</v>
      </c>
      <c r="I409" s="139">
        <f>VLOOKUP($A409,'BC.114+840'!$B$13:$X$470,15,0)/1000</f>
        <v>-0.623</v>
      </c>
      <c r="J409" s="139">
        <f>VLOOKUP($A409,'BC.114+840'!$B$13:$X$470,20,0)/1000</f>
        <v>2.2130000000000001</v>
      </c>
      <c r="K409" s="139">
        <f>VLOOKUP($A409,'BC.114+840'!$B$13:$X$470,21,0)/1000</f>
        <v>-0.78700000000000003</v>
      </c>
      <c r="L409" s="137">
        <f t="shared" si="21"/>
        <v>-522</v>
      </c>
      <c r="M409" s="138">
        <f t="shared" si="22"/>
        <v>-723</v>
      </c>
      <c r="N409" s="137">
        <f t="shared" si="23"/>
        <v>-397</v>
      </c>
      <c r="O409" s="137"/>
    </row>
    <row r="410" spans="1:15">
      <c r="A410" s="76">
        <f>'BC.114+840'!B409</f>
        <v>45666</v>
      </c>
      <c r="B410" s="137">
        <f t="shared" si="20"/>
        <v>396</v>
      </c>
      <c r="C410" s="139">
        <f>'BC.114+840'!M409/1000</f>
        <v>2.3690000000000002</v>
      </c>
      <c r="D410" s="139">
        <f>'BC.114+840'!AA409</f>
        <v>3.3879999999999999</v>
      </c>
      <c r="E410" s="140">
        <f>'BC.114+840'!AB409</f>
        <v>1.538</v>
      </c>
      <c r="F410" s="139">
        <f>VLOOKUP($A410,'BC.114+840'!$B$13:$X$470,8,0)/1000</f>
        <v>2.39</v>
      </c>
      <c r="G410" s="139">
        <f>VLOOKUP($A410,'BC.114+840'!$B$13:$X$470,9,0)/1000</f>
        <v>-0.61</v>
      </c>
      <c r="H410" s="139">
        <f>VLOOKUP($A410,'BC.114+840'!$B$13:$X$470,14,0)/1000</f>
        <v>2.3690000000000002</v>
      </c>
      <c r="I410" s="139">
        <f>VLOOKUP($A410,'BC.114+840'!$B$13:$X$470,15,0)/1000</f>
        <v>-0.63100000000000001</v>
      </c>
      <c r="J410" s="139">
        <f>VLOOKUP($A410,'BC.114+840'!$B$13:$X$470,20,0)/1000</f>
        <v>2.2109999999999999</v>
      </c>
      <c r="K410" s="139">
        <f>VLOOKUP($A410,'BC.114+840'!$B$13:$X$470,21,0)/1000</f>
        <v>-0.78900000000000003</v>
      </c>
      <c r="L410" s="137">
        <f t="shared" si="21"/>
        <v>-530</v>
      </c>
      <c r="M410" s="138">
        <f t="shared" si="22"/>
        <v>-731</v>
      </c>
      <c r="N410" s="137">
        <f t="shared" si="23"/>
        <v>-399</v>
      </c>
      <c r="O410" s="137"/>
    </row>
    <row r="411" spans="1:15">
      <c r="A411" s="76">
        <f>'BC.114+840'!B410</f>
        <v>45667</v>
      </c>
      <c r="B411" s="137">
        <f t="shared" si="20"/>
        <v>397</v>
      </c>
      <c r="C411" s="139">
        <f>'BC.114+840'!M410/1000</f>
        <v>2.3610000000000002</v>
      </c>
      <c r="D411" s="139">
        <f>'BC.114+840'!AA410</f>
        <v>3.3879999999999999</v>
      </c>
      <c r="E411" s="140">
        <f>'BC.114+840'!AB410</f>
        <v>1.522</v>
      </c>
      <c r="F411" s="139">
        <f>VLOOKUP($A411,'BC.114+840'!$B$13:$X$470,8,0)/1000</f>
        <v>2.383</v>
      </c>
      <c r="G411" s="139">
        <f>VLOOKUP($A411,'BC.114+840'!$B$13:$X$470,9,0)/1000</f>
        <v>-0.61699999999999999</v>
      </c>
      <c r="H411" s="139">
        <f>VLOOKUP($A411,'BC.114+840'!$B$13:$X$470,14,0)/1000</f>
        <v>2.3610000000000002</v>
      </c>
      <c r="I411" s="139">
        <f>VLOOKUP($A411,'BC.114+840'!$B$13:$X$470,15,0)/1000</f>
        <v>-0.63900000000000001</v>
      </c>
      <c r="J411" s="139">
        <f>VLOOKUP($A411,'BC.114+840'!$B$13:$X$470,20,0)/1000</f>
        <v>2.2080000000000002</v>
      </c>
      <c r="K411" s="139">
        <f>VLOOKUP($A411,'BC.114+840'!$B$13:$X$470,21,0)/1000</f>
        <v>-0.79200000000000004</v>
      </c>
      <c r="L411" s="137">
        <f t="shared" si="21"/>
        <v>-537</v>
      </c>
      <c r="M411" s="138">
        <f t="shared" si="22"/>
        <v>-739</v>
      </c>
      <c r="N411" s="137">
        <f t="shared" si="23"/>
        <v>-402</v>
      </c>
      <c r="O411" s="137"/>
    </row>
    <row r="412" spans="1:15">
      <c r="A412" s="76">
        <f>'BC.114+840'!B411</f>
        <v>45668</v>
      </c>
      <c r="B412" s="137">
        <f t="shared" si="20"/>
        <v>398</v>
      </c>
      <c r="C412" s="139">
        <f>'BC.114+840'!M411/1000</f>
        <v>2.3519999999999999</v>
      </c>
      <c r="D412" s="139">
        <f>'BC.114+840'!AA411</f>
        <v>3.3879999999999999</v>
      </c>
      <c r="E412" s="140">
        <f>'BC.114+840'!AB411</f>
        <v>1.504</v>
      </c>
      <c r="F412" s="139">
        <f>VLOOKUP($A412,'BC.114+840'!$B$13:$X$470,8,0)/1000</f>
        <v>2.3740000000000001</v>
      </c>
      <c r="G412" s="139">
        <f>VLOOKUP($A412,'BC.114+840'!$B$13:$X$470,9,0)/1000</f>
        <v>-0.626</v>
      </c>
      <c r="H412" s="139">
        <f>VLOOKUP($A412,'BC.114+840'!$B$13:$X$470,14,0)/1000</f>
        <v>2.3519999999999999</v>
      </c>
      <c r="I412" s="139">
        <f>VLOOKUP($A412,'BC.114+840'!$B$13:$X$470,15,0)/1000</f>
        <v>-0.64800000000000002</v>
      </c>
      <c r="J412" s="139">
        <f>VLOOKUP($A412,'BC.114+840'!$B$13:$X$470,20,0)/1000</f>
        <v>2.2069999999999999</v>
      </c>
      <c r="K412" s="139">
        <f>VLOOKUP($A412,'BC.114+840'!$B$13:$X$470,21,0)/1000</f>
        <v>-0.79300000000000004</v>
      </c>
      <c r="L412" s="137">
        <f t="shared" si="21"/>
        <v>-546</v>
      </c>
      <c r="M412" s="138">
        <f t="shared" si="22"/>
        <v>-748</v>
      </c>
      <c r="N412" s="137">
        <f t="shared" si="23"/>
        <v>-403</v>
      </c>
      <c r="O412" s="137"/>
    </row>
    <row r="413" spans="1:15">
      <c r="A413" s="76">
        <f>'BC.114+840'!B412</f>
        <v>45669</v>
      </c>
      <c r="B413" s="137">
        <f t="shared" si="20"/>
        <v>399</v>
      </c>
      <c r="C413" s="139">
        <f>'BC.114+840'!M412/1000</f>
        <v>2.3439999999999999</v>
      </c>
      <c r="D413" s="139">
        <f>'BC.114+840'!AA412</f>
        <v>3.3879999999999999</v>
      </c>
      <c r="E413" s="140">
        <f>'BC.114+840'!AB412</f>
        <v>1.488</v>
      </c>
      <c r="F413" s="139">
        <f>VLOOKUP($A413,'BC.114+840'!$B$13:$X$470,8,0)/1000</f>
        <v>2.3660000000000001</v>
      </c>
      <c r="G413" s="139">
        <f>VLOOKUP($A413,'BC.114+840'!$B$13:$X$470,9,0)/1000</f>
        <v>-0.63400000000000001</v>
      </c>
      <c r="H413" s="139">
        <f>VLOOKUP($A413,'BC.114+840'!$B$13:$X$470,14,0)/1000</f>
        <v>2.3439999999999999</v>
      </c>
      <c r="I413" s="139">
        <f>VLOOKUP($A413,'BC.114+840'!$B$13:$X$470,15,0)/1000</f>
        <v>-0.65600000000000003</v>
      </c>
      <c r="J413" s="139">
        <f>VLOOKUP($A413,'BC.114+840'!$B$13:$X$470,20,0)/1000</f>
        <v>2.2050000000000001</v>
      </c>
      <c r="K413" s="139">
        <f>VLOOKUP($A413,'BC.114+840'!$B$13:$X$470,21,0)/1000</f>
        <v>-0.79500000000000004</v>
      </c>
      <c r="L413" s="137">
        <f t="shared" si="21"/>
        <v>-554</v>
      </c>
      <c r="M413" s="138">
        <f t="shared" si="22"/>
        <v>-756</v>
      </c>
      <c r="N413" s="137">
        <f t="shared" si="23"/>
        <v>-405</v>
      </c>
      <c r="O413" s="137"/>
    </row>
    <row r="414" spans="1:15">
      <c r="A414" s="76">
        <f>'BC.114+840'!B413</f>
        <v>45670</v>
      </c>
      <c r="B414" s="137">
        <f t="shared" si="20"/>
        <v>400</v>
      </c>
      <c r="C414" s="139">
        <f>'BC.114+840'!M413/1000</f>
        <v>2.335</v>
      </c>
      <c r="D414" s="139">
        <f>'BC.114+840'!AA413</f>
        <v>3.3879999999999999</v>
      </c>
      <c r="E414" s="140">
        <f>'BC.114+840'!AB413</f>
        <v>1.47</v>
      </c>
      <c r="F414" s="139">
        <f>VLOOKUP($A414,'BC.114+840'!$B$13:$X$470,8,0)/1000</f>
        <v>2.3580000000000001</v>
      </c>
      <c r="G414" s="139">
        <f>VLOOKUP($A414,'BC.114+840'!$B$13:$X$470,9,0)/1000</f>
        <v>-0.64200000000000002</v>
      </c>
      <c r="H414" s="139">
        <f>VLOOKUP($A414,'BC.114+840'!$B$13:$X$470,14,0)/1000</f>
        <v>2.335</v>
      </c>
      <c r="I414" s="139">
        <f>VLOOKUP($A414,'BC.114+840'!$B$13:$X$470,15,0)/1000</f>
        <v>-0.66500000000000004</v>
      </c>
      <c r="J414" s="139">
        <f>VLOOKUP($A414,'BC.114+840'!$B$13:$X$470,20,0)/1000</f>
        <v>2.2040000000000002</v>
      </c>
      <c r="K414" s="139">
        <f>VLOOKUP($A414,'BC.114+840'!$B$13:$X$470,21,0)/1000</f>
        <v>-0.79600000000000004</v>
      </c>
      <c r="L414" s="137">
        <f t="shared" si="21"/>
        <v>-562</v>
      </c>
      <c r="M414" s="138">
        <f t="shared" si="22"/>
        <v>-765</v>
      </c>
      <c r="N414" s="137">
        <f t="shared" si="23"/>
        <v>-406</v>
      </c>
      <c r="O414" s="137"/>
    </row>
    <row r="415" spans="1:15">
      <c r="A415" s="76">
        <f>'BC.114+840'!B414</f>
        <v>45671</v>
      </c>
      <c r="B415" s="137">
        <f t="shared" si="20"/>
        <v>401</v>
      </c>
      <c r="C415" s="139">
        <f>'BC.114+840'!M414/1000</f>
        <v>2.327</v>
      </c>
      <c r="D415" s="139">
        <f>'BC.114+840'!AA414</f>
        <v>3.3879999999999999</v>
      </c>
      <c r="E415" s="140">
        <f>'BC.114+840'!AB414</f>
        <v>1.454</v>
      </c>
      <c r="F415" s="139">
        <f>VLOOKUP($A415,'BC.114+840'!$B$13:$X$470,8,0)/1000</f>
        <v>2.3490000000000002</v>
      </c>
      <c r="G415" s="139">
        <f>VLOOKUP($A415,'BC.114+840'!$B$13:$X$470,9,0)/1000</f>
        <v>-0.65100000000000002</v>
      </c>
      <c r="H415" s="139">
        <f>VLOOKUP($A415,'BC.114+840'!$B$13:$X$470,14,0)/1000</f>
        <v>2.327</v>
      </c>
      <c r="I415" s="139">
        <f>VLOOKUP($A415,'BC.114+840'!$B$13:$X$470,15,0)/1000</f>
        <v>-0.67300000000000004</v>
      </c>
      <c r="J415" s="139">
        <f>VLOOKUP($A415,'BC.114+840'!$B$13:$X$470,20,0)/1000</f>
        <v>2.202</v>
      </c>
      <c r="K415" s="139">
        <f>VLOOKUP($A415,'BC.114+840'!$B$13:$X$470,21,0)/1000</f>
        <v>-0.79800000000000004</v>
      </c>
      <c r="L415" s="137">
        <f t="shared" si="21"/>
        <v>-571.00000000000011</v>
      </c>
      <c r="M415" s="138">
        <f t="shared" si="22"/>
        <v>-773</v>
      </c>
      <c r="N415" s="137">
        <f t="shared" si="23"/>
        <v>-408.00000000000006</v>
      </c>
      <c r="O415" s="137"/>
    </row>
    <row r="416" spans="1:15">
      <c r="A416" s="76">
        <f>'BC.114+840'!B415</f>
        <v>45672</v>
      </c>
      <c r="B416" s="137">
        <f t="shared" si="20"/>
        <v>402</v>
      </c>
      <c r="C416" s="139">
        <f>'BC.114+840'!M415/1000</f>
        <v>2.3199999999999998</v>
      </c>
      <c r="D416" s="139">
        <f>'BC.114+840'!AA415</f>
        <v>3.3879999999999999</v>
      </c>
      <c r="E416" s="140">
        <f>'BC.114+840'!AB415</f>
        <v>1.44</v>
      </c>
      <c r="F416" s="139">
        <f>VLOOKUP($A416,'BC.114+840'!$B$13:$X$470,8,0)/1000</f>
        <v>2.3410000000000002</v>
      </c>
      <c r="G416" s="139">
        <f>VLOOKUP($A416,'BC.114+840'!$B$13:$X$470,9,0)/1000</f>
        <v>-0.65900000000000003</v>
      </c>
      <c r="H416" s="139">
        <f>VLOOKUP($A416,'BC.114+840'!$B$13:$X$470,14,0)/1000</f>
        <v>2.3199999999999998</v>
      </c>
      <c r="I416" s="139">
        <f>VLOOKUP($A416,'BC.114+840'!$B$13:$X$470,15,0)/1000</f>
        <v>-0.68</v>
      </c>
      <c r="J416" s="139">
        <f>VLOOKUP($A416,'BC.114+840'!$B$13:$X$470,20,0)/1000</f>
        <v>2.2000000000000002</v>
      </c>
      <c r="K416" s="139">
        <f>VLOOKUP($A416,'BC.114+840'!$B$13:$X$470,21,0)/1000</f>
        <v>-0.8</v>
      </c>
      <c r="L416" s="137">
        <f t="shared" si="21"/>
        <v>-579.00000000000011</v>
      </c>
      <c r="M416" s="138">
        <f t="shared" si="22"/>
        <v>-780</v>
      </c>
      <c r="N416" s="137">
        <f t="shared" si="23"/>
        <v>-410.00000000000006</v>
      </c>
      <c r="O416" s="137"/>
    </row>
    <row r="417" spans="1:15">
      <c r="A417" s="76">
        <f>'BC.114+840'!B416</f>
        <v>45673</v>
      </c>
      <c r="B417" s="137">
        <f t="shared" si="20"/>
        <v>403</v>
      </c>
      <c r="C417" s="139">
        <f>'BC.114+840'!M416/1000</f>
        <v>2.3109999999999999</v>
      </c>
      <c r="D417" s="139">
        <f>'BC.114+840'!AA416</f>
        <v>3.3879999999999999</v>
      </c>
      <c r="E417" s="140">
        <f>'BC.114+840'!AB416</f>
        <v>1.4219999999999999</v>
      </c>
      <c r="F417" s="139">
        <f>VLOOKUP($A417,'BC.114+840'!$B$13:$X$470,8,0)/1000</f>
        <v>2.3319999999999999</v>
      </c>
      <c r="G417" s="139">
        <f>VLOOKUP($A417,'BC.114+840'!$B$13:$X$470,9,0)/1000</f>
        <v>-0.66800000000000004</v>
      </c>
      <c r="H417" s="139">
        <f>VLOOKUP($A417,'BC.114+840'!$B$13:$X$470,14,0)/1000</f>
        <v>2.3109999999999999</v>
      </c>
      <c r="I417" s="139">
        <f>VLOOKUP($A417,'BC.114+840'!$B$13:$X$470,15,0)/1000</f>
        <v>-0.68899999999999995</v>
      </c>
      <c r="J417" s="139">
        <f>VLOOKUP($A417,'BC.114+840'!$B$13:$X$470,20,0)/1000</f>
        <v>2.1970000000000001</v>
      </c>
      <c r="K417" s="139">
        <f>VLOOKUP($A417,'BC.114+840'!$B$13:$X$470,21,0)/1000</f>
        <v>-0.80300000000000005</v>
      </c>
      <c r="L417" s="137">
        <f t="shared" si="21"/>
        <v>-588.00000000000011</v>
      </c>
      <c r="M417" s="138">
        <f t="shared" si="22"/>
        <v>-788.99999999999989</v>
      </c>
      <c r="N417" s="137">
        <f t="shared" si="23"/>
        <v>-413.00000000000006</v>
      </c>
      <c r="O417" s="137"/>
    </row>
    <row r="418" spans="1:15">
      <c r="A418" s="76">
        <f>'BC.114+840'!B417</f>
        <v>45674</v>
      </c>
      <c r="B418" s="137">
        <f t="shared" si="20"/>
        <v>404</v>
      </c>
      <c r="C418" s="139">
        <f>'BC.114+840'!M417/1000</f>
        <v>2.3029999999999999</v>
      </c>
      <c r="D418" s="139">
        <f>'BC.114+840'!AA417</f>
        <v>3.3879999999999999</v>
      </c>
      <c r="E418" s="140">
        <f>'BC.114+840'!AB417</f>
        <v>1.4059999999999999</v>
      </c>
      <c r="F418" s="139">
        <f>VLOOKUP($A418,'BC.114+840'!$B$13:$X$470,8,0)/1000</f>
        <v>2.3239999999999998</v>
      </c>
      <c r="G418" s="139">
        <f>VLOOKUP($A418,'BC.114+840'!$B$13:$X$470,9,0)/1000</f>
        <v>-0.67600000000000005</v>
      </c>
      <c r="H418" s="139">
        <f>VLOOKUP($A418,'BC.114+840'!$B$13:$X$470,14,0)/1000</f>
        <v>2.3029999999999999</v>
      </c>
      <c r="I418" s="139">
        <f>VLOOKUP($A418,'BC.114+840'!$B$13:$X$470,15,0)/1000</f>
        <v>-0.69699999999999995</v>
      </c>
      <c r="J418" s="139">
        <f>VLOOKUP($A418,'BC.114+840'!$B$13:$X$470,20,0)/1000</f>
        <v>2.1960000000000002</v>
      </c>
      <c r="K418" s="139">
        <f>VLOOKUP($A418,'BC.114+840'!$B$13:$X$470,21,0)/1000</f>
        <v>-0.80400000000000005</v>
      </c>
      <c r="L418" s="137">
        <f t="shared" si="21"/>
        <v>-596.00000000000011</v>
      </c>
      <c r="M418" s="138">
        <f t="shared" si="22"/>
        <v>-796.99999999999989</v>
      </c>
      <c r="N418" s="137">
        <f t="shared" si="23"/>
        <v>-414.00000000000006</v>
      </c>
      <c r="O418" s="137"/>
    </row>
    <row r="419" spans="1:15">
      <c r="A419" s="76">
        <f>'BC.114+840'!B418</f>
        <v>45675</v>
      </c>
      <c r="B419" s="137">
        <f t="shared" si="20"/>
        <v>405</v>
      </c>
      <c r="C419" s="139">
        <f>'BC.114+840'!M418/1000</f>
        <v>2.2949999999999999</v>
      </c>
      <c r="D419" s="139">
        <f>'BC.114+840'!AA418</f>
        <v>3.3879999999999999</v>
      </c>
      <c r="E419" s="140">
        <f>'BC.114+840'!AB418</f>
        <v>1.39</v>
      </c>
      <c r="F419" s="139">
        <f>VLOOKUP($A419,'BC.114+840'!$B$13:$X$470,8,0)/1000</f>
        <v>2.3159999999999998</v>
      </c>
      <c r="G419" s="139">
        <f>VLOOKUP($A419,'BC.114+840'!$B$13:$X$470,9,0)/1000</f>
        <v>-0.68400000000000005</v>
      </c>
      <c r="H419" s="139">
        <f>VLOOKUP($A419,'BC.114+840'!$B$13:$X$470,14,0)/1000</f>
        <v>2.2949999999999999</v>
      </c>
      <c r="I419" s="139">
        <f>VLOOKUP($A419,'BC.114+840'!$B$13:$X$470,15,0)/1000</f>
        <v>-0.70499999999999996</v>
      </c>
      <c r="J419" s="139">
        <f>VLOOKUP($A419,'BC.114+840'!$B$13:$X$470,20,0)/1000</f>
        <v>2.194</v>
      </c>
      <c r="K419" s="139">
        <f>VLOOKUP($A419,'BC.114+840'!$B$13:$X$470,21,0)/1000</f>
        <v>-0.80600000000000005</v>
      </c>
      <c r="L419" s="137">
        <f t="shared" si="21"/>
        <v>-604.00000000000011</v>
      </c>
      <c r="M419" s="138">
        <f t="shared" si="22"/>
        <v>-804.99999999999989</v>
      </c>
      <c r="N419" s="137">
        <f t="shared" si="23"/>
        <v>-416.00000000000006</v>
      </c>
      <c r="O419" s="137"/>
    </row>
    <row r="420" spans="1:15">
      <c r="A420" s="76">
        <f>'BC.114+840'!B419</f>
        <v>45676</v>
      </c>
      <c r="B420" s="137">
        <f t="shared" si="20"/>
        <v>406</v>
      </c>
      <c r="C420" s="139">
        <f>'BC.114+840'!M419/1000</f>
        <v>2.2879999999999998</v>
      </c>
      <c r="D420" s="139">
        <f>'BC.114+840'!AA419</f>
        <v>3.3879999999999999</v>
      </c>
      <c r="E420" s="140">
        <f>'BC.114+840'!AB419</f>
        <v>1.3759999999999999</v>
      </c>
      <c r="F420" s="139">
        <f>VLOOKUP($A420,'BC.114+840'!$B$13:$X$470,8,0)/1000</f>
        <v>2.3090000000000002</v>
      </c>
      <c r="G420" s="139">
        <f>VLOOKUP($A420,'BC.114+840'!$B$13:$X$470,9,0)/1000</f>
        <v>-0.69099999999999995</v>
      </c>
      <c r="H420" s="139">
        <f>VLOOKUP($A420,'BC.114+840'!$B$13:$X$470,14,0)/1000</f>
        <v>2.2879999999999998</v>
      </c>
      <c r="I420" s="139">
        <f>VLOOKUP($A420,'BC.114+840'!$B$13:$X$470,15,0)/1000</f>
        <v>-0.71199999999999997</v>
      </c>
      <c r="J420" s="139">
        <f>VLOOKUP($A420,'BC.114+840'!$B$13:$X$470,20,0)/1000</f>
        <v>2.1920000000000002</v>
      </c>
      <c r="K420" s="139">
        <f>VLOOKUP($A420,'BC.114+840'!$B$13:$X$470,21,0)/1000</f>
        <v>-0.80800000000000005</v>
      </c>
      <c r="L420" s="137">
        <f t="shared" si="21"/>
        <v>-611</v>
      </c>
      <c r="M420" s="138">
        <f t="shared" si="22"/>
        <v>-812</v>
      </c>
      <c r="N420" s="137">
        <f t="shared" si="23"/>
        <v>-418.00000000000006</v>
      </c>
      <c r="O420" s="137"/>
    </row>
    <row r="421" spans="1:15">
      <c r="A421" s="76">
        <f>'BC.114+840'!B420</f>
        <v>45677</v>
      </c>
      <c r="B421" s="137">
        <f t="shared" si="20"/>
        <v>407</v>
      </c>
      <c r="C421" s="139">
        <f>'BC.114+840'!M420/1000</f>
        <v>2.2810000000000001</v>
      </c>
      <c r="D421" s="139">
        <f>'BC.114+840'!AA420</f>
        <v>3.3879999999999999</v>
      </c>
      <c r="E421" s="140">
        <f>'BC.114+840'!AB420</f>
        <v>1.3620000000000001</v>
      </c>
      <c r="F421" s="139">
        <f>VLOOKUP($A421,'BC.114+840'!$B$13:$X$470,8,0)/1000</f>
        <v>2.302</v>
      </c>
      <c r="G421" s="139">
        <f>VLOOKUP($A421,'BC.114+840'!$B$13:$X$470,9,0)/1000</f>
        <v>-0.69799999999999995</v>
      </c>
      <c r="H421" s="139">
        <f>VLOOKUP($A421,'BC.114+840'!$B$13:$X$470,14,0)/1000</f>
        <v>2.2810000000000001</v>
      </c>
      <c r="I421" s="139">
        <f>VLOOKUP($A421,'BC.114+840'!$B$13:$X$470,15,0)/1000</f>
        <v>-0.71899999999999997</v>
      </c>
      <c r="J421" s="139">
        <f>VLOOKUP($A421,'BC.114+840'!$B$13:$X$470,20,0)/1000</f>
        <v>2.1909999999999998</v>
      </c>
      <c r="K421" s="139">
        <f>VLOOKUP($A421,'BC.114+840'!$B$13:$X$470,21,0)/1000</f>
        <v>-0.80900000000000005</v>
      </c>
      <c r="L421" s="137">
        <f t="shared" si="21"/>
        <v>-618</v>
      </c>
      <c r="M421" s="138">
        <f t="shared" si="22"/>
        <v>-819</v>
      </c>
      <c r="N421" s="137">
        <f t="shared" si="23"/>
        <v>-419.00000000000006</v>
      </c>
      <c r="O421" s="137"/>
    </row>
    <row r="422" spans="1:15">
      <c r="A422" s="76">
        <f>'BC.114+840'!B421</f>
        <v>45678</v>
      </c>
      <c r="B422" s="137">
        <f t="shared" si="20"/>
        <v>408</v>
      </c>
      <c r="C422" s="139">
        <f>'BC.114+840'!M421/1000</f>
        <v>2.2749999999999999</v>
      </c>
      <c r="D422" s="139">
        <f>'BC.114+840'!AA421</f>
        <v>3.3879999999999999</v>
      </c>
      <c r="E422" s="140">
        <f>'BC.114+840'!AB421</f>
        <v>1.35</v>
      </c>
      <c r="F422" s="139">
        <f>VLOOKUP($A422,'BC.114+840'!$B$13:$X$470,8,0)/1000</f>
        <v>2.2959999999999998</v>
      </c>
      <c r="G422" s="139">
        <f>VLOOKUP($A422,'BC.114+840'!$B$13:$X$470,9,0)/1000</f>
        <v>-0.70399999999999996</v>
      </c>
      <c r="H422" s="139">
        <f>VLOOKUP($A422,'BC.114+840'!$B$13:$X$470,14,0)/1000</f>
        <v>2.2749999999999999</v>
      </c>
      <c r="I422" s="139">
        <f>VLOOKUP($A422,'BC.114+840'!$B$13:$X$470,15,0)/1000</f>
        <v>-0.72499999999999998</v>
      </c>
      <c r="J422" s="139">
        <f>VLOOKUP($A422,'BC.114+840'!$B$13:$X$470,20,0)/1000</f>
        <v>2.1890000000000001</v>
      </c>
      <c r="K422" s="139">
        <f>VLOOKUP($A422,'BC.114+840'!$B$13:$X$470,21,0)/1000</f>
        <v>-0.81100000000000005</v>
      </c>
      <c r="L422" s="137">
        <f t="shared" si="21"/>
        <v>-624</v>
      </c>
      <c r="M422" s="138">
        <f t="shared" si="22"/>
        <v>-825</v>
      </c>
      <c r="N422" s="137">
        <f t="shared" si="23"/>
        <v>-421.00000000000006</v>
      </c>
      <c r="O422" s="137"/>
    </row>
    <row r="423" spans="1:15">
      <c r="A423" s="76">
        <f>'BC.114+840'!B422</f>
        <v>45679</v>
      </c>
      <c r="B423" s="137">
        <f t="shared" si="20"/>
        <v>409</v>
      </c>
      <c r="C423" s="139">
        <f>'BC.114+840'!M422/1000</f>
        <v>2.2669999999999999</v>
      </c>
      <c r="D423" s="139">
        <f>'BC.114+840'!AA422</f>
        <v>3.3879999999999999</v>
      </c>
      <c r="E423" s="140">
        <f>'BC.114+840'!AB422</f>
        <v>1.3340000000000001</v>
      </c>
      <c r="F423" s="139">
        <f>VLOOKUP($A423,'BC.114+840'!$B$13:$X$470,8,0)/1000</f>
        <v>2.2909999999999999</v>
      </c>
      <c r="G423" s="139">
        <f>VLOOKUP($A423,'BC.114+840'!$B$13:$X$470,9,0)/1000</f>
        <v>-0.70899999999999996</v>
      </c>
      <c r="H423" s="139">
        <f>VLOOKUP($A423,'BC.114+840'!$B$13:$X$470,14,0)/1000</f>
        <v>2.2669999999999999</v>
      </c>
      <c r="I423" s="139">
        <f>VLOOKUP($A423,'BC.114+840'!$B$13:$X$470,15,0)/1000</f>
        <v>-0.73299999999999998</v>
      </c>
      <c r="J423" s="139">
        <f>VLOOKUP($A423,'BC.114+840'!$B$13:$X$470,20,0)/1000</f>
        <v>2.1880000000000002</v>
      </c>
      <c r="K423" s="139">
        <f>VLOOKUP($A423,'BC.114+840'!$B$13:$X$470,21,0)/1000</f>
        <v>-0.81200000000000006</v>
      </c>
      <c r="L423" s="137">
        <f t="shared" si="21"/>
        <v>-629</v>
      </c>
      <c r="M423" s="138">
        <f t="shared" si="22"/>
        <v>-833</v>
      </c>
      <c r="N423" s="137">
        <f t="shared" si="23"/>
        <v>-422.00000000000006</v>
      </c>
      <c r="O423" s="137"/>
    </row>
    <row r="424" spans="1:15">
      <c r="A424" s="76">
        <f>'BC.114+840'!B423</f>
        <v>45680</v>
      </c>
      <c r="B424" s="137">
        <f t="shared" si="20"/>
        <v>410</v>
      </c>
      <c r="C424" s="139">
        <f>'BC.114+840'!M423/1000</f>
        <v>2.2599999999999998</v>
      </c>
      <c r="D424" s="139">
        <f>'BC.114+840'!AA423</f>
        <v>3.3879999999999999</v>
      </c>
      <c r="E424" s="140">
        <f>'BC.114+840'!AB423</f>
        <v>1.32</v>
      </c>
      <c r="F424" s="139">
        <f>VLOOKUP($A424,'BC.114+840'!$B$13:$X$470,8,0)/1000</f>
        <v>2.286</v>
      </c>
      <c r="G424" s="139">
        <f>VLOOKUP($A424,'BC.114+840'!$B$13:$X$470,9,0)/1000</f>
        <v>-0.71399999999999997</v>
      </c>
      <c r="H424" s="139">
        <f>VLOOKUP($A424,'BC.114+840'!$B$13:$X$470,14,0)/1000</f>
        <v>2.2599999999999998</v>
      </c>
      <c r="I424" s="139">
        <f>VLOOKUP($A424,'BC.114+840'!$B$13:$X$470,15,0)/1000</f>
        <v>-0.74</v>
      </c>
      <c r="J424" s="139">
        <f>VLOOKUP($A424,'BC.114+840'!$B$13:$X$470,20,0)/1000</f>
        <v>2.1869999999999998</v>
      </c>
      <c r="K424" s="139">
        <f>VLOOKUP($A424,'BC.114+840'!$B$13:$X$470,21,0)/1000</f>
        <v>-0.81299999999999994</v>
      </c>
      <c r="L424" s="137">
        <f t="shared" si="21"/>
        <v>-634</v>
      </c>
      <c r="M424" s="138">
        <f t="shared" si="22"/>
        <v>-840</v>
      </c>
      <c r="N424" s="137">
        <f t="shared" si="23"/>
        <v>-422.99999999999994</v>
      </c>
      <c r="O424" s="137"/>
    </row>
    <row r="425" spans="1:15">
      <c r="A425" s="76">
        <f>'BC.114+840'!B424</f>
        <v>45681</v>
      </c>
      <c r="B425" s="137">
        <f t="shared" si="20"/>
        <v>411</v>
      </c>
      <c r="C425" s="139">
        <f>'BC.114+840'!M424/1000</f>
        <v>2.2509999999999999</v>
      </c>
      <c r="D425" s="139">
        <f>'BC.114+840'!AA424</f>
        <v>3.3879999999999999</v>
      </c>
      <c r="E425" s="140">
        <f>'BC.114+840'!AB424</f>
        <v>1.302</v>
      </c>
      <c r="F425" s="139">
        <f>VLOOKUP($A425,'BC.114+840'!$B$13:$X$470,8,0)/1000</f>
        <v>2.282</v>
      </c>
      <c r="G425" s="139">
        <f>VLOOKUP($A425,'BC.114+840'!$B$13:$X$470,9,0)/1000</f>
        <v>-0.71799999999999997</v>
      </c>
      <c r="H425" s="139">
        <f>VLOOKUP($A425,'BC.114+840'!$B$13:$X$470,14,0)/1000</f>
        <v>2.2509999999999999</v>
      </c>
      <c r="I425" s="139">
        <f>VLOOKUP($A425,'BC.114+840'!$B$13:$X$470,15,0)/1000</f>
        <v>-0.749</v>
      </c>
      <c r="J425" s="139">
        <f>VLOOKUP($A425,'BC.114+840'!$B$13:$X$470,20,0)/1000</f>
        <v>2.1840000000000002</v>
      </c>
      <c r="K425" s="139">
        <f>VLOOKUP($A425,'BC.114+840'!$B$13:$X$470,21,0)/1000</f>
        <v>-0.81599999999999995</v>
      </c>
      <c r="L425" s="137">
        <f t="shared" si="21"/>
        <v>-638</v>
      </c>
      <c r="M425" s="138">
        <f t="shared" si="22"/>
        <v>-849</v>
      </c>
      <c r="N425" s="137">
        <f t="shared" si="23"/>
        <v>-425.99999999999994</v>
      </c>
      <c r="O425" s="137"/>
    </row>
    <row r="426" spans="1:15">
      <c r="A426" s="76">
        <f>'BC.114+840'!B425</f>
        <v>45682</v>
      </c>
      <c r="B426" s="137">
        <f t="shared" si="20"/>
        <v>412</v>
      </c>
      <c r="C426" s="139">
        <f>'BC.114+840'!M425/1000</f>
        <v>2.2429999999999999</v>
      </c>
      <c r="D426" s="139">
        <f>'BC.114+840'!AA425</f>
        <v>3.3879999999999999</v>
      </c>
      <c r="E426" s="140">
        <f>'BC.114+840'!AB425</f>
        <v>1.286</v>
      </c>
      <c r="F426" s="139">
        <f>VLOOKUP($A426,'BC.114+840'!$B$13:$X$470,8,0)/1000</f>
        <v>2.2789999999999999</v>
      </c>
      <c r="G426" s="139">
        <f>VLOOKUP($A426,'BC.114+840'!$B$13:$X$470,9,0)/1000</f>
        <v>-0.72099999999999997</v>
      </c>
      <c r="H426" s="139">
        <f>VLOOKUP($A426,'BC.114+840'!$B$13:$X$470,14,0)/1000</f>
        <v>2.2429999999999999</v>
      </c>
      <c r="I426" s="139">
        <f>VLOOKUP($A426,'BC.114+840'!$B$13:$X$470,15,0)/1000</f>
        <v>-0.75700000000000001</v>
      </c>
      <c r="J426" s="139">
        <f>VLOOKUP($A426,'BC.114+840'!$B$13:$X$470,20,0)/1000</f>
        <v>2.1829999999999998</v>
      </c>
      <c r="K426" s="139">
        <f>VLOOKUP($A426,'BC.114+840'!$B$13:$X$470,21,0)/1000</f>
        <v>-0.81699999999999995</v>
      </c>
      <c r="L426" s="137">
        <f t="shared" si="21"/>
        <v>-641</v>
      </c>
      <c r="M426" s="138">
        <f t="shared" si="22"/>
        <v>-857</v>
      </c>
      <c r="N426" s="137">
        <f t="shared" si="23"/>
        <v>-426.99999999999994</v>
      </c>
      <c r="O426" s="137"/>
    </row>
    <row r="427" spans="1:15">
      <c r="A427" s="76">
        <f>'BC.114+840'!B426</f>
        <v>45683</v>
      </c>
      <c r="B427" s="137">
        <f t="shared" si="20"/>
        <v>413</v>
      </c>
      <c r="C427" s="139">
        <f>'BC.114+840'!M426/1000</f>
        <v>2.2349999999999999</v>
      </c>
      <c r="D427" s="139">
        <f>'BC.114+840'!AA426</f>
        <v>3.3879999999999999</v>
      </c>
      <c r="E427" s="140">
        <f>'BC.114+840'!AB426</f>
        <v>1.27</v>
      </c>
      <c r="F427" s="139">
        <f>VLOOKUP($A427,'BC.114+840'!$B$13:$X$470,8,0)/1000</f>
        <v>2.2770000000000001</v>
      </c>
      <c r="G427" s="139">
        <f>VLOOKUP($A427,'BC.114+840'!$B$13:$X$470,9,0)/1000</f>
        <v>-0.72299999999999998</v>
      </c>
      <c r="H427" s="139">
        <f>VLOOKUP($A427,'BC.114+840'!$B$13:$X$470,14,0)/1000</f>
        <v>2.2349999999999999</v>
      </c>
      <c r="I427" s="139">
        <f>VLOOKUP($A427,'BC.114+840'!$B$13:$X$470,15,0)/1000</f>
        <v>-0.76500000000000001</v>
      </c>
      <c r="J427" s="139">
        <f>VLOOKUP($A427,'BC.114+840'!$B$13:$X$470,20,0)/1000</f>
        <v>2.181</v>
      </c>
      <c r="K427" s="139">
        <f>VLOOKUP($A427,'BC.114+840'!$B$13:$X$470,21,0)/1000</f>
        <v>-0.81899999999999995</v>
      </c>
      <c r="L427" s="137">
        <f t="shared" si="21"/>
        <v>-643</v>
      </c>
      <c r="M427" s="138">
        <f t="shared" si="22"/>
        <v>-865</v>
      </c>
      <c r="N427" s="137">
        <f t="shared" si="23"/>
        <v>-428.99999999999994</v>
      </c>
      <c r="O427" s="137"/>
    </row>
    <row r="428" spans="1:15">
      <c r="A428" s="76">
        <f>'BC.114+840'!B427</f>
        <v>45684</v>
      </c>
      <c r="B428" s="137">
        <f t="shared" si="20"/>
        <v>414</v>
      </c>
      <c r="C428" s="139">
        <f>'BC.114+840'!M427/1000</f>
        <v>2.226</v>
      </c>
      <c r="D428" s="139">
        <f>'BC.114+840'!AA427</f>
        <v>3.3879999999999999</v>
      </c>
      <c r="E428" s="140">
        <f>'BC.114+840'!AB427</f>
        <v>1.252</v>
      </c>
      <c r="F428" s="139">
        <f>VLOOKUP($A428,'BC.114+840'!$B$13:$X$470,8,0)/1000</f>
        <v>2.2730000000000001</v>
      </c>
      <c r="G428" s="139">
        <f>VLOOKUP($A428,'BC.114+840'!$B$13:$X$470,9,0)/1000</f>
        <v>-0.72699999999999998</v>
      </c>
      <c r="H428" s="139">
        <f>VLOOKUP($A428,'BC.114+840'!$B$13:$X$470,14,0)/1000</f>
        <v>2.226</v>
      </c>
      <c r="I428" s="139">
        <f>VLOOKUP($A428,'BC.114+840'!$B$13:$X$470,15,0)/1000</f>
        <v>-0.77400000000000002</v>
      </c>
      <c r="J428" s="139">
        <f>VLOOKUP($A428,'BC.114+840'!$B$13:$X$470,20,0)/1000</f>
        <v>2.1800000000000002</v>
      </c>
      <c r="K428" s="139">
        <f>VLOOKUP($A428,'BC.114+840'!$B$13:$X$470,21,0)/1000</f>
        <v>-0.82</v>
      </c>
      <c r="L428" s="137">
        <f t="shared" si="21"/>
        <v>-647</v>
      </c>
      <c r="M428" s="138">
        <f t="shared" si="22"/>
        <v>-874</v>
      </c>
      <c r="N428" s="137">
        <f t="shared" si="23"/>
        <v>-429.99999999999994</v>
      </c>
      <c r="O428" s="137"/>
    </row>
    <row r="429" spans="1:15">
      <c r="A429" s="76">
        <f>'BC.114+840'!B428</f>
        <v>45685</v>
      </c>
      <c r="B429" s="137">
        <f t="shared" si="20"/>
        <v>415</v>
      </c>
      <c r="C429" s="139">
        <f>'BC.114+840'!M428/1000</f>
        <v>2.218</v>
      </c>
      <c r="D429" s="139">
        <f>'BC.114+840'!AA428</f>
        <v>3.3879999999999999</v>
      </c>
      <c r="E429" s="140">
        <f>'BC.114+840'!AB428</f>
        <v>1.236</v>
      </c>
      <c r="F429" s="139">
        <f>VLOOKUP($A429,'BC.114+840'!$B$13:$X$470,8,0)/1000</f>
        <v>2.27</v>
      </c>
      <c r="G429" s="139">
        <f>VLOOKUP($A429,'BC.114+840'!$B$13:$X$470,9,0)/1000</f>
        <v>-0.73</v>
      </c>
      <c r="H429" s="139">
        <f>VLOOKUP($A429,'BC.114+840'!$B$13:$X$470,14,0)/1000</f>
        <v>2.218</v>
      </c>
      <c r="I429" s="139">
        <f>VLOOKUP($A429,'BC.114+840'!$B$13:$X$470,15,0)/1000</f>
        <v>-0.78200000000000003</v>
      </c>
      <c r="J429" s="139">
        <f>VLOOKUP($A429,'BC.114+840'!$B$13:$X$470,20,0)/1000</f>
        <v>2.1779999999999999</v>
      </c>
      <c r="K429" s="139">
        <f>VLOOKUP($A429,'BC.114+840'!$B$13:$X$470,21,0)/1000</f>
        <v>-0.82199999999999995</v>
      </c>
      <c r="L429" s="137">
        <f t="shared" si="21"/>
        <v>-650</v>
      </c>
      <c r="M429" s="138">
        <f t="shared" si="22"/>
        <v>-882</v>
      </c>
      <c r="N429" s="137">
        <f t="shared" si="23"/>
        <v>-431.99999999999994</v>
      </c>
      <c r="O429" s="137"/>
    </row>
    <row r="430" spans="1:15">
      <c r="A430" s="76">
        <f>'BC.114+840'!B429</f>
        <v>45686</v>
      </c>
      <c r="B430" s="137">
        <f t="shared" si="20"/>
        <v>416</v>
      </c>
      <c r="C430" s="139">
        <f>'BC.114+840'!M429/1000</f>
        <v>2.2090000000000001</v>
      </c>
      <c r="D430" s="139">
        <f>'BC.114+840'!AA429</f>
        <v>3.3879999999999999</v>
      </c>
      <c r="E430" s="140">
        <f>'BC.114+840'!AB429</f>
        <v>1.218</v>
      </c>
      <c r="F430" s="139">
        <f>VLOOKUP($A430,'BC.114+840'!$B$13:$X$470,8,0)/1000</f>
        <v>2.266</v>
      </c>
      <c r="G430" s="139">
        <f>VLOOKUP($A430,'BC.114+840'!$B$13:$X$470,9,0)/1000</f>
        <v>-0.73399999999999999</v>
      </c>
      <c r="H430" s="139">
        <f>VLOOKUP($A430,'BC.114+840'!$B$13:$X$470,14,0)/1000</f>
        <v>2.2090000000000001</v>
      </c>
      <c r="I430" s="139">
        <f>VLOOKUP($A430,'BC.114+840'!$B$13:$X$470,15,0)/1000</f>
        <v>-0.79100000000000004</v>
      </c>
      <c r="J430" s="139">
        <f>VLOOKUP($A430,'BC.114+840'!$B$13:$X$470,20,0)/1000</f>
        <v>2.1760000000000002</v>
      </c>
      <c r="K430" s="139">
        <f>VLOOKUP($A430,'BC.114+840'!$B$13:$X$470,21,0)/1000</f>
        <v>-0.82399999999999995</v>
      </c>
      <c r="L430" s="137">
        <f t="shared" si="21"/>
        <v>-654</v>
      </c>
      <c r="M430" s="138">
        <f t="shared" si="22"/>
        <v>-891</v>
      </c>
      <c r="N430" s="137">
        <f t="shared" si="23"/>
        <v>-433.99999999999994</v>
      </c>
      <c r="O430" s="137"/>
    </row>
    <row r="431" spans="1:15">
      <c r="A431" s="76">
        <f>'BC.114+840'!B430</f>
        <v>45687</v>
      </c>
      <c r="B431" s="137">
        <f t="shared" si="20"/>
        <v>417</v>
      </c>
      <c r="C431" s="139">
        <f>'BC.114+840'!M430/1000</f>
        <v>2.2010000000000001</v>
      </c>
      <c r="D431" s="139">
        <f>'BC.114+840'!AA430</f>
        <v>3.3879999999999999</v>
      </c>
      <c r="E431" s="140">
        <f>'BC.114+840'!AB430</f>
        <v>1.202</v>
      </c>
      <c r="F431" s="139">
        <f>VLOOKUP($A431,'BC.114+840'!$B$13:$X$470,8,0)/1000</f>
        <v>2.2589999999999999</v>
      </c>
      <c r="G431" s="139">
        <f>VLOOKUP($A431,'BC.114+840'!$B$13:$X$470,9,0)/1000</f>
        <v>-0.74099999999999999</v>
      </c>
      <c r="H431" s="139">
        <f>VLOOKUP($A431,'BC.114+840'!$B$13:$X$470,14,0)/1000</f>
        <v>2.2010000000000001</v>
      </c>
      <c r="I431" s="139">
        <f>VLOOKUP($A431,'BC.114+840'!$B$13:$X$470,15,0)/1000</f>
        <v>-0.79900000000000004</v>
      </c>
      <c r="J431" s="139">
        <f>VLOOKUP($A431,'BC.114+840'!$B$13:$X$470,20,0)/1000</f>
        <v>2.173</v>
      </c>
      <c r="K431" s="139">
        <f>VLOOKUP($A431,'BC.114+840'!$B$13:$X$470,21,0)/1000</f>
        <v>-0.82699999999999996</v>
      </c>
      <c r="L431" s="137">
        <f t="shared" si="21"/>
        <v>-661</v>
      </c>
      <c r="M431" s="138">
        <f t="shared" si="22"/>
        <v>-899</v>
      </c>
      <c r="N431" s="137">
        <f t="shared" si="23"/>
        <v>-436.99999999999994</v>
      </c>
      <c r="O431" s="137"/>
    </row>
    <row r="432" spans="1:15">
      <c r="A432" s="76">
        <f>'BC.114+840'!B431</f>
        <v>45688</v>
      </c>
      <c r="B432" s="137">
        <f t="shared" si="20"/>
        <v>418</v>
      </c>
      <c r="C432" s="139">
        <f>'BC.114+840'!M431/1000</f>
        <v>2.1920000000000002</v>
      </c>
      <c r="D432" s="139">
        <f>'BC.114+840'!AA431</f>
        <v>3.3879999999999999</v>
      </c>
      <c r="E432" s="140">
        <f>'BC.114+840'!AB431</f>
        <v>1.1839999999999999</v>
      </c>
      <c r="F432" s="139">
        <f>VLOOKUP($A432,'BC.114+840'!$B$13:$X$470,8,0)/1000</f>
        <v>2.254</v>
      </c>
      <c r="G432" s="139">
        <f>VLOOKUP($A432,'BC.114+840'!$B$13:$X$470,9,0)/1000</f>
        <v>-0.746</v>
      </c>
      <c r="H432" s="139">
        <f>VLOOKUP($A432,'BC.114+840'!$B$13:$X$470,14,0)/1000</f>
        <v>2.1920000000000002</v>
      </c>
      <c r="I432" s="139">
        <f>VLOOKUP($A432,'BC.114+840'!$B$13:$X$470,15,0)/1000</f>
        <v>-0.80800000000000005</v>
      </c>
      <c r="J432" s="139">
        <f>VLOOKUP($A432,'BC.114+840'!$B$13:$X$470,20,0)/1000</f>
        <v>2.1720000000000002</v>
      </c>
      <c r="K432" s="139">
        <f>VLOOKUP($A432,'BC.114+840'!$B$13:$X$470,21,0)/1000</f>
        <v>-0.82799999999999996</v>
      </c>
      <c r="L432" s="137">
        <f t="shared" si="21"/>
        <v>-666</v>
      </c>
      <c r="M432" s="138">
        <f t="shared" si="22"/>
        <v>-908</v>
      </c>
      <c r="N432" s="137">
        <f t="shared" si="23"/>
        <v>-437.99999999999994</v>
      </c>
      <c r="O432" s="137"/>
    </row>
    <row r="433" spans="1:15">
      <c r="A433" s="76">
        <f>'BC.114+840'!B432</f>
        <v>45689</v>
      </c>
      <c r="B433" s="137">
        <f t="shared" si="20"/>
        <v>419</v>
      </c>
      <c r="C433" s="139">
        <f>'BC.114+840'!M432/1000</f>
        <v>2.1840000000000002</v>
      </c>
      <c r="D433" s="139">
        <f>'BC.114+840'!AA432</f>
        <v>3.3879999999999999</v>
      </c>
      <c r="E433" s="140">
        <f>'BC.114+840'!AB432</f>
        <v>1.1679999999999999</v>
      </c>
      <c r="F433" s="139">
        <f>VLOOKUP($A433,'BC.114+840'!$B$13:$X$470,8,0)/1000</f>
        <v>2.2490000000000001</v>
      </c>
      <c r="G433" s="139">
        <f>VLOOKUP($A433,'BC.114+840'!$B$13:$X$470,9,0)/1000</f>
        <v>-0.751</v>
      </c>
      <c r="H433" s="139">
        <f>VLOOKUP($A433,'BC.114+840'!$B$13:$X$470,14,0)/1000</f>
        <v>2.1840000000000002</v>
      </c>
      <c r="I433" s="139">
        <f>VLOOKUP($A433,'BC.114+840'!$B$13:$X$470,15,0)/1000</f>
        <v>-0.81599999999999995</v>
      </c>
      <c r="J433" s="139">
        <f>VLOOKUP($A433,'BC.114+840'!$B$13:$X$470,20,0)/1000</f>
        <v>2.17</v>
      </c>
      <c r="K433" s="139">
        <f>VLOOKUP($A433,'BC.114+840'!$B$13:$X$470,21,0)/1000</f>
        <v>-0.83</v>
      </c>
      <c r="L433" s="137">
        <f t="shared" si="21"/>
        <v>-671</v>
      </c>
      <c r="M433" s="138">
        <f t="shared" si="22"/>
        <v>-915.99999999999989</v>
      </c>
      <c r="N433" s="137">
        <f t="shared" si="23"/>
        <v>-439.99999999999994</v>
      </c>
      <c r="O433" s="137"/>
    </row>
    <row r="434" spans="1:15">
      <c r="A434" s="76">
        <f>'BC.114+840'!B433</f>
        <v>45690</v>
      </c>
      <c r="B434" s="137">
        <f t="shared" si="20"/>
        <v>420</v>
      </c>
      <c r="C434" s="139">
        <f>'BC.114+840'!M433/1000</f>
        <v>2.1749999999999998</v>
      </c>
      <c r="D434" s="139">
        <f>'BC.114+840'!AA433</f>
        <v>3.3879999999999999</v>
      </c>
      <c r="E434" s="140">
        <f>'BC.114+840'!AB433</f>
        <v>1.1499999999999999</v>
      </c>
      <c r="F434" s="139">
        <f>VLOOKUP($A434,'BC.114+840'!$B$13:$X$470,8,0)/1000</f>
        <v>2.2450000000000001</v>
      </c>
      <c r="G434" s="139">
        <f>VLOOKUP($A434,'BC.114+840'!$B$13:$X$470,9,0)/1000</f>
        <v>-0.755</v>
      </c>
      <c r="H434" s="139">
        <f>VLOOKUP($A434,'BC.114+840'!$B$13:$X$470,14,0)/1000</f>
        <v>2.1749999999999998</v>
      </c>
      <c r="I434" s="139">
        <f>VLOOKUP($A434,'BC.114+840'!$B$13:$X$470,15,0)/1000</f>
        <v>-0.82499999999999996</v>
      </c>
      <c r="J434" s="139">
        <f>VLOOKUP($A434,'BC.114+840'!$B$13:$X$470,20,0)/1000</f>
        <v>2.1680000000000001</v>
      </c>
      <c r="K434" s="139">
        <f>VLOOKUP($A434,'BC.114+840'!$B$13:$X$470,21,0)/1000</f>
        <v>-0.83199999999999996</v>
      </c>
      <c r="L434" s="137">
        <f t="shared" si="21"/>
        <v>-675</v>
      </c>
      <c r="M434" s="138">
        <f t="shared" si="22"/>
        <v>-924.99999999999989</v>
      </c>
      <c r="N434" s="137">
        <f t="shared" si="23"/>
        <v>-441.99999999999994</v>
      </c>
      <c r="O434" s="137"/>
    </row>
    <row r="435" spans="1:15">
      <c r="A435" s="76">
        <f>'BC.114+840'!B434</f>
        <v>45691</v>
      </c>
      <c r="B435" s="137">
        <f t="shared" si="20"/>
        <v>421</v>
      </c>
      <c r="C435" s="139">
        <f>'BC.114+840'!M434/1000</f>
        <v>2.1669999999999998</v>
      </c>
      <c r="D435" s="139">
        <f>'BC.114+840'!AA434</f>
        <v>3.3879999999999999</v>
      </c>
      <c r="E435" s="140">
        <f>'BC.114+840'!AB434</f>
        <v>1.1339999999999999</v>
      </c>
      <c r="F435" s="139">
        <f>VLOOKUP($A435,'BC.114+840'!$B$13:$X$470,8,0)/1000</f>
        <v>2.242</v>
      </c>
      <c r="G435" s="139">
        <f>VLOOKUP($A435,'BC.114+840'!$B$13:$X$470,9,0)/1000</f>
        <v>-0.75800000000000001</v>
      </c>
      <c r="H435" s="139">
        <f>VLOOKUP($A435,'BC.114+840'!$B$13:$X$470,14,0)/1000</f>
        <v>2.1669999999999998</v>
      </c>
      <c r="I435" s="139">
        <f>VLOOKUP($A435,'BC.114+840'!$B$13:$X$470,15,0)/1000</f>
        <v>-0.83299999999999996</v>
      </c>
      <c r="J435" s="139">
        <f>VLOOKUP($A435,'BC.114+840'!$B$13:$X$470,20,0)/1000</f>
        <v>2.1669999999999998</v>
      </c>
      <c r="K435" s="139">
        <f>VLOOKUP($A435,'BC.114+840'!$B$13:$X$470,21,0)/1000</f>
        <v>-0.83299999999999996</v>
      </c>
      <c r="L435" s="137">
        <f t="shared" si="21"/>
        <v>-678</v>
      </c>
      <c r="M435" s="138">
        <f t="shared" si="22"/>
        <v>-932.99999999999989</v>
      </c>
      <c r="N435" s="137">
        <f t="shared" si="23"/>
        <v>-442.99999999999994</v>
      </c>
      <c r="O435" s="137"/>
    </row>
    <row r="436" spans="1:15">
      <c r="A436" s="76">
        <f>'BC.114+840'!B435</f>
        <v>45692</v>
      </c>
      <c r="B436" s="137">
        <f t="shared" si="20"/>
        <v>422</v>
      </c>
      <c r="C436" s="139">
        <f>'BC.114+840'!M435/1000</f>
        <v>2.16</v>
      </c>
      <c r="D436" s="139">
        <f>'BC.114+840'!AA435</f>
        <v>3.3879999999999999</v>
      </c>
      <c r="E436" s="140">
        <f>'BC.114+840'!AB435</f>
        <v>1.1200000000000001</v>
      </c>
      <c r="F436" s="139">
        <f>VLOOKUP($A436,'BC.114+840'!$B$13:$X$470,8,0)/1000</f>
        <v>2.2400000000000002</v>
      </c>
      <c r="G436" s="139">
        <f>VLOOKUP($A436,'BC.114+840'!$B$13:$X$470,9,0)/1000</f>
        <v>-0.76</v>
      </c>
      <c r="H436" s="139">
        <f>VLOOKUP($A436,'BC.114+840'!$B$13:$X$470,14,0)/1000</f>
        <v>2.16</v>
      </c>
      <c r="I436" s="139">
        <f>VLOOKUP($A436,'BC.114+840'!$B$13:$X$470,15,0)/1000</f>
        <v>-0.84</v>
      </c>
      <c r="J436" s="139">
        <f>VLOOKUP($A436,'BC.114+840'!$B$13:$X$470,20,0)/1000</f>
        <v>2.165</v>
      </c>
      <c r="K436" s="139">
        <f>VLOOKUP($A436,'BC.114+840'!$B$13:$X$470,21,0)/1000</f>
        <v>-0.83499999999999996</v>
      </c>
      <c r="L436" s="137">
        <f t="shared" si="21"/>
        <v>-680</v>
      </c>
      <c r="M436" s="138">
        <f t="shared" si="22"/>
        <v>-940</v>
      </c>
      <c r="N436" s="137">
        <f t="shared" si="23"/>
        <v>-444.99999999999994</v>
      </c>
      <c r="O436" s="137"/>
    </row>
    <row r="437" spans="1:15">
      <c r="A437" s="76">
        <f>'BC.114+840'!B436</f>
        <v>45693</v>
      </c>
      <c r="B437" s="137">
        <f t="shared" si="20"/>
        <v>423</v>
      </c>
      <c r="C437" s="139">
        <f>'BC.114+840'!M436/1000</f>
        <v>2.1509999999999998</v>
      </c>
      <c r="D437" s="139">
        <f>'BC.114+840'!AA436</f>
        <v>3.3879999999999999</v>
      </c>
      <c r="E437" s="140">
        <f>'BC.114+840'!AB436</f>
        <v>1.1020000000000001</v>
      </c>
      <c r="F437" s="139">
        <f>VLOOKUP($A437,'BC.114+840'!$B$13:$X$470,8,0)/1000</f>
        <v>2.2360000000000002</v>
      </c>
      <c r="G437" s="139">
        <f>VLOOKUP($A437,'BC.114+840'!$B$13:$X$470,9,0)/1000</f>
        <v>-0.76400000000000001</v>
      </c>
      <c r="H437" s="139">
        <f>VLOOKUP($A437,'BC.114+840'!$B$13:$X$470,14,0)/1000</f>
        <v>2.1509999999999998</v>
      </c>
      <c r="I437" s="139">
        <f>VLOOKUP($A437,'BC.114+840'!$B$13:$X$470,15,0)/1000</f>
        <v>-0.84899999999999998</v>
      </c>
      <c r="J437" s="139">
        <f>VLOOKUP($A437,'BC.114+840'!$B$13:$X$470,20,0)/1000</f>
        <v>2.1629999999999998</v>
      </c>
      <c r="K437" s="139">
        <f>VLOOKUP($A437,'BC.114+840'!$B$13:$X$470,21,0)/1000</f>
        <v>-0.83699999999999997</v>
      </c>
      <c r="L437" s="137">
        <f t="shared" si="21"/>
        <v>-684</v>
      </c>
      <c r="M437" s="138">
        <f t="shared" si="22"/>
        <v>-949</v>
      </c>
      <c r="N437" s="137">
        <f t="shared" si="23"/>
        <v>-446.99999999999994</v>
      </c>
      <c r="O437" s="137"/>
    </row>
    <row r="438" spans="1:15">
      <c r="A438" s="76">
        <f>'BC.114+840'!B437</f>
        <v>45694</v>
      </c>
      <c r="B438" s="137">
        <f t="shared" si="20"/>
        <v>424</v>
      </c>
      <c r="C438" s="139">
        <f>'BC.114+840'!M437/1000</f>
        <v>2.1429999999999998</v>
      </c>
      <c r="D438" s="139">
        <f>'BC.114+840'!AA437</f>
        <v>3.3879999999999999</v>
      </c>
      <c r="E438" s="140">
        <f>'BC.114+840'!AB437</f>
        <v>1.0860000000000001</v>
      </c>
      <c r="F438" s="139">
        <f>VLOOKUP($A438,'BC.114+840'!$B$13:$X$470,8,0)/1000</f>
        <v>2.2330000000000001</v>
      </c>
      <c r="G438" s="139">
        <f>VLOOKUP($A438,'BC.114+840'!$B$13:$X$470,9,0)/1000</f>
        <v>-0.76700000000000002</v>
      </c>
      <c r="H438" s="139">
        <f>VLOOKUP($A438,'BC.114+840'!$B$13:$X$470,14,0)/1000</f>
        <v>2.1429999999999998</v>
      </c>
      <c r="I438" s="139">
        <f>VLOOKUP($A438,'BC.114+840'!$B$13:$X$470,15,0)/1000</f>
        <v>-0.85699999999999998</v>
      </c>
      <c r="J438" s="139">
        <f>VLOOKUP($A438,'BC.114+840'!$B$13:$X$470,20,0)/1000</f>
        <v>2.161</v>
      </c>
      <c r="K438" s="139">
        <f>VLOOKUP($A438,'BC.114+840'!$B$13:$X$470,21,0)/1000</f>
        <v>-0.83899999999999997</v>
      </c>
      <c r="L438" s="137">
        <f t="shared" si="21"/>
        <v>-687</v>
      </c>
      <c r="M438" s="138">
        <f t="shared" si="22"/>
        <v>-957</v>
      </c>
      <c r="N438" s="137">
        <f t="shared" si="23"/>
        <v>-448.99999999999994</v>
      </c>
      <c r="O438" s="137"/>
    </row>
    <row r="439" spans="1:15">
      <c r="A439" s="76">
        <f>'BC.114+840'!B438</f>
        <v>45695</v>
      </c>
      <c r="B439" s="137">
        <f t="shared" si="20"/>
        <v>425</v>
      </c>
      <c r="C439" s="139">
        <f>'BC.114+840'!M438/1000</f>
        <v>2.1349999999999998</v>
      </c>
      <c r="D439" s="139">
        <f>'BC.114+840'!AA438</f>
        <v>3.3879999999999999</v>
      </c>
      <c r="E439" s="140">
        <f>'BC.114+840'!AB438</f>
        <v>1.07</v>
      </c>
      <c r="F439" s="139">
        <f>VLOOKUP($A439,'BC.114+840'!$B$13:$X$470,8,0)/1000</f>
        <v>2.2309999999999999</v>
      </c>
      <c r="G439" s="139">
        <f>VLOOKUP($A439,'BC.114+840'!$B$13:$X$470,9,0)/1000</f>
        <v>-0.76900000000000002</v>
      </c>
      <c r="H439" s="139">
        <f>VLOOKUP($A439,'BC.114+840'!$B$13:$X$470,14,0)/1000</f>
        <v>2.1349999999999998</v>
      </c>
      <c r="I439" s="139">
        <f>VLOOKUP($A439,'BC.114+840'!$B$13:$X$470,15,0)/1000</f>
        <v>-0.86499999999999999</v>
      </c>
      <c r="J439" s="139">
        <f>VLOOKUP($A439,'BC.114+840'!$B$13:$X$470,20,0)/1000</f>
        <v>2.1589999999999998</v>
      </c>
      <c r="K439" s="139">
        <f>VLOOKUP($A439,'BC.114+840'!$B$13:$X$470,21,0)/1000</f>
        <v>-0.84099999999999997</v>
      </c>
      <c r="L439" s="137">
        <f t="shared" si="21"/>
        <v>-689</v>
      </c>
      <c r="M439" s="138">
        <f t="shared" si="22"/>
        <v>-965</v>
      </c>
      <c r="N439" s="137">
        <f t="shared" si="23"/>
        <v>-450.99999999999994</v>
      </c>
      <c r="O439" s="137"/>
    </row>
    <row r="440" spans="1:15">
      <c r="A440" s="76">
        <f>'BC.114+840'!B439</f>
        <v>45696</v>
      </c>
      <c r="B440" s="137">
        <f t="shared" si="20"/>
        <v>426</v>
      </c>
      <c r="C440" s="139">
        <f>'BC.114+840'!M439/1000</f>
        <v>2.1280000000000001</v>
      </c>
      <c r="D440" s="139">
        <f>'BC.114+840'!AA439</f>
        <v>3.3879999999999999</v>
      </c>
      <c r="E440" s="140">
        <f>'BC.114+840'!AB439</f>
        <v>1.056</v>
      </c>
      <c r="F440" s="139">
        <f>VLOOKUP($A440,'BC.114+840'!$B$13:$X$470,8,0)/1000</f>
        <v>2.2269999999999999</v>
      </c>
      <c r="G440" s="139">
        <f>VLOOKUP($A440,'BC.114+840'!$B$13:$X$470,9,0)/1000</f>
        <v>-0.77300000000000002</v>
      </c>
      <c r="H440" s="139">
        <f>VLOOKUP($A440,'BC.114+840'!$B$13:$X$470,14,0)/1000</f>
        <v>2.1280000000000001</v>
      </c>
      <c r="I440" s="139">
        <f>VLOOKUP($A440,'BC.114+840'!$B$13:$X$470,15,0)/1000</f>
        <v>-0.872</v>
      </c>
      <c r="J440" s="139">
        <f>VLOOKUP($A440,'BC.114+840'!$B$13:$X$470,20,0)/1000</f>
        <v>2.1579999999999999</v>
      </c>
      <c r="K440" s="139">
        <f>VLOOKUP($A440,'BC.114+840'!$B$13:$X$470,21,0)/1000</f>
        <v>-0.84199999999999997</v>
      </c>
      <c r="L440" s="137">
        <f t="shared" si="21"/>
        <v>-693.00000000000011</v>
      </c>
      <c r="M440" s="138">
        <f t="shared" si="22"/>
        <v>-972</v>
      </c>
      <c r="N440" s="137">
        <f t="shared" si="23"/>
        <v>-451.99999999999994</v>
      </c>
      <c r="O440" s="137"/>
    </row>
    <row r="441" spans="1:15">
      <c r="A441" s="76">
        <f>'BC.114+840'!B440</f>
        <v>45697</v>
      </c>
      <c r="B441" s="137">
        <f t="shared" si="20"/>
        <v>427</v>
      </c>
      <c r="C441" s="139">
        <f>'BC.114+840'!M440/1000</f>
        <v>2.121</v>
      </c>
      <c r="D441" s="139">
        <f>'BC.114+840'!AA440</f>
        <v>3.3879999999999999</v>
      </c>
      <c r="E441" s="140">
        <f>'BC.114+840'!AB440</f>
        <v>1.042</v>
      </c>
      <c r="F441" s="139">
        <f>VLOOKUP($A441,'BC.114+840'!$B$13:$X$470,8,0)/1000</f>
        <v>2.2250000000000001</v>
      </c>
      <c r="G441" s="139">
        <f>VLOOKUP($A441,'BC.114+840'!$B$13:$X$470,9,0)/1000</f>
        <v>-0.77500000000000002</v>
      </c>
      <c r="H441" s="139">
        <f>VLOOKUP($A441,'BC.114+840'!$B$13:$X$470,14,0)/1000</f>
        <v>2.121</v>
      </c>
      <c r="I441" s="139">
        <f>VLOOKUP($A441,'BC.114+840'!$B$13:$X$470,15,0)/1000</f>
        <v>-0.879</v>
      </c>
      <c r="J441" s="139">
        <f>VLOOKUP($A441,'BC.114+840'!$B$13:$X$470,20,0)/1000</f>
        <v>2.1560000000000001</v>
      </c>
      <c r="K441" s="139">
        <f>VLOOKUP($A441,'BC.114+840'!$B$13:$X$470,21,0)/1000</f>
        <v>-0.84399999999999997</v>
      </c>
      <c r="L441" s="137">
        <f t="shared" si="21"/>
        <v>-695.00000000000011</v>
      </c>
      <c r="M441" s="138">
        <f t="shared" si="22"/>
        <v>-979</v>
      </c>
      <c r="N441" s="137">
        <f t="shared" si="23"/>
        <v>-453.99999999999994</v>
      </c>
      <c r="O441" s="137"/>
    </row>
    <row r="442" spans="1:15">
      <c r="A442" s="76">
        <f>'BC.114+840'!B441</f>
        <v>45698</v>
      </c>
      <c r="B442" s="137">
        <f t="shared" si="20"/>
        <v>428</v>
      </c>
      <c r="C442" s="139">
        <f>'BC.114+840'!M441/1000</f>
        <v>2.1150000000000002</v>
      </c>
      <c r="D442" s="139">
        <f>'BC.114+840'!AA441</f>
        <v>3.3879999999999999</v>
      </c>
      <c r="E442" s="140">
        <f>'BC.114+840'!AB441</f>
        <v>1.03</v>
      </c>
      <c r="F442" s="139">
        <f>VLOOKUP($A442,'BC.114+840'!$B$13:$X$470,8,0)/1000</f>
        <v>2.2200000000000002</v>
      </c>
      <c r="G442" s="139">
        <f>VLOOKUP($A442,'BC.114+840'!$B$13:$X$470,9,0)/1000</f>
        <v>-0.78</v>
      </c>
      <c r="H442" s="139">
        <f>VLOOKUP($A442,'BC.114+840'!$B$13:$X$470,14,0)/1000</f>
        <v>2.1150000000000002</v>
      </c>
      <c r="I442" s="139">
        <f>VLOOKUP($A442,'BC.114+840'!$B$13:$X$470,15,0)/1000</f>
        <v>-0.88500000000000001</v>
      </c>
      <c r="J442" s="139">
        <f>VLOOKUP($A442,'BC.114+840'!$B$13:$X$470,20,0)/1000</f>
        <v>2.1539999999999999</v>
      </c>
      <c r="K442" s="139">
        <f>VLOOKUP($A442,'BC.114+840'!$B$13:$X$470,21,0)/1000</f>
        <v>-0.84599999999999997</v>
      </c>
      <c r="L442" s="137">
        <f t="shared" si="21"/>
        <v>-700.00000000000011</v>
      </c>
      <c r="M442" s="138">
        <f t="shared" si="22"/>
        <v>-985</v>
      </c>
      <c r="N442" s="137">
        <f t="shared" si="23"/>
        <v>-455.99999999999994</v>
      </c>
      <c r="O442" s="137"/>
    </row>
    <row r="443" spans="1:15">
      <c r="A443" s="76">
        <f>'BC.114+840'!B442</f>
        <v>45699</v>
      </c>
      <c r="B443" s="137">
        <f t="shared" si="20"/>
        <v>429</v>
      </c>
      <c r="C443" s="139">
        <f>'BC.114+840'!M442/1000</f>
        <v>2.1070000000000002</v>
      </c>
      <c r="D443" s="139">
        <f>'BC.114+840'!AA442</f>
        <v>3.3879999999999999</v>
      </c>
      <c r="E443" s="140">
        <f>'BC.114+840'!AB442</f>
        <v>1.014</v>
      </c>
      <c r="F443" s="139">
        <f>VLOOKUP($A443,'BC.114+840'!$B$13:$X$470,8,0)/1000</f>
        <v>2.2149999999999999</v>
      </c>
      <c r="G443" s="139">
        <f>VLOOKUP($A443,'BC.114+840'!$B$13:$X$470,9,0)/1000</f>
        <v>-0.78500000000000003</v>
      </c>
      <c r="H443" s="139">
        <f>VLOOKUP($A443,'BC.114+840'!$B$13:$X$470,14,0)/1000</f>
        <v>2.1070000000000002</v>
      </c>
      <c r="I443" s="139">
        <f>VLOOKUP($A443,'BC.114+840'!$B$13:$X$470,15,0)/1000</f>
        <v>-0.89300000000000002</v>
      </c>
      <c r="J443" s="139">
        <f>VLOOKUP($A443,'BC.114+840'!$B$13:$X$470,20,0)/1000</f>
        <v>2.1509999999999998</v>
      </c>
      <c r="K443" s="139">
        <f>VLOOKUP($A443,'BC.114+840'!$B$13:$X$470,21,0)/1000</f>
        <v>-0.84899999999999998</v>
      </c>
      <c r="L443" s="137">
        <f t="shared" si="21"/>
        <v>-705.00000000000011</v>
      </c>
      <c r="M443" s="138">
        <f t="shared" si="22"/>
        <v>-993</v>
      </c>
      <c r="N443" s="137">
        <f t="shared" si="23"/>
        <v>-458.99999999999994</v>
      </c>
      <c r="O443" s="137"/>
    </row>
    <row r="444" spans="1:15">
      <c r="A444" s="76">
        <f>'BC.114+840'!B443</f>
        <v>45700</v>
      </c>
      <c r="B444" s="137">
        <f t="shared" si="20"/>
        <v>430</v>
      </c>
      <c r="C444" s="139">
        <f>'BC.114+840'!M443/1000</f>
        <v>2.1</v>
      </c>
      <c r="D444" s="139">
        <f>'BC.114+840'!AA443</f>
        <v>3.3879999999999999</v>
      </c>
      <c r="E444" s="140">
        <f>'BC.114+840'!AB443</f>
        <v>1</v>
      </c>
      <c r="F444" s="139">
        <f>VLOOKUP($A444,'BC.114+840'!$B$13:$X$470,8,0)/1000</f>
        <v>2.2109999999999999</v>
      </c>
      <c r="G444" s="139">
        <f>VLOOKUP($A444,'BC.114+840'!$B$13:$X$470,9,0)/1000</f>
        <v>-0.78900000000000003</v>
      </c>
      <c r="H444" s="139">
        <f>VLOOKUP($A444,'BC.114+840'!$B$13:$X$470,14,0)/1000</f>
        <v>2.1</v>
      </c>
      <c r="I444" s="139">
        <f>VLOOKUP($A444,'BC.114+840'!$B$13:$X$470,15,0)/1000</f>
        <v>-0.9</v>
      </c>
      <c r="J444" s="139">
        <f>VLOOKUP($A444,'BC.114+840'!$B$13:$X$470,20,0)/1000</f>
        <v>2.15</v>
      </c>
      <c r="K444" s="139">
        <f>VLOOKUP($A444,'BC.114+840'!$B$13:$X$470,21,0)/1000</f>
        <v>-0.85</v>
      </c>
      <c r="L444" s="137">
        <f t="shared" si="21"/>
        <v>-709.00000000000011</v>
      </c>
      <c r="M444" s="138">
        <f t="shared" si="22"/>
        <v>-1000</v>
      </c>
      <c r="N444" s="137">
        <f t="shared" si="23"/>
        <v>-459.99999999999994</v>
      </c>
      <c r="O444" s="137"/>
    </row>
    <row r="445" spans="1:15">
      <c r="A445" s="76">
        <f>'BC.114+840'!B444</f>
        <v>45701</v>
      </c>
      <c r="B445" s="137">
        <f t="shared" si="20"/>
        <v>431</v>
      </c>
      <c r="C445" s="139">
        <f>'BC.114+840'!M444/1000</f>
        <v>2.0910000000000002</v>
      </c>
      <c r="D445" s="139">
        <f>'BC.114+840'!AA444</f>
        <v>3.3879999999999999</v>
      </c>
      <c r="E445" s="140">
        <f>'BC.114+840'!AB444</f>
        <v>0.98199999999999998</v>
      </c>
      <c r="F445" s="139">
        <f>VLOOKUP($A445,'BC.114+840'!$B$13:$X$470,8,0)/1000</f>
        <v>2.2080000000000002</v>
      </c>
      <c r="G445" s="139">
        <f>VLOOKUP($A445,'BC.114+840'!$B$13:$X$470,9,0)/1000</f>
        <v>-0.79200000000000004</v>
      </c>
      <c r="H445" s="139">
        <f>VLOOKUP($A445,'BC.114+840'!$B$13:$X$470,14,0)/1000</f>
        <v>2.0910000000000002</v>
      </c>
      <c r="I445" s="139">
        <f>VLOOKUP($A445,'BC.114+840'!$B$13:$X$470,15,0)/1000</f>
        <v>-0.90900000000000003</v>
      </c>
      <c r="J445" s="139">
        <f>VLOOKUP($A445,'BC.114+840'!$B$13:$X$470,20,0)/1000</f>
        <v>2.1480000000000001</v>
      </c>
      <c r="K445" s="139">
        <f>VLOOKUP($A445,'BC.114+840'!$B$13:$X$470,21,0)/1000</f>
        <v>-0.85199999999999998</v>
      </c>
      <c r="L445" s="137">
        <f t="shared" si="21"/>
        <v>-712.00000000000011</v>
      </c>
      <c r="M445" s="138">
        <f t="shared" si="22"/>
        <v>-1009.0000000000001</v>
      </c>
      <c r="N445" s="137">
        <f t="shared" si="23"/>
        <v>-461.99999999999994</v>
      </c>
      <c r="O445" s="137"/>
    </row>
    <row r="446" spans="1:15">
      <c r="A446" s="76">
        <f>'BC.114+840'!B445</f>
        <v>45702</v>
      </c>
      <c r="B446" s="137">
        <f t="shared" si="20"/>
        <v>432</v>
      </c>
      <c r="C446" s="139">
        <f>'BC.114+840'!M445/1000</f>
        <v>2.0830000000000002</v>
      </c>
      <c r="D446" s="139">
        <f>'BC.114+840'!AA445</f>
        <v>3.3879999999999999</v>
      </c>
      <c r="E446" s="140">
        <f>'BC.114+840'!AB445</f>
        <v>0.96599999999999997</v>
      </c>
      <c r="F446" s="139">
        <f>VLOOKUP($A446,'BC.114+840'!$B$13:$X$470,8,0)/1000</f>
        <v>2.206</v>
      </c>
      <c r="G446" s="139">
        <f>VLOOKUP($A446,'BC.114+840'!$B$13:$X$470,9,0)/1000</f>
        <v>-0.79400000000000004</v>
      </c>
      <c r="H446" s="139">
        <f>VLOOKUP($A446,'BC.114+840'!$B$13:$X$470,14,0)/1000</f>
        <v>2.0830000000000002</v>
      </c>
      <c r="I446" s="139">
        <f>VLOOKUP($A446,'BC.114+840'!$B$13:$X$470,15,0)/1000</f>
        <v>-0.91700000000000004</v>
      </c>
      <c r="J446" s="139">
        <f>VLOOKUP($A446,'BC.114+840'!$B$13:$X$470,20,0)/1000</f>
        <v>2.1459999999999999</v>
      </c>
      <c r="K446" s="139">
        <f>VLOOKUP($A446,'BC.114+840'!$B$13:$X$470,21,0)/1000</f>
        <v>-0.85399999999999998</v>
      </c>
      <c r="L446" s="137">
        <f t="shared" si="21"/>
        <v>-714.00000000000011</v>
      </c>
      <c r="M446" s="138">
        <f t="shared" si="22"/>
        <v>-1017.0000000000001</v>
      </c>
      <c r="N446" s="137">
        <f t="shared" si="23"/>
        <v>-463.99999999999994</v>
      </c>
      <c r="O446" s="137"/>
    </row>
    <row r="447" spans="1:15">
      <c r="A447" s="76">
        <f>'BC.114+840'!B446</f>
        <v>45703</v>
      </c>
      <c r="B447" s="137">
        <f t="shared" ref="B447:B491" si="24">+B446+1</f>
        <v>433</v>
      </c>
      <c r="C447" s="139">
        <f>'BC.114+840'!M446/1000</f>
        <v>2.0750000000000002</v>
      </c>
      <c r="D447" s="139">
        <f>'BC.114+840'!AA446</f>
        <v>3.3879999999999999</v>
      </c>
      <c r="E447" s="140">
        <f>'BC.114+840'!AB446</f>
        <v>0.95</v>
      </c>
      <c r="F447" s="139">
        <f>VLOOKUP($A447,'BC.114+840'!$B$13:$X$470,8,0)/1000</f>
        <v>2.202</v>
      </c>
      <c r="G447" s="139">
        <f>VLOOKUP($A447,'BC.114+840'!$B$13:$X$470,9,0)/1000</f>
        <v>-0.79800000000000004</v>
      </c>
      <c r="H447" s="139">
        <f>VLOOKUP($A447,'BC.114+840'!$B$13:$X$470,14,0)/1000</f>
        <v>2.0750000000000002</v>
      </c>
      <c r="I447" s="139">
        <f>VLOOKUP($A447,'BC.114+840'!$B$13:$X$470,15,0)/1000</f>
        <v>-0.92500000000000004</v>
      </c>
      <c r="J447" s="139">
        <f>VLOOKUP($A447,'BC.114+840'!$B$13:$X$470,20,0)/1000</f>
        <v>2.145</v>
      </c>
      <c r="K447" s="139">
        <f>VLOOKUP($A447,'BC.114+840'!$B$13:$X$470,21,0)/1000</f>
        <v>-0.85499999999999998</v>
      </c>
      <c r="L447" s="137">
        <f t="shared" si="21"/>
        <v>-718.00000000000011</v>
      </c>
      <c r="M447" s="138">
        <f t="shared" si="22"/>
        <v>-1025.0000000000002</v>
      </c>
      <c r="N447" s="137">
        <f t="shared" si="23"/>
        <v>-464.99999999999994</v>
      </c>
      <c r="O447" s="137"/>
    </row>
    <row r="448" spans="1:15">
      <c r="A448" s="76">
        <f>'BC.114+840'!B447</f>
        <v>45704</v>
      </c>
      <c r="B448" s="137">
        <f t="shared" si="24"/>
        <v>434</v>
      </c>
      <c r="C448" s="139">
        <f>'BC.114+840'!M447/1000</f>
        <v>2.0659999999999998</v>
      </c>
      <c r="D448" s="139">
        <f>'BC.114+840'!AA447</f>
        <v>3.3879999999999999</v>
      </c>
      <c r="E448" s="140">
        <f>'BC.114+840'!AB447</f>
        <v>0.93200000000000005</v>
      </c>
      <c r="F448" s="139">
        <f>VLOOKUP($A448,'BC.114+840'!$B$13:$X$470,8,0)/1000</f>
        <v>2.1989999999999998</v>
      </c>
      <c r="G448" s="139">
        <f>VLOOKUP($A448,'BC.114+840'!$B$13:$X$470,9,0)/1000</f>
        <v>-0.80100000000000005</v>
      </c>
      <c r="H448" s="139">
        <f>VLOOKUP($A448,'BC.114+840'!$B$13:$X$470,14,0)/1000</f>
        <v>2.0659999999999998</v>
      </c>
      <c r="I448" s="139">
        <f>VLOOKUP($A448,'BC.114+840'!$B$13:$X$470,15,0)/1000</f>
        <v>-0.93400000000000005</v>
      </c>
      <c r="J448" s="139">
        <f>VLOOKUP($A448,'BC.114+840'!$B$13:$X$470,20,0)/1000</f>
        <v>2.1429999999999998</v>
      </c>
      <c r="K448" s="139">
        <f>VLOOKUP($A448,'BC.114+840'!$B$13:$X$470,21,0)/1000</f>
        <v>-0.85699999999999998</v>
      </c>
      <c r="L448" s="137">
        <f t="shared" si="21"/>
        <v>-721.00000000000011</v>
      </c>
      <c r="M448" s="138">
        <f t="shared" si="22"/>
        <v>-1034</v>
      </c>
      <c r="N448" s="137">
        <f t="shared" si="23"/>
        <v>-466.99999999999994</v>
      </c>
      <c r="O448" s="137"/>
    </row>
    <row r="449" spans="1:15">
      <c r="A449" s="76">
        <f>'BC.114+840'!B448</f>
        <v>45705</v>
      </c>
      <c r="B449" s="137">
        <f t="shared" si="24"/>
        <v>435</v>
      </c>
      <c r="C449" s="139">
        <f>'BC.114+840'!M448/1000</f>
        <v>2.0569999999999999</v>
      </c>
      <c r="D449" s="139">
        <f>'BC.114+840'!AA448</f>
        <v>3.3879999999999999</v>
      </c>
      <c r="E449" s="140">
        <f>'BC.114+840'!AB448</f>
        <v>0.91400000000000003</v>
      </c>
      <c r="F449" s="139">
        <f>VLOOKUP($A449,'BC.114+840'!$B$13:$X$470,8,0)/1000</f>
        <v>2.1949999999999998</v>
      </c>
      <c r="G449" s="139">
        <f>VLOOKUP($A449,'BC.114+840'!$B$13:$X$470,9,0)/1000</f>
        <v>-0.80500000000000005</v>
      </c>
      <c r="H449" s="139">
        <f>VLOOKUP($A449,'BC.114+840'!$B$13:$X$470,14,0)/1000</f>
        <v>2.0569999999999999</v>
      </c>
      <c r="I449" s="139">
        <f>VLOOKUP($A449,'BC.114+840'!$B$13:$X$470,15,0)/1000</f>
        <v>-0.94299999999999995</v>
      </c>
      <c r="J449" s="139">
        <f>VLOOKUP($A449,'BC.114+840'!$B$13:$X$470,20,0)/1000</f>
        <v>2.141</v>
      </c>
      <c r="K449" s="139">
        <f>VLOOKUP($A449,'BC.114+840'!$B$13:$X$470,21,0)/1000</f>
        <v>-0.85899999999999999</v>
      </c>
      <c r="L449" s="137">
        <f t="shared" si="21"/>
        <v>-725.00000000000011</v>
      </c>
      <c r="M449" s="138">
        <f t="shared" si="22"/>
        <v>-1043</v>
      </c>
      <c r="N449" s="137">
        <f t="shared" si="23"/>
        <v>-469</v>
      </c>
      <c r="O449" s="137"/>
    </row>
    <row r="450" spans="1:15">
      <c r="A450" s="76">
        <f>'BC.114+840'!B449</f>
        <v>45706</v>
      </c>
      <c r="B450" s="137">
        <f t="shared" si="24"/>
        <v>436</v>
      </c>
      <c r="C450" s="139">
        <f>'BC.114+840'!M449/1000</f>
        <v>2.0489999999999999</v>
      </c>
      <c r="D450" s="139">
        <f>'BC.114+840'!AA449</f>
        <v>3.3879999999999999</v>
      </c>
      <c r="E450" s="140">
        <f>'BC.114+840'!AB449</f>
        <v>0.89800000000000002</v>
      </c>
      <c r="F450" s="139">
        <f>VLOOKUP($A450,'BC.114+840'!$B$13:$X$470,8,0)/1000</f>
        <v>2.1930000000000001</v>
      </c>
      <c r="G450" s="139">
        <f>VLOOKUP($A450,'BC.114+840'!$B$13:$X$470,9,0)/1000</f>
        <v>-0.80700000000000005</v>
      </c>
      <c r="H450" s="139">
        <f>VLOOKUP($A450,'BC.114+840'!$B$13:$X$470,14,0)/1000</f>
        <v>2.0489999999999999</v>
      </c>
      <c r="I450" s="139">
        <f>VLOOKUP($A450,'BC.114+840'!$B$13:$X$470,15,0)/1000</f>
        <v>-0.95099999999999996</v>
      </c>
      <c r="J450" s="139">
        <f>VLOOKUP($A450,'BC.114+840'!$B$13:$X$470,20,0)/1000</f>
        <v>2.1389999999999998</v>
      </c>
      <c r="K450" s="139">
        <f>VLOOKUP($A450,'BC.114+840'!$B$13:$X$470,21,0)/1000</f>
        <v>-0.86099999999999999</v>
      </c>
      <c r="L450" s="137">
        <f t="shared" si="21"/>
        <v>-727.00000000000011</v>
      </c>
      <c r="M450" s="138">
        <f t="shared" si="22"/>
        <v>-1051</v>
      </c>
      <c r="N450" s="137">
        <f t="shared" si="23"/>
        <v>-471</v>
      </c>
      <c r="O450" s="137"/>
    </row>
    <row r="451" spans="1:15">
      <c r="A451" s="76">
        <f>'BC.114+840'!B450</f>
        <v>45707</v>
      </c>
      <c r="B451" s="137">
        <f t="shared" si="24"/>
        <v>437</v>
      </c>
      <c r="C451" s="139">
        <f>'BC.114+840'!M450/1000</f>
        <v>2.04</v>
      </c>
      <c r="D451" s="139">
        <f>'BC.114+840'!AA450</f>
        <v>3.3879999999999999</v>
      </c>
      <c r="E451" s="140">
        <f>'BC.114+840'!AB450</f>
        <v>0.88</v>
      </c>
      <c r="F451" s="139">
        <f>VLOOKUP($A451,'BC.114+840'!$B$13:$X$470,8,0)/1000</f>
        <v>2.1880000000000002</v>
      </c>
      <c r="G451" s="139">
        <f>VLOOKUP($A451,'BC.114+840'!$B$13:$X$470,9,0)/1000</f>
        <v>-0.81200000000000006</v>
      </c>
      <c r="H451" s="139">
        <f>VLOOKUP($A451,'BC.114+840'!$B$13:$X$470,14,0)/1000</f>
        <v>2.04</v>
      </c>
      <c r="I451" s="139">
        <f>VLOOKUP($A451,'BC.114+840'!$B$13:$X$470,15,0)/1000</f>
        <v>-0.96</v>
      </c>
      <c r="J451" s="139">
        <f>VLOOKUP($A451,'BC.114+840'!$B$13:$X$470,20,0)/1000</f>
        <v>2.137</v>
      </c>
      <c r="K451" s="139">
        <f>VLOOKUP($A451,'BC.114+840'!$B$13:$X$470,21,0)/1000</f>
        <v>-0.86299999999999999</v>
      </c>
      <c r="L451" s="137">
        <f t="shared" si="21"/>
        <v>-732.00000000000011</v>
      </c>
      <c r="M451" s="138">
        <f t="shared" si="22"/>
        <v>-1060</v>
      </c>
      <c r="N451" s="137">
        <f t="shared" si="23"/>
        <v>-473</v>
      </c>
      <c r="O451" s="137"/>
    </row>
    <row r="452" spans="1:15">
      <c r="A452" s="76">
        <f>'BC.114+840'!B451</f>
        <v>45708</v>
      </c>
      <c r="B452" s="137">
        <f t="shared" si="24"/>
        <v>438</v>
      </c>
      <c r="C452" s="139">
        <f>'BC.114+840'!M451/1000</f>
        <v>2.032</v>
      </c>
      <c r="D452" s="139">
        <f>'BC.114+840'!AA451</f>
        <v>3.3879999999999999</v>
      </c>
      <c r="E452" s="140">
        <f>'BC.114+840'!AB451</f>
        <v>0.86399999999999999</v>
      </c>
      <c r="F452" s="139">
        <f>VLOOKUP($A452,'BC.114+840'!$B$13:$X$470,8,0)/1000</f>
        <v>2.1829999999999998</v>
      </c>
      <c r="G452" s="139">
        <f>VLOOKUP($A452,'BC.114+840'!$B$13:$X$470,9,0)/1000</f>
        <v>-0.81699999999999995</v>
      </c>
      <c r="H452" s="139">
        <f>VLOOKUP($A452,'BC.114+840'!$B$13:$X$470,14,0)/1000</f>
        <v>2.032</v>
      </c>
      <c r="I452" s="139">
        <f>VLOOKUP($A452,'BC.114+840'!$B$13:$X$470,15,0)/1000</f>
        <v>-0.96799999999999997</v>
      </c>
      <c r="J452" s="139">
        <f>VLOOKUP($A452,'BC.114+840'!$B$13:$X$470,20,0)/1000</f>
        <v>2.1349999999999998</v>
      </c>
      <c r="K452" s="139">
        <f>VLOOKUP($A452,'BC.114+840'!$B$13:$X$470,21,0)/1000</f>
        <v>-0.86499999999999999</v>
      </c>
      <c r="L452" s="137">
        <f t="shared" si="21"/>
        <v>-737</v>
      </c>
      <c r="M452" s="138">
        <f t="shared" si="22"/>
        <v>-1068</v>
      </c>
      <c r="N452" s="137">
        <f t="shared" si="23"/>
        <v>-475</v>
      </c>
      <c r="O452" s="137"/>
    </row>
    <row r="453" spans="1:15">
      <c r="A453" s="76">
        <f>'BC.114+840'!B452</f>
        <v>45709</v>
      </c>
      <c r="B453" s="137">
        <f t="shared" si="24"/>
        <v>439</v>
      </c>
      <c r="C453" s="139">
        <f>'BC.114+840'!M452/1000</f>
        <v>2.0249999999999999</v>
      </c>
      <c r="D453" s="139">
        <f>'BC.114+840'!AA452</f>
        <v>3.3879999999999999</v>
      </c>
      <c r="E453" s="140">
        <f>'BC.114+840'!AB452</f>
        <v>0.85</v>
      </c>
      <c r="F453" s="139">
        <f>VLOOKUP($A453,'BC.114+840'!$B$13:$X$470,8,0)/1000</f>
        <v>2.1760000000000002</v>
      </c>
      <c r="G453" s="139">
        <f>VLOOKUP($A453,'BC.114+840'!$B$13:$X$470,9,0)/1000</f>
        <v>-0.82399999999999995</v>
      </c>
      <c r="H453" s="139">
        <f>VLOOKUP($A453,'BC.114+840'!$B$13:$X$470,14,0)/1000</f>
        <v>2.0249999999999999</v>
      </c>
      <c r="I453" s="139">
        <f>VLOOKUP($A453,'BC.114+840'!$B$13:$X$470,15,0)/1000</f>
        <v>-0.97499999999999998</v>
      </c>
      <c r="J453" s="139">
        <f>VLOOKUP($A453,'BC.114+840'!$B$13:$X$470,20,0)/1000</f>
        <v>2.1339999999999999</v>
      </c>
      <c r="K453" s="139">
        <f>VLOOKUP($A453,'BC.114+840'!$B$13:$X$470,21,0)/1000</f>
        <v>-0.86599999999999999</v>
      </c>
      <c r="L453" s="137">
        <f t="shared" si="21"/>
        <v>-744</v>
      </c>
      <c r="M453" s="138">
        <f t="shared" si="22"/>
        <v>-1075</v>
      </c>
      <c r="N453" s="137">
        <f t="shared" si="23"/>
        <v>-476</v>
      </c>
      <c r="O453" s="137"/>
    </row>
    <row r="454" spans="1:15">
      <c r="A454" s="76">
        <f>'BC.114+840'!B453</f>
        <v>45710</v>
      </c>
      <c r="B454" s="137">
        <f t="shared" si="24"/>
        <v>440</v>
      </c>
      <c r="C454" s="139">
        <f>'BC.114+840'!M453/1000</f>
        <v>2.016</v>
      </c>
      <c r="D454" s="139">
        <f>'BC.114+840'!AA453</f>
        <v>3.3879999999999999</v>
      </c>
      <c r="E454" s="140">
        <f>'BC.114+840'!AB453</f>
        <v>0.83199999999999996</v>
      </c>
      <c r="F454" s="139">
        <f>VLOOKUP($A454,'BC.114+840'!$B$13:$X$470,8,0)/1000</f>
        <v>2.1709999999999998</v>
      </c>
      <c r="G454" s="139">
        <f>VLOOKUP($A454,'BC.114+840'!$B$13:$X$470,9,0)/1000</f>
        <v>-0.82899999999999996</v>
      </c>
      <c r="H454" s="139">
        <f>VLOOKUP($A454,'BC.114+840'!$B$13:$X$470,14,0)/1000</f>
        <v>2.016</v>
      </c>
      <c r="I454" s="139">
        <f>VLOOKUP($A454,'BC.114+840'!$B$13:$X$470,15,0)/1000</f>
        <v>-0.98399999999999999</v>
      </c>
      <c r="J454" s="139">
        <f>VLOOKUP($A454,'BC.114+840'!$B$13:$X$470,20,0)/1000</f>
        <v>2.1320000000000001</v>
      </c>
      <c r="K454" s="139">
        <f>VLOOKUP($A454,'BC.114+840'!$B$13:$X$470,21,0)/1000</f>
        <v>-0.86799999999999999</v>
      </c>
      <c r="L454" s="137">
        <f t="shared" si="21"/>
        <v>-749</v>
      </c>
      <c r="M454" s="138">
        <f t="shared" si="22"/>
        <v>-1084</v>
      </c>
      <c r="N454" s="137">
        <f t="shared" si="23"/>
        <v>-478</v>
      </c>
      <c r="O454" s="137"/>
    </row>
    <row r="455" spans="1:15">
      <c r="A455" s="76">
        <f>'BC.114+840'!B454</f>
        <v>45711</v>
      </c>
      <c r="B455" s="137">
        <f t="shared" si="24"/>
        <v>441</v>
      </c>
      <c r="C455" s="139">
        <f>'BC.114+840'!M454/1000</f>
        <v>2.008</v>
      </c>
      <c r="D455" s="139">
        <f>'BC.114+840'!AA454</f>
        <v>3.3879999999999999</v>
      </c>
      <c r="E455" s="140">
        <f>'BC.114+840'!AB454</f>
        <v>0.81599999999999995</v>
      </c>
      <c r="F455" s="139">
        <f>VLOOKUP($A455,'BC.114+840'!$B$13:$X$470,8,0)/1000</f>
        <v>2.1640000000000001</v>
      </c>
      <c r="G455" s="139">
        <f>VLOOKUP($A455,'BC.114+840'!$B$13:$X$470,9,0)/1000</f>
        <v>-0.83599999999999997</v>
      </c>
      <c r="H455" s="139">
        <f>VLOOKUP($A455,'BC.114+840'!$B$13:$X$470,14,0)/1000</f>
        <v>2.008</v>
      </c>
      <c r="I455" s="139">
        <f>VLOOKUP($A455,'BC.114+840'!$B$13:$X$470,15,0)/1000</f>
        <v>-0.99199999999999999</v>
      </c>
      <c r="J455" s="139">
        <f>VLOOKUP($A455,'BC.114+840'!$B$13:$X$470,20,0)/1000</f>
        <v>2.1309999999999998</v>
      </c>
      <c r="K455" s="139">
        <f>VLOOKUP($A455,'BC.114+840'!$B$13:$X$470,21,0)/1000</f>
        <v>-0.86899999999999999</v>
      </c>
      <c r="L455" s="137">
        <f t="shared" si="21"/>
        <v>-756</v>
      </c>
      <c r="M455" s="138">
        <f t="shared" si="22"/>
        <v>-1092</v>
      </c>
      <c r="N455" s="137">
        <f t="shared" si="23"/>
        <v>-479</v>
      </c>
      <c r="O455" s="137"/>
    </row>
    <row r="456" spans="1:15">
      <c r="A456" s="76">
        <f>'BC.114+840'!B455</f>
        <v>45712</v>
      </c>
      <c r="B456" s="137">
        <f t="shared" si="24"/>
        <v>442</v>
      </c>
      <c r="C456" s="139">
        <f>'BC.114+840'!M455/1000</f>
        <v>2</v>
      </c>
      <c r="D456" s="139">
        <f>'BC.114+840'!AA455</f>
        <v>3.3879999999999999</v>
      </c>
      <c r="E456" s="140">
        <f>'BC.114+840'!AB455</f>
        <v>0.8</v>
      </c>
      <c r="F456" s="139">
        <f>VLOOKUP($A456,'BC.114+840'!$B$13:$X$470,8,0)/1000</f>
        <v>2.161</v>
      </c>
      <c r="G456" s="139">
        <f>VLOOKUP($A456,'BC.114+840'!$B$13:$X$470,9,0)/1000</f>
        <v>-0.83899999999999997</v>
      </c>
      <c r="H456" s="139">
        <f>VLOOKUP($A456,'BC.114+840'!$B$13:$X$470,14,0)/1000</f>
        <v>2</v>
      </c>
      <c r="I456" s="139">
        <f>VLOOKUP($A456,'BC.114+840'!$B$13:$X$470,15,0)/1000</f>
        <v>-1</v>
      </c>
      <c r="J456" s="139">
        <f>VLOOKUP($A456,'BC.114+840'!$B$13:$X$470,20,0)/1000</f>
        <v>2.13</v>
      </c>
      <c r="K456" s="139">
        <f>VLOOKUP($A456,'BC.114+840'!$B$13:$X$470,21,0)/1000</f>
        <v>-0.87</v>
      </c>
      <c r="L456" s="137">
        <f t="shared" si="21"/>
        <v>-759</v>
      </c>
      <c r="M456" s="138">
        <f t="shared" si="22"/>
        <v>-1100</v>
      </c>
      <c r="N456" s="137">
        <f t="shared" si="23"/>
        <v>-480</v>
      </c>
      <c r="O456" s="137"/>
    </row>
    <row r="457" spans="1:15">
      <c r="A457" s="76">
        <f>'BC.114+840'!B456</f>
        <v>45713</v>
      </c>
      <c r="B457" s="137">
        <f t="shared" si="24"/>
        <v>443</v>
      </c>
      <c r="C457" s="139">
        <f>'BC.114+840'!M456/1000</f>
        <v>1.9930000000000001</v>
      </c>
      <c r="D457" s="139">
        <f>'BC.114+840'!AA456</f>
        <v>3.3879999999999999</v>
      </c>
      <c r="E457" s="140">
        <f>'BC.114+840'!AB456</f>
        <v>0.78600000000000003</v>
      </c>
      <c r="F457" s="139">
        <f>VLOOKUP($A457,'BC.114+840'!$B$13:$X$470,8,0)/1000</f>
        <v>2.1589999999999998</v>
      </c>
      <c r="G457" s="139">
        <f>VLOOKUP($A457,'BC.114+840'!$B$13:$X$470,9,0)/1000</f>
        <v>-0.84099999999999997</v>
      </c>
      <c r="H457" s="139">
        <f>VLOOKUP($A457,'BC.114+840'!$B$13:$X$470,14,0)/1000</f>
        <v>1.9930000000000001</v>
      </c>
      <c r="I457" s="139">
        <f>VLOOKUP($A457,'BC.114+840'!$B$13:$X$470,15,0)/1000</f>
        <v>-1.0069999999999999</v>
      </c>
      <c r="J457" s="139">
        <f>VLOOKUP($A457,'BC.114+840'!$B$13:$X$470,20,0)/1000</f>
        <v>2.1269999999999998</v>
      </c>
      <c r="K457" s="139">
        <f>VLOOKUP($A457,'BC.114+840'!$B$13:$X$470,21,0)/1000</f>
        <v>-0.873</v>
      </c>
      <c r="L457" s="137">
        <f t="shared" si="21"/>
        <v>-761</v>
      </c>
      <c r="M457" s="138">
        <f t="shared" si="22"/>
        <v>-1107</v>
      </c>
      <c r="N457" s="137">
        <f t="shared" si="23"/>
        <v>-483</v>
      </c>
      <c r="O457" s="137"/>
    </row>
    <row r="458" spans="1:15">
      <c r="A458" s="76">
        <f>'BC.114+840'!B457</f>
        <v>45714</v>
      </c>
      <c r="B458" s="137">
        <f t="shared" si="24"/>
        <v>444</v>
      </c>
      <c r="C458" s="139">
        <f>'BC.114+840'!M457/1000</f>
        <v>1.986</v>
      </c>
      <c r="D458" s="139">
        <f>'BC.114+840'!AA457</f>
        <v>3.3879999999999999</v>
      </c>
      <c r="E458" s="140">
        <f>'BC.114+840'!AB457</f>
        <v>0.77200000000000002</v>
      </c>
      <c r="F458" s="139">
        <f>VLOOKUP($A458,'BC.114+840'!$B$13:$X$470,8,0)/1000</f>
        <v>2.1549999999999998</v>
      </c>
      <c r="G458" s="139">
        <f>VLOOKUP($A458,'BC.114+840'!$B$13:$X$470,9,0)/1000</f>
        <v>-0.84499999999999997</v>
      </c>
      <c r="H458" s="139">
        <f>VLOOKUP($A458,'BC.114+840'!$B$13:$X$470,14,0)/1000</f>
        <v>1.986</v>
      </c>
      <c r="I458" s="139">
        <f>VLOOKUP($A458,'BC.114+840'!$B$13:$X$470,15,0)/1000</f>
        <v>-1.014</v>
      </c>
      <c r="J458" s="139">
        <f>VLOOKUP($A458,'BC.114+840'!$B$13:$X$470,20,0)/1000</f>
        <v>2.1259999999999999</v>
      </c>
      <c r="K458" s="139">
        <f>VLOOKUP($A458,'BC.114+840'!$B$13:$X$470,21,0)/1000</f>
        <v>-0.874</v>
      </c>
      <c r="L458" s="137">
        <f t="shared" si="21"/>
        <v>-765</v>
      </c>
      <c r="M458" s="138">
        <f t="shared" si="22"/>
        <v>-1114</v>
      </c>
      <c r="N458" s="137">
        <f t="shared" si="23"/>
        <v>-484</v>
      </c>
      <c r="O458" s="137"/>
    </row>
    <row r="459" spans="1:15">
      <c r="A459" s="76">
        <f>'BC.114+840'!B458</f>
        <v>45715</v>
      </c>
      <c r="B459" s="137">
        <f t="shared" si="24"/>
        <v>445</v>
      </c>
      <c r="C459" s="139">
        <f>'BC.114+840'!M458/1000</f>
        <v>1.98</v>
      </c>
      <c r="D459" s="139">
        <f>'BC.114+840'!AA458</f>
        <v>3.3879999999999999</v>
      </c>
      <c r="E459" s="140">
        <f>'BC.114+840'!AB458</f>
        <v>0.76</v>
      </c>
      <c r="F459" s="139">
        <f>VLOOKUP($A459,'BC.114+840'!$B$13:$X$470,8,0)/1000</f>
        <v>2.1480000000000001</v>
      </c>
      <c r="G459" s="139">
        <f>VLOOKUP($A459,'BC.114+840'!$B$13:$X$470,9,0)/1000</f>
        <v>-0.85199999999999998</v>
      </c>
      <c r="H459" s="139">
        <f>VLOOKUP($A459,'BC.114+840'!$B$13:$X$470,14,0)/1000</f>
        <v>1.98</v>
      </c>
      <c r="I459" s="139">
        <f>VLOOKUP($A459,'BC.114+840'!$B$13:$X$470,15,0)/1000</f>
        <v>-1.02</v>
      </c>
      <c r="J459" s="139">
        <f>VLOOKUP($A459,'BC.114+840'!$B$13:$X$470,20,0)/1000</f>
        <v>2.1240000000000001</v>
      </c>
      <c r="K459" s="139">
        <f>VLOOKUP($A459,'BC.114+840'!$B$13:$X$470,21,0)/1000</f>
        <v>-0.876</v>
      </c>
      <c r="L459" s="137">
        <f t="shared" si="21"/>
        <v>-772</v>
      </c>
      <c r="M459" s="138">
        <f t="shared" si="22"/>
        <v>-1120</v>
      </c>
      <c r="N459" s="137">
        <f t="shared" si="23"/>
        <v>-486</v>
      </c>
      <c r="O459" s="137"/>
    </row>
    <row r="460" spans="1:15">
      <c r="A460" s="76">
        <f>'BC.114+840'!B459</f>
        <v>45716</v>
      </c>
      <c r="B460" s="137">
        <f t="shared" si="24"/>
        <v>446</v>
      </c>
      <c r="C460" s="139">
        <f>'BC.114+840'!M459/1000</f>
        <v>1.972</v>
      </c>
      <c r="D460" s="139">
        <f>'BC.114+840'!AA459</f>
        <v>3.3879999999999999</v>
      </c>
      <c r="E460" s="140">
        <f>'BC.114+840'!AB459</f>
        <v>0.74399999999999999</v>
      </c>
      <c r="F460" s="139">
        <f>VLOOKUP($A460,'BC.114+840'!$B$13:$X$470,8,0)/1000</f>
        <v>2.1429999999999998</v>
      </c>
      <c r="G460" s="139">
        <f>VLOOKUP($A460,'BC.114+840'!$B$13:$X$470,9,0)/1000</f>
        <v>-0.85699999999999998</v>
      </c>
      <c r="H460" s="139">
        <f>VLOOKUP($A460,'BC.114+840'!$B$13:$X$470,14,0)/1000</f>
        <v>1.972</v>
      </c>
      <c r="I460" s="139">
        <f>VLOOKUP($A460,'BC.114+840'!$B$13:$X$470,15,0)/1000</f>
        <v>-1.028</v>
      </c>
      <c r="J460" s="139">
        <f>VLOOKUP($A460,'BC.114+840'!$B$13:$X$470,20,0)/1000</f>
        <v>2.1230000000000002</v>
      </c>
      <c r="K460" s="139">
        <f>VLOOKUP($A460,'BC.114+840'!$B$13:$X$470,21,0)/1000</f>
        <v>-0.877</v>
      </c>
      <c r="L460" s="137">
        <f t="shared" si="21"/>
        <v>-777</v>
      </c>
      <c r="M460" s="138">
        <f t="shared" si="22"/>
        <v>-1128</v>
      </c>
      <c r="N460" s="137">
        <f t="shared" si="23"/>
        <v>-487</v>
      </c>
      <c r="O460" s="137"/>
    </row>
    <row r="461" spans="1:15">
      <c r="A461" s="76">
        <f>'BC.114+840'!B460</f>
        <v>45717</v>
      </c>
      <c r="B461" s="137">
        <f t="shared" si="24"/>
        <v>447</v>
      </c>
      <c r="C461" s="139">
        <f>'BC.114+840'!M460/1000</f>
        <v>1.9650000000000001</v>
      </c>
      <c r="D461" s="139">
        <f>'BC.114+840'!AA460</f>
        <v>3.3879999999999999</v>
      </c>
      <c r="E461" s="140">
        <f>'BC.114+840'!AB460</f>
        <v>0.73</v>
      </c>
      <c r="F461" s="139">
        <f>VLOOKUP($A461,'BC.114+840'!$B$13:$X$470,8,0)/1000</f>
        <v>2.1379999999999999</v>
      </c>
      <c r="G461" s="139">
        <f>VLOOKUP($A461,'BC.114+840'!$B$13:$X$470,9,0)/1000</f>
        <v>-0.86199999999999999</v>
      </c>
      <c r="H461" s="139">
        <f>VLOOKUP($A461,'BC.114+840'!$B$13:$X$470,14,0)/1000</f>
        <v>1.9650000000000001</v>
      </c>
      <c r="I461" s="139">
        <f>VLOOKUP($A461,'BC.114+840'!$B$13:$X$470,15,0)/1000</f>
        <v>-1.0349999999999999</v>
      </c>
      <c r="J461" s="139">
        <f>VLOOKUP($A461,'BC.114+840'!$B$13:$X$470,20,0)/1000</f>
        <v>2.121</v>
      </c>
      <c r="K461" s="139">
        <f>VLOOKUP($A461,'BC.114+840'!$B$13:$X$470,21,0)/1000</f>
        <v>-0.879</v>
      </c>
      <c r="L461" s="137">
        <f t="shared" si="21"/>
        <v>-782</v>
      </c>
      <c r="M461" s="138">
        <f t="shared" si="22"/>
        <v>-1135</v>
      </c>
      <c r="N461" s="137">
        <f t="shared" si="23"/>
        <v>-489</v>
      </c>
      <c r="O461" s="137"/>
    </row>
    <row r="462" spans="1:15">
      <c r="A462" s="76">
        <f>'BC.114+840'!B461</f>
        <v>45718</v>
      </c>
      <c r="B462" s="137">
        <f t="shared" si="24"/>
        <v>448</v>
      </c>
      <c r="C462" s="139">
        <f>'BC.114+840'!M461/1000</f>
        <v>1.956</v>
      </c>
      <c r="D462" s="139">
        <f>'BC.114+840'!AA461</f>
        <v>3.3879999999999999</v>
      </c>
      <c r="E462" s="140">
        <f>'BC.114+840'!AB461</f>
        <v>0.71199999999999997</v>
      </c>
      <c r="F462" s="139">
        <f>VLOOKUP($A462,'BC.114+840'!$B$13:$X$470,8,0)/1000</f>
        <v>2.1339999999999999</v>
      </c>
      <c r="G462" s="139">
        <f>VLOOKUP($A462,'BC.114+840'!$B$13:$X$470,9,0)/1000</f>
        <v>-0.86599999999999999</v>
      </c>
      <c r="H462" s="139">
        <f>VLOOKUP($A462,'BC.114+840'!$B$13:$X$470,14,0)/1000</f>
        <v>1.956</v>
      </c>
      <c r="I462" s="139">
        <f>VLOOKUP($A462,'BC.114+840'!$B$13:$X$470,15,0)/1000</f>
        <v>-1.044</v>
      </c>
      <c r="J462" s="139">
        <f>VLOOKUP($A462,'BC.114+840'!$B$13:$X$470,20,0)/1000</f>
        <v>2.1190000000000002</v>
      </c>
      <c r="K462" s="139">
        <f>VLOOKUP($A462,'BC.114+840'!$B$13:$X$470,21,0)/1000</f>
        <v>-0.88100000000000001</v>
      </c>
      <c r="L462" s="137">
        <f t="shared" ref="L462:L491" si="25">(G462-$G$14)*1000</f>
        <v>-786</v>
      </c>
      <c r="M462" s="138">
        <f t="shared" ref="M462:M491" si="26">(I462-$I$14)*1000</f>
        <v>-1144.0000000000002</v>
      </c>
      <c r="N462" s="137">
        <f t="shared" si="23"/>
        <v>-491</v>
      </c>
      <c r="O462" s="137"/>
    </row>
    <row r="463" spans="1:15">
      <c r="A463" s="76">
        <f>'BC.114+840'!B462</f>
        <v>45719</v>
      </c>
      <c r="B463" s="137">
        <f t="shared" si="24"/>
        <v>449</v>
      </c>
      <c r="C463" s="139">
        <f>'BC.114+840'!M462/1000</f>
        <v>1.948</v>
      </c>
      <c r="D463" s="139">
        <f>'BC.114+840'!AA462</f>
        <v>3.3879999999999999</v>
      </c>
      <c r="E463" s="140">
        <f>'BC.114+840'!AB462</f>
        <v>0.69599999999999995</v>
      </c>
      <c r="F463" s="139">
        <f>VLOOKUP($A463,'BC.114+840'!$B$13:$X$470,8,0)/1000</f>
        <v>2.1309999999999998</v>
      </c>
      <c r="G463" s="139">
        <f>VLOOKUP($A463,'BC.114+840'!$B$13:$X$470,9,0)/1000</f>
        <v>-0.86899999999999999</v>
      </c>
      <c r="H463" s="139">
        <f>VLOOKUP($A463,'BC.114+840'!$B$13:$X$470,14,0)/1000</f>
        <v>1.948</v>
      </c>
      <c r="I463" s="139">
        <f>VLOOKUP($A463,'BC.114+840'!$B$13:$X$470,15,0)/1000</f>
        <v>-1.052</v>
      </c>
      <c r="J463" s="139">
        <f>VLOOKUP($A463,'BC.114+840'!$B$13:$X$470,20,0)/1000</f>
        <v>2.1160000000000001</v>
      </c>
      <c r="K463" s="139">
        <f>VLOOKUP($A463,'BC.114+840'!$B$13:$X$470,21,0)/1000</f>
        <v>-0.88400000000000001</v>
      </c>
      <c r="L463" s="137">
        <f t="shared" si="25"/>
        <v>-789</v>
      </c>
      <c r="M463" s="138">
        <f t="shared" si="26"/>
        <v>-1152.0000000000002</v>
      </c>
      <c r="N463" s="137">
        <f t="shared" ref="N463:N491" si="27">(K463-$K$14)*1000</f>
        <v>-494</v>
      </c>
      <c r="O463" s="137"/>
    </row>
    <row r="464" spans="1:15">
      <c r="A464" s="76">
        <f>'BC.114+840'!B463</f>
        <v>45720</v>
      </c>
      <c r="B464" s="137">
        <f t="shared" si="24"/>
        <v>450</v>
      </c>
      <c r="C464" s="139">
        <f>'BC.114+840'!M463/1000</f>
        <v>1.94</v>
      </c>
      <c r="D464" s="139">
        <f>'BC.114+840'!AA463</f>
        <v>3.3879999999999999</v>
      </c>
      <c r="E464" s="140">
        <f>'BC.114+840'!AB463</f>
        <v>0.68</v>
      </c>
      <c r="F464" s="139">
        <f>VLOOKUP($A464,'BC.114+840'!$B$13:$X$470,8,0)/1000</f>
        <v>2.129</v>
      </c>
      <c r="G464" s="139">
        <f>VLOOKUP($A464,'BC.114+840'!$B$13:$X$470,9,0)/1000</f>
        <v>-0.871</v>
      </c>
      <c r="H464" s="139">
        <f>VLOOKUP($A464,'BC.114+840'!$B$13:$X$470,14,0)/1000</f>
        <v>1.94</v>
      </c>
      <c r="I464" s="139">
        <f>VLOOKUP($A464,'BC.114+840'!$B$13:$X$470,15,0)/1000</f>
        <v>-1.06</v>
      </c>
      <c r="J464" s="139">
        <f>VLOOKUP($A464,'BC.114+840'!$B$13:$X$470,20,0)/1000</f>
        <v>2.1150000000000002</v>
      </c>
      <c r="K464" s="139">
        <f>VLOOKUP($A464,'BC.114+840'!$B$13:$X$470,21,0)/1000</f>
        <v>-0.88500000000000001</v>
      </c>
      <c r="L464" s="137">
        <f t="shared" si="25"/>
        <v>-791</v>
      </c>
      <c r="M464" s="138">
        <f t="shared" si="26"/>
        <v>-1160.0000000000002</v>
      </c>
      <c r="N464" s="137">
        <f t="shared" si="27"/>
        <v>-495</v>
      </c>
      <c r="O464" s="137"/>
    </row>
    <row r="465" spans="1:15">
      <c r="A465" s="76">
        <f>'BC.114+840'!B464</f>
        <v>45721</v>
      </c>
      <c r="B465" s="137">
        <f t="shared" si="24"/>
        <v>451</v>
      </c>
      <c r="C465" s="139">
        <f>'BC.114+840'!M464/1000</f>
        <v>1.9330000000000001</v>
      </c>
      <c r="D465" s="139">
        <f>'BC.114+840'!AA464</f>
        <v>3.3879999999999999</v>
      </c>
      <c r="E465" s="140">
        <f>'BC.114+840'!AB464</f>
        <v>0.66600000000000004</v>
      </c>
      <c r="F465" s="139">
        <f>VLOOKUP($A465,'BC.114+840'!$B$13:$X$470,8,0)/1000</f>
        <v>2.125</v>
      </c>
      <c r="G465" s="139">
        <f>VLOOKUP($A465,'BC.114+840'!$B$13:$X$470,9,0)/1000</f>
        <v>-0.875</v>
      </c>
      <c r="H465" s="139">
        <f>VLOOKUP($A465,'BC.114+840'!$B$13:$X$470,14,0)/1000</f>
        <v>1.9330000000000001</v>
      </c>
      <c r="I465" s="139">
        <f>VLOOKUP($A465,'BC.114+840'!$B$13:$X$470,15,0)/1000</f>
        <v>-1.0669999999999999</v>
      </c>
      <c r="J465" s="139">
        <f>VLOOKUP($A465,'BC.114+840'!$B$13:$X$470,20,0)/1000</f>
        <v>2.113</v>
      </c>
      <c r="K465" s="139">
        <f>VLOOKUP($A465,'BC.114+840'!$B$13:$X$470,21,0)/1000</f>
        <v>-0.88700000000000001</v>
      </c>
      <c r="L465" s="137">
        <f t="shared" si="25"/>
        <v>-795</v>
      </c>
      <c r="M465" s="138">
        <f t="shared" si="26"/>
        <v>-1167</v>
      </c>
      <c r="N465" s="137">
        <f t="shared" si="27"/>
        <v>-497</v>
      </c>
      <c r="O465" s="137"/>
    </row>
    <row r="466" spans="1:15">
      <c r="A466" s="76">
        <f>'BC.114+840'!B465</f>
        <v>45722</v>
      </c>
      <c r="B466" s="137">
        <f t="shared" si="24"/>
        <v>452</v>
      </c>
      <c r="C466" s="139">
        <f>'BC.114+840'!M465/1000</f>
        <v>1.9259999999999999</v>
      </c>
      <c r="D466" s="139">
        <f>'BC.114+840'!AA465</f>
        <v>3.3879999999999999</v>
      </c>
      <c r="E466" s="140">
        <f>'BC.114+840'!AB465</f>
        <v>0.65200000000000002</v>
      </c>
      <c r="F466" s="139">
        <f>VLOOKUP($A466,'BC.114+840'!$B$13:$X$470,8,0)/1000</f>
        <v>2.1219999999999999</v>
      </c>
      <c r="G466" s="139">
        <f>VLOOKUP($A466,'BC.114+840'!$B$13:$X$470,9,0)/1000</f>
        <v>-0.878</v>
      </c>
      <c r="H466" s="139">
        <f>VLOOKUP($A466,'BC.114+840'!$B$13:$X$470,14,0)/1000</f>
        <v>1.9259999999999999</v>
      </c>
      <c r="I466" s="139">
        <f>VLOOKUP($A466,'BC.114+840'!$B$13:$X$470,15,0)/1000</f>
        <v>-1.0740000000000001</v>
      </c>
      <c r="J466" s="139">
        <f>VLOOKUP($A466,'BC.114+840'!$B$13:$X$470,20,0)/1000</f>
        <v>2.1110000000000002</v>
      </c>
      <c r="K466" s="139">
        <f>VLOOKUP($A466,'BC.114+840'!$B$13:$X$470,21,0)/1000</f>
        <v>-0.88900000000000001</v>
      </c>
      <c r="L466" s="137">
        <f t="shared" si="25"/>
        <v>-798</v>
      </c>
      <c r="M466" s="138">
        <f t="shared" si="26"/>
        <v>-1174.0000000000002</v>
      </c>
      <c r="N466" s="137">
        <f t="shared" si="27"/>
        <v>-499</v>
      </c>
      <c r="O466" s="137"/>
    </row>
    <row r="467" spans="1:15">
      <c r="A467" s="76">
        <f>'BC.114+840'!B466</f>
        <v>45723</v>
      </c>
      <c r="B467" s="137">
        <f t="shared" si="24"/>
        <v>453</v>
      </c>
      <c r="C467" s="139">
        <f>'BC.114+840'!M466/1000</f>
        <v>1.917</v>
      </c>
      <c r="D467" s="139">
        <f>'BC.114+840'!AA466</f>
        <v>3.3879999999999999</v>
      </c>
      <c r="E467" s="140">
        <f>'BC.114+840'!AB466</f>
        <v>0.63400000000000001</v>
      </c>
      <c r="F467" s="139">
        <f>VLOOKUP($A467,'BC.114+840'!$B$13:$X$470,8,0)/1000</f>
        <v>2.1179999999999999</v>
      </c>
      <c r="G467" s="139">
        <f>VLOOKUP($A467,'BC.114+840'!$B$13:$X$470,9,0)/1000</f>
        <v>-0.88200000000000001</v>
      </c>
      <c r="H467" s="139">
        <f>VLOOKUP($A467,'BC.114+840'!$B$13:$X$470,14,0)/1000</f>
        <v>1.917</v>
      </c>
      <c r="I467" s="139">
        <f>VLOOKUP($A467,'BC.114+840'!$B$13:$X$470,15,0)/1000</f>
        <v>-1.083</v>
      </c>
      <c r="J467" s="139">
        <f>VLOOKUP($A467,'BC.114+840'!$B$13:$X$470,20,0)/1000</f>
        <v>2.11</v>
      </c>
      <c r="K467" s="139">
        <f>VLOOKUP($A467,'BC.114+840'!$B$13:$X$470,21,0)/1000</f>
        <v>-0.89</v>
      </c>
      <c r="L467" s="137">
        <f t="shared" si="25"/>
        <v>-802</v>
      </c>
      <c r="M467" s="138">
        <f t="shared" si="26"/>
        <v>-1183</v>
      </c>
      <c r="N467" s="137">
        <f t="shared" si="27"/>
        <v>-500</v>
      </c>
      <c r="O467" s="137"/>
    </row>
    <row r="468" spans="1:15">
      <c r="A468" s="76">
        <f>'BC.114+840'!B467</f>
        <v>45724</v>
      </c>
      <c r="B468" s="137">
        <f t="shared" si="24"/>
        <v>454</v>
      </c>
      <c r="C468" s="139">
        <f>'BC.114+840'!M467/1000</f>
        <v>1.909</v>
      </c>
      <c r="D468" s="139">
        <f>'BC.114+840'!AA467</f>
        <v>3.3879999999999999</v>
      </c>
      <c r="E468" s="140">
        <f>'BC.114+840'!AB467</f>
        <v>0.61799999999999999</v>
      </c>
      <c r="F468" s="139">
        <f>VLOOKUP($A468,'BC.114+840'!$B$13:$X$470,8,0)/1000</f>
        <v>2.1110000000000002</v>
      </c>
      <c r="G468" s="139">
        <f>VLOOKUP($A468,'BC.114+840'!$B$13:$X$470,9,0)/1000</f>
        <v>-0.88900000000000001</v>
      </c>
      <c r="H468" s="139">
        <f>VLOOKUP($A468,'BC.114+840'!$B$13:$X$470,14,0)/1000</f>
        <v>1.909</v>
      </c>
      <c r="I468" s="139">
        <f>VLOOKUP($A468,'BC.114+840'!$B$13:$X$470,15,0)/1000</f>
        <v>-1.091</v>
      </c>
      <c r="J468" s="139">
        <f>VLOOKUP($A468,'BC.114+840'!$B$13:$X$470,20,0)/1000</f>
        <v>2.1080000000000001</v>
      </c>
      <c r="K468" s="139">
        <f>VLOOKUP($A468,'BC.114+840'!$B$13:$X$470,21,0)/1000</f>
        <v>-0.89200000000000002</v>
      </c>
      <c r="L468" s="137">
        <f t="shared" si="25"/>
        <v>-809</v>
      </c>
      <c r="M468" s="138">
        <f t="shared" si="26"/>
        <v>-1191</v>
      </c>
      <c r="N468" s="137">
        <f t="shared" si="27"/>
        <v>-502</v>
      </c>
      <c r="O468" s="137"/>
    </row>
    <row r="469" spans="1:15">
      <c r="A469" s="76">
        <f>'BC.114+840'!B468</f>
        <v>45725</v>
      </c>
      <c r="B469" s="137">
        <f t="shared" si="24"/>
        <v>455</v>
      </c>
      <c r="C469" s="139">
        <f>'BC.114+840'!M468/1000</f>
        <v>1.901</v>
      </c>
      <c r="D469" s="139">
        <f>'BC.114+840'!AA468</f>
        <v>3.3879999999999999</v>
      </c>
      <c r="E469" s="140">
        <f>'BC.114+840'!AB468</f>
        <v>0.60199999999999998</v>
      </c>
      <c r="F469" s="139">
        <f>VLOOKUP($A469,'BC.114+840'!$B$13:$X$470,8,0)/1000</f>
        <v>2.1059999999999999</v>
      </c>
      <c r="G469" s="139">
        <f>VLOOKUP($A469,'BC.114+840'!$B$13:$X$470,9,0)/1000</f>
        <v>-0.89400000000000002</v>
      </c>
      <c r="H469" s="139">
        <f>VLOOKUP($A469,'BC.114+840'!$B$13:$X$470,14,0)/1000</f>
        <v>1.901</v>
      </c>
      <c r="I469" s="139">
        <f>VLOOKUP($A469,'BC.114+840'!$B$13:$X$470,15,0)/1000</f>
        <v>-1.099</v>
      </c>
      <c r="J469" s="139">
        <f>VLOOKUP($A469,'BC.114+840'!$B$13:$X$470,20,0)/1000</f>
        <v>2.1059999999999999</v>
      </c>
      <c r="K469" s="139">
        <f>VLOOKUP($A469,'BC.114+840'!$B$13:$X$470,21,0)/1000</f>
        <v>-0.89400000000000002</v>
      </c>
      <c r="L469" s="137">
        <f t="shared" si="25"/>
        <v>-814</v>
      </c>
      <c r="M469" s="138">
        <f t="shared" si="26"/>
        <v>-1199</v>
      </c>
      <c r="N469" s="137">
        <f t="shared" si="27"/>
        <v>-504</v>
      </c>
      <c r="O469" s="137"/>
    </row>
    <row r="470" spans="1:15">
      <c r="A470" s="76">
        <f>'BC.114+840'!B469</f>
        <v>45726</v>
      </c>
      <c r="B470" s="137">
        <f t="shared" si="24"/>
        <v>456</v>
      </c>
      <c r="C470" s="139">
        <f>'BC.114+840'!M469/1000</f>
        <v>1.8939999999999999</v>
      </c>
      <c r="D470" s="139">
        <f>'BC.114+840'!AA469</f>
        <v>3.3879999999999999</v>
      </c>
      <c r="E470" s="140">
        <f>'BC.114+840'!AB469</f>
        <v>0.58799999999999997</v>
      </c>
      <c r="F470" s="139">
        <f>VLOOKUP($A470,'BC.114+840'!$B$13:$X$470,8,0)/1000</f>
        <v>2.101</v>
      </c>
      <c r="G470" s="139">
        <f>VLOOKUP($A470,'BC.114+840'!$B$13:$X$470,9,0)/1000</f>
        <v>-0.89900000000000002</v>
      </c>
      <c r="H470" s="139">
        <f>VLOOKUP($A470,'BC.114+840'!$B$13:$X$470,14,0)/1000</f>
        <v>1.8939999999999999</v>
      </c>
      <c r="I470" s="139">
        <f>VLOOKUP($A470,'BC.114+840'!$B$13:$X$470,15,0)/1000</f>
        <v>-1.1060000000000001</v>
      </c>
      <c r="J470" s="139">
        <f>VLOOKUP($A470,'BC.114+840'!$B$13:$X$470,20,0)/1000</f>
        <v>2.1040000000000001</v>
      </c>
      <c r="K470" s="139">
        <f>VLOOKUP($A470,'BC.114+840'!$B$13:$X$470,21,0)/1000</f>
        <v>-0.89600000000000002</v>
      </c>
      <c r="L470" s="137">
        <f t="shared" si="25"/>
        <v>-819.00000000000011</v>
      </c>
      <c r="M470" s="138">
        <f t="shared" si="26"/>
        <v>-1206.0000000000002</v>
      </c>
      <c r="N470" s="137">
        <f t="shared" si="27"/>
        <v>-506</v>
      </c>
      <c r="O470" s="137"/>
    </row>
    <row r="471" spans="1:15">
      <c r="A471" s="76">
        <f>'BC.114+840'!B470</f>
        <v>45727</v>
      </c>
      <c r="B471" s="137">
        <f t="shared" si="24"/>
        <v>457</v>
      </c>
      <c r="C471" s="139">
        <f>'BC.114+840'!M470/1000</f>
        <v>1.887</v>
      </c>
      <c r="D471" s="139">
        <f>'BC.114+840'!AA470</f>
        <v>3.3879999999999999</v>
      </c>
      <c r="E471" s="140">
        <f>'BC.114+840'!AB470</f>
        <v>0.57399999999999995</v>
      </c>
      <c r="F471" s="139">
        <f>VLOOKUP($A471,'BC.114+840'!$B$13:$X$4070,8,0)/1000</f>
        <v>2.097</v>
      </c>
      <c r="G471" s="139">
        <f>VLOOKUP($A471,'BC.114+840'!$B$13:$X$4070,9,0)/1000</f>
        <v>-0.90300000000000002</v>
      </c>
      <c r="H471" s="139">
        <f>VLOOKUP($A471,'BC.114+840'!$B$13:$X$4070,14,0)/1000</f>
        <v>1.887</v>
      </c>
      <c r="I471" s="139">
        <f>VLOOKUP($A471,'BC.114+840'!$B$13:$X$4700,15,0)/1000</f>
        <v>-1.113</v>
      </c>
      <c r="J471" s="139">
        <f>VLOOKUP($A471,'BC.114+840'!$B$13:$X$4070,20,0)/1000</f>
        <v>2.1019999999999999</v>
      </c>
      <c r="K471" s="139">
        <f>VLOOKUP($A471,'BC.114+840'!$B$13:$X$4070,21,0)/1000</f>
        <v>-0.89800000000000002</v>
      </c>
      <c r="L471" s="137">
        <f t="shared" si="25"/>
        <v>-823.00000000000011</v>
      </c>
      <c r="M471" s="138">
        <f t="shared" si="26"/>
        <v>-1213</v>
      </c>
      <c r="N471" s="137">
        <f t="shared" si="27"/>
        <v>-508</v>
      </c>
      <c r="O471" s="137"/>
    </row>
    <row r="472" spans="1:15">
      <c r="A472" s="76">
        <f>'BC.114+840'!B471</f>
        <v>45728</v>
      </c>
      <c r="B472" s="137">
        <f t="shared" si="24"/>
        <v>458</v>
      </c>
      <c r="C472" s="139">
        <f>'BC.114+840'!M471/1000</f>
        <v>1.881</v>
      </c>
      <c r="D472" s="139">
        <f>'BC.114+840'!AA471</f>
        <v>3.3879999999999999</v>
      </c>
      <c r="E472" s="140">
        <f>'BC.114+840'!AB471</f>
        <v>0.56200000000000006</v>
      </c>
      <c r="F472" s="139">
        <f>VLOOKUP($A472,'BC.114+840'!$B$13:$X$4070,8,0)/1000</f>
        <v>2.0939999999999999</v>
      </c>
      <c r="G472" s="139">
        <f>VLOOKUP($A472,'BC.114+840'!$B$13:$X$4070,9,0)/1000</f>
        <v>-0.90600000000000003</v>
      </c>
      <c r="H472" s="139">
        <f>VLOOKUP($A472,'BC.114+840'!$B$13:$X$4070,14,0)/1000</f>
        <v>1.881</v>
      </c>
      <c r="I472" s="139">
        <f>VLOOKUP($A472,'BC.114+840'!$B$13:$X$4700,15,0)/1000</f>
        <v>-1.119</v>
      </c>
      <c r="J472" s="139">
        <f>VLOOKUP($A472,'BC.114+840'!$B$13:$X$4070,20,0)/1000</f>
        <v>2.101</v>
      </c>
      <c r="K472" s="139">
        <f>VLOOKUP($A472,'BC.114+840'!$B$13:$X$4070,21,0)/1000</f>
        <v>-0.89900000000000002</v>
      </c>
      <c r="L472" s="137">
        <f t="shared" si="25"/>
        <v>-826.00000000000011</v>
      </c>
      <c r="M472" s="138">
        <f t="shared" si="26"/>
        <v>-1219</v>
      </c>
      <c r="N472" s="137">
        <f t="shared" si="27"/>
        <v>-509</v>
      </c>
      <c r="O472" s="137"/>
    </row>
    <row r="473" spans="1:15">
      <c r="A473" s="76">
        <f>'BC.114+840'!B472</f>
        <v>45729</v>
      </c>
      <c r="B473" s="137">
        <f t="shared" si="24"/>
        <v>459</v>
      </c>
      <c r="C473" s="139">
        <f>'BC.114+840'!M472/1000</f>
        <v>1.873</v>
      </c>
      <c r="D473" s="139">
        <f>'BC.114+840'!AA472</f>
        <v>3.3879999999999999</v>
      </c>
      <c r="E473" s="140">
        <f>'BC.114+840'!AB472</f>
        <v>0.54600000000000004</v>
      </c>
      <c r="F473" s="139">
        <f>VLOOKUP($A473,'BC.114+840'!$B$13:$X$4070,8,0)/1000</f>
        <v>2.0920000000000001</v>
      </c>
      <c r="G473" s="139">
        <f>VLOOKUP($A473,'BC.114+840'!$B$13:$X$4070,9,0)/1000</f>
        <v>-0.90800000000000003</v>
      </c>
      <c r="H473" s="139">
        <f>VLOOKUP($A473,'BC.114+840'!$B$13:$X$4070,14,0)/1000</f>
        <v>1.873</v>
      </c>
      <c r="I473" s="139">
        <f>VLOOKUP($A473,'BC.114+840'!$B$13:$X$4700,15,0)/1000</f>
        <v>-1.127</v>
      </c>
      <c r="J473" s="139">
        <f>VLOOKUP($A473,'BC.114+840'!$B$13:$X$4070,20,0)/1000</f>
        <v>2.0990000000000002</v>
      </c>
      <c r="K473" s="139">
        <f>VLOOKUP($A473,'BC.114+840'!$B$13:$X$4070,21,0)/1000</f>
        <v>-0.90100000000000002</v>
      </c>
      <c r="L473" s="137">
        <f t="shared" si="25"/>
        <v>-828.00000000000011</v>
      </c>
      <c r="M473" s="138">
        <f t="shared" si="26"/>
        <v>-1227</v>
      </c>
      <c r="N473" s="137">
        <f t="shared" si="27"/>
        <v>-511</v>
      </c>
      <c r="O473" s="137"/>
    </row>
    <row r="474" spans="1:15">
      <c r="A474" s="76">
        <f>'BC.114+840'!B473</f>
        <v>45730</v>
      </c>
      <c r="B474" s="137">
        <f t="shared" si="24"/>
        <v>460</v>
      </c>
      <c r="C474" s="139">
        <f>'BC.114+840'!M473/1000</f>
        <v>1.8660000000000001</v>
      </c>
      <c r="D474" s="139">
        <f>'BC.114+840'!AA473</f>
        <v>3.3879999999999999</v>
      </c>
      <c r="E474" s="140">
        <f>'BC.114+840'!AB473</f>
        <v>0.53200000000000003</v>
      </c>
      <c r="F474" s="139">
        <f>VLOOKUP($A474,'BC.114+840'!$B$13:$X$4070,8,0)/1000</f>
        <v>2.0880000000000001</v>
      </c>
      <c r="G474" s="139">
        <f>VLOOKUP($A474,'BC.114+840'!$B$13:$X$4070,9,0)/1000</f>
        <v>-0.91200000000000003</v>
      </c>
      <c r="H474" s="139">
        <f>VLOOKUP($A474,'BC.114+840'!$B$13:$X$4070,14,0)/1000</f>
        <v>1.8660000000000001</v>
      </c>
      <c r="I474" s="139">
        <f>VLOOKUP($A474,'BC.114+840'!$B$13:$X$4700,15,0)/1000</f>
        <v>-1.1339999999999999</v>
      </c>
      <c r="J474" s="139">
        <f>VLOOKUP($A474,'BC.114+840'!$B$13:$X$4070,20,0)/1000</f>
        <v>2.0979999999999999</v>
      </c>
      <c r="K474" s="139">
        <f>VLOOKUP($A474,'BC.114+840'!$B$13:$X$4070,21,0)/1000</f>
        <v>-0.90200000000000002</v>
      </c>
      <c r="L474" s="137">
        <f t="shared" si="25"/>
        <v>-832.00000000000011</v>
      </c>
      <c r="M474" s="138">
        <f t="shared" si="26"/>
        <v>-1234</v>
      </c>
      <c r="N474" s="137">
        <f t="shared" si="27"/>
        <v>-512</v>
      </c>
      <c r="O474" s="137"/>
    </row>
    <row r="475" spans="1:15">
      <c r="A475" s="76">
        <f>'BC.114+840'!B474</f>
        <v>45731</v>
      </c>
      <c r="B475" s="137">
        <f t="shared" si="24"/>
        <v>461</v>
      </c>
      <c r="C475" s="139">
        <f>'BC.114+840'!M474/1000</f>
        <v>1.857</v>
      </c>
      <c r="D475" s="139">
        <f>'BC.114+840'!AA474</f>
        <v>3.3879999999999999</v>
      </c>
      <c r="E475" s="140">
        <f>'BC.114+840'!AB474</f>
        <v>0.51400000000000001</v>
      </c>
      <c r="F475" s="139">
        <f>VLOOKUP($A475,'BC.114+840'!$B$13:$X$4070,8,0)/1000</f>
        <v>2.085</v>
      </c>
      <c r="G475" s="139">
        <f>VLOOKUP($A475,'BC.114+840'!$B$13:$X$4070,9,0)/1000</f>
        <v>-0.91500000000000004</v>
      </c>
      <c r="H475" s="139">
        <f>VLOOKUP($A475,'BC.114+840'!$B$13:$X$4070,14,0)/1000</f>
        <v>1.857</v>
      </c>
      <c r="I475" s="139">
        <f>VLOOKUP($A475,'BC.114+840'!$B$13:$X$4700,15,0)/1000</f>
        <v>-1.143</v>
      </c>
      <c r="J475" s="139">
        <f>VLOOKUP($A475,'BC.114+840'!$B$13:$X$4070,20,0)/1000</f>
        <v>2.097</v>
      </c>
      <c r="K475" s="139">
        <f>VLOOKUP($A475,'BC.114+840'!$B$13:$X$4070,21,0)/1000</f>
        <v>-0.90300000000000002</v>
      </c>
      <c r="L475" s="137">
        <f t="shared" si="25"/>
        <v>-835.00000000000011</v>
      </c>
      <c r="M475" s="138">
        <f t="shared" si="26"/>
        <v>-1243</v>
      </c>
      <c r="N475" s="137">
        <f t="shared" si="27"/>
        <v>-513</v>
      </c>
      <c r="O475" s="137"/>
    </row>
    <row r="476" spans="1:15">
      <c r="A476" s="76">
        <f>'BC.114+840'!B475</f>
        <v>45732</v>
      </c>
      <c r="B476" s="137">
        <f t="shared" si="24"/>
        <v>462</v>
      </c>
      <c r="C476" s="139">
        <f>'BC.114+840'!M475/1000</f>
        <v>1.849</v>
      </c>
      <c r="D476" s="139">
        <f>'BC.114+840'!AA475</f>
        <v>3.3879999999999999</v>
      </c>
      <c r="E476" s="140">
        <f>'BC.114+840'!AB475</f>
        <v>0.498</v>
      </c>
      <c r="F476" s="139">
        <f>VLOOKUP($A476,'BC.114+840'!$B$13:$X$4070,8,0)/1000</f>
        <v>2.0830000000000002</v>
      </c>
      <c r="G476" s="139">
        <f>VLOOKUP($A476,'BC.114+840'!$B$13:$X$4070,9,0)/1000</f>
        <v>-0.91700000000000004</v>
      </c>
      <c r="H476" s="139">
        <f>VLOOKUP($A476,'BC.114+840'!$B$13:$X$4070,14,0)/1000</f>
        <v>1.849</v>
      </c>
      <c r="I476" s="139">
        <f>VLOOKUP($A476,'BC.114+840'!$B$13:$X$4700,15,0)/1000</f>
        <v>-1.151</v>
      </c>
      <c r="J476" s="139">
        <f>VLOOKUP($A476,'BC.114+840'!$B$13:$X$4070,20,0)/1000</f>
        <v>2.0939999999999999</v>
      </c>
      <c r="K476" s="139">
        <f>VLOOKUP($A476,'BC.114+840'!$B$13:$X$4070,21,0)/1000</f>
        <v>-0.90600000000000003</v>
      </c>
      <c r="L476" s="137">
        <f t="shared" si="25"/>
        <v>-837.00000000000011</v>
      </c>
      <c r="M476" s="138">
        <f t="shared" si="26"/>
        <v>-1251</v>
      </c>
      <c r="N476" s="137">
        <f t="shared" si="27"/>
        <v>-516</v>
      </c>
      <c r="O476" s="137"/>
    </row>
    <row r="477" spans="1:15">
      <c r="A477" s="76">
        <f>'BC.114+840'!B476</f>
        <v>45733</v>
      </c>
      <c r="B477" s="137">
        <f t="shared" si="24"/>
        <v>463</v>
      </c>
      <c r="C477" s="139">
        <f>'BC.114+840'!M476/1000</f>
        <v>1.8420000000000001</v>
      </c>
      <c r="D477" s="139">
        <f>'BC.114+840'!AA476</f>
        <v>3.3879999999999999</v>
      </c>
      <c r="E477" s="140">
        <f>'BC.114+840'!AB476</f>
        <v>0.48399999999999999</v>
      </c>
      <c r="F477" s="139">
        <f>VLOOKUP($A477,'BC.114+840'!$B$13:$X$4070,8,0)/1000</f>
        <v>2.0790000000000002</v>
      </c>
      <c r="G477" s="139">
        <f>VLOOKUP($A477,'BC.114+840'!$B$13:$X$4070,9,0)/1000</f>
        <v>-0.92100000000000004</v>
      </c>
      <c r="H477" s="139">
        <f>VLOOKUP($A477,'BC.114+840'!$B$13:$X$4070,14,0)/1000</f>
        <v>1.8420000000000001</v>
      </c>
      <c r="I477" s="139">
        <f>VLOOKUP($A477,'BC.114+840'!$B$13:$X$4700,15,0)/1000</f>
        <v>-1.1579999999999999</v>
      </c>
      <c r="J477" s="139">
        <f>VLOOKUP($A477,'BC.114+840'!$B$13:$X$4070,20,0)/1000</f>
        <v>2.093</v>
      </c>
      <c r="K477" s="139">
        <f>VLOOKUP($A477,'BC.114+840'!$B$13:$X$4070,21,0)/1000</f>
        <v>-0.90700000000000003</v>
      </c>
      <c r="L477" s="137">
        <f t="shared" si="25"/>
        <v>-841.00000000000011</v>
      </c>
      <c r="M477" s="138">
        <f t="shared" si="26"/>
        <v>-1258</v>
      </c>
      <c r="N477" s="137">
        <f t="shared" si="27"/>
        <v>-517</v>
      </c>
      <c r="O477" s="137"/>
    </row>
    <row r="478" spans="1:15">
      <c r="A478" s="76">
        <f>'BC.114+840'!B477</f>
        <v>45734</v>
      </c>
      <c r="B478" s="137">
        <f t="shared" si="24"/>
        <v>464</v>
      </c>
      <c r="C478" s="139">
        <f>'BC.114+840'!M477/1000</f>
        <v>1.835</v>
      </c>
      <c r="D478" s="139">
        <f>'BC.114+840'!AA477</f>
        <v>3.3879999999999999</v>
      </c>
      <c r="E478" s="140">
        <f>'BC.114+840'!AB477</f>
        <v>0.47</v>
      </c>
      <c r="F478" s="139">
        <f>VLOOKUP($A478,'BC.114+840'!$B$13:$X$4070,8,0)/1000</f>
        <v>2.077</v>
      </c>
      <c r="G478" s="139">
        <f>VLOOKUP($A478,'BC.114+840'!$B$13:$X$4070,9,0)/1000</f>
        <v>-0.92300000000000004</v>
      </c>
      <c r="H478" s="139">
        <f>VLOOKUP($A478,'BC.114+840'!$B$13:$X$4070,14,0)/1000</f>
        <v>1.835</v>
      </c>
      <c r="I478" s="139">
        <f>VLOOKUP($A478,'BC.114+840'!$B$13:$X$4700,15,0)/1000</f>
        <v>-1.165</v>
      </c>
      <c r="J478" s="139">
        <f>VLOOKUP($A478,'BC.114+840'!$B$13:$X$4070,20,0)/1000</f>
        <v>2.0910000000000002</v>
      </c>
      <c r="K478" s="139">
        <f>VLOOKUP($A478,'BC.114+840'!$B$13:$X$4070,21,0)/1000</f>
        <v>-0.90900000000000003</v>
      </c>
      <c r="L478" s="137">
        <f t="shared" si="25"/>
        <v>-843.00000000000011</v>
      </c>
      <c r="M478" s="138">
        <f t="shared" si="26"/>
        <v>-1265.0000000000002</v>
      </c>
      <c r="N478" s="137">
        <f t="shared" si="27"/>
        <v>-519</v>
      </c>
      <c r="O478" s="137"/>
    </row>
    <row r="479" spans="1:15">
      <c r="A479" s="76">
        <f>'BC.114+840'!B478</f>
        <v>45735</v>
      </c>
      <c r="B479" s="137">
        <f t="shared" si="24"/>
        <v>465</v>
      </c>
      <c r="C479" s="139">
        <f>'BC.114+840'!M478/1000</f>
        <v>1.8280000000000001</v>
      </c>
      <c r="D479" s="139">
        <f>'BC.114+840'!AA478</f>
        <v>3.3879999999999999</v>
      </c>
      <c r="E479" s="140">
        <f>'BC.114+840'!AB478</f>
        <v>0.45600000000000002</v>
      </c>
      <c r="F479" s="139">
        <f>VLOOKUP($A479,'BC.114+840'!$B$13:$X$4070,8,0)/1000</f>
        <v>2.0720000000000001</v>
      </c>
      <c r="G479" s="139">
        <f>VLOOKUP($A479,'BC.114+840'!$B$13:$X$4070,9,0)/1000</f>
        <v>-0.92800000000000005</v>
      </c>
      <c r="H479" s="139">
        <f>VLOOKUP($A479,'BC.114+840'!$B$13:$X$4070,14,0)/1000</f>
        <v>1.8280000000000001</v>
      </c>
      <c r="I479" s="139">
        <f>VLOOKUP($A479,'BC.114+840'!$B$13:$X$4700,15,0)/1000</f>
        <v>-1.1719999999999999</v>
      </c>
      <c r="J479" s="139">
        <f>VLOOKUP($A479,'BC.114+840'!$B$13:$X$4070,20,0)/1000</f>
        <v>2.09</v>
      </c>
      <c r="K479" s="139">
        <f>VLOOKUP($A479,'BC.114+840'!$B$13:$X$4070,21,0)/1000</f>
        <v>-0.91</v>
      </c>
      <c r="L479" s="137">
        <f t="shared" si="25"/>
        <v>-848.00000000000011</v>
      </c>
      <c r="M479" s="138">
        <f t="shared" si="26"/>
        <v>-1272</v>
      </c>
      <c r="N479" s="137">
        <f t="shared" si="27"/>
        <v>-520</v>
      </c>
      <c r="O479" s="137"/>
    </row>
    <row r="480" spans="1:15">
      <c r="A480" s="76">
        <f>'BC.114+840'!B479</f>
        <v>45736</v>
      </c>
      <c r="B480" s="137">
        <f t="shared" si="24"/>
        <v>466</v>
      </c>
      <c r="C480" s="139">
        <f>'BC.114+840'!M479/1000</f>
        <v>1.823</v>
      </c>
      <c r="D480" s="139">
        <f>'BC.114+840'!AA479</f>
        <v>3.3879999999999999</v>
      </c>
      <c r="E480" s="140">
        <f>'BC.114+840'!AB479</f>
        <v>0.44600000000000001</v>
      </c>
      <c r="F480" s="139">
        <f>VLOOKUP($A480,'BC.114+840'!$B$13:$X$4070,8,0)/1000</f>
        <v>2.0670000000000002</v>
      </c>
      <c r="G480" s="139">
        <f>VLOOKUP($A480,'BC.114+840'!$B$13:$X$4070,9,0)/1000</f>
        <v>-0.93300000000000005</v>
      </c>
      <c r="H480" s="139">
        <f>VLOOKUP($A480,'BC.114+840'!$B$13:$X$4070,14,0)/1000</f>
        <v>1.823</v>
      </c>
      <c r="I480" s="139">
        <f>VLOOKUP($A480,'BC.114+840'!$B$13:$X$4700,15,0)/1000</f>
        <v>-1.177</v>
      </c>
      <c r="J480" s="139">
        <f>VLOOKUP($A480,'BC.114+840'!$B$13:$X$4070,20,0)/1000</f>
        <v>2.0880000000000001</v>
      </c>
      <c r="K480" s="139">
        <f>VLOOKUP($A480,'BC.114+840'!$B$13:$X$4070,21,0)/1000</f>
        <v>-0.91200000000000003</v>
      </c>
      <c r="L480" s="137">
        <f t="shared" si="25"/>
        <v>-853.00000000000011</v>
      </c>
      <c r="M480" s="138">
        <f t="shared" si="26"/>
        <v>-1277.0000000000002</v>
      </c>
      <c r="N480" s="137">
        <f t="shared" si="27"/>
        <v>-522</v>
      </c>
      <c r="O480" s="137"/>
    </row>
    <row r="481" spans="1:15">
      <c r="A481" s="76">
        <f>'BC.114+840'!B480</f>
        <v>45737</v>
      </c>
      <c r="B481" s="137">
        <f t="shared" si="24"/>
        <v>467</v>
      </c>
      <c r="C481" s="139">
        <f>'BC.114+840'!M480/1000</f>
        <v>1.8180000000000001</v>
      </c>
      <c r="D481" s="139">
        <f>'BC.114+840'!AA480</f>
        <v>3.3879999999999999</v>
      </c>
      <c r="E481" s="140">
        <f>'BC.114+840'!AB480</f>
        <v>0.436</v>
      </c>
      <c r="F481" s="139">
        <f>VLOOKUP($A481,'BC.114+840'!$B$13:$X$4070,8,0)/1000</f>
        <v>2.0630000000000002</v>
      </c>
      <c r="G481" s="139">
        <f>VLOOKUP($A481,'BC.114+840'!$B$13:$X$4070,9,0)/1000</f>
        <v>-0.93700000000000006</v>
      </c>
      <c r="H481" s="139">
        <f>VLOOKUP($A481,'BC.114+840'!$B$13:$X$4070,14,0)/1000</f>
        <v>1.8180000000000001</v>
      </c>
      <c r="I481" s="139">
        <f>VLOOKUP($A481,'BC.114+840'!$B$13:$X$4700,15,0)/1000</f>
        <v>-1.1819999999999999</v>
      </c>
      <c r="J481" s="139">
        <f>VLOOKUP($A481,'BC.114+840'!$B$13:$X$4070,20,0)/1000</f>
        <v>2.0859999999999999</v>
      </c>
      <c r="K481" s="139">
        <f>VLOOKUP($A481,'BC.114+840'!$B$13:$X$4070,21,0)/1000</f>
        <v>-0.91400000000000003</v>
      </c>
      <c r="L481" s="137">
        <f t="shared" si="25"/>
        <v>-857.00000000000011</v>
      </c>
      <c r="M481" s="138">
        <f t="shared" si="26"/>
        <v>-1282</v>
      </c>
      <c r="N481" s="137">
        <f t="shared" si="27"/>
        <v>-524</v>
      </c>
      <c r="O481" s="137"/>
    </row>
    <row r="482" spans="1:15">
      <c r="A482" s="76">
        <f>'BC.114+840'!B481</f>
        <v>45738</v>
      </c>
      <c r="B482" s="137">
        <f t="shared" si="24"/>
        <v>468</v>
      </c>
      <c r="C482" s="139">
        <f>'BC.114+840'!M481/1000</f>
        <v>1.8109999999999999</v>
      </c>
      <c r="D482" s="139">
        <f>'BC.114+840'!AA481</f>
        <v>3.3879999999999999</v>
      </c>
      <c r="E482" s="140">
        <f>'BC.114+840'!AB481</f>
        <v>0.42199999999999999</v>
      </c>
      <c r="F482" s="139">
        <f>VLOOKUP($A482,'BC.114+840'!$B$13:$X$4070,8,0)/1000</f>
        <v>2.06</v>
      </c>
      <c r="G482" s="139">
        <f>VLOOKUP($A482,'BC.114+840'!$B$13:$X$4070,9,0)/1000</f>
        <v>-0.94</v>
      </c>
      <c r="H482" s="139">
        <f>VLOOKUP($A482,'BC.114+840'!$B$13:$X$4070,14,0)/1000</f>
        <v>1.8109999999999999</v>
      </c>
      <c r="I482" s="139">
        <f>VLOOKUP($A482,'BC.114+840'!$B$13:$X$4700,15,0)/1000</f>
        <v>-1.1890000000000001</v>
      </c>
      <c r="J482" s="139">
        <f>VLOOKUP($A482,'BC.114+840'!$B$13:$X$4070,20,0)/1000</f>
        <v>2.0830000000000002</v>
      </c>
      <c r="K482" s="139">
        <f>VLOOKUP($A482,'BC.114+840'!$B$13:$X$4070,21,0)/1000</f>
        <v>-0.91700000000000004</v>
      </c>
      <c r="L482" s="137">
        <f t="shared" si="25"/>
        <v>-860</v>
      </c>
      <c r="M482" s="138">
        <f t="shared" si="26"/>
        <v>-1289.0000000000002</v>
      </c>
      <c r="N482" s="137">
        <f t="shared" si="27"/>
        <v>-527</v>
      </c>
      <c r="O482" s="137"/>
    </row>
    <row r="483" spans="1:15">
      <c r="A483" s="76">
        <f>'BC.114+840'!B482</f>
        <v>45739</v>
      </c>
      <c r="B483" s="137">
        <f t="shared" si="24"/>
        <v>469</v>
      </c>
      <c r="C483" s="139">
        <f>'BC.114+840'!M482/1000</f>
        <v>1.8069999999999999</v>
      </c>
      <c r="D483" s="139">
        <f>'BC.114+840'!AA482</f>
        <v>3.3879999999999999</v>
      </c>
      <c r="E483" s="140">
        <f>'BC.114+840'!AB482</f>
        <v>0.41399999999999998</v>
      </c>
      <c r="F483" s="139">
        <f>VLOOKUP($A483,'BC.114+840'!$B$13:$X$4070,8,0)/1000</f>
        <v>2.0579999999999998</v>
      </c>
      <c r="G483" s="139">
        <f>VLOOKUP($A483,'BC.114+840'!$B$13:$X$4070,9,0)/1000</f>
        <v>-0.94199999999999995</v>
      </c>
      <c r="H483" s="139">
        <f>VLOOKUP($A483,'BC.114+840'!$B$13:$X$4070,14,0)/1000</f>
        <v>1.8069999999999999</v>
      </c>
      <c r="I483" s="139">
        <f>VLOOKUP($A483,'BC.114+840'!$B$13:$X$4700,15,0)/1000</f>
        <v>-1.1930000000000001</v>
      </c>
      <c r="J483" s="139">
        <f>VLOOKUP($A483,'BC.114+840'!$B$13:$X$4070,20,0)/1000</f>
        <v>2.0819999999999999</v>
      </c>
      <c r="K483" s="139">
        <f>VLOOKUP($A483,'BC.114+840'!$B$13:$X$4070,21,0)/1000</f>
        <v>-0.91800000000000004</v>
      </c>
      <c r="L483" s="137">
        <f t="shared" si="25"/>
        <v>-862</v>
      </c>
      <c r="M483" s="138">
        <f t="shared" si="26"/>
        <v>-1293.0000000000002</v>
      </c>
      <c r="N483" s="137">
        <f t="shared" si="27"/>
        <v>-528</v>
      </c>
      <c r="O483" s="137"/>
    </row>
    <row r="484" spans="1:15">
      <c r="A484" s="76">
        <f>'BC.114+840'!B483</f>
        <v>45740</v>
      </c>
      <c r="B484" s="137">
        <f t="shared" si="24"/>
        <v>470</v>
      </c>
      <c r="C484" s="139">
        <f>'BC.114+840'!M483/1000</f>
        <v>1.8029999999999999</v>
      </c>
      <c r="D484" s="139">
        <f>'BC.114+840'!AA483</f>
        <v>3.3879999999999999</v>
      </c>
      <c r="E484" s="140">
        <f>'BC.114+840'!AB483</f>
        <v>0.40600000000000003</v>
      </c>
      <c r="F484" s="139">
        <f>VLOOKUP($A484,'BC.114+840'!$B$13:$X$4070,8,0)/1000</f>
        <v>2.0539999999999998</v>
      </c>
      <c r="G484" s="139">
        <f>VLOOKUP($A484,'BC.114+840'!$B$13:$X$4070,9,0)/1000</f>
        <v>-0.94599999999999995</v>
      </c>
      <c r="H484" s="139">
        <f>VLOOKUP($A484,'BC.114+840'!$B$13:$X$4070,14,0)/1000</f>
        <v>1.8029999999999999</v>
      </c>
      <c r="I484" s="139">
        <f>VLOOKUP($A484,'BC.114+840'!$B$13:$X$4700,15,0)/1000</f>
        <v>-1.1970000000000001</v>
      </c>
      <c r="J484" s="139">
        <f>VLOOKUP($A484,'BC.114+840'!$B$13:$X$4070,20,0)/1000</f>
        <v>2.08</v>
      </c>
      <c r="K484" s="139">
        <f>VLOOKUP($A484,'BC.114+840'!$B$13:$X$4070,21,0)/1000</f>
        <v>-0.92</v>
      </c>
      <c r="L484" s="137">
        <f t="shared" si="25"/>
        <v>-866</v>
      </c>
      <c r="M484" s="138">
        <f t="shared" si="26"/>
        <v>-1297.0000000000002</v>
      </c>
      <c r="N484" s="137">
        <f t="shared" si="27"/>
        <v>-530</v>
      </c>
      <c r="O484" s="137"/>
    </row>
    <row r="485" spans="1:15">
      <c r="A485" s="76">
        <f>'BC.114+840'!B484</f>
        <v>45741</v>
      </c>
      <c r="B485" s="137">
        <f t="shared" si="24"/>
        <v>471</v>
      </c>
      <c r="C485" s="139">
        <f>'BC.114+840'!M484/1000</f>
        <v>1.798</v>
      </c>
      <c r="D485" s="139">
        <f>'BC.114+840'!AA484</f>
        <v>3.3879999999999999</v>
      </c>
      <c r="E485" s="140">
        <f>'BC.114+840'!AB484</f>
        <v>0.39600000000000002</v>
      </c>
      <c r="F485" s="139">
        <f>VLOOKUP($A485,'BC.114+840'!$B$13:$X$4070,8,0)/1000</f>
        <v>2.0510000000000002</v>
      </c>
      <c r="G485" s="139">
        <f>VLOOKUP($A485,'BC.114+840'!$B$13:$X$4070,9,0)/1000</f>
        <v>-0.94899999999999995</v>
      </c>
      <c r="H485" s="139">
        <f>VLOOKUP($A485,'BC.114+840'!$B$13:$X$4070,14,0)/1000</f>
        <v>1.798</v>
      </c>
      <c r="I485" s="139">
        <f>VLOOKUP($A485,'BC.114+840'!$B$13:$X$4700,15,0)/1000</f>
        <v>-1.202</v>
      </c>
      <c r="J485" s="139">
        <f>VLOOKUP($A485,'BC.114+840'!$B$13:$X$4070,20,0)/1000</f>
        <v>2.0779999999999998</v>
      </c>
      <c r="K485" s="139">
        <f>VLOOKUP($A485,'BC.114+840'!$B$13:$X$4070,21,0)/1000</f>
        <v>-0.92200000000000004</v>
      </c>
      <c r="L485" s="137">
        <f t="shared" si="25"/>
        <v>-869</v>
      </c>
      <c r="M485" s="138">
        <f t="shared" si="26"/>
        <v>-1302</v>
      </c>
      <c r="N485" s="137">
        <f t="shared" si="27"/>
        <v>-532</v>
      </c>
      <c r="O485" s="137"/>
    </row>
    <row r="486" spans="1:15">
      <c r="A486" s="76">
        <f>'BC.114+840'!B485</f>
        <v>45742</v>
      </c>
      <c r="B486" s="137">
        <f t="shared" si="24"/>
        <v>472</v>
      </c>
      <c r="C486" s="139">
        <f>'BC.114+840'!M485/1000</f>
        <v>1.794</v>
      </c>
      <c r="D486" s="139">
        <f>'BC.114+840'!AA485</f>
        <v>3.3879999999999999</v>
      </c>
      <c r="E486" s="140">
        <f>'BC.114+840'!AB485</f>
        <v>0.38800000000000001</v>
      </c>
      <c r="F486" s="139">
        <f>VLOOKUP($A486,'BC.114+840'!$B$13:$X$4070,8,0)/1000</f>
        <v>2.0470000000000002</v>
      </c>
      <c r="G486" s="139">
        <f>VLOOKUP($A486,'BC.114+840'!$B$13:$X$4070,9,0)/1000</f>
        <v>-0.95299999999999996</v>
      </c>
      <c r="H486" s="139">
        <f>VLOOKUP($A486,'BC.114+840'!$B$13:$X$4070,14,0)/1000</f>
        <v>1.794</v>
      </c>
      <c r="I486" s="139">
        <f>VLOOKUP($A486,'BC.114+840'!$B$13:$X$4700,15,0)/1000</f>
        <v>-1.206</v>
      </c>
      <c r="J486" s="139">
        <f>VLOOKUP($A486,'BC.114+840'!$B$13:$X$4070,20,0)/1000</f>
        <v>2.077</v>
      </c>
      <c r="K486" s="139">
        <f>VLOOKUP($A486,'BC.114+840'!$B$13:$X$4070,21,0)/1000</f>
        <v>-0.92300000000000004</v>
      </c>
      <c r="L486" s="137">
        <f t="shared" si="25"/>
        <v>-873</v>
      </c>
      <c r="M486" s="138">
        <f t="shared" si="26"/>
        <v>-1306</v>
      </c>
      <c r="N486" s="137">
        <f t="shared" si="27"/>
        <v>-533</v>
      </c>
      <c r="O486" s="137"/>
    </row>
    <row r="487" spans="1:15">
      <c r="A487" s="76">
        <f>'BC.114+840'!B486</f>
        <v>45743</v>
      </c>
      <c r="B487" s="137">
        <f t="shared" si="24"/>
        <v>473</v>
      </c>
      <c r="C487" s="139">
        <f>'BC.114+840'!M486/1000</f>
        <v>1.79</v>
      </c>
      <c r="D487" s="139">
        <f>'BC.114+840'!AA486</f>
        <v>3.3879999999999999</v>
      </c>
      <c r="E487" s="140">
        <f>'BC.114+840'!AB486</f>
        <v>0.38</v>
      </c>
      <c r="F487" s="139">
        <f>VLOOKUP($A487,'BC.114+840'!$B$13:$X$4070,8,0)/1000</f>
        <v>2.0449999999999999</v>
      </c>
      <c r="G487" s="139">
        <f>VLOOKUP($A487,'BC.114+840'!$B$13:$X$4070,9,0)/1000</f>
        <v>-0.95499999999999996</v>
      </c>
      <c r="H487" s="139">
        <f>VLOOKUP($A487,'BC.114+840'!$B$13:$X$4070,14,0)/1000</f>
        <v>1.79</v>
      </c>
      <c r="I487" s="139">
        <f>VLOOKUP($A487,'BC.114+840'!$B$13:$X$4700,15,0)/1000</f>
        <v>-1.21</v>
      </c>
      <c r="J487" s="139">
        <f>VLOOKUP($A487,'BC.114+840'!$B$13:$X$4070,20,0)/1000</f>
        <v>2.0750000000000002</v>
      </c>
      <c r="K487" s="139">
        <f>VLOOKUP($A487,'BC.114+840'!$B$13:$X$4070,21,0)/1000</f>
        <v>-0.92500000000000004</v>
      </c>
      <c r="L487" s="137">
        <f t="shared" si="25"/>
        <v>-875</v>
      </c>
      <c r="M487" s="138">
        <f t="shared" si="26"/>
        <v>-1310</v>
      </c>
      <c r="N487" s="137">
        <f t="shared" si="27"/>
        <v>-535</v>
      </c>
      <c r="O487" s="137"/>
    </row>
    <row r="488" spans="1:15">
      <c r="A488" s="76">
        <f>'BC.114+840'!B487</f>
        <v>45744</v>
      </c>
      <c r="B488" s="137">
        <f t="shared" si="24"/>
        <v>474</v>
      </c>
      <c r="C488" s="139">
        <f>'BC.114+840'!M487/1000</f>
        <v>1.7869999999999999</v>
      </c>
      <c r="D488" s="139">
        <f>'BC.114+840'!AA487</f>
        <v>3.3879999999999999</v>
      </c>
      <c r="E488" s="140">
        <f>'BC.114+840'!AB487</f>
        <v>0.374</v>
      </c>
      <c r="F488" s="139">
        <f>VLOOKUP($A488,'BC.114+840'!$B$13:$X$4070,8,0)/1000</f>
        <v>2.04</v>
      </c>
      <c r="G488" s="139">
        <f>VLOOKUP($A488,'BC.114+840'!$B$13:$X$4070,9,0)/1000</f>
        <v>-0.96</v>
      </c>
      <c r="H488" s="139">
        <f>VLOOKUP($A488,'BC.114+840'!$B$13:$X$4070,14,0)/1000</f>
        <v>1.7869999999999999</v>
      </c>
      <c r="I488" s="139">
        <f>VLOOKUP($A488,'BC.114+840'!$B$13:$X$4700,15,0)/1000</f>
        <v>-1.2130000000000001</v>
      </c>
      <c r="J488" s="139">
        <f>VLOOKUP($A488,'BC.114+840'!$B$13:$X$4070,20,0)/1000</f>
        <v>2.073</v>
      </c>
      <c r="K488" s="139">
        <f>VLOOKUP($A488,'BC.114+840'!$B$13:$X$4070,21,0)/1000</f>
        <v>-0.92700000000000005</v>
      </c>
      <c r="L488" s="137">
        <f t="shared" si="25"/>
        <v>-880</v>
      </c>
      <c r="M488" s="138">
        <f t="shared" si="26"/>
        <v>-1313.0000000000002</v>
      </c>
      <c r="N488" s="137">
        <f t="shared" si="27"/>
        <v>-537</v>
      </c>
      <c r="O488" s="137"/>
    </row>
    <row r="489" spans="1:15">
      <c r="A489" s="76">
        <f>'BC.114+840'!B488</f>
        <v>45745</v>
      </c>
      <c r="B489" s="137">
        <f t="shared" si="24"/>
        <v>475</v>
      </c>
      <c r="C489" s="139">
        <f>'BC.114+840'!M488/1000</f>
        <v>1.784</v>
      </c>
      <c r="D489" s="139">
        <f>'BC.114+840'!AA488</f>
        <v>3.3879999999999999</v>
      </c>
      <c r="E489" s="140">
        <f>'BC.114+840'!AB488</f>
        <v>0.36799999999999999</v>
      </c>
      <c r="F489" s="139">
        <f>VLOOKUP($A489,'BC.114+840'!$B$13:$X$4070,8,0)/1000</f>
        <v>2.0369999999999999</v>
      </c>
      <c r="G489" s="139">
        <f>VLOOKUP($A489,'BC.114+840'!$B$13:$X$4070,9,0)/1000</f>
        <v>-0.96299999999999997</v>
      </c>
      <c r="H489" s="139">
        <f>VLOOKUP($A489,'BC.114+840'!$B$13:$X$4070,14,0)/1000</f>
        <v>1.784</v>
      </c>
      <c r="I489" s="139">
        <f>VLOOKUP($A489,'BC.114+840'!$B$13:$X$4700,15,0)/1000</f>
        <v>-1.216</v>
      </c>
      <c r="J489" s="139">
        <f>VLOOKUP($A489,'BC.114+840'!$B$13:$X$4070,20,0)/1000</f>
        <v>2.0710000000000002</v>
      </c>
      <c r="K489" s="139">
        <f>VLOOKUP($A489,'BC.114+840'!$B$13:$X$4070,21,0)/1000</f>
        <v>-0.92900000000000005</v>
      </c>
      <c r="L489" s="137">
        <f t="shared" si="25"/>
        <v>-883</v>
      </c>
      <c r="M489" s="138">
        <f t="shared" si="26"/>
        <v>-1316</v>
      </c>
      <c r="N489" s="137">
        <f t="shared" si="27"/>
        <v>-539</v>
      </c>
      <c r="O489" s="137"/>
    </row>
    <row r="490" spans="1:15">
      <c r="A490" s="76">
        <f>'BC.114+840'!B489</f>
        <v>45746</v>
      </c>
      <c r="B490" s="137">
        <f t="shared" si="24"/>
        <v>476</v>
      </c>
      <c r="C490" s="139">
        <f>'BC.114+840'!M489/1000</f>
        <v>1.78</v>
      </c>
      <c r="D490" s="139">
        <f>'BC.114+840'!AA489</f>
        <v>3.3879999999999999</v>
      </c>
      <c r="E490" s="140">
        <f>'BC.114+840'!AB489</f>
        <v>0.36</v>
      </c>
      <c r="F490" s="139">
        <f>VLOOKUP($A490,'BC.114+840'!$B$13:$X$4070,8,0)/1000</f>
        <v>2.0329999999999999</v>
      </c>
      <c r="G490" s="139">
        <f>VLOOKUP($A490,'BC.114+840'!$B$13:$X$4070,9,0)/1000</f>
        <v>-0.96699999999999997</v>
      </c>
      <c r="H490" s="139">
        <f>VLOOKUP($A490,'BC.114+840'!$B$13:$X$4070,14,0)/1000</f>
        <v>1.78</v>
      </c>
      <c r="I490" s="139">
        <f>VLOOKUP($A490,'BC.114+840'!$B$13:$X$4700,15,0)/1000</f>
        <v>-1.22</v>
      </c>
      <c r="J490" s="139">
        <f>VLOOKUP($A490,'BC.114+840'!$B$13:$X$4070,20,0)/1000</f>
        <v>2.069</v>
      </c>
      <c r="K490" s="139">
        <f>VLOOKUP($A490,'BC.114+840'!$B$13:$X$4070,21,0)/1000</f>
        <v>-0.93100000000000005</v>
      </c>
      <c r="L490" s="137">
        <f t="shared" si="25"/>
        <v>-887</v>
      </c>
      <c r="M490" s="138">
        <f t="shared" si="26"/>
        <v>-1320</v>
      </c>
      <c r="N490" s="137">
        <f t="shared" si="27"/>
        <v>-541</v>
      </c>
      <c r="O490" s="137"/>
    </row>
    <row r="491" spans="1:15">
      <c r="A491" s="76">
        <f>'BC.114+840'!B490</f>
        <v>45747</v>
      </c>
      <c r="B491" s="137">
        <f t="shared" si="24"/>
        <v>477</v>
      </c>
      <c r="C491" s="139">
        <f>'BC.114+840'!M490/1000</f>
        <v>1.7769999999999999</v>
      </c>
      <c r="D491" s="139">
        <f>'BC.114+840'!AA490</f>
        <v>3.3879999999999999</v>
      </c>
      <c r="E491" s="140">
        <f>'BC.114+840'!AB490</f>
        <v>0.35399999999999998</v>
      </c>
      <c r="F491" s="139">
        <f>VLOOKUP($A491,'BC.114+840'!$B$13:$X$4070,8,0)/1000</f>
        <v>2.0299999999999998</v>
      </c>
      <c r="G491" s="139">
        <f>VLOOKUP($A491,'BC.114+840'!$B$13:$X$4070,9,0)/1000</f>
        <v>-0.97</v>
      </c>
      <c r="H491" s="139">
        <f>VLOOKUP($A491,'BC.114+840'!$B$13:$X$4070,14,0)/1000</f>
        <v>1.7769999999999999</v>
      </c>
      <c r="I491" s="139">
        <f>VLOOKUP($A491,'BC.114+840'!$B$13:$X$4700,15,0)/1000</f>
        <v>-1.2230000000000001</v>
      </c>
      <c r="J491" s="139">
        <f>VLOOKUP($A491,'BC.114+840'!$B$13:$X$4070,20,0)/1000</f>
        <v>2.0649999999999999</v>
      </c>
      <c r="K491" s="139">
        <f>VLOOKUP($A491,'BC.114+840'!$B$13:$X$4070,21,0)/1000</f>
        <v>-0.93500000000000005</v>
      </c>
      <c r="L491" s="137">
        <f t="shared" si="25"/>
        <v>-890</v>
      </c>
      <c r="M491" s="138">
        <f t="shared" si="26"/>
        <v>-1323.0000000000002</v>
      </c>
      <c r="N491" s="137">
        <f t="shared" si="27"/>
        <v>-545</v>
      </c>
      <c r="O491" s="137"/>
    </row>
    <row r="492" spans="1:15">
      <c r="A492" s="76">
        <f>'BC.114+840'!B491</f>
        <v>45748</v>
      </c>
      <c r="B492" s="137">
        <f t="shared" ref="B492:B517" si="28">+B491+1</f>
        <v>478</v>
      </c>
      <c r="C492" s="139">
        <f>'BC.114+840'!M491/1000</f>
        <v>1.77</v>
      </c>
      <c r="D492" s="139">
        <f>'BC.114+840'!AA491</f>
        <v>3.3879999999999999</v>
      </c>
      <c r="E492" s="140">
        <f>'BC.114+840'!AB491</f>
        <v>0.34</v>
      </c>
      <c r="F492" s="139">
        <f>VLOOKUP($A492,'BC.114+840'!$B$13:$X$4070,8,0)/1000</f>
        <v>2.0299999999999998</v>
      </c>
      <c r="G492" s="139">
        <f>VLOOKUP($A492,'BC.114+840'!$B$13:$X$4070,9,0)/1000</f>
        <v>-0.97</v>
      </c>
      <c r="H492" s="139">
        <f>VLOOKUP($A492,'BC.114+840'!$B$13:$X$4070,14,0)/1000</f>
        <v>1.77</v>
      </c>
      <c r="I492" s="139">
        <f>VLOOKUP($A492,'BC.114+840'!$B$13:$X$4700,15,0)/1000</f>
        <v>-1.23</v>
      </c>
      <c r="J492" s="139">
        <f>VLOOKUP($A492,'BC.114+840'!$B$13:$X$4070,20,0)/1000</f>
        <v>2.0649999999999999</v>
      </c>
      <c r="K492" s="139">
        <f>VLOOKUP($A492,'BC.114+840'!$B$13:$X$4070,21,0)/1000</f>
        <v>-0.93500000000000005</v>
      </c>
      <c r="L492" s="137">
        <f t="shared" ref="L492:L517" si="29">(G492-$G$14)*1000</f>
        <v>-890</v>
      </c>
      <c r="M492" s="138">
        <f t="shared" ref="M492:M517" si="30">(I492-$I$14)*1000</f>
        <v>-1330</v>
      </c>
      <c r="N492" s="137">
        <f t="shared" ref="N492:N517" si="31">(K492-$K$14)*1000</f>
        <v>-545</v>
      </c>
      <c r="O492" s="137"/>
    </row>
    <row r="493" spans="1:15">
      <c r="A493" s="76">
        <f>'BC.114+840'!B492</f>
        <v>45749</v>
      </c>
      <c r="B493" s="137">
        <f t="shared" si="28"/>
        <v>479</v>
      </c>
      <c r="C493" s="139">
        <f>'BC.114+840'!M492/1000</f>
        <v>1.7649999999999999</v>
      </c>
      <c r="D493" s="139">
        <f>'BC.114+840'!AA492</f>
        <v>3.3879999999999999</v>
      </c>
      <c r="E493" s="140">
        <f>'BC.114+840'!AB492</f>
        <v>0.33</v>
      </c>
      <c r="F493" s="139">
        <f>VLOOKUP($A493,'BC.114+840'!$B$13:$X$4070,8,0)/1000</f>
        <v>2.0299999999999998</v>
      </c>
      <c r="G493" s="139">
        <f>VLOOKUP($A493,'BC.114+840'!$B$13:$X$4070,9,0)/1000</f>
        <v>-0.97</v>
      </c>
      <c r="H493" s="139">
        <f>VLOOKUP($A493,'BC.114+840'!$B$13:$X$4070,14,0)/1000</f>
        <v>1.7649999999999999</v>
      </c>
      <c r="I493" s="139">
        <f>VLOOKUP($A493,'BC.114+840'!$B$13:$X$4700,15,0)/1000</f>
        <v>-1.2350000000000001</v>
      </c>
      <c r="J493" s="139">
        <f>VLOOKUP($A493,'BC.114+840'!$B$13:$X$4070,20,0)/1000</f>
        <v>2.0649999999999999</v>
      </c>
      <c r="K493" s="139">
        <f>VLOOKUP($A493,'BC.114+840'!$B$13:$X$4070,21,0)/1000</f>
        <v>-0.93500000000000005</v>
      </c>
      <c r="L493" s="137">
        <f t="shared" si="29"/>
        <v>-890</v>
      </c>
      <c r="M493" s="138">
        <f t="shared" si="30"/>
        <v>-1335.0000000000002</v>
      </c>
      <c r="N493" s="137">
        <f t="shared" si="31"/>
        <v>-545</v>
      </c>
      <c r="O493" s="137"/>
    </row>
    <row r="494" spans="1:15">
      <c r="A494" s="76">
        <f>'BC.114+840'!B493</f>
        <v>45750</v>
      </c>
      <c r="B494" s="137">
        <f t="shared" si="28"/>
        <v>480</v>
      </c>
      <c r="C494" s="139">
        <f>'BC.114+840'!M493/1000</f>
        <v>1.76</v>
      </c>
      <c r="D494" s="139">
        <f>'BC.114+840'!AA493</f>
        <v>3.3879999999999999</v>
      </c>
      <c r="E494" s="140">
        <f>'BC.114+840'!AB493</f>
        <v>0.32</v>
      </c>
      <c r="F494" s="139">
        <f>VLOOKUP($A494,'BC.114+840'!$B$13:$X$4070,8,0)/1000</f>
        <v>2.0299999999999998</v>
      </c>
      <c r="G494" s="139">
        <f>VLOOKUP($A494,'BC.114+840'!$B$13:$X$4070,9,0)/1000</f>
        <v>-0.97</v>
      </c>
      <c r="H494" s="139">
        <f>VLOOKUP($A494,'BC.114+840'!$B$13:$X$4070,14,0)/1000</f>
        <v>1.76</v>
      </c>
      <c r="I494" s="139">
        <f>VLOOKUP($A494,'BC.114+840'!$B$13:$X$4700,15,0)/1000</f>
        <v>-1.24</v>
      </c>
      <c r="J494" s="139">
        <f>VLOOKUP($A494,'BC.114+840'!$B$13:$X$4070,20,0)/1000</f>
        <v>2.0649999999999999</v>
      </c>
      <c r="K494" s="139">
        <f>VLOOKUP($A494,'BC.114+840'!$B$13:$X$4070,21,0)/1000</f>
        <v>-0.93500000000000005</v>
      </c>
      <c r="L494" s="137">
        <f t="shared" si="29"/>
        <v>-890</v>
      </c>
      <c r="M494" s="138">
        <f t="shared" si="30"/>
        <v>-1340</v>
      </c>
      <c r="N494" s="137">
        <f t="shared" si="31"/>
        <v>-545</v>
      </c>
      <c r="O494" s="137"/>
    </row>
    <row r="495" spans="1:15">
      <c r="A495" s="76">
        <f>'BC.114+840'!B494</f>
        <v>45751</v>
      </c>
      <c r="B495" s="137">
        <f t="shared" si="28"/>
        <v>481</v>
      </c>
      <c r="C495" s="139">
        <f>'BC.114+840'!M494/1000</f>
        <v>1.7529999999999999</v>
      </c>
      <c r="D495" s="139">
        <f>'BC.114+840'!AA494</f>
        <v>3.3879999999999999</v>
      </c>
      <c r="E495" s="140">
        <f>'BC.114+840'!AB494</f>
        <v>0.30599999999999999</v>
      </c>
      <c r="F495" s="139">
        <f>VLOOKUP($A495,'BC.114+840'!$B$13:$X$4070,8,0)/1000</f>
        <v>2.0299999999999998</v>
      </c>
      <c r="G495" s="139">
        <f>VLOOKUP($A495,'BC.114+840'!$B$13:$X$4070,9,0)/1000</f>
        <v>-0.97</v>
      </c>
      <c r="H495" s="139">
        <f>VLOOKUP($A495,'BC.114+840'!$B$13:$X$4070,14,0)/1000</f>
        <v>1.7529999999999999</v>
      </c>
      <c r="I495" s="139">
        <f>VLOOKUP($A495,'BC.114+840'!$B$13:$X$4700,15,0)/1000</f>
        <v>-1.2470000000000001</v>
      </c>
      <c r="J495" s="139">
        <f>VLOOKUP($A495,'BC.114+840'!$B$13:$X$4070,20,0)/1000</f>
        <v>2.0649999999999999</v>
      </c>
      <c r="K495" s="139">
        <f>VLOOKUP($A495,'BC.114+840'!$B$13:$X$4070,21,0)/1000</f>
        <v>-0.93500000000000005</v>
      </c>
      <c r="L495" s="137">
        <f t="shared" si="29"/>
        <v>-890</v>
      </c>
      <c r="M495" s="138">
        <f t="shared" si="30"/>
        <v>-1347.0000000000002</v>
      </c>
      <c r="N495" s="137">
        <f t="shared" si="31"/>
        <v>-545</v>
      </c>
      <c r="O495" s="137"/>
    </row>
    <row r="496" spans="1:15">
      <c r="A496" s="76">
        <f>'BC.114+840'!B495</f>
        <v>45752</v>
      </c>
      <c r="B496" s="137">
        <f t="shared" si="28"/>
        <v>482</v>
      </c>
      <c r="C496" s="139">
        <f>'BC.114+840'!M495/1000</f>
        <v>1.7490000000000001</v>
      </c>
      <c r="D496" s="139">
        <f>'BC.114+840'!AA495</f>
        <v>3.3879999999999999</v>
      </c>
      <c r="E496" s="140">
        <f>'BC.114+840'!AB495</f>
        <v>0.29799999999999999</v>
      </c>
      <c r="F496" s="139">
        <f>VLOOKUP($A496,'BC.114+840'!$B$13:$X$4070,8,0)/1000</f>
        <v>2.0299999999999998</v>
      </c>
      <c r="G496" s="139">
        <f>VLOOKUP($A496,'BC.114+840'!$B$13:$X$4070,9,0)/1000</f>
        <v>-0.97</v>
      </c>
      <c r="H496" s="139">
        <f>VLOOKUP($A496,'BC.114+840'!$B$13:$X$4070,14,0)/1000</f>
        <v>1.7490000000000001</v>
      </c>
      <c r="I496" s="139">
        <f>VLOOKUP($A496,'BC.114+840'!$B$13:$X$4700,15,0)/1000</f>
        <v>-1.2509999999999999</v>
      </c>
      <c r="J496" s="139">
        <f>VLOOKUP($A496,'BC.114+840'!$B$13:$X$4070,20,0)/1000</f>
        <v>2.0649999999999999</v>
      </c>
      <c r="K496" s="139">
        <f>VLOOKUP($A496,'BC.114+840'!$B$13:$X$4070,21,0)/1000</f>
        <v>-0.93500000000000005</v>
      </c>
      <c r="L496" s="137">
        <f t="shared" si="29"/>
        <v>-890</v>
      </c>
      <c r="M496" s="138">
        <f t="shared" si="30"/>
        <v>-1351</v>
      </c>
      <c r="N496" s="137">
        <f t="shared" si="31"/>
        <v>-545</v>
      </c>
      <c r="O496" s="137"/>
    </row>
    <row r="497" spans="1:16">
      <c r="A497" s="76">
        <f>'BC.114+840'!B496</f>
        <v>45753</v>
      </c>
      <c r="B497" s="137">
        <f t="shared" si="28"/>
        <v>483</v>
      </c>
      <c r="C497" s="139">
        <f>'BC.114+840'!M496/1000</f>
        <v>1.7450000000000001</v>
      </c>
      <c r="D497" s="139">
        <f>'BC.114+840'!AA496</f>
        <v>3.3879999999999999</v>
      </c>
      <c r="E497" s="140">
        <f>'BC.114+840'!AB496</f>
        <v>0.28999999999999998</v>
      </c>
      <c r="F497" s="139">
        <f>VLOOKUP($A497,'BC.114+840'!$B$13:$X$4070,8,0)/1000</f>
        <v>2.0299999999999998</v>
      </c>
      <c r="G497" s="139">
        <f>VLOOKUP($A497,'BC.114+840'!$B$13:$X$4070,9,0)/1000</f>
        <v>-0.97</v>
      </c>
      <c r="H497" s="139">
        <f>VLOOKUP($A497,'BC.114+840'!$B$13:$X$4070,14,0)/1000</f>
        <v>1.7450000000000001</v>
      </c>
      <c r="I497" s="139">
        <f>VLOOKUP($A497,'BC.114+840'!$B$13:$X$4700,15,0)/1000</f>
        <v>-1.2549999999999999</v>
      </c>
      <c r="J497" s="139">
        <f>VLOOKUP($A497,'BC.114+840'!$B$13:$X$4070,20,0)/1000</f>
        <v>2.0649999999999999</v>
      </c>
      <c r="K497" s="139">
        <f>VLOOKUP($A497,'BC.114+840'!$B$13:$X$4070,21,0)/1000</f>
        <v>-0.93500000000000005</v>
      </c>
      <c r="L497" s="137">
        <f t="shared" si="29"/>
        <v>-890</v>
      </c>
      <c r="M497" s="138">
        <f t="shared" si="30"/>
        <v>-1355</v>
      </c>
      <c r="N497" s="137">
        <f t="shared" si="31"/>
        <v>-545</v>
      </c>
      <c r="O497" s="137"/>
    </row>
    <row r="498" spans="1:16">
      <c r="A498" s="76">
        <f>'BC.114+840'!B497</f>
        <v>45754</v>
      </c>
      <c r="B498" s="137">
        <f t="shared" si="28"/>
        <v>484</v>
      </c>
      <c r="C498" s="139">
        <f>'BC.114+840'!M497/1000</f>
        <v>1.74</v>
      </c>
      <c r="D498" s="139">
        <f>'BC.114+840'!AA497</f>
        <v>3.3879999999999999</v>
      </c>
      <c r="E498" s="140">
        <f>'BC.114+840'!AB497</f>
        <v>0.28000000000000003</v>
      </c>
      <c r="F498" s="139">
        <f>VLOOKUP($A498,'BC.114+840'!$B$13:$X$4070,8,0)/1000</f>
        <v>2.0299999999999998</v>
      </c>
      <c r="G498" s="139">
        <f>VLOOKUP($A498,'BC.114+840'!$B$13:$X$4070,9,0)/1000</f>
        <v>-0.97</v>
      </c>
      <c r="H498" s="139">
        <f>VLOOKUP($A498,'BC.114+840'!$B$13:$X$4070,14,0)/1000</f>
        <v>1.74</v>
      </c>
      <c r="I498" s="139">
        <f>VLOOKUP($A498,'BC.114+840'!$B$13:$X$4700,15,0)/1000</f>
        <v>-1.26</v>
      </c>
      <c r="J498" s="139">
        <f>VLOOKUP($A498,'BC.114+840'!$B$13:$X$4070,20,0)/1000</f>
        <v>2.0649999999999999</v>
      </c>
      <c r="K498" s="139">
        <f>VLOOKUP($A498,'BC.114+840'!$B$13:$X$4070,21,0)/1000</f>
        <v>-0.93500000000000005</v>
      </c>
      <c r="L498" s="137">
        <f t="shared" si="29"/>
        <v>-890</v>
      </c>
      <c r="M498" s="138">
        <f t="shared" si="30"/>
        <v>-1360</v>
      </c>
      <c r="N498" s="137">
        <f t="shared" si="31"/>
        <v>-545</v>
      </c>
      <c r="O498" s="137"/>
    </row>
    <row r="499" spans="1:16">
      <c r="A499" s="76">
        <f>'BC.114+840'!B498</f>
        <v>45755</v>
      </c>
      <c r="B499" s="137">
        <f t="shared" si="28"/>
        <v>485</v>
      </c>
      <c r="C499" s="139">
        <f>'BC.114+840'!M498/1000</f>
        <v>1.736</v>
      </c>
      <c r="D499" s="139">
        <f>'BC.114+840'!AA498</f>
        <v>3.3879999999999999</v>
      </c>
      <c r="E499" s="140">
        <f>'BC.114+840'!AB498</f>
        <v>0.27200000000000002</v>
      </c>
      <c r="F499" s="139">
        <f>VLOOKUP($A499,'BC.114+840'!$B$13:$X$4070,8,0)/1000</f>
        <v>2.0299999999999998</v>
      </c>
      <c r="G499" s="139">
        <f>VLOOKUP($A499,'BC.114+840'!$B$13:$X$4070,9,0)/1000</f>
        <v>-0.97</v>
      </c>
      <c r="H499" s="139">
        <f>VLOOKUP($A499,'BC.114+840'!$B$13:$X$4070,14,0)/1000</f>
        <v>1.736</v>
      </c>
      <c r="I499" s="139">
        <f>VLOOKUP($A499,'BC.114+840'!$B$13:$X$4700,15,0)/1000</f>
        <v>-1.264</v>
      </c>
      <c r="J499" s="139">
        <f>VLOOKUP($A499,'BC.114+840'!$B$13:$X$4070,20,0)/1000</f>
        <v>2.0649999999999999</v>
      </c>
      <c r="K499" s="139">
        <f>VLOOKUP($A499,'BC.114+840'!$B$13:$X$4070,21,0)/1000</f>
        <v>-0.93500000000000005</v>
      </c>
      <c r="L499" s="137">
        <f t="shared" si="29"/>
        <v>-890</v>
      </c>
      <c r="M499" s="138">
        <f t="shared" si="30"/>
        <v>-1364</v>
      </c>
      <c r="N499" s="137">
        <f t="shared" si="31"/>
        <v>-545</v>
      </c>
      <c r="O499" s="137"/>
    </row>
    <row r="500" spans="1:16">
      <c r="A500" s="76">
        <f>'BC.114+840'!B499</f>
        <v>45756</v>
      </c>
      <c r="B500" s="137">
        <f t="shared" si="28"/>
        <v>486</v>
      </c>
      <c r="C500" s="139">
        <f>'BC.114+840'!M499/1000</f>
        <v>1.726</v>
      </c>
      <c r="D500" s="139">
        <f>'BC.114+840'!AA499</f>
        <v>3.3879999999999999</v>
      </c>
      <c r="E500" s="140">
        <f>'BC.114+840'!AB499</f>
        <v>0.252</v>
      </c>
      <c r="F500" s="139">
        <f>VLOOKUP($A500,'BC.114+840'!$B$13:$X$4070,8,0)/1000</f>
        <v>2.0299999999999998</v>
      </c>
      <c r="G500" s="139">
        <f>VLOOKUP($A500,'BC.114+840'!$B$13:$X$4070,9,0)/1000</f>
        <v>-0.97</v>
      </c>
      <c r="H500" s="139">
        <f>VLOOKUP($A500,'BC.114+840'!$B$13:$X$4070,14,0)/1000</f>
        <v>1.726</v>
      </c>
      <c r="I500" s="139">
        <f>VLOOKUP($A500,'BC.114+840'!$B$13:$X$4700,15,0)/1000</f>
        <v>-1.274</v>
      </c>
      <c r="J500" s="139">
        <f>VLOOKUP($A500,'BC.114+840'!$B$13:$X$4070,20,0)/1000</f>
        <v>2.0649999999999999</v>
      </c>
      <c r="K500" s="139">
        <f>VLOOKUP($A500,'BC.114+840'!$B$13:$X$4070,21,0)/1000</f>
        <v>-0.93500000000000005</v>
      </c>
      <c r="L500" s="137">
        <f t="shared" si="29"/>
        <v>-890</v>
      </c>
      <c r="M500" s="138">
        <f t="shared" si="30"/>
        <v>-1374</v>
      </c>
      <c r="N500" s="137">
        <f t="shared" si="31"/>
        <v>-545</v>
      </c>
      <c r="O500" s="137"/>
    </row>
    <row r="501" spans="1:16">
      <c r="A501" s="76">
        <f>'BC.114+840'!B500</f>
        <v>45757</v>
      </c>
      <c r="B501" s="137">
        <f t="shared" si="28"/>
        <v>487</v>
      </c>
      <c r="C501" s="139">
        <f>'BC.114+840'!M500/1000</f>
        <v>1.716</v>
      </c>
      <c r="D501" s="139">
        <f>'BC.114+840'!AA500</f>
        <v>3.3879999999999999</v>
      </c>
      <c r="E501" s="140">
        <f>'BC.114+840'!AB500</f>
        <v>0.23200000000000001</v>
      </c>
      <c r="F501" s="139">
        <f>VLOOKUP($A501,'BC.114+840'!$B$13:$X$4070,8,0)/1000</f>
        <v>2.0299999999999998</v>
      </c>
      <c r="G501" s="139">
        <f>VLOOKUP($A501,'BC.114+840'!$B$13:$X$4070,9,0)/1000</f>
        <v>-0.97</v>
      </c>
      <c r="H501" s="139">
        <f>VLOOKUP($A501,'BC.114+840'!$B$13:$X$4070,14,0)/1000</f>
        <v>1.716</v>
      </c>
      <c r="I501" s="139">
        <f>VLOOKUP($A501,'BC.114+840'!$B$13:$X$4700,15,0)/1000</f>
        <v>-1.284</v>
      </c>
      <c r="J501" s="139">
        <f>VLOOKUP($A501,'BC.114+840'!$B$13:$X$4070,20,0)/1000</f>
        <v>2.0649999999999999</v>
      </c>
      <c r="K501" s="139">
        <f>VLOOKUP($A501,'BC.114+840'!$B$13:$X$4070,21,0)/1000</f>
        <v>-0.93500000000000005</v>
      </c>
      <c r="L501" s="137">
        <f t="shared" si="29"/>
        <v>-890</v>
      </c>
      <c r="M501" s="138">
        <f t="shared" si="30"/>
        <v>-1384.0000000000002</v>
      </c>
      <c r="N501" s="137">
        <f t="shared" si="31"/>
        <v>-545</v>
      </c>
      <c r="O501" s="137"/>
    </row>
    <row r="502" spans="1:16">
      <c r="A502" s="76">
        <f>'BC.114+840'!B501</f>
        <v>45758</v>
      </c>
      <c r="B502" s="137">
        <f t="shared" si="28"/>
        <v>488</v>
      </c>
      <c r="C502" s="139">
        <f>'BC.114+840'!M501/1000</f>
        <v>1.706</v>
      </c>
      <c r="D502" s="139">
        <f>'BC.114+840'!AA501</f>
        <v>3.3879999999999999</v>
      </c>
      <c r="E502" s="140">
        <f>'BC.114+840'!AB501</f>
        <v>0.21199999999999999</v>
      </c>
      <c r="F502" s="139">
        <f>VLOOKUP($A502,'BC.114+840'!$B$13:$X$4070,8,0)/1000</f>
        <v>2.0299999999999998</v>
      </c>
      <c r="G502" s="139">
        <f>VLOOKUP($A502,'BC.114+840'!$B$13:$X$4070,9,0)/1000</f>
        <v>-0.97</v>
      </c>
      <c r="H502" s="139">
        <f>VLOOKUP($A502,'BC.114+840'!$B$13:$X$4070,14,0)/1000</f>
        <v>1.706</v>
      </c>
      <c r="I502" s="139">
        <f>VLOOKUP($A502,'BC.114+840'!$B$13:$X$4700,15,0)/1000</f>
        <v>-1.294</v>
      </c>
      <c r="J502" s="139">
        <f>VLOOKUP($A502,'BC.114+840'!$B$13:$X$4070,20,0)/1000</f>
        <v>2.0649999999999999</v>
      </c>
      <c r="K502" s="139">
        <f>VLOOKUP($A502,'BC.114+840'!$B$13:$X$4070,21,0)/1000</f>
        <v>-0.93500000000000005</v>
      </c>
      <c r="L502" s="137">
        <f t="shared" si="29"/>
        <v>-890</v>
      </c>
      <c r="M502" s="138">
        <f t="shared" si="30"/>
        <v>-1394.0000000000002</v>
      </c>
      <c r="N502" s="137">
        <f t="shared" si="31"/>
        <v>-545</v>
      </c>
      <c r="O502" s="137"/>
    </row>
    <row r="503" spans="1:16">
      <c r="A503" s="76">
        <f>'BC.114+840'!B502</f>
        <v>45759</v>
      </c>
      <c r="B503" s="137">
        <f t="shared" si="28"/>
        <v>489</v>
      </c>
      <c r="C503" s="139">
        <f>'BC.114+840'!M502/1000</f>
        <v>1.919</v>
      </c>
      <c r="D503" s="139">
        <f>'BC.114+840'!AA502</f>
        <v>3.6080000000000001</v>
      </c>
      <c r="E503" s="140">
        <f>'BC.114+840'!AB502</f>
        <v>0.41799999999999998</v>
      </c>
      <c r="F503" s="139">
        <f>VLOOKUP($A503,'BC.114+840'!$B$13:$X$4070,8,0)/1000</f>
        <v>2.0299999999999998</v>
      </c>
      <c r="G503" s="139">
        <f>VLOOKUP($A503,'BC.114+840'!$B$13:$X$4070,9,0)/1000</f>
        <v>-0.97</v>
      </c>
      <c r="H503" s="139">
        <f>VLOOKUP($A503,'BC.114+840'!$B$13:$X$4070,14,0)/1000</f>
        <v>1.6990000000000001</v>
      </c>
      <c r="I503" s="139">
        <f>VLOOKUP($A503,'BC.114+840'!$B$13:$X$4700,15,0)/1000</f>
        <v>-1.3009999999999999</v>
      </c>
      <c r="J503" s="139">
        <f>VLOOKUP($A503,'BC.114+840'!$B$13:$X$4070,20,0)/1000</f>
        <v>2.0649999999999999</v>
      </c>
      <c r="K503" s="139">
        <f>VLOOKUP($A503,'BC.114+840'!$B$13:$X$4070,21,0)/1000</f>
        <v>-0.93500000000000005</v>
      </c>
      <c r="L503" s="137">
        <f t="shared" si="29"/>
        <v>-890</v>
      </c>
      <c r="M503" s="138">
        <f t="shared" si="30"/>
        <v>-1401</v>
      </c>
      <c r="N503" s="137">
        <f t="shared" si="31"/>
        <v>-545</v>
      </c>
      <c r="O503" s="137"/>
    </row>
    <row r="504" spans="1:16">
      <c r="A504" s="76">
        <f>'BC.114+840'!B503</f>
        <v>45760</v>
      </c>
      <c r="B504" s="137">
        <f t="shared" si="28"/>
        <v>490</v>
      </c>
      <c r="C504" s="139">
        <f>'BC.114+840'!M503/1000</f>
        <v>1.909</v>
      </c>
      <c r="D504" s="139">
        <f>'BC.114+840'!AA503</f>
        <v>3.6080000000000001</v>
      </c>
      <c r="E504" s="140">
        <f>'BC.114+840'!AB503</f>
        <v>0.39800000000000002</v>
      </c>
      <c r="F504" s="139">
        <f>VLOOKUP($A504,'BC.114+840'!$B$13:$X$4070,8,0)/1000</f>
        <v>2.0299999999999998</v>
      </c>
      <c r="G504" s="139">
        <f>VLOOKUP($A504,'BC.114+840'!$B$13:$X$4070,9,0)/1000</f>
        <v>-0.97</v>
      </c>
      <c r="H504" s="139">
        <f>VLOOKUP($A504,'BC.114+840'!$B$13:$X$4070,14,0)/1000</f>
        <v>1.6890000000000001</v>
      </c>
      <c r="I504" s="139">
        <f>VLOOKUP($A504,'BC.114+840'!$B$13:$X$4700,15,0)/1000</f>
        <v>-1.3109999999999999</v>
      </c>
      <c r="J504" s="139">
        <f>VLOOKUP($A504,'BC.114+840'!$B$13:$X$4070,20,0)/1000</f>
        <v>2.0649999999999999</v>
      </c>
      <c r="K504" s="139">
        <f>VLOOKUP($A504,'BC.114+840'!$B$13:$X$4070,21,0)/1000</f>
        <v>-0.93500000000000005</v>
      </c>
      <c r="L504" s="137">
        <f t="shared" si="29"/>
        <v>-890</v>
      </c>
      <c r="M504" s="138">
        <f t="shared" si="30"/>
        <v>-1411</v>
      </c>
      <c r="N504" s="137">
        <f t="shared" si="31"/>
        <v>-545</v>
      </c>
      <c r="O504" s="137"/>
    </row>
    <row r="505" spans="1:16">
      <c r="A505" s="76">
        <f>'BC.114+840'!B504</f>
        <v>45761</v>
      </c>
      <c r="B505" s="137">
        <f t="shared" si="28"/>
        <v>491</v>
      </c>
      <c r="C505" s="139">
        <f>'BC.114+840'!M504/1000</f>
        <v>1.899</v>
      </c>
      <c r="D505" s="139">
        <f>'BC.114+840'!AA504</f>
        <v>3.6080000000000001</v>
      </c>
      <c r="E505" s="140">
        <f>'BC.114+840'!AB504</f>
        <v>0.378</v>
      </c>
      <c r="F505" s="139">
        <f>VLOOKUP($A505,'BC.114+840'!$B$13:$X$4070,8,0)/1000</f>
        <v>2.0299999999999998</v>
      </c>
      <c r="G505" s="139">
        <f>VLOOKUP($A505,'BC.114+840'!$B$13:$X$4070,9,0)/1000</f>
        <v>-0.97</v>
      </c>
      <c r="H505" s="139">
        <f>VLOOKUP($A505,'BC.114+840'!$B$13:$X$4070,14,0)/1000</f>
        <v>1.679</v>
      </c>
      <c r="I505" s="139">
        <f>VLOOKUP($A505,'BC.114+840'!$B$13:$X$4700,15,0)/1000</f>
        <v>-1.321</v>
      </c>
      <c r="J505" s="139">
        <f>VLOOKUP($A505,'BC.114+840'!$B$13:$X$4070,20,0)/1000</f>
        <v>2.0649999999999999</v>
      </c>
      <c r="K505" s="139">
        <f>VLOOKUP($A505,'BC.114+840'!$B$13:$X$4070,21,0)/1000</f>
        <v>-0.93500000000000005</v>
      </c>
      <c r="L505" s="137">
        <f t="shared" si="29"/>
        <v>-890</v>
      </c>
      <c r="M505" s="138">
        <f t="shared" si="30"/>
        <v>-1421</v>
      </c>
      <c r="N505" s="137">
        <f t="shared" si="31"/>
        <v>-545</v>
      </c>
      <c r="O505" s="137"/>
    </row>
    <row r="506" spans="1:16">
      <c r="A506" s="76">
        <f>'BC.114+840'!B505</f>
        <v>45762</v>
      </c>
      <c r="B506" s="137">
        <f t="shared" si="28"/>
        <v>492</v>
      </c>
      <c r="C506" s="139">
        <f>'BC.114+840'!M505/1000</f>
        <v>2.1909999999999998</v>
      </c>
      <c r="D506" s="139">
        <f>'BC.114+840'!AA505</f>
        <v>3.9079999999999999</v>
      </c>
      <c r="E506" s="140">
        <f>'BC.114+840'!AB505</f>
        <v>0.66200000000000003</v>
      </c>
      <c r="F506" s="139">
        <f>VLOOKUP($A506,'BC.114+840'!$B$13:$X$4070,8,0)/1000</f>
        <v>2.0299999999999998</v>
      </c>
      <c r="G506" s="139">
        <f>VLOOKUP($A506,'BC.114+840'!$B$13:$X$4070,9,0)/1000</f>
        <v>-0.97</v>
      </c>
      <c r="H506" s="139">
        <f>VLOOKUP($A506,'BC.114+840'!$B$13:$X$4070,14,0)/1000</f>
        <v>1.671</v>
      </c>
      <c r="I506" s="139">
        <f>VLOOKUP($A506,'BC.114+840'!$B$13:$X$4700,15,0)/1000</f>
        <v>-1.329</v>
      </c>
      <c r="J506" s="139">
        <f>VLOOKUP($A506,'BC.114+840'!$B$13:$X$4070,20,0)/1000</f>
        <v>2.0649999999999999</v>
      </c>
      <c r="K506" s="139">
        <f>VLOOKUP($A506,'BC.114+840'!$B$13:$X$4070,21,0)/1000</f>
        <v>-0.93500000000000005</v>
      </c>
      <c r="L506" s="137">
        <f t="shared" si="29"/>
        <v>-890</v>
      </c>
      <c r="M506" s="138">
        <f t="shared" si="30"/>
        <v>-1429</v>
      </c>
      <c r="N506" s="137">
        <f t="shared" si="31"/>
        <v>-545</v>
      </c>
      <c r="O506" s="137"/>
    </row>
    <row r="507" spans="1:16">
      <c r="A507" s="76">
        <f>'BC.114+840'!B506</f>
        <v>45763</v>
      </c>
      <c r="B507" s="137">
        <f t="shared" si="28"/>
        <v>493</v>
      </c>
      <c r="C507" s="139">
        <f>'BC.114+840'!M506/1000</f>
        <v>2.181</v>
      </c>
      <c r="D507" s="139">
        <f>'BC.114+840'!AA506</f>
        <v>3.9079999999999999</v>
      </c>
      <c r="E507" s="140">
        <f>'BC.114+840'!AB506</f>
        <v>0.64200000000000002</v>
      </c>
      <c r="F507" s="139">
        <f>VLOOKUP($A507,'BC.114+840'!$B$13:$X$4070,8,0)/1000</f>
        <v>2.0299999999999998</v>
      </c>
      <c r="G507" s="139">
        <f>VLOOKUP($A507,'BC.114+840'!$B$13:$X$4070,9,0)/1000</f>
        <v>-0.97</v>
      </c>
      <c r="H507" s="139">
        <f>VLOOKUP($A507,'BC.114+840'!$B$13:$X$4070,14,0)/1000</f>
        <v>1.661</v>
      </c>
      <c r="I507" s="139">
        <f>VLOOKUP($A507,'BC.114+840'!$B$13:$X$4700,15,0)/1000</f>
        <v>-1.339</v>
      </c>
      <c r="J507" s="139">
        <f>VLOOKUP($A507,'BC.114+840'!$B$13:$X$4070,20,0)/1000</f>
        <v>2.0649999999999999</v>
      </c>
      <c r="K507" s="139">
        <f>VLOOKUP($A507,'BC.114+840'!$B$13:$X$4070,21,0)/1000</f>
        <v>-0.93500000000000005</v>
      </c>
      <c r="L507" s="137">
        <f t="shared" si="29"/>
        <v>-890</v>
      </c>
      <c r="M507" s="138">
        <f t="shared" si="30"/>
        <v>-1439</v>
      </c>
      <c r="N507" s="137">
        <f t="shared" si="31"/>
        <v>-545</v>
      </c>
      <c r="O507" s="137"/>
    </row>
    <row r="508" spans="1:16">
      <c r="A508" s="76">
        <f>'BC.114+840'!B507</f>
        <v>45764</v>
      </c>
      <c r="B508" s="137">
        <f t="shared" si="28"/>
        <v>494</v>
      </c>
      <c r="C508" s="139">
        <f>'BC.114+840'!M507/1000</f>
        <v>2.1709999999999998</v>
      </c>
      <c r="D508" s="139">
        <f>'BC.114+840'!AA507</f>
        <v>3.9079999999999999</v>
      </c>
      <c r="E508" s="140">
        <f>'BC.114+840'!AB507</f>
        <v>0.622</v>
      </c>
      <c r="F508" s="139">
        <f>VLOOKUP($A508,'BC.114+840'!$B$13:$X$4070,8,0)/1000</f>
        <v>2.0299999999999998</v>
      </c>
      <c r="G508" s="139">
        <f>VLOOKUP($A508,'BC.114+840'!$B$13:$X$4070,9,0)/1000</f>
        <v>-0.97</v>
      </c>
      <c r="H508" s="139">
        <f>VLOOKUP($A508,'BC.114+840'!$B$13:$X$4070,14,0)/1000</f>
        <v>1.651</v>
      </c>
      <c r="I508" s="139">
        <f>VLOOKUP($A508,'BC.114+840'!$B$13:$X$4700,15,0)/1000</f>
        <v>-1.349</v>
      </c>
      <c r="J508" s="139">
        <f>VLOOKUP($A508,'BC.114+840'!$B$13:$X$4070,20,0)/1000</f>
        <v>2.0649999999999999</v>
      </c>
      <c r="K508" s="139">
        <f>VLOOKUP($A508,'BC.114+840'!$B$13:$X$4070,21,0)/1000</f>
        <v>-0.93500000000000005</v>
      </c>
      <c r="L508" s="137">
        <f t="shared" si="29"/>
        <v>-890</v>
      </c>
      <c r="M508" s="138">
        <f t="shared" si="30"/>
        <v>-1449</v>
      </c>
      <c r="N508" s="137">
        <f t="shared" si="31"/>
        <v>-545</v>
      </c>
      <c r="O508" s="137"/>
    </row>
    <row r="509" spans="1:16">
      <c r="A509" s="76">
        <f>'BC.114+840'!B508</f>
        <v>45765</v>
      </c>
      <c r="B509" s="137">
        <f t="shared" si="28"/>
        <v>495</v>
      </c>
      <c r="C509" s="139">
        <f>'BC.114+840'!M508/1000</f>
        <v>2.4620000000000002</v>
      </c>
      <c r="D509" s="139">
        <f>'BC.114+840'!AA508</f>
        <v>4.2080000000000002</v>
      </c>
      <c r="E509" s="140">
        <f>'BC.114+840'!AB508</f>
        <v>0.90400000000000003</v>
      </c>
      <c r="F509" s="139">
        <f>VLOOKUP($A509,'BC.114+840'!$B$13:$X$4070,8,0)/1000</f>
        <v>2.0299999999999998</v>
      </c>
      <c r="G509" s="139">
        <f>VLOOKUP($A509,'BC.114+840'!$B$13:$X$4070,9,0)/1000</f>
        <v>-0.97</v>
      </c>
      <c r="H509" s="139">
        <f>VLOOKUP($A509,'BC.114+840'!$B$13:$X$4070,14,0)/1000</f>
        <v>1.6419999999999999</v>
      </c>
      <c r="I509" s="139">
        <f>VLOOKUP($A509,'BC.114+840'!$B$13:$X$4700,15,0)/1000</f>
        <v>-1.3580000000000001</v>
      </c>
      <c r="J509" s="139">
        <f>VLOOKUP($A509,'BC.114+840'!$B$13:$X$4070,20,0)/1000</f>
        <v>2.0649999999999999</v>
      </c>
      <c r="K509" s="139">
        <f>VLOOKUP($A509,'BC.114+840'!$B$13:$X$4070,21,0)/1000</f>
        <v>-0.93500000000000005</v>
      </c>
      <c r="L509" s="137">
        <f t="shared" si="29"/>
        <v>-890</v>
      </c>
      <c r="M509" s="138">
        <f t="shared" si="30"/>
        <v>-1458.0000000000002</v>
      </c>
      <c r="N509" s="137">
        <f t="shared" si="31"/>
        <v>-545</v>
      </c>
      <c r="O509" s="137"/>
    </row>
    <row r="510" spans="1:16">
      <c r="A510" s="76">
        <f>'BC.114+840'!B509</f>
        <v>45766</v>
      </c>
      <c r="B510" s="137">
        <f t="shared" si="28"/>
        <v>496</v>
      </c>
      <c r="C510" s="139">
        <f>'BC.114+840'!M509/1000</f>
        <v>2.4540000000000002</v>
      </c>
      <c r="D510" s="139">
        <f>'BC.114+840'!AA509</f>
        <v>4.2080000000000002</v>
      </c>
      <c r="E510" s="140">
        <f>'BC.114+840'!AB509</f>
        <v>0.88800000000000001</v>
      </c>
      <c r="F510" s="139">
        <f>VLOOKUP($A510,'BC.114+840'!$B$13:$X$4070,8,0)/1000</f>
        <v>2.0299999999999998</v>
      </c>
      <c r="G510" s="139">
        <f>VLOOKUP($A510,'BC.114+840'!$B$13:$X$4070,9,0)/1000</f>
        <v>-0.97</v>
      </c>
      <c r="H510" s="139">
        <f>VLOOKUP($A510,'BC.114+840'!$B$13:$X$4070,14,0)/1000</f>
        <v>1.6339999999999999</v>
      </c>
      <c r="I510" s="139">
        <f>VLOOKUP($A510,'BC.114+840'!$B$13:$X$4700,15,0)/1000</f>
        <v>-1.3660000000000001</v>
      </c>
      <c r="J510" s="139">
        <f>VLOOKUP($A510,'BC.114+840'!$B$13:$X$4070,20,0)/1000</f>
        <v>2.0649999999999999</v>
      </c>
      <c r="K510" s="139">
        <f>VLOOKUP($A510,'BC.114+840'!$B$13:$X$4070,21,0)/1000</f>
        <v>-0.93500000000000005</v>
      </c>
      <c r="L510" s="137">
        <f t="shared" si="29"/>
        <v>-890</v>
      </c>
      <c r="M510" s="138">
        <f t="shared" si="30"/>
        <v>-1466.0000000000002</v>
      </c>
      <c r="N510" s="137">
        <f t="shared" si="31"/>
        <v>-545</v>
      </c>
      <c r="O510" s="137"/>
    </row>
    <row r="511" spans="1:16">
      <c r="A511" s="76">
        <f>'BC.114+840'!B510</f>
        <v>45767</v>
      </c>
      <c r="B511" s="137">
        <f t="shared" si="28"/>
        <v>497</v>
      </c>
      <c r="C511" s="139">
        <f>'BC.114+840'!M510/1000</f>
        <v>2.448</v>
      </c>
      <c r="D511" s="139">
        <f>'BC.114+840'!AA510</f>
        <v>4.2080000000000002</v>
      </c>
      <c r="E511" s="140">
        <f>'BC.114+840'!AB510</f>
        <v>0.876</v>
      </c>
      <c r="F511" s="139">
        <f>VLOOKUP($A511,'BC.114+840'!$B$13:$X$4070,8,0)/1000</f>
        <v>2.0299999999999998</v>
      </c>
      <c r="G511" s="139">
        <f>VLOOKUP($A511,'BC.114+840'!$B$13:$X$4070,9,0)/1000</f>
        <v>-0.97</v>
      </c>
      <c r="H511" s="139">
        <f>VLOOKUP($A511,'BC.114+840'!$B$13:$X$4070,14,0)/1000</f>
        <v>1.6279999999999999</v>
      </c>
      <c r="I511" s="139">
        <f>VLOOKUP($A511,'BC.114+840'!$B$13:$X$4700,15,0)/1000</f>
        <v>-1.3720000000000001</v>
      </c>
      <c r="J511" s="139">
        <f>VLOOKUP($A511,'BC.114+840'!$B$13:$X$4070,20,0)/1000</f>
        <v>2.0649999999999999</v>
      </c>
      <c r="K511" s="139">
        <f>VLOOKUP($A511,'BC.114+840'!$B$13:$X$4070,21,0)/1000</f>
        <v>-0.93500000000000005</v>
      </c>
      <c r="L511" s="137">
        <f t="shared" si="29"/>
        <v>-890</v>
      </c>
      <c r="M511" s="138">
        <f t="shared" si="30"/>
        <v>-1472.0000000000002</v>
      </c>
      <c r="N511" s="137">
        <f t="shared" si="31"/>
        <v>-545</v>
      </c>
      <c r="O511" s="137"/>
    </row>
    <row r="512" spans="1:16" ht="15.75">
      <c r="A512" s="175">
        <f>'BC.114+840'!B511</f>
        <v>45768</v>
      </c>
      <c r="B512" s="141">
        <f t="shared" si="28"/>
        <v>498</v>
      </c>
      <c r="C512" s="176">
        <f>'BC.114+840'!M511/1000</f>
        <v>2.7429999999999999</v>
      </c>
      <c r="D512" s="176">
        <f>'BC.114+840'!AA511</f>
        <v>4.508</v>
      </c>
      <c r="E512" s="177">
        <f>'BC.114+840'!AB511</f>
        <v>1.1659999999999999</v>
      </c>
      <c r="F512" s="176">
        <f>VLOOKUP($A512,'BC.114+840'!$B$13:$X$4070,8,0)/1000</f>
        <v>2.0299999999999998</v>
      </c>
      <c r="G512" s="176">
        <f>VLOOKUP($A512,'BC.114+840'!$B$13:$X$4070,9,0)/1000</f>
        <v>-0.97</v>
      </c>
      <c r="H512" s="176">
        <f>VLOOKUP($A512,'BC.114+840'!$B$13:$X$4070,14,0)/1000</f>
        <v>1.623</v>
      </c>
      <c r="I512" s="176">
        <f>VLOOKUP($A512,'BC.114+840'!$B$13:$X$4700,15,0)/1000</f>
        <v>-1.377</v>
      </c>
      <c r="J512" s="176">
        <f>VLOOKUP($A512,'BC.114+840'!$B$13:$X$4070,20,0)/1000</f>
        <v>2.0649999999999999</v>
      </c>
      <c r="K512" s="176">
        <f>VLOOKUP($A512,'BC.114+840'!$B$13:$X$4070,21,0)/1000</f>
        <v>-0.93500000000000005</v>
      </c>
      <c r="L512" s="141">
        <f t="shared" si="29"/>
        <v>-890</v>
      </c>
      <c r="M512" s="178">
        <f t="shared" si="30"/>
        <v>-1477</v>
      </c>
      <c r="N512" s="141">
        <f t="shared" si="31"/>
        <v>-545</v>
      </c>
      <c r="O512" s="166" t="s">
        <v>73</v>
      </c>
      <c r="P512" s="256">
        <f>C512-M512/1000</f>
        <v>4.22</v>
      </c>
    </row>
    <row r="513" spans="1:15">
      <c r="A513" s="76">
        <f>'BC.114+840'!B512</f>
        <v>45771</v>
      </c>
      <c r="B513" s="137">
        <f t="shared" si="28"/>
        <v>499</v>
      </c>
      <c r="C513" s="139">
        <f>'BC.114+840'!M512/1000</f>
        <v>2.7229999999999999</v>
      </c>
      <c r="D513" s="139">
        <f>'BC.114+840'!AA512</f>
        <v>4.508</v>
      </c>
      <c r="E513" s="140">
        <f>'BC.114+840'!AB512</f>
        <v>1.1259999999999999</v>
      </c>
      <c r="F513" s="139">
        <f>VLOOKUP($A513,'BC.114+840'!$B$13:$X$4070,8,0)/1000</f>
        <v>2.008</v>
      </c>
      <c r="G513" s="139">
        <f>VLOOKUP($A513,'BC.114+840'!$B$13:$X$4070,9,0)/1000</f>
        <v>-0.99199999999999999</v>
      </c>
      <c r="H513" s="139">
        <f>VLOOKUP($A513,'BC.114+840'!$B$13:$X$4070,14,0)/1000</f>
        <v>1.603</v>
      </c>
      <c r="I513" s="139">
        <f>VLOOKUP($A513,'BC.114+840'!$B$13:$X$4700,15,0)/1000</f>
        <v>-1.397</v>
      </c>
      <c r="J513" s="139">
        <f>VLOOKUP($A513,'BC.114+840'!$B$13:$X$4070,20,0)/1000</f>
        <v>2.048</v>
      </c>
      <c r="K513" s="139">
        <f>VLOOKUP($A513,'BC.114+840'!$B$13:$X$4070,21,0)/1000</f>
        <v>-0.95199999999999996</v>
      </c>
      <c r="L513" s="137">
        <f t="shared" si="29"/>
        <v>-912</v>
      </c>
      <c r="M513" s="138">
        <f t="shared" si="30"/>
        <v>-1497</v>
      </c>
      <c r="N513" s="137">
        <f t="shared" si="31"/>
        <v>-562</v>
      </c>
      <c r="O513" s="137"/>
    </row>
    <row r="514" spans="1:15">
      <c r="A514" s="76">
        <f>'BC.114+840'!B513</f>
        <v>45775</v>
      </c>
      <c r="B514" s="137">
        <f t="shared" si="28"/>
        <v>500</v>
      </c>
      <c r="C514" s="139">
        <f>'BC.114+840'!M513/1000</f>
        <v>2.698</v>
      </c>
      <c r="D514" s="139">
        <f>'BC.114+840'!AA513</f>
        <v>4.508</v>
      </c>
      <c r="E514" s="140">
        <f>'BC.114+840'!AB513</f>
        <v>1.0760000000000001</v>
      </c>
      <c r="F514" s="139">
        <f>VLOOKUP($A514,'BC.114+840'!$B$13:$X$4070,8,0)/1000</f>
        <v>1.9830000000000001</v>
      </c>
      <c r="G514" s="139">
        <f>VLOOKUP($A514,'BC.114+840'!$B$13:$X$4070,9,0)/1000</f>
        <v>-1.0169999999999999</v>
      </c>
      <c r="H514" s="139">
        <f>VLOOKUP($A514,'BC.114+840'!$B$13:$X$4070,14,0)/1000</f>
        <v>1.5780000000000001</v>
      </c>
      <c r="I514" s="139">
        <f>VLOOKUP($A514,'BC.114+840'!$B$13:$X$4700,15,0)/1000</f>
        <v>-1.4219999999999999</v>
      </c>
      <c r="J514" s="139">
        <f>VLOOKUP($A514,'BC.114+840'!$B$13:$X$4070,20,0)/1000</f>
        <v>2.0219999999999998</v>
      </c>
      <c r="K514" s="139">
        <f>VLOOKUP($A514,'BC.114+840'!$B$13:$X$4070,21,0)/1000</f>
        <v>-0.97799999999999998</v>
      </c>
      <c r="L514" s="137">
        <f t="shared" si="29"/>
        <v>-937</v>
      </c>
      <c r="M514" s="138">
        <f t="shared" si="30"/>
        <v>-1522</v>
      </c>
      <c r="N514" s="137">
        <f t="shared" si="31"/>
        <v>-588</v>
      </c>
      <c r="O514" s="137"/>
    </row>
    <row r="515" spans="1:15">
      <c r="A515" s="76">
        <f>'BC.114+840'!B514</f>
        <v>45778</v>
      </c>
      <c r="B515" s="137">
        <f t="shared" si="28"/>
        <v>501</v>
      </c>
      <c r="C515" s="139">
        <f>'BC.114+840'!M514/1000</f>
        <v>2.6829999999999998</v>
      </c>
      <c r="D515" s="139">
        <f>'BC.114+840'!AA514</f>
        <v>4.508</v>
      </c>
      <c r="E515" s="140">
        <f>'BC.114+840'!AB514</f>
        <v>1.046</v>
      </c>
      <c r="F515" s="139">
        <f>VLOOKUP($A515,'BC.114+840'!$B$13:$X$4070,8,0)/1000</f>
        <v>1.9610000000000001</v>
      </c>
      <c r="G515" s="139">
        <f>VLOOKUP($A515,'BC.114+840'!$B$13:$X$4070,9,0)/1000</f>
        <v>-1.0389999999999999</v>
      </c>
      <c r="H515" s="139">
        <f>VLOOKUP($A515,'BC.114+840'!$B$13:$X$4070,14,0)/1000</f>
        <v>1.5629999999999999</v>
      </c>
      <c r="I515" s="139">
        <f>VLOOKUP($A515,'BC.114+840'!$B$13:$X$4700,15,0)/1000</f>
        <v>-1.4370000000000001</v>
      </c>
      <c r="J515" s="139">
        <f>VLOOKUP($A515,'BC.114+840'!$B$13:$X$4070,20,0)/1000</f>
        <v>2.004</v>
      </c>
      <c r="K515" s="139">
        <f>VLOOKUP($A515,'BC.114+840'!$B$13:$X$4070,21,0)/1000</f>
        <v>-0.996</v>
      </c>
      <c r="L515" s="137">
        <f t="shared" si="29"/>
        <v>-959</v>
      </c>
      <c r="M515" s="138">
        <f t="shared" si="30"/>
        <v>-1537.0000000000002</v>
      </c>
      <c r="N515" s="137">
        <f t="shared" si="31"/>
        <v>-606</v>
      </c>
      <c r="O515" s="137"/>
    </row>
    <row r="516" spans="1:15">
      <c r="A516" s="76">
        <f>'BC.114+840'!B515</f>
        <v>45782</v>
      </c>
      <c r="B516" s="137">
        <f t="shared" si="28"/>
        <v>502</v>
      </c>
      <c r="C516" s="139">
        <f>'BC.114+840'!M515/1000</f>
        <v>2.6589999999999998</v>
      </c>
      <c r="D516" s="139">
        <f>'BC.114+840'!AA515</f>
        <v>4.508</v>
      </c>
      <c r="E516" s="140">
        <f>'BC.114+840'!AB515</f>
        <v>0.998</v>
      </c>
      <c r="F516" s="139">
        <f>VLOOKUP($A516,'BC.114+840'!$B$13:$X$4070,8,0)/1000</f>
        <v>1.931</v>
      </c>
      <c r="G516" s="139">
        <f>VLOOKUP($A516,'BC.114+840'!$B$13:$X$4070,9,0)/1000</f>
        <v>-1.069</v>
      </c>
      <c r="H516" s="139">
        <f>VLOOKUP($A516,'BC.114+840'!$B$13:$X$4070,14,0)/1000</f>
        <v>1.5389999999999999</v>
      </c>
      <c r="I516" s="139">
        <f>VLOOKUP($A516,'BC.114+840'!$B$13:$X$4700,15,0)/1000</f>
        <v>-1.4610000000000001</v>
      </c>
      <c r="J516" s="139">
        <f>VLOOKUP($A516,'BC.114+840'!$B$13:$X$4070,20,0)/1000</f>
        <v>1.982</v>
      </c>
      <c r="K516" s="139">
        <f>VLOOKUP($A516,'BC.114+840'!$B$13:$X$4070,21,0)/1000</f>
        <v>-1.018</v>
      </c>
      <c r="L516" s="137">
        <f t="shared" si="29"/>
        <v>-989</v>
      </c>
      <c r="M516" s="138">
        <f t="shared" si="30"/>
        <v>-1561.0000000000002</v>
      </c>
      <c r="N516" s="137">
        <f t="shared" si="31"/>
        <v>-628</v>
      </c>
      <c r="O516" s="137"/>
    </row>
    <row r="517" spans="1:15">
      <c r="A517" s="76">
        <f>'BC.114+840'!B516</f>
        <v>45785</v>
      </c>
      <c r="B517" s="137">
        <f t="shared" si="28"/>
        <v>503</v>
      </c>
      <c r="C517" s="139">
        <f>'BC.114+840'!M516/1000</f>
        <v>2.6469999999999998</v>
      </c>
      <c r="D517" s="139">
        <f>'BC.114+840'!AA516</f>
        <v>4.508</v>
      </c>
      <c r="E517" s="140">
        <f>'BC.114+840'!AB516</f>
        <v>0.97399999999999998</v>
      </c>
      <c r="F517" s="139">
        <f>VLOOKUP($A517,'BC.114+840'!$B$13:$X$4070,8,0)/1000</f>
        <v>1.915</v>
      </c>
      <c r="G517" s="139">
        <f>VLOOKUP($A517,'BC.114+840'!$B$13:$X$4070,9,0)/1000</f>
        <v>-1.085</v>
      </c>
      <c r="H517" s="139">
        <f>VLOOKUP($A517,'BC.114+840'!$B$13:$X$4070,14,0)/1000</f>
        <v>1.5269999999999999</v>
      </c>
      <c r="I517" s="139">
        <f>VLOOKUP($A517,'BC.114+840'!$B$13:$X$4700,15,0)/1000</f>
        <v>-1.4730000000000001</v>
      </c>
      <c r="J517" s="139">
        <f>VLOOKUP($A517,'BC.114+840'!$B$13:$X$4070,20,0)/1000</f>
        <v>1.9670000000000001</v>
      </c>
      <c r="K517" s="139">
        <f>VLOOKUP($A517,'BC.114+840'!$B$13:$X$4070,21,0)/1000</f>
        <v>-1.0329999999999999</v>
      </c>
      <c r="L517" s="137">
        <f t="shared" si="29"/>
        <v>-1004.9999999999999</v>
      </c>
      <c r="M517" s="138">
        <f t="shared" si="30"/>
        <v>-1573.0000000000002</v>
      </c>
      <c r="N517" s="137">
        <f t="shared" si="31"/>
        <v>-642.99999999999989</v>
      </c>
      <c r="O517" s="137"/>
    </row>
    <row r="518" spans="1:15">
      <c r="A518" s="76">
        <f>'BC.114+840'!B517</f>
        <v>45789</v>
      </c>
      <c r="B518" s="137">
        <f t="shared" ref="B518:B530" si="32">+B517+1</f>
        <v>504</v>
      </c>
      <c r="C518" s="139">
        <f>'BC.114+840'!M517/1000</f>
        <v>2.6219999999999999</v>
      </c>
      <c r="D518" s="139">
        <f>'BC.114+840'!AA517</f>
        <v>4.508</v>
      </c>
      <c r="E518" s="140">
        <f>'BC.114+840'!AB517</f>
        <v>0.92400000000000004</v>
      </c>
      <c r="F518" s="139">
        <f>VLOOKUP($A518,'BC.114+840'!$B$13:$X$4070,8,0)/1000</f>
        <v>1.889</v>
      </c>
      <c r="G518" s="139">
        <f>VLOOKUP($A518,'BC.114+840'!$B$13:$X$4070,9,0)/1000</f>
        <v>-1.111</v>
      </c>
      <c r="H518" s="139">
        <f>VLOOKUP($A518,'BC.114+840'!$B$13:$X$4070,14,0)/1000</f>
        <v>1.502</v>
      </c>
      <c r="I518" s="139">
        <f>VLOOKUP($A518,'BC.114+840'!$B$13:$X$4700,15,0)/1000</f>
        <v>-1.498</v>
      </c>
      <c r="J518" s="139">
        <f>VLOOKUP($A518,'BC.114+840'!$B$13:$X$4070,20,0)/1000</f>
        <v>1.9470000000000001</v>
      </c>
      <c r="K518" s="139">
        <f>VLOOKUP($A518,'BC.114+840'!$B$13:$X$4070,21,0)/1000</f>
        <v>-1.0529999999999999</v>
      </c>
      <c r="L518" s="137">
        <f t="shared" ref="L518:L528" si="33">(G518-$G$14)*1000</f>
        <v>-1031</v>
      </c>
      <c r="M518" s="138">
        <f t="shared" ref="M518:M528" si="34">(I518-$I$14)*1000</f>
        <v>-1598</v>
      </c>
      <c r="N518" s="137">
        <f t="shared" ref="N518:N528" si="35">(K518-$K$14)*1000</f>
        <v>-662.99999999999989</v>
      </c>
      <c r="O518" s="137"/>
    </row>
    <row r="519" spans="1:15">
      <c r="A519" s="76">
        <f>'BC.114+840'!B518</f>
        <v>45792</v>
      </c>
      <c r="B519" s="137">
        <f t="shared" si="32"/>
        <v>505</v>
      </c>
      <c r="C519" s="139">
        <f>'BC.114+840'!M518/1000</f>
        <v>2.6120000000000001</v>
      </c>
      <c r="D519" s="139">
        <f>'BC.114+840'!AA518</f>
        <v>4.508</v>
      </c>
      <c r="E519" s="140">
        <f>'BC.114+840'!AB518</f>
        <v>0.90400000000000003</v>
      </c>
      <c r="F519" s="139">
        <f>VLOOKUP($A519,'BC.114+840'!$B$13:$X$4070,8,0)/1000</f>
        <v>1.877</v>
      </c>
      <c r="G519" s="139">
        <f>VLOOKUP($A519,'BC.114+840'!$B$13:$X$4070,9,0)/1000</f>
        <v>-1.123</v>
      </c>
      <c r="H519" s="139">
        <f>VLOOKUP($A519,'BC.114+840'!$B$13:$X$4070,14,0)/1000</f>
        <v>1.492</v>
      </c>
      <c r="I519" s="139">
        <f>VLOOKUP($A519,'BC.114+840'!$B$13:$X$4700,15,0)/1000</f>
        <v>-1.508</v>
      </c>
      <c r="J519" s="139">
        <f>VLOOKUP($A519,'BC.114+840'!$B$13:$X$4070,20,0)/1000</f>
        <v>1.9370000000000001</v>
      </c>
      <c r="K519" s="139">
        <f>VLOOKUP($A519,'BC.114+840'!$B$13:$X$4070,21,0)/1000</f>
        <v>-1.0629999999999999</v>
      </c>
      <c r="L519" s="137">
        <f t="shared" si="33"/>
        <v>-1043</v>
      </c>
      <c r="M519" s="138">
        <f t="shared" si="34"/>
        <v>-1608</v>
      </c>
      <c r="N519" s="137">
        <f t="shared" si="35"/>
        <v>-672.99999999999989</v>
      </c>
      <c r="O519" s="137"/>
    </row>
    <row r="520" spans="1:15">
      <c r="A520" s="76">
        <f>'BC.114+840'!B519</f>
        <v>45796</v>
      </c>
      <c r="B520" s="137">
        <f t="shared" si="32"/>
        <v>506</v>
      </c>
      <c r="C520" s="139">
        <f>'BC.114+840'!M519/1000</f>
        <v>2.59</v>
      </c>
      <c r="D520" s="139">
        <f>'BC.114+840'!AA519</f>
        <v>4.508</v>
      </c>
      <c r="E520" s="140">
        <f>'BC.114+840'!AB519</f>
        <v>0.86</v>
      </c>
      <c r="F520" s="139">
        <f>VLOOKUP($A520,'BC.114+840'!$B$13:$X$4070,8,0)/1000</f>
        <v>1.855</v>
      </c>
      <c r="G520" s="139">
        <f>VLOOKUP($A520,'BC.114+840'!$B$13:$X$4070,9,0)/1000</f>
        <v>-1.145</v>
      </c>
      <c r="H520" s="139">
        <f>VLOOKUP($A520,'BC.114+840'!$B$13:$X$4070,14,0)/1000</f>
        <v>1.47</v>
      </c>
      <c r="I520" s="139">
        <f>VLOOKUP($A520,'BC.114+840'!$B$13:$X$4700,15,0)/1000</f>
        <v>-1.53</v>
      </c>
      <c r="J520" s="139">
        <f>VLOOKUP($A520,'BC.114+840'!$B$13:$X$4070,20,0)/1000</f>
        <v>1.9179999999999999</v>
      </c>
      <c r="K520" s="139">
        <f>VLOOKUP($A520,'BC.114+840'!$B$13:$X$4070,21,0)/1000</f>
        <v>-1.0820000000000001</v>
      </c>
      <c r="L520" s="137">
        <f t="shared" si="33"/>
        <v>-1065</v>
      </c>
      <c r="M520" s="138">
        <f t="shared" si="34"/>
        <v>-1630.0000000000002</v>
      </c>
      <c r="N520" s="137">
        <f t="shared" si="35"/>
        <v>-692.00000000000011</v>
      </c>
      <c r="O520" s="137"/>
    </row>
    <row r="521" spans="1:15">
      <c r="A521" s="76">
        <f>'BC.114+840'!B520</f>
        <v>45803</v>
      </c>
      <c r="B521" s="137">
        <f t="shared" si="32"/>
        <v>507</v>
      </c>
      <c r="C521" s="139">
        <f>'BC.114+840'!M520/1000</f>
        <v>2.57</v>
      </c>
      <c r="D521" s="139">
        <f>'BC.114+840'!AA520</f>
        <v>4.508</v>
      </c>
      <c r="E521" s="140">
        <f>'BC.114+840'!AB520</f>
        <v>0.82</v>
      </c>
      <c r="F521" s="139">
        <f>VLOOKUP($A521,'BC.114+840'!$B$13:$X$4070,8,0)/1000</f>
        <v>1.83</v>
      </c>
      <c r="G521" s="139">
        <f>VLOOKUP($A521,'BC.114+840'!$B$13:$X$4070,9,0)/1000</f>
        <v>-1.17</v>
      </c>
      <c r="H521" s="139">
        <f>VLOOKUP($A521,'BC.114+840'!$B$13:$X$4070,14,0)/1000</f>
        <v>1.45</v>
      </c>
      <c r="I521" s="139">
        <f>VLOOKUP($A521,'BC.114+840'!$B$13:$X$4700,15,0)/1000</f>
        <v>-1.55</v>
      </c>
      <c r="J521" s="139">
        <f>VLOOKUP($A521,'BC.114+840'!$B$13:$X$4070,20,0)/1000</f>
        <v>1.8939999999999999</v>
      </c>
      <c r="K521" s="139">
        <f>VLOOKUP($A521,'BC.114+840'!$B$13:$X$4070,21,0)/1000</f>
        <v>-1.1060000000000001</v>
      </c>
      <c r="L521" s="137">
        <f t="shared" si="33"/>
        <v>-1089.9999999999998</v>
      </c>
      <c r="M521" s="138">
        <f t="shared" si="34"/>
        <v>-1650.0000000000002</v>
      </c>
      <c r="N521" s="137">
        <f t="shared" si="35"/>
        <v>-716.00000000000011</v>
      </c>
      <c r="O521" s="137"/>
    </row>
    <row r="522" spans="1:15">
      <c r="A522" s="76">
        <f>'BC.114+840'!B521</f>
        <v>45810</v>
      </c>
      <c r="B522" s="137">
        <f t="shared" si="32"/>
        <v>508</v>
      </c>
      <c r="C522" s="139">
        <f>'BC.114+840'!M521/1000</f>
        <v>2.552</v>
      </c>
      <c r="D522" s="139">
        <f>'BC.114+840'!AA521</f>
        <v>4.508</v>
      </c>
      <c r="E522" s="140">
        <f>'BC.114+840'!AB521</f>
        <v>0.78400000000000003</v>
      </c>
      <c r="F522" s="139">
        <f>VLOOKUP($A522,'BC.114+840'!$B$13:$X$4070,8,0)/1000</f>
        <v>1.81</v>
      </c>
      <c r="G522" s="139">
        <f>VLOOKUP($A522,'BC.114+840'!$B$13:$X$4070,9,0)/1000</f>
        <v>-1.19</v>
      </c>
      <c r="H522" s="139">
        <f>VLOOKUP($A522,'BC.114+840'!$B$13:$X$4070,14,0)/1000</f>
        <v>1.4319999999999999</v>
      </c>
      <c r="I522" s="139">
        <f>VLOOKUP($A522,'BC.114+840'!$B$13:$X$4700,15,0)/1000</f>
        <v>-1.5680000000000001</v>
      </c>
      <c r="J522" s="139">
        <f>VLOOKUP($A522,'BC.114+840'!$B$13:$X$4070,20,0)/1000</f>
        <v>1.8740000000000001</v>
      </c>
      <c r="K522" s="139">
        <f>VLOOKUP($A522,'BC.114+840'!$B$13:$X$4070,21,0)/1000</f>
        <v>-1.1259999999999999</v>
      </c>
      <c r="L522" s="137">
        <f t="shared" si="33"/>
        <v>-1109.9999999999998</v>
      </c>
      <c r="M522" s="138">
        <f t="shared" si="34"/>
        <v>-1668.0000000000002</v>
      </c>
      <c r="N522" s="137">
        <f t="shared" si="35"/>
        <v>-735.99999999999989</v>
      </c>
      <c r="O522" s="137"/>
    </row>
    <row r="523" spans="1:15">
      <c r="A523" s="76">
        <f>'BC.114+840'!B522</f>
        <v>45817</v>
      </c>
      <c r="B523" s="137">
        <f t="shared" si="32"/>
        <v>509</v>
      </c>
      <c r="C523" s="139">
        <f>'BC.114+840'!M522/1000</f>
        <v>2.536</v>
      </c>
      <c r="D523" s="139">
        <f>'BC.114+840'!AA522</f>
        <v>4.508</v>
      </c>
      <c r="E523" s="140">
        <f>'BC.114+840'!AB522</f>
        <v>0.752</v>
      </c>
      <c r="F523" s="139">
        <f>VLOOKUP($A523,'BC.114+840'!$B$13:$X$4070,8,0)/1000</f>
        <v>1.7949999999999999</v>
      </c>
      <c r="G523" s="139">
        <f>VLOOKUP($A523,'BC.114+840'!$B$13:$X$4070,9,0)/1000</f>
        <v>-1.2050000000000001</v>
      </c>
      <c r="H523" s="139">
        <f>VLOOKUP($A523,'BC.114+840'!$B$13:$X$4070,14,0)/1000</f>
        <v>1.4159999999999999</v>
      </c>
      <c r="I523" s="139">
        <f>VLOOKUP($A523,'BC.114+840'!$B$13:$X$4700,15,0)/1000</f>
        <v>-1.5840000000000001</v>
      </c>
      <c r="J523" s="139">
        <f>VLOOKUP($A523,'BC.114+840'!$B$13:$X$4070,20,0)/1000</f>
        <v>1.8540000000000001</v>
      </c>
      <c r="K523" s="139">
        <f>VLOOKUP($A523,'BC.114+840'!$B$13:$X$4070,21,0)/1000</f>
        <v>-1.1459999999999999</v>
      </c>
      <c r="L523" s="137">
        <f t="shared" si="33"/>
        <v>-1125</v>
      </c>
      <c r="M523" s="138">
        <f t="shared" si="34"/>
        <v>-1684.0000000000002</v>
      </c>
      <c r="N523" s="137">
        <f t="shared" si="35"/>
        <v>-755.99999999999989</v>
      </c>
      <c r="O523" s="137"/>
    </row>
    <row r="524" spans="1:15">
      <c r="A524" s="76">
        <f>'BC.114+840'!B523</f>
        <v>45824</v>
      </c>
      <c r="B524" s="137">
        <f t="shared" si="32"/>
        <v>510</v>
      </c>
      <c r="C524" s="139">
        <f>'BC.114+840'!M523/1000</f>
        <v>2.52</v>
      </c>
      <c r="D524" s="139">
        <f>'BC.114+840'!AA523</f>
        <v>4.508</v>
      </c>
      <c r="E524" s="140">
        <f>'BC.114+840'!AB523</f>
        <v>0.72</v>
      </c>
      <c r="F524" s="139">
        <f>VLOOKUP($A524,'BC.114+840'!$B$13:$X$4070,8,0)/1000</f>
        <v>1.782</v>
      </c>
      <c r="G524" s="139">
        <f>VLOOKUP($A524,'BC.114+840'!$B$13:$X$4070,9,0)/1000</f>
        <v>-1.218</v>
      </c>
      <c r="H524" s="139">
        <f>VLOOKUP($A524,'BC.114+840'!$B$13:$X$4070,14,0)/1000</f>
        <v>1.4</v>
      </c>
      <c r="I524" s="139">
        <f>VLOOKUP($A524,'BC.114+840'!$B$13:$X$4700,15,0)/1000</f>
        <v>-1.6</v>
      </c>
      <c r="J524" s="139">
        <f>VLOOKUP($A524,'BC.114+840'!$B$13:$X$4070,20,0)/1000</f>
        <v>1.8380000000000001</v>
      </c>
      <c r="K524" s="139">
        <f>VLOOKUP($A524,'BC.114+840'!$B$13:$X$4070,21,0)/1000</f>
        <v>-1.1619999999999999</v>
      </c>
      <c r="L524" s="137">
        <f t="shared" si="33"/>
        <v>-1138</v>
      </c>
      <c r="M524" s="138">
        <f t="shared" si="34"/>
        <v>-1700.0000000000002</v>
      </c>
      <c r="N524" s="137">
        <f t="shared" si="35"/>
        <v>-771.99999999999989</v>
      </c>
      <c r="O524" s="137"/>
    </row>
    <row r="525" spans="1:15">
      <c r="A525" s="76">
        <f>'BC.114+840'!B524</f>
        <v>45831</v>
      </c>
      <c r="B525" s="137">
        <f t="shared" si="32"/>
        <v>511</v>
      </c>
      <c r="C525" s="139">
        <f>'BC.114+840'!M524/1000</f>
        <v>2.5049999999999999</v>
      </c>
      <c r="D525" s="139">
        <f>'BC.114+840'!AA524</f>
        <v>4.508</v>
      </c>
      <c r="E525" s="140">
        <f>'BC.114+840'!AB524</f>
        <v>0.69</v>
      </c>
      <c r="F525" s="139">
        <f>VLOOKUP($A525,'BC.114+840'!$B$13:$X$4070,8,0)/1000</f>
        <v>1.77</v>
      </c>
      <c r="G525" s="139">
        <f>VLOOKUP($A525,'BC.114+840'!$B$13:$X$4070,9,0)/1000</f>
        <v>-1.23</v>
      </c>
      <c r="H525" s="139">
        <f>VLOOKUP($A525,'BC.114+840'!$B$13:$X$4070,14,0)/1000</f>
        <v>1.385</v>
      </c>
      <c r="I525" s="139">
        <f>VLOOKUP($A525,'BC.114+840'!$B$13:$X$4700,15,0)/1000</f>
        <v>-1.615</v>
      </c>
      <c r="J525" s="139">
        <f>VLOOKUP($A525,'BC.114+840'!$B$13:$X$4070,20,0)/1000</f>
        <v>1.8220000000000001</v>
      </c>
      <c r="K525" s="139">
        <f>VLOOKUP($A525,'BC.114+840'!$B$13:$X$4070,21,0)/1000</f>
        <v>-1.1779999999999999</v>
      </c>
      <c r="L525" s="137">
        <f t="shared" si="33"/>
        <v>-1150</v>
      </c>
      <c r="M525" s="138">
        <f t="shared" si="34"/>
        <v>-1715</v>
      </c>
      <c r="N525" s="137">
        <f t="shared" si="35"/>
        <v>-787.99999999999989</v>
      </c>
      <c r="O525" s="137"/>
    </row>
    <row r="526" spans="1:15">
      <c r="A526" s="76">
        <f>'BC.114+840'!B525</f>
        <v>45838</v>
      </c>
      <c r="B526" s="137">
        <f t="shared" si="32"/>
        <v>512</v>
      </c>
      <c r="C526" s="139">
        <f>'BC.114+840'!M525/1000</f>
        <v>2.4900000000000002</v>
      </c>
      <c r="D526" s="139">
        <f>'BC.114+840'!AA525</f>
        <v>4.508</v>
      </c>
      <c r="E526" s="140">
        <f>'BC.114+840'!AB525</f>
        <v>0.66</v>
      </c>
      <c r="F526" s="139">
        <f>VLOOKUP($A526,'BC.114+840'!$B$13:$X$4070,8,0)/1000</f>
        <v>1.76</v>
      </c>
      <c r="G526" s="139">
        <f>VLOOKUP($A526,'BC.114+840'!$B$13:$X$4070,9,0)/1000</f>
        <v>-1.24</v>
      </c>
      <c r="H526" s="139">
        <f>VLOOKUP($A526,'BC.114+840'!$B$13:$X$4070,14,0)/1000</f>
        <v>1.37</v>
      </c>
      <c r="I526" s="139">
        <f>VLOOKUP($A526,'BC.114+840'!$B$13:$X$4700,15,0)/1000</f>
        <v>-1.63</v>
      </c>
      <c r="J526" s="139">
        <f>VLOOKUP($A526,'BC.114+840'!$B$13:$X$4070,20,0)/1000</f>
        <v>1.8080000000000001</v>
      </c>
      <c r="K526" s="139">
        <f>VLOOKUP($A526,'BC.114+840'!$B$13:$X$4070,21,0)/1000</f>
        <v>-1.1919999999999999</v>
      </c>
      <c r="L526" s="137">
        <f t="shared" si="33"/>
        <v>-1160</v>
      </c>
      <c r="M526" s="138">
        <f t="shared" si="34"/>
        <v>-1730</v>
      </c>
      <c r="N526" s="137">
        <f t="shared" si="35"/>
        <v>-801.99999999999989</v>
      </c>
      <c r="O526" s="137"/>
    </row>
    <row r="527" spans="1:15">
      <c r="A527" s="76">
        <f>'BC.114+840'!B526</f>
        <v>45845</v>
      </c>
      <c r="B527" s="137">
        <f t="shared" si="32"/>
        <v>513</v>
      </c>
      <c r="C527" s="139">
        <f>'BC.114+840'!M526/1000</f>
        <v>2.4769999999999999</v>
      </c>
      <c r="D527" s="139">
        <f>'BC.114+840'!AA526</f>
        <v>4.508</v>
      </c>
      <c r="E527" s="140">
        <f>'BC.114+840'!AB526</f>
        <v>0.63400000000000001</v>
      </c>
      <c r="F527" s="139">
        <f>VLOOKUP($A527,'BC.114+840'!$B$13:$X$4070,8,0)/1000</f>
        <v>1.75</v>
      </c>
      <c r="G527" s="139">
        <f>VLOOKUP($A527,'BC.114+840'!$B$13:$X$4070,9,0)/1000</f>
        <v>-1.25</v>
      </c>
      <c r="H527" s="139">
        <f>VLOOKUP($A527,'BC.114+840'!$B$13:$X$4070,14,0)/1000</f>
        <v>1.357</v>
      </c>
      <c r="I527" s="139">
        <f>VLOOKUP($A527,'BC.114+840'!$B$13:$X$4700,15,0)/1000</f>
        <v>-1.643</v>
      </c>
      <c r="J527" s="139">
        <f>VLOOKUP($A527,'BC.114+840'!$B$13:$X$4070,20,0)/1000</f>
        <v>1.796</v>
      </c>
      <c r="K527" s="139">
        <f>VLOOKUP($A527,'BC.114+840'!$B$13:$X$4070,21,0)/1000</f>
        <v>-1.204</v>
      </c>
      <c r="L527" s="137">
        <f t="shared" si="33"/>
        <v>-1170</v>
      </c>
      <c r="M527" s="138">
        <f t="shared" si="34"/>
        <v>-1743</v>
      </c>
      <c r="N527" s="137">
        <f t="shared" si="35"/>
        <v>-814</v>
      </c>
      <c r="O527" s="137"/>
    </row>
    <row r="528" spans="1:15">
      <c r="A528" s="76">
        <f>'BC.114+840'!B527</f>
        <v>45852</v>
      </c>
      <c r="B528" s="137">
        <f t="shared" si="32"/>
        <v>514</v>
      </c>
      <c r="C528" s="139">
        <f>'BC.114+840'!M527/1000</f>
        <v>2.4649999999999999</v>
      </c>
      <c r="D528" s="139">
        <f>'BC.114+840'!AA527</f>
        <v>4.508</v>
      </c>
      <c r="E528" s="140">
        <f>'BC.114+840'!AB527</f>
        <v>0.61</v>
      </c>
      <c r="F528" s="139">
        <f>VLOOKUP($A528,'BC.114+840'!$B$13:$X$4070,8,0)/1000</f>
        <v>1.74</v>
      </c>
      <c r="G528" s="139">
        <f>VLOOKUP($A528,'BC.114+840'!$B$13:$X$4070,9,0)/1000</f>
        <v>-1.26</v>
      </c>
      <c r="H528" s="139">
        <f>VLOOKUP($A528,'BC.114+840'!$B$13:$X$4070,14,0)/1000</f>
        <v>1.345</v>
      </c>
      <c r="I528" s="139">
        <f>VLOOKUP($A528,'BC.114+840'!$B$13:$X$4700,15,0)/1000</f>
        <v>-1.655</v>
      </c>
      <c r="J528" s="139">
        <f>VLOOKUP($A528,'BC.114+840'!$B$13:$X$4070,20,0)/1000</f>
        <v>1.786</v>
      </c>
      <c r="K528" s="139">
        <f>VLOOKUP($A528,'BC.114+840'!$B$13:$X$4070,21,0)/1000</f>
        <v>-1.214</v>
      </c>
      <c r="L528" s="137">
        <f t="shared" si="33"/>
        <v>-1180</v>
      </c>
      <c r="M528" s="138">
        <f t="shared" si="34"/>
        <v>-1755.0000000000002</v>
      </c>
      <c r="N528" s="137">
        <f t="shared" si="35"/>
        <v>-824</v>
      </c>
      <c r="O528" s="137"/>
    </row>
    <row r="529" spans="1:15">
      <c r="A529" s="76">
        <f>'BC.114+840'!B528</f>
        <v>45859</v>
      </c>
      <c r="B529" s="137">
        <f t="shared" si="32"/>
        <v>515</v>
      </c>
      <c r="C529" s="139">
        <f>'BC.114+840'!M528/1000</f>
        <v>2.4550000000000001</v>
      </c>
      <c r="D529" s="139">
        <f>'BC.114+840'!AA528</f>
        <v>4.508</v>
      </c>
      <c r="E529" s="140">
        <f>'BC.114+840'!AB528</f>
        <v>0.59</v>
      </c>
      <c r="F529" s="139">
        <f>VLOOKUP($A529,'BC.114+840'!$B$13:$X$4070,8,0)/1000</f>
        <v>1.7310000000000001</v>
      </c>
      <c r="G529" s="139">
        <f>VLOOKUP($A529,'BC.114+840'!$B$13:$X$4070,9,0)/1000</f>
        <v>-1.2689999999999999</v>
      </c>
      <c r="H529" s="139">
        <f>VLOOKUP($A529,'BC.114+840'!$B$13:$X$4070,14,0)/1000</f>
        <v>1.335</v>
      </c>
      <c r="I529" s="139">
        <f>VLOOKUP($A529,'BC.114+840'!$B$13:$X$4700,15,0)/1000</f>
        <v>-1.665</v>
      </c>
      <c r="J529" s="139">
        <f>VLOOKUP($A529,'BC.114+840'!$B$13:$X$4070,20,0)/1000</f>
        <v>1.776</v>
      </c>
      <c r="K529" s="139">
        <f>VLOOKUP($A529,'BC.114+840'!$B$13:$X$4070,21,0)/1000</f>
        <v>-1.224</v>
      </c>
      <c r="L529" s="137">
        <f t="shared" ref="L529:L530" si="36">(G529-$G$14)*1000</f>
        <v>-1188.9999999999998</v>
      </c>
      <c r="M529" s="138">
        <f t="shared" ref="M529:M530" si="37">(I529-$I$14)*1000</f>
        <v>-1765.0000000000002</v>
      </c>
      <c r="N529" s="137">
        <f t="shared" ref="N529:N530" si="38">(K529-$K$14)*1000</f>
        <v>-834</v>
      </c>
      <c r="O529" s="137"/>
    </row>
    <row r="530" spans="1:15">
      <c r="A530" s="76">
        <f>'BC.114+840'!B529</f>
        <v>45866</v>
      </c>
      <c r="B530" s="137">
        <f t="shared" si="32"/>
        <v>516</v>
      </c>
      <c r="C530" s="139">
        <f>'BC.114+840'!M529/1000</f>
        <v>2.4449999999999998</v>
      </c>
      <c r="D530" s="139">
        <f>'BC.114+840'!AA529</f>
        <v>4.508</v>
      </c>
      <c r="E530" s="140">
        <f>'BC.114+840'!AB529</f>
        <v>0.56999999999999995</v>
      </c>
      <c r="F530" s="139">
        <f>VLOOKUP($A530,'BC.114+840'!$B$13:$X$4070,8,0)/1000</f>
        <v>1.722</v>
      </c>
      <c r="G530" s="139">
        <f>VLOOKUP($A530,'BC.114+840'!$B$13:$X$4070,9,0)/1000</f>
        <v>-1.278</v>
      </c>
      <c r="H530" s="139">
        <f>VLOOKUP($A530,'BC.114+840'!$B$13:$X$4070,14,0)/1000</f>
        <v>1.325</v>
      </c>
      <c r="I530" s="139">
        <f>VLOOKUP($A530,'BC.114+840'!$B$13:$X$4700,15,0)/1000</f>
        <v>-1.675</v>
      </c>
      <c r="J530" s="139">
        <f>VLOOKUP($A530,'BC.114+840'!$B$13:$X$4070,20,0)/1000</f>
        <v>1.7669999999999999</v>
      </c>
      <c r="K530" s="139">
        <f>VLOOKUP($A530,'BC.114+840'!$B$13:$X$4070,21,0)/1000</f>
        <v>-1.2330000000000001</v>
      </c>
      <c r="L530" s="137">
        <f t="shared" si="36"/>
        <v>-1198</v>
      </c>
      <c r="M530" s="138">
        <f t="shared" si="37"/>
        <v>-1775.0000000000002</v>
      </c>
      <c r="N530" s="137">
        <f t="shared" si="38"/>
        <v>-843.00000000000011</v>
      </c>
      <c r="O530" s="137"/>
    </row>
    <row r="531" spans="1:15">
      <c r="A531" s="76"/>
      <c r="B531" s="137"/>
      <c r="C531" s="139"/>
      <c r="D531" s="139"/>
      <c r="E531" s="140"/>
      <c r="F531" s="139"/>
      <c r="G531" s="139"/>
      <c r="H531" s="139"/>
      <c r="I531" s="139"/>
      <c r="J531" s="139"/>
      <c r="K531" s="139"/>
      <c r="L531" s="137"/>
      <c r="M531" s="138"/>
      <c r="N531" s="137"/>
      <c r="O531" s="137"/>
    </row>
    <row r="532" spans="1:15">
      <c r="A532" s="76"/>
      <c r="B532" s="137"/>
      <c r="C532" s="139"/>
      <c r="D532" s="139"/>
      <c r="E532" s="140"/>
      <c r="F532" s="139"/>
      <c r="G532" s="139"/>
      <c r="H532" s="139"/>
      <c r="I532" s="139"/>
      <c r="J532" s="139"/>
      <c r="K532" s="139"/>
      <c r="L532" s="137"/>
      <c r="M532" s="138"/>
      <c r="N532" s="137"/>
      <c r="O532" s="137"/>
    </row>
    <row r="533" spans="1:15">
      <c r="A533" s="76"/>
      <c r="B533" s="137"/>
      <c r="C533" s="139"/>
      <c r="D533" s="139"/>
      <c r="E533" s="140"/>
      <c r="F533" s="139"/>
      <c r="G533" s="139"/>
      <c r="H533" s="139"/>
      <c r="I533" s="139"/>
      <c r="J533" s="139"/>
      <c r="K533" s="139"/>
      <c r="L533" s="137"/>
      <c r="M533" s="138"/>
      <c r="N533" s="137"/>
      <c r="O533" s="137"/>
    </row>
    <row r="534" spans="1:15">
      <c r="A534" s="76"/>
      <c r="B534" s="137"/>
      <c r="C534" s="139"/>
      <c r="D534" s="139"/>
      <c r="E534" s="140"/>
      <c r="F534" s="139"/>
      <c r="G534" s="139"/>
      <c r="H534" s="139"/>
      <c r="I534" s="139"/>
      <c r="J534" s="139"/>
      <c r="K534" s="139"/>
      <c r="L534" s="137"/>
      <c r="M534" s="138"/>
      <c r="N534" s="137"/>
      <c r="O534" s="137"/>
    </row>
    <row r="535" spans="1:15">
      <c r="A535" s="76"/>
      <c r="B535" s="137"/>
      <c r="C535" s="139"/>
      <c r="D535" s="139"/>
      <c r="E535" s="140"/>
      <c r="F535" s="139"/>
      <c r="G535" s="139"/>
      <c r="H535" s="139"/>
      <c r="I535" s="139"/>
      <c r="J535" s="139"/>
      <c r="K535" s="139"/>
      <c r="L535" s="137"/>
      <c r="M535" s="138"/>
      <c r="N535" s="137"/>
      <c r="O535" s="137"/>
    </row>
    <row r="536" spans="1:15">
      <c r="A536" s="76"/>
      <c r="B536" s="137"/>
      <c r="C536" s="139"/>
      <c r="D536" s="139"/>
      <c r="E536" s="140"/>
      <c r="F536" s="139"/>
      <c r="G536" s="139"/>
      <c r="H536" s="139"/>
      <c r="I536" s="139"/>
      <c r="J536" s="139"/>
      <c r="K536" s="139"/>
      <c r="L536" s="137"/>
      <c r="M536" s="138"/>
      <c r="N536" s="137"/>
      <c r="O536" s="137"/>
    </row>
    <row r="537" spans="1:15">
      <c r="A537" s="76"/>
      <c r="B537" s="137"/>
      <c r="C537" s="139"/>
      <c r="D537" s="139"/>
      <c r="E537" s="140"/>
      <c r="F537" s="139"/>
      <c r="G537" s="139"/>
      <c r="H537" s="139"/>
      <c r="I537" s="139"/>
      <c r="J537" s="139"/>
      <c r="K537" s="139"/>
      <c r="L537" s="137"/>
      <c r="M537" s="138"/>
      <c r="N537" s="137"/>
      <c r="O537" s="137"/>
    </row>
    <row r="538" spans="1:15">
      <c r="A538" s="76"/>
      <c r="B538" s="137"/>
      <c r="C538" s="139"/>
      <c r="D538" s="139"/>
      <c r="E538" s="140"/>
      <c r="F538" s="139"/>
      <c r="G538" s="139"/>
      <c r="H538" s="139"/>
      <c r="I538" s="139"/>
      <c r="J538" s="139"/>
      <c r="K538" s="139"/>
      <c r="L538" s="137"/>
      <c r="M538" s="138"/>
      <c r="N538" s="137"/>
      <c r="O538" s="137"/>
    </row>
    <row r="539" spans="1:15">
      <c r="A539" s="76"/>
      <c r="B539" s="137"/>
      <c r="C539" s="139"/>
      <c r="D539" s="139"/>
      <c r="E539" s="140"/>
      <c r="F539" s="139"/>
      <c r="G539" s="139"/>
      <c r="H539" s="139"/>
      <c r="I539" s="139"/>
      <c r="J539" s="139"/>
      <c r="K539" s="139"/>
      <c r="L539" s="137"/>
      <c r="M539" s="138"/>
      <c r="N539" s="137"/>
      <c r="O539" s="137"/>
    </row>
    <row r="540" spans="1:15">
      <c r="A540" s="76"/>
      <c r="B540" s="137"/>
      <c r="C540" s="139"/>
      <c r="D540" s="139"/>
      <c r="E540" s="140"/>
      <c r="F540" s="139"/>
      <c r="G540" s="139"/>
      <c r="H540" s="139"/>
      <c r="I540" s="139"/>
      <c r="J540" s="139"/>
      <c r="K540" s="139"/>
      <c r="L540" s="137"/>
      <c r="M540" s="138"/>
      <c r="N540" s="137"/>
      <c r="O540" s="137"/>
    </row>
    <row r="541" spans="1:15">
      <c r="A541" s="76"/>
      <c r="B541" s="137"/>
      <c r="C541" s="139"/>
      <c r="D541" s="139"/>
      <c r="E541" s="140"/>
      <c r="F541" s="139"/>
      <c r="G541" s="139"/>
      <c r="H541" s="139"/>
      <c r="I541" s="139"/>
      <c r="J541" s="139"/>
      <c r="K541" s="139"/>
      <c r="L541" s="137"/>
      <c r="M541" s="138"/>
      <c r="N541" s="137"/>
      <c r="O541" s="137"/>
    </row>
    <row r="542" spans="1:15">
      <c r="A542" s="76"/>
      <c r="B542" s="137"/>
      <c r="C542" s="139"/>
      <c r="D542" s="139"/>
      <c r="E542" s="140"/>
      <c r="F542" s="139"/>
      <c r="G542" s="139"/>
      <c r="H542" s="139"/>
      <c r="I542" s="139"/>
      <c r="J542" s="139"/>
      <c r="K542" s="139"/>
      <c r="L542" s="137"/>
      <c r="M542" s="138"/>
      <c r="N542" s="137"/>
      <c r="O542" s="137"/>
    </row>
    <row r="543" spans="1:15">
      <c r="A543" s="76"/>
      <c r="B543" s="137"/>
      <c r="C543" s="139"/>
      <c r="D543" s="139"/>
      <c r="E543" s="140"/>
      <c r="F543" s="139"/>
      <c r="G543" s="139"/>
      <c r="H543" s="139"/>
      <c r="I543" s="139"/>
      <c r="J543" s="139"/>
      <c r="K543" s="139"/>
      <c r="L543" s="137"/>
      <c r="M543" s="138"/>
      <c r="N543" s="137"/>
      <c r="O543" s="137"/>
    </row>
    <row r="544" spans="1:15">
      <c r="A544" s="76"/>
      <c r="B544" s="137"/>
      <c r="C544" s="139"/>
      <c r="D544" s="139"/>
      <c r="E544" s="140"/>
      <c r="F544" s="139"/>
      <c r="G544" s="139"/>
      <c r="H544" s="139"/>
      <c r="I544" s="139"/>
      <c r="J544" s="139"/>
      <c r="K544" s="139"/>
      <c r="L544" s="137"/>
      <c r="M544" s="138"/>
      <c r="N544" s="137"/>
      <c r="O544" s="137"/>
    </row>
    <row r="545" spans="1:15">
      <c r="A545" s="76"/>
      <c r="B545" s="137"/>
      <c r="C545" s="139"/>
      <c r="D545" s="139"/>
      <c r="E545" s="140"/>
      <c r="F545" s="139"/>
      <c r="G545" s="139"/>
      <c r="H545" s="139"/>
      <c r="I545" s="139"/>
      <c r="J545" s="139"/>
      <c r="K545" s="139"/>
      <c r="L545" s="137"/>
      <c r="M545" s="138"/>
      <c r="N545" s="137"/>
      <c r="O545" s="137"/>
    </row>
    <row r="546" spans="1:15">
      <c r="A546" s="76"/>
      <c r="B546" s="137"/>
      <c r="C546" s="139"/>
      <c r="D546" s="139"/>
      <c r="E546" s="140"/>
      <c r="F546" s="139"/>
      <c r="G546" s="139"/>
      <c r="H546" s="139"/>
      <c r="I546" s="139"/>
      <c r="J546" s="139"/>
      <c r="K546" s="139"/>
      <c r="L546" s="137"/>
      <c r="M546" s="138"/>
      <c r="N546" s="137"/>
      <c r="O546" s="137"/>
    </row>
    <row r="547" spans="1:15">
      <c r="A547" s="76"/>
      <c r="B547" s="137"/>
      <c r="C547" s="139"/>
      <c r="D547" s="139"/>
      <c r="E547" s="140"/>
      <c r="F547" s="139"/>
      <c r="G547" s="139"/>
      <c r="H547" s="139"/>
      <c r="I547" s="139"/>
      <c r="J547" s="139"/>
      <c r="K547" s="139"/>
      <c r="L547" s="137"/>
      <c r="M547" s="138"/>
      <c r="N547" s="137"/>
      <c r="O547" s="137"/>
    </row>
    <row r="548" spans="1:15">
      <c r="A548" s="76"/>
      <c r="B548" s="137"/>
      <c r="C548" s="139"/>
      <c r="D548" s="139"/>
      <c r="E548" s="140"/>
      <c r="F548" s="139"/>
      <c r="G548" s="139"/>
      <c r="H548" s="139"/>
      <c r="I548" s="139"/>
      <c r="J548" s="139"/>
      <c r="K548" s="139"/>
      <c r="L548" s="137"/>
      <c r="M548" s="138"/>
      <c r="N548" s="137"/>
      <c r="O548" s="137"/>
    </row>
    <row r="549" spans="1:15">
      <c r="A549" s="76"/>
      <c r="B549" s="137"/>
      <c r="C549" s="139"/>
      <c r="D549" s="139"/>
      <c r="E549" s="140"/>
      <c r="F549" s="139"/>
      <c r="G549" s="139"/>
      <c r="H549" s="139"/>
      <c r="I549" s="139"/>
      <c r="J549" s="139"/>
      <c r="K549" s="139"/>
      <c r="L549" s="137"/>
      <c r="M549" s="138"/>
      <c r="N549" s="137"/>
      <c r="O549" s="137"/>
    </row>
    <row r="550" spans="1:15">
      <c r="A550" s="76"/>
      <c r="B550" s="137"/>
      <c r="C550" s="139"/>
      <c r="D550" s="139"/>
      <c r="E550" s="140"/>
      <c r="F550" s="139"/>
      <c r="G550" s="139"/>
      <c r="H550" s="139"/>
      <c r="I550" s="139"/>
      <c r="J550" s="139"/>
      <c r="K550" s="139"/>
      <c r="L550" s="137"/>
      <c r="M550" s="138"/>
      <c r="N550" s="137"/>
      <c r="O550" s="137"/>
    </row>
    <row r="551" spans="1:15">
      <c r="A551" s="76"/>
      <c r="B551" s="137"/>
      <c r="C551" s="139"/>
      <c r="D551" s="139"/>
      <c r="E551" s="140"/>
      <c r="F551" s="139"/>
      <c r="G551" s="139"/>
      <c r="H551" s="139"/>
      <c r="I551" s="139"/>
      <c r="J551" s="139"/>
      <c r="K551" s="139"/>
      <c r="L551" s="137"/>
      <c r="M551" s="138"/>
      <c r="N551" s="137"/>
      <c r="O551" s="137"/>
    </row>
    <row r="552" spans="1:15">
      <c r="A552" s="76"/>
      <c r="B552" s="137"/>
      <c r="C552" s="139"/>
      <c r="D552" s="139"/>
      <c r="E552" s="140"/>
      <c r="F552" s="139"/>
      <c r="G552" s="139"/>
      <c r="H552" s="139"/>
      <c r="I552" s="139"/>
      <c r="J552" s="139"/>
      <c r="K552" s="139"/>
      <c r="L552" s="137"/>
      <c r="M552" s="138"/>
      <c r="N552" s="137"/>
      <c r="O552" s="137"/>
    </row>
    <row r="553" spans="1:15">
      <c r="A553" s="76"/>
      <c r="B553" s="137"/>
      <c r="C553" s="139"/>
      <c r="D553" s="139"/>
      <c r="E553" s="140"/>
      <c r="F553" s="139"/>
      <c r="G553" s="139"/>
      <c r="H553" s="139"/>
      <c r="I553" s="139"/>
      <c r="J553" s="139"/>
      <c r="K553" s="139"/>
      <c r="L553" s="137"/>
      <c r="M553" s="138"/>
      <c r="N553" s="137"/>
      <c r="O553" s="137"/>
    </row>
    <row r="554" spans="1:15">
      <c r="A554" s="76"/>
      <c r="B554" s="137"/>
      <c r="C554" s="139"/>
      <c r="D554" s="139"/>
      <c r="E554" s="140"/>
      <c r="F554" s="139"/>
      <c r="G554" s="139"/>
      <c r="H554" s="139"/>
      <c r="I554" s="139"/>
      <c r="J554" s="139"/>
      <c r="K554" s="139"/>
      <c r="L554" s="137"/>
      <c r="M554" s="138"/>
      <c r="N554" s="137"/>
      <c r="O554" s="137"/>
    </row>
    <row r="555" spans="1:15">
      <c r="A555" s="76"/>
      <c r="B555" s="137"/>
      <c r="C555" s="139"/>
      <c r="D555" s="139"/>
      <c r="E555" s="140"/>
      <c r="F555" s="139"/>
      <c r="G555" s="139"/>
      <c r="H555" s="139"/>
      <c r="I555" s="139"/>
      <c r="J555" s="139"/>
      <c r="K555" s="139"/>
      <c r="L555" s="137"/>
      <c r="M555" s="138"/>
      <c r="N555" s="137"/>
      <c r="O555" s="137"/>
    </row>
    <row r="556" spans="1:15">
      <c r="A556" s="76"/>
      <c r="B556" s="137"/>
      <c r="C556" s="139"/>
      <c r="D556" s="139"/>
      <c r="E556" s="140"/>
      <c r="F556" s="139"/>
      <c r="G556" s="139"/>
      <c r="H556" s="139"/>
      <c r="I556" s="139"/>
      <c r="J556" s="139"/>
      <c r="K556" s="139"/>
      <c r="L556" s="137"/>
      <c r="M556" s="138"/>
      <c r="N556" s="137"/>
      <c r="O556" s="137"/>
    </row>
    <row r="557" spans="1:15">
      <c r="A557" s="76"/>
      <c r="B557" s="137"/>
      <c r="C557" s="139"/>
      <c r="D557" s="139"/>
      <c r="E557" s="140"/>
      <c r="F557" s="139"/>
      <c r="G557" s="139"/>
      <c r="H557" s="139"/>
      <c r="I557" s="139"/>
      <c r="J557" s="139"/>
      <c r="K557" s="139"/>
      <c r="L557" s="137"/>
      <c r="M557" s="138"/>
      <c r="N557" s="137"/>
      <c r="O557" s="137"/>
    </row>
    <row r="558" spans="1:15">
      <c r="A558" s="76"/>
      <c r="B558" s="137"/>
      <c r="C558" s="139"/>
      <c r="D558" s="139"/>
      <c r="E558" s="140"/>
      <c r="F558" s="139"/>
      <c r="G558" s="139"/>
      <c r="H558" s="139"/>
      <c r="I558" s="139"/>
      <c r="J558" s="139"/>
      <c r="K558" s="139"/>
      <c r="L558" s="137"/>
      <c r="M558" s="138"/>
      <c r="N558" s="137"/>
      <c r="O558" s="137"/>
    </row>
    <row r="559" spans="1:15">
      <c r="A559" s="76"/>
      <c r="B559" s="137"/>
      <c r="C559" s="139"/>
      <c r="D559" s="139"/>
      <c r="E559" s="140"/>
      <c r="F559" s="139"/>
      <c r="G559" s="139"/>
      <c r="H559" s="139"/>
      <c r="I559" s="139"/>
      <c r="J559" s="139"/>
      <c r="K559" s="139"/>
      <c r="L559" s="137"/>
      <c r="M559" s="138"/>
      <c r="N559" s="137"/>
      <c r="O559" s="137"/>
    </row>
    <row r="560" spans="1:15">
      <c r="A560" s="76"/>
      <c r="B560" s="137"/>
      <c r="C560" s="139"/>
      <c r="D560" s="139"/>
      <c r="E560" s="140"/>
      <c r="F560" s="139"/>
      <c r="G560" s="139"/>
      <c r="H560" s="139"/>
      <c r="I560" s="139"/>
      <c r="J560" s="139"/>
      <c r="K560" s="139"/>
      <c r="L560" s="137"/>
      <c r="M560" s="138"/>
      <c r="N560" s="137"/>
      <c r="O560" s="137"/>
    </row>
    <row r="561" spans="1:15">
      <c r="A561" s="76"/>
      <c r="B561" s="137"/>
      <c r="C561" s="139"/>
      <c r="D561" s="139"/>
      <c r="E561" s="140"/>
      <c r="F561" s="139"/>
      <c r="G561" s="139"/>
      <c r="H561" s="139"/>
      <c r="I561" s="139"/>
      <c r="J561" s="139"/>
      <c r="K561" s="139"/>
      <c r="L561" s="137"/>
      <c r="M561" s="138"/>
      <c r="N561" s="137"/>
      <c r="O561" s="137"/>
    </row>
    <row r="562" spans="1:15">
      <c r="A562" s="76"/>
      <c r="B562" s="137"/>
      <c r="C562" s="139"/>
      <c r="D562" s="139"/>
      <c r="E562" s="140"/>
      <c r="F562" s="139"/>
      <c r="G562" s="139"/>
      <c r="H562" s="139"/>
      <c r="I562" s="139"/>
      <c r="J562" s="139"/>
      <c r="K562" s="139"/>
      <c r="L562" s="137"/>
      <c r="M562" s="138"/>
      <c r="N562" s="137"/>
      <c r="O562" s="137"/>
    </row>
    <row r="563" spans="1:15">
      <c r="A563" s="76"/>
      <c r="B563" s="137"/>
      <c r="C563" s="139"/>
      <c r="D563" s="139"/>
      <c r="E563" s="140"/>
      <c r="F563" s="139"/>
      <c r="G563" s="139"/>
      <c r="H563" s="139"/>
      <c r="I563" s="139"/>
      <c r="J563" s="139"/>
      <c r="K563" s="139"/>
      <c r="L563" s="137"/>
      <c r="M563" s="138"/>
      <c r="N563" s="137"/>
      <c r="O563" s="137"/>
    </row>
    <row r="564" spans="1:15">
      <c r="A564" s="76"/>
      <c r="B564" s="137"/>
      <c r="C564" s="139"/>
      <c r="D564" s="139"/>
      <c r="E564" s="140"/>
      <c r="F564" s="139"/>
      <c r="G564" s="139"/>
      <c r="H564" s="139"/>
      <c r="I564" s="139"/>
      <c r="J564" s="139"/>
      <c r="K564" s="139"/>
      <c r="L564" s="137"/>
      <c r="M564" s="138"/>
      <c r="N564" s="137"/>
      <c r="O564" s="137"/>
    </row>
    <row r="565" spans="1:15">
      <c r="A565" s="76"/>
      <c r="B565" s="137"/>
      <c r="C565" s="139"/>
      <c r="D565" s="139"/>
      <c r="E565" s="140"/>
      <c r="F565" s="139"/>
      <c r="G565" s="139"/>
      <c r="H565" s="139"/>
      <c r="I565" s="139"/>
      <c r="J565" s="139"/>
      <c r="K565" s="139"/>
      <c r="L565" s="137"/>
      <c r="M565" s="138"/>
      <c r="N565" s="137"/>
      <c r="O565" s="137"/>
    </row>
    <row r="566" spans="1:15">
      <c r="A566" s="76"/>
      <c r="B566" s="137"/>
      <c r="C566" s="139"/>
      <c r="D566" s="139"/>
      <c r="E566" s="140"/>
      <c r="F566" s="139"/>
      <c r="G566" s="139"/>
      <c r="H566" s="139"/>
      <c r="I566" s="139"/>
      <c r="J566" s="139"/>
      <c r="K566" s="139"/>
      <c r="L566" s="137"/>
      <c r="M566" s="138"/>
      <c r="N566" s="137"/>
      <c r="O566" s="137"/>
    </row>
    <row r="567" spans="1:15">
      <c r="A567" s="76"/>
      <c r="B567" s="137"/>
      <c r="C567" s="139"/>
      <c r="D567" s="139"/>
      <c r="E567" s="140"/>
      <c r="F567" s="139"/>
      <c r="G567" s="139"/>
      <c r="H567" s="139"/>
      <c r="I567" s="139"/>
      <c r="J567" s="139"/>
      <c r="K567" s="139"/>
      <c r="L567" s="137"/>
      <c r="M567" s="138"/>
      <c r="N567" s="137"/>
      <c r="O567" s="137"/>
    </row>
    <row r="568" spans="1:15">
      <c r="A568" s="76"/>
      <c r="B568" s="137"/>
      <c r="C568" s="139"/>
      <c r="D568" s="139"/>
      <c r="E568" s="140"/>
      <c r="F568" s="139"/>
      <c r="G568" s="139"/>
      <c r="H568" s="139"/>
      <c r="I568" s="139"/>
      <c r="J568" s="139"/>
      <c r="K568" s="139"/>
      <c r="L568" s="137"/>
      <c r="M568" s="138"/>
      <c r="N568" s="137"/>
      <c r="O568" s="137"/>
    </row>
    <row r="569" spans="1:15">
      <c r="A569" s="76"/>
      <c r="B569" s="137"/>
      <c r="C569" s="139"/>
      <c r="D569" s="139"/>
      <c r="E569" s="140"/>
      <c r="F569" s="139"/>
      <c r="G569" s="139"/>
      <c r="H569" s="139"/>
      <c r="I569" s="139"/>
      <c r="J569" s="139"/>
      <c r="K569" s="139"/>
      <c r="L569" s="137"/>
      <c r="M569" s="138"/>
      <c r="N569" s="137"/>
      <c r="O569" s="137"/>
    </row>
    <row r="570" spans="1:15">
      <c r="A570" s="76"/>
      <c r="B570" s="137"/>
      <c r="C570" s="139"/>
      <c r="D570" s="139"/>
      <c r="E570" s="140"/>
      <c r="F570" s="139"/>
      <c r="G570" s="139"/>
      <c r="H570" s="139"/>
      <c r="I570" s="139"/>
      <c r="J570" s="139"/>
      <c r="K570" s="139"/>
      <c r="L570" s="137"/>
      <c r="M570" s="138"/>
      <c r="N570" s="137"/>
      <c r="O570" s="137"/>
    </row>
    <row r="571" spans="1:15">
      <c r="A571" s="76"/>
      <c r="B571" s="137"/>
      <c r="C571" s="139"/>
      <c r="D571" s="139"/>
      <c r="E571" s="140"/>
      <c r="F571" s="139"/>
      <c r="G571" s="139"/>
      <c r="H571" s="139"/>
      <c r="I571" s="139"/>
      <c r="J571" s="139"/>
      <c r="K571" s="139"/>
      <c r="L571" s="137"/>
      <c r="M571" s="138"/>
      <c r="N571" s="137"/>
      <c r="O571" s="137"/>
    </row>
    <row r="572" spans="1:15">
      <c r="A572" s="76"/>
      <c r="B572" s="137"/>
      <c r="C572" s="139"/>
      <c r="D572" s="139"/>
      <c r="E572" s="140"/>
      <c r="F572" s="139"/>
      <c r="G572" s="139"/>
      <c r="H572" s="139"/>
      <c r="I572" s="139"/>
      <c r="J572" s="139"/>
      <c r="K572" s="139"/>
      <c r="L572" s="137"/>
      <c r="M572" s="138"/>
      <c r="N572" s="137"/>
      <c r="O572" s="137"/>
    </row>
    <row r="573" spans="1:15">
      <c r="A573" s="76"/>
      <c r="B573" s="137"/>
      <c r="C573" s="139"/>
      <c r="D573" s="139"/>
      <c r="E573" s="140"/>
      <c r="F573" s="139"/>
      <c r="G573" s="139"/>
      <c r="H573" s="139"/>
      <c r="I573" s="139"/>
      <c r="J573" s="139"/>
      <c r="K573" s="139"/>
      <c r="L573" s="137"/>
      <c r="M573" s="138"/>
      <c r="N573" s="137"/>
      <c r="O573" s="137"/>
    </row>
    <row r="574" spans="1:15">
      <c r="A574" s="76"/>
      <c r="B574" s="137"/>
      <c r="C574" s="139"/>
      <c r="D574" s="139"/>
      <c r="E574" s="140"/>
      <c r="F574" s="139"/>
      <c r="G574" s="139"/>
      <c r="H574" s="139"/>
      <c r="I574" s="139"/>
      <c r="J574" s="139"/>
      <c r="K574" s="139"/>
      <c r="L574" s="137"/>
      <c r="M574" s="138"/>
      <c r="N574" s="137"/>
      <c r="O574" s="137"/>
    </row>
    <row r="575" spans="1:15">
      <c r="A575" s="76"/>
      <c r="B575" s="137"/>
      <c r="C575" s="139"/>
      <c r="D575" s="139"/>
      <c r="E575" s="140"/>
      <c r="F575" s="139"/>
      <c r="G575" s="139"/>
      <c r="H575" s="139"/>
      <c r="I575" s="139"/>
      <c r="J575" s="139"/>
      <c r="K575" s="139"/>
      <c r="L575" s="137"/>
      <c r="M575" s="138"/>
      <c r="N575" s="137"/>
      <c r="O575" s="137"/>
    </row>
    <row r="576" spans="1:15">
      <c r="A576" s="76"/>
      <c r="B576" s="137"/>
      <c r="C576" s="139"/>
      <c r="D576" s="139"/>
      <c r="E576" s="140"/>
      <c r="F576" s="139"/>
      <c r="G576" s="139"/>
      <c r="H576" s="139"/>
      <c r="I576" s="139"/>
      <c r="J576" s="139"/>
      <c r="K576" s="139"/>
      <c r="L576" s="137"/>
      <c r="M576" s="138"/>
      <c r="N576" s="137"/>
      <c r="O576" s="137"/>
    </row>
    <row r="577" spans="1:15">
      <c r="A577" s="76"/>
      <c r="B577" s="137"/>
      <c r="C577" s="139"/>
      <c r="D577" s="139"/>
      <c r="E577" s="140"/>
      <c r="F577" s="139"/>
      <c r="G577" s="139"/>
      <c r="H577" s="139"/>
      <c r="I577" s="139"/>
      <c r="J577" s="139"/>
      <c r="K577" s="139"/>
      <c r="L577" s="137"/>
      <c r="M577" s="138"/>
      <c r="N577" s="137"/>
      <c r="O577" s="137"/>
    </row>
    <row r="578" spans="1:15">
      <c r="A578" s="76"/>
      <c r="B578" s="137"/>
      <c r="C578" s="139"/>
      <c r="D578" s="139"/>
      <c r="E578" s="140"/>
      <c r="F578" s="139"/>
      <c r="G578" s="139"/>
      <c r="H578" s="139"/>
      <c r="I578" s="139"/>
      <c r="J578" s="139"/>
      <c r="K578" s="139"/>
      <c r="L578" s="137"/>
      <c r="M578" s="138"/>
      <c r="N578" s="137"/>
      <c r="O578" s="137"/>
    </row>
    <row r="579" spans="1:15">
      <c r="A579" s="76"/>
      <c r="B579" s="137"/>
      <c r="C579" s="139"/>
      <c r="D579" s="139"/>
      <c r="E579" s="140"/>
      <c r="F579" s="139"/>
      <c r="G579" s="139"/>
      <c r="H579" s="139"/>
      <c r="I579" s="139"/>
      <c r="J579" s="139"/>
      <c r="K579" s="139"/>
      <c r="L579" s="137"/>
      <c r="M579" s="138"/>
      <c r="N579" s="137"/>
      <c r="O579" s="137"/>
    </row>
    <row r="580" spans="1:15">
      <c r="A580" s="76"/>
      <c r="B580" s="137"/>
      <c r="C580" s="139"/>
      <c r="D580" s="139"/>
      <c r="E580" s="140"/>
      <c r="F580" s="139"/>
      <c r="G580" s="139"/>
      <c r="H580" s="139"/>
      <c r="I580" s="139"/>
      <c r="J580" s="139"/>
      <c r="K580" s="139"/>
      <c r="L580" s="137"/>
      <c r="M580" s="138"/>
      <c r="N580" s="137"/>
      <c r="O580" s="137"/>
    </row>
    <row r="581" spans="1:15">
      <c r="A581" s="76"/>
      <c r="B581" s="137"/>
      <c r="C581" s="139"/>
      <c r="D581" s="139"/>
      <c r="E581" s="140"/>
      <c r="F581" s="139"/>
      <c r="G581" s="139"/>
      <c r="H581" s="139"/>
      <c r="I581" s="139"/>
      <c r="J581" s="139"/>
      <c r="K581" s="139"/>
      <c r="L581" s="137"/>
      <c r="M581" s="138"/>
      <c r="N581" s="137"/>
      <c r="O581" s="137"/>
    </row>
    <row r="582" spans="1:15">
      <c r="A582" s="76"/>
      <c r="B582" s="137"/>
      <c r="C582" s="139"/>
      <c r="D582" s="139"/>
      <c r="E582" s="140"/>
      <c r="F582" s="139"/>
      <c r="G582" s="139"/>
      <c r="H582" s="139"/>
      <c r="I582" s="139"/>
      <c r="J582" s="139"/>
      <c r="K582" s="139"/>
      <c r="L582" s="137"/>
      <c r="M582" s="138"/>
      <c r="N582" s="137"/>
      <c r="O582" s="137"/>
    </row>
    <row r="583" spans="1:15">
      <c r="A583" s="76"/>
      <c r="B583" s="137"/>
      <c r="C583" s="139"/>
      <c r="D583" s="139"/>
      <c r="E583" s="140"/>
      <c r="F583" s="139"/>
      <c r="G583" s="139"/>
      <c r="H583" s="139"/>
      <c r="I583" s="139"/>
      <c r="J583" s="139"/>
      <c r="K583" s="139"/>
      <c r="L583" s="137"/>
      <c r="M583" s="138"/>
      <c r="N583" s="137"/>
      <c r="O583" s="137"/>
    </row>
    <row r="584" spans="1:15">
      <c r="A584" s="76"/>
      <c r="B584" s="137"/>
      <c r="C584" s="139"/>
      <c r="D584" s="139"/>
      <c r="E584" s="140"/>
      <c r="F584" s="139"/>
      <c r="G584" s="139"/>
      <c r="H584" s="139"/>
      <c r="I584" s="139"/>
      <c r="J584" s="139"/>
      <c r="K584" s="139"/>
      <c r="L584" s="137"/>
      <c r="M584" s="138"/>
      <c r="N584" s="137"/>
      <c r="O584" s="137"/>
    </row>
    <row r="585" spans="1:15">
      <c r="A585" s="76"/>
      <c r="B585" s="137"/>
      <c r="C585" s="139"/>
      <c r="D585" s="139"/>
      <c r="E585" s="140"/>
      <c r="F585" s="139"/>
      <c r="G585" s="139"/>
      <c r="H585" s="139"/>
      <c r="I585" s="139"/>
      <c r="J585" s="139"/>
      <c r="K585" s="139"/>
      <c r="L585" s="137"/>
      <c r="M585" s="138"/>
      <c r="N585" s="137"/>
      <c r="O585" s="137"/>
    </row>
    <row r="586" spans="1:15">
      <c r="A586" s="76"/>
      <c r="B586" s="137"/>
      <c r="C586" s="139"/>
      <c r="D586" s="139"/>
      <c r="E586" s="140"/>
      <c r="F586" s="139"/>
      <c r="G586" s="139"/>
      <c r="H586" s="139"/>
      <c r="I586" s="139"/>
      <c r="J586" s="139"/>
      <c r="K586" s="139"/>
      <c r="L586" s="137"/>
      <c r="M586" s="138"/>
      <c r="N586" s="137"/>
      <c r="O586" s="137"/>
    </row>
    <row r="587" spans="1:15">
      <c r="A587" s="76"/>
      <c r="B587" s="137"/>
      <c r="C587" s="139"/>
      <c r="D587" s="139"/>
      <c r="E587" s="140"/>
      <c r="F587" s="139"/>
      <c r="G587" s="139"/>
      <c r="H587" s="139"/>
      <c r="I587" s="139"/>
      <c r="J587" s="139"/>
      <c r="K587" s="139"/>
      <c r="L587" s="137"/>
      <c r="M587" s="138"/>
      <c r="N587" s="137"/>
      <c r="O587" s="137"/>
    </row>
    <row r="588" spans="1:15">
      <c r="A588" s="76"/>
      <c r="B588" s="137"/>
      <c r="C588" s="139"/>
      <c r="D588" s="139"/>
      <c r="E588" s="140"/>
      <c r="F588" s="139"/>
      <c r="G588" s="139"/>
      <c r="H588" s="139"/>
      <c r="I588" s="139"/>
      <c r="J588" s="139"/>
      <c r="K588" s="139"/>
      <c r="L588" s="137"/>
      <c r="M588" s="138"/>
      <c r="N588" s="137"/>
      <c r="O588" s="137"/>
    </row>
    <row r="589" spans="1:15">
      <c r="A589" s="76"/>
      <c r="B589" s="137"/>
      <c r="C589" s="139"/>
      <c r="D589" s="139"/>
      <c r="E589" s="140"/>
      <c r="F589" s="139"/>
      <c r="G589" s="139"/>
      <c r="H589" s="139"/>
      <c r="I589" s="139"/>
      <c r="J589" s="139"/>
      <c r="K589" s="139"/>
      <c r="L589" s="137"/>
      <c r="M589" s="138"/>
      <c r="N589" s="137"/>
      <c r="O589" s="137"/>
    </row>
    <row r="590" spans="1:15">
      <c r="A590" s="76"/>
      <c r="B590" s="137"/>
      <c r="C590" s="139"/>
      <c r="D590" s="139"/>
      <c r="E590" s="140"/>
      <c r="F590" s="139"/>
      <c r="G590" s="139"/>
      <c r="H590" s="139"/>
      <c r="I590" s="139"/>
      <c r="J590" s="139"/>
      <c r="K590" s="139"/>
      <c r="L590" s="137"/>
      <c r="M590" s="138"/>
      <c r="N590" s="137"/>
      <c r="O590" s="137"/>
    </row>
    <row r="591" spans="1:15">
      <c r="A591" s="76"/>
      <c r="B591" s="137"/>
      <c r="C591" s="139"/>
      <c r="D591" s="139"/>
      <c r="E591" s="140"/>
      <c r="F591" s="139"/>
      <c r="G591" s="139"/>
      <c r="H591" s="139"/>
      <c r="I591" s="139"/>
      <c r="J591" s="139"/>
      <c r="K591" s="139"/>
      <c r="L591" s="137"/>
      <c r="M591" s="138"/>
      <c r="N591" s="137"/>
      <c r="O591" s="137"/>
    </row>
    <row r="592" spans="1:15">
      <c r="A592" s="76"/>
      <c r="B592" s="137"/>
      <c r="C592" s="139"/>
      <c r="D592" s="139"/>
      <c r="E592" s="140"/>
      <c r="F592" s="139"/>
      <c r="G592" s="139"/>
      <c r="H592" s="139"/>
      <c r="I592" s="139"/>
      <c r="J592" s="139"/>
      <c r="K592" s="139"/>
      <c r="L592" s="137"/>
      <c r="M592" s="138"/>
      <c r="N592" s="137"/>
      <c r="O592" s="137"/>
    </row>
    <row r="593" spans="1:15">
      <c r="A593" s="76"/>
      <c r="B593" s="137"/>
      <c r="C593" s="139"/>
      <c r="D593" s="139"/>
      <c r="E593" s="140"/>
      <c r="F593" s="139"/>
      <c r="G593" s="139"/>
      <c r="H593" s="139"/>
      <c r="I593" s="139"/>
      <c r="J593" s="139"/>
      <c r="K593" s="139"/>
      <c r="L593" s="137"/>
      <c r="M593" s="138"/>
      <c r="N593" s="137"/>
      <c r="O593" s="137"/>
    </row>
    <row r="594" spans="1:15">
      <c r="A594" s="76"/>
      <c r="B594" s="137"/>
      <c r="C594" s="139"/>
      <c r="D594" s="139"/>
      <c r="E594" s="140"/>
      <c r="F594" s="139"/>
      <c r="G594" s="139"/>
      <c r="H594" s="139"/>
      <c r="I594" s="139"/>
      <c r="J594" s="139"/>
      <c r="K594" s="139"/>
      <c r="L594" s="137"/>
      <c r="M594" s="138"/>
      <c r="N594" s="137"/>
      <c r="O594" s="137"/>
    </row>
    <row r="595" spans="1:15">
      <c r="A595" s="76"/>
      <c r="B595" s="137"/>
      <c r="C595" s="139"/>
      <c r="D595" s="139"/>
      <c r="E595" s="140"/>
      <c r="F595" s="139"/>
      <c r="G595" s="139"/>
      <c r="H595" s="139"/>
      <c r="I595" s="139"/>
      <c r="J595" s="139"/>
      <c r="K595" s="139"/>
      <c r="L595" s="137"/>
      <c r="M595" s="138"/>
      <c r="N595" s="137"/>
      <c r="O595" s="137"/>
    </row>
    <row r="596" spans="1:15">
      <c r="A596" s="76"/>
      <c r="B596" s="137"/>
      <c r="C596" s="139"/>
      <c r="D596" s="139"/>
      <c r="E596" s="140"/>
      <c r="F596" s="139"/>
      <c r="G596" s="139"/>
      <c r="H596" s="139"/>
      <c r="I596" s="139"/>
      <c r="J596" s="139"/>
      <c r="K596" s="139"/>
      <c r="L596" s="137"/>
      <c r="M596" s="138"/>
      <c r="N596" s="137"/>
      <c r="O596" s="137"/>
    </row>
    <row r="597" spans="1:15">
      <c r="A597" s="76"/>
      <c r="B597" s="137"/>
      <c r="C597" s="139"/>
      <c r="D597" s="139"/>
      <c r="E597" s="140"/>
      <c r="F597" s="139"/>
      <c r="G597" s="139"/>
      <c r="H597" s="139"/>
      <c r="I597" s="139"/>
      <c r="J597" s="139"/>
      <c r="K597" s="139"/>
      <c r="L597" s="137"/>
      <c r="M597" s="138"/>
      <c r="N597" s="137"/>
      <c r="O597" s="137"/>
    </row>
    <row r="598" spans="1:15">
      <c r="A598" s="76"/>
      <c r="B598" s="137"/>
      <c r="C598" s="139"/>
      <c r="D598" s="139"/>
      <c r="E598" s="140"/>
      <c r="F598" s="139"/>
      <c r="G598" s="139"/>
      <c r="H598" s="139"/>
      <c r="I598" s="139"/>
      <c r="J598" s="139"/>
      <c r="K598" s="139"/>
      <c r="L598" s="137"/>
      <c r="M598" s="138"/>
      <c r="N598" s="137"/>
      <c r="O598" s="137"/>
    </row>
    <row r="599" spans="1:15">
      <c r="A599" s="76"/>
      <c r="B599" s="137"/>
      <c r="C599" s="139"/>
      <c r="D599" s="139"/>
      <c r="E599" s="140"/>
      <c r="F599" s="139"/>
      <c r="G599" s="139"/>
      <c r="H599" s="139"/>
      <c r="I599" s="139"/>
      <c r="J599" s="139"/>
      <c r="K599" s="139"/>
      <c r="L599" s="137"/>
      <c r="M599" s="138"/>
      <c r="N599" s="137"/>
      <c r="O599" s="137"/>
    </row>
    <row r="600" spans="1:15">
      <c r="A600" s="76"/>
      <c r="B600" s="137"/>
      <c r="C600" s="139"/>
      <c r="D600" s="139"/>
      <c r="E600" s="140"/>
      <c r="F600" s="139"/>
      <c r="G600" s="139"/>
      <c r="H600" s="139"/>
      <c r="I600" s="139"/>
      <c r="J600" s="139"/>
      <c r="K600" s="139"/>
      <c r="L600" s="137"/>
      <c r="M600" s="138"/>
      <c r="N600" s="137"/>
      <c r="O600" s="137"/>
    </row>
    <row r="601" spans="1:15">
      <c r="A601" s="76"/>
      <c r="B601" s="137"/>
      <c r="C601" s="139"/>
      <c r="D601" s="139"/>
      <c r="E601" s="140"/>
      <c r="F601" s="139"/>
      <c r="G601" s="139"/>
      <c r="H601" s="139"/>
      <c r="I601" s="139"/>
      <c r="J601" s="139"/>
      <c r="K601" s="139"/>
      <c r="L601" s="137"/>
      <c r="M601" s="138"/>
      <c r="N601" s="137"/>
      <c r="O601" s="137"/>
    </row>
    <row r="602" spans="1:15">
      <c r="A602" s="76"/>
      <c r="B602" s="137"/>
      <c r="C602" s="139"/>
      <c r="D602" s="139"/>
      <c r="E602" s="140"/>
      <c r="F602" s="139"/>
      <c r="G602" s="139"/>
      <c r="H602" s="139"/>
      <c r="I602" s="139"/>
      <c r="J602" s="139"/>
      <c r="K602" s="139"/>
      <c r="L602" s="137"/>
      <c r="M602" s="138"/>
      <c r="N602" s="137"/>
      <c r="O602" s="137"/>
    </row>
    <row r="603" spans="1:15">
      <c r="A603" s="76"/>
      <c r="B603" s="137"/>
      <c r="C603" s="139"/>
      <c r="D603" s="139"/>
      <c r="E603" s="140"/>
      <c r="F603" s="139"/>
      <c r="G603" s="139"/>
      <c r="H603" s="139"/>
      <c r="I603" s="139"/>
      <c r="J603" s="139"/>
      <c r="K603" s="139"/>
      <c r="L603" s="137"/>
      <c r="M603" s="138"/>
      <c r="N603" s="137"/>
      <c r="O603" s="137"/>
    </row>
    <row r="604" spans="1:15">
      <c r="A604" s="76"/>
      <c r="B604" s="137"/>
      <c r="C604" s="139"/>
      <c r="D604" s="139"/>
      <c r="E604" s="140"/>
      <c r="F604" s="139"/>
      <c r="G604" s="139"/>
      <c r="H604" s="139"/>
      <c r="I604" s="139"/>
      <c r="J604" s="139"/>
      <c r="K604" s="139"/>
      <c r="L604" s="137"/>
      <c r="M604" s="138"/>
      <c r="N604" s="137"/>
      <c r="O604" s="137"/>
    </row>
    <row r="605" spans="1:15">
      <c r="A605" s="76"/>
      <c r="B605" s="137"/>
      <c r="C605" s="139"/>
      <c r="D605" s="139"/>
      <c r="E605" s="140"/>
      <c r="F605" s="139"/>
      <c r="G605" s="139"/>
      <c r="H605" s="139"/>
      <c r="I605" s="139"/>
      <c r="J605" s="139"/>
      <c r="K605" s="139"/>
      <c r="L605" s="137"/>
      <c r="M605" s="138"/>
      <c r="N605" s="137"/>
      <c r="O605" s="137"/>
    </row>
    <row r="606" spans="1:15">
      <c r="A606" s="76"/>
      <c r="B606" s="137"/>
      <c r="C606" s="139"/>
      <c r="D606" s="139"/>
      <c r="E606" s="140"/>
      <c r="F606" s="139"/>
      <c r="G606" s="139"/>
      <c r="H606" s="139"/>
      <c r="I606" s="139"/>
      <c r="J606" s="139"/>
      <c r="K606" s="139"/>
      <c r="L606" s="137"/>
      <c r="M606" s="138"/>
      <c r="N606" s="137"/>
      <c r="O606" s="137"/>
    </row>
    <row r="607" spans="1:15">
      <c r="A607" s="76"/>
      <c r="B607" s="137"/>
      <c r="C607" s="139"/>
      <c r="D607" s="139"/>
      <c r="E607" s="140"/>
      <c r="F607" s="139"/>
      <c r="G607" s="139"/>
      <c r="H607" s="139"/>
      <c r="I607" s="139"/>
      <c r="J607" s="139"/>
      <c r="K607" s="139"/>
      <c r="L607" s="137"/>
      <c r="M607" s="138"/>
      <c r="N607" s="137"/>
      <c r="O607" s="137"/>
    </row>
    <row r="608" spans="1:15">
      <c r="A608" s="76"/>
      <c r="B608" s="137"/>
      <c r="C608" s="139"/>
      <c r="D608" s="139"/>
      <c r="E608" s="140"/>
      <c r="F608" s="139"/>
      <c r="G608" s="139"/>
      <c r="H608" s="139"/>
      <c r="I608" s="139"/>
      <c r="J608" s="139"/>
      <c r="K608" s="139"/>
      <c r="L608" s="137"/>
      <c r="M608" s="138"/>
      <c r="N608" s="137"/>
      <c r="O608" s="137"/>
    </row>
    <row r="609" spans="1:15">
      <c r="A609" s="76"/>
      <c r="B609" s="137"/>
      <c r="C609" s="139"/>
      <c r="D609" s="139"/>
      <c r="E609" s="140"/>
      <c r="F609" s="139"/>
      <c r="G609" s="139"/>
      <c r="H609" s="139"/>
      <c r="I609" s="139"/>
      <c r="J609" s="139"/>
      <c r="K609" s="139"/>
      <c r="L609" s="137"/>
      <c r="M609" s="138"/>
      <c r="N609" s="137"/>
      <c r="O609" s="137"/>
    </row>
    <row r="610" spans="1:15">
      <c r="A610" s="76"/>
      <c r="B610" s="137"/>
      <c r="C610" s="139"/>
      <c r="D610" s="139"/>
      <c r="E610" s="140"/>
      <c r="F610" s="139"/>
      <c r="G610" s="139"/>
      <c r="H610" s="139"/>
      <c r="I610" s="139"/>
      <c r="J610" s="139"/>
      <c r="K610" s="139"/>
      <c r="L610" s="137"/>
      <c r="M610" s="138"/>
      <c r="N610" s="137"/>
      <c r="O610" s="137"/>
    </row>
    <row r="611" spans="1:15">
      <c r="A611" s="76"/>
      <c r="B611" s="137"/>
      <c r="C611" s="139"/>
      <c r="D611" s="139"/>
      <c r="E611" s="140"/>
      <c r="F611" s="139"/>
      <c r="G611" s="139"/>
      <c r="H611" s="139"/>
      <c r="I611" s="139"/>
      <c r="J611" s="139"/>
      <c r="K611" s="139"/>
      <c r="L611" s="137"/>
      <c r="M611" s="138"/>
      <c r="N611" s="137"/>
      <c r="O611" s="137"/>
    </row>
    <row r="612" spans="1:15">
      <c r="A612" s="76"/>
      <c r="B612" s="137"/>
      <c r="C612" s="139"/>
      <c r="D612" s="139"/>
      <c r="E612" s="140"/>
      <c r="F612" s="139"/>
      <c r="G612" s="139"/>
      <c r="H612" s="139"/>
      <c r="I612" s="139"/>
      <c r="J612" s="139"/>
      <c r="K612" s="139"/>
      <c r="L612" s="137"/>
      <c r="M612" s="138"/>
      <c r="N612" s="137"/>
      <c r="O612" s="137"/>
    </row>
    <row r="613" spans="1:15">
      <c r="A613" s="76"/>
      <c r="B613" s="137"/>
      <c r="C613" s="139"/>
      <c r="D613" s="139"/>
      <c r="E613" s="140"/>
      <c r="F613" s="139"/>
      <c r="G613" s="139"/>
      <c r="H613" s="139"/>
      <c r="I613" s="139"/>
      <c r="J613" s="139"/>
      <c r="K613" s="139"/>
      <c r="L613" s="137"/>
      <c r="M613" s="138"/>
      <c r="N613" s="137"/>
      <c r="O613" s="137"/>
    </row>
    <row r="614" spans="1:15">
      <c r="A614" s="76"/>
      <c r="B614" s="137"/>
      <c r="C614" s="139"/>
      <c r="D614" s="139"/>
      <c r="E614" s="140"/>
      <c r="F614" s="139"/>
      <c r="G614" s="139"/>
      <c r="H614" s="139"/>
      <c r="I614" s="139"/>
      <c r="J614" s="139"/>
      <c r="K614" s="139"/>
      <c r="L614" s="137"/>
      <c r="M614" s="138"/>
      <c r="N614" s="137"/>
      <c r="O614" s="137"/>
    </row>
    <row r="615" spans="1:15">
      <c r="A615" s="76"/>
      <c r="B615" s="137"/>
      <c r="C615" s="139"/>
      <c r="D615" s="139"/>
      <c r="E615" s="140"/>
      <c r="F615" s="139"/>
      <c r="G615" s="139"/>
      <c r="H615" s="139"/>
      <c r="I615" s="139"/>
      <c r="J615" s="139"/>
      <c r="K615" s="139"/>
      <c r="L615" s="137"/>
      <c r="M615" s="138"/>
      <c r="N615" s="137"/>
      <c r="O615" s="137"/>
    </row>
    <row r="616" spans="1:15">
      <c r="A616" s="76"/>
      <c r="B616" s="137"/>
      <c r="C616" s="139"/>
      <c r="D616" s="139"/>
      <c r="E616" s="140"/>
      <c r="F616" s="139"/>
      <c r="G616" s="139"/>
      <c r="H616" s="139"/>
      <c r="I616" s="139"/>
      <c r="J616" s="139"/>
      <c r="K616" s="139"/>
      <c r="L616" s="137"/>
      <c r="M616" s="138"/>
      <c r="N616" s="137"/>
      <c r="O616" s="137"/>
    </row>
    <row r="617" spans="1:15">
      <c r="A617" s="76"/>
      <c r="B617" s="137"/>
      <c r="C617" s="139"/>
      <c r="D617" s="139"/>
      <c r="E617" s="140"/>
      <c r="F617" s="139"/>
      <c r="G617" s="139"/>
      <c r="H617" s="139"/>
      <c r="I617" s="139"/>
      <c r="J617" s="139"/>
      <c r="K617" s="139"/>
      <c r="L617" s="137"/>
      <c r="M617" s="138"/>
      <c r="N617" s="137"/>
      <c r="O617" s="137"/>
    </row>
    <row r="618" spans="1:15">
      <c r="A618" s="76"/>
      <c r="B618" s="137"/>
      <c r="C618" s="139"/>
      <c r="D618" s="139"/>
      <c r="E618" s="140"/>
      <c r="F618" s="139"/>
      <c r="G618" s="139"/>
      <c r="H618" s="139"/>
      <c r="I618" s="139"/>
      <c r="J618" s="139"/>
      <c r="K618" s="139"/>
      <c r="L618" s="137"/>
      <c r="M618" s="138"/>
      <c r="N618" s="137"/>
      <c r="O618" s="137"/>
    </row>
    <row r="619" spans="1:15">
      <c r="A619" s="76"/>
      <c r="B619" s="137"/>
      <c r="C619" s="139"/>
      <c r="D619" s="139"/>
      <c r="E619" s="140"/>
      <c r="F619" s="139"/>
      <c r="G619" s="139"/>
      <c r="H619" s="139"/>
      <c r="I619" s="139"/>
      <c r="J619" s="139"/>
      <c r="K619" s="139"/>
      <c r="L619" s="137"/>
      <c r="M619" s="138"/>
      <c r="N619" s="137"/>
      <c r="O619" s="137"/>
    </row>
    <row r="620" spans="1:15">
      <c r="A620" s="76"/>
      <c r="B620" s="137"/>
      <c r="C620" s="139"/>
      <c r="D620" s="139"/>
      <c r="E620" s="140"/>
      <c r="F620" s="139"/>
      <c r="G620" s="139"/>
      <c r="H620" s="139"/>
      <c r="I620" s="139"/>
      <c r="J620" s="139"/>
      <c r="K620" s="139"/>
      <c r="L620" s="137"/>
      <c r="M620" s="138"/>
      <c r="N620" s="137"/>
      <c r="O620" s="137"/>
    </row>
    <row r="621" spans="1:15">
      <c r="A621" s="76"/>
      <c r="B621" s="137"/>
      <c r="C621" s="139"/>
      <c r="D621" s="139"/>
      <c r="E621" s="140"/>
      <c r="F621" s="139"/>
      <c r="G621" s="139"/>
      <c r="H621" s="139"/>
      <c r="I621" s="139"/>
      <c r="J621" s="139"/>
      <c r="K621" s="139"/>
      <c r="L621" s="137"/>
      <c r="M621" s="138"/>
      <c r="N621" s="137"/>
      <c r="O621" s="137"/>
    </row>
    <row r="622" spans="1:15">
      <c r="A622" s="76"/>
      <c r="B622" s="137"/>
      <c r="C622" s="139"/>
      <c r="D622" s="139"/>
      <c r="E622" s="140"/>
      <c r="F622" s="139"/>
      <c r="G622" s="139"/>
      <c r="H622" s="139"/>
      <c r="I622" s="139"/>
      <c r="J622" s="139"/>
      <c r="K622" s="139"/>
      <c r="L622" s="137"/>
      <c r="M622" s="138"/>
      <c r="N622" s="137"/>
      <c r="O622" s="137"/>
    </row>
    <row r="623" spans="1:15">
      <c r="A623" s="76"/>
      <c r="B623" s="137"/>
      <c r="C623" s="139"/>
      <c r="D623" s="139"/>
      <c r="E623" s="140"/>
      <c r="F623" s="139"/>
      <c r="G623" s="139"/>
      <c r="H623" s="139"/>
      <c r="I623" s="139"/>
      <c r="J623" s="139"/>
      <c r="K623" s="139"/>
      <c r="L623" s="137"/>
      <c r="M623" s="138"/>
      <c r="N623" s="137"/>
      <c r="O623" s="137"/>
    </row>
    <row r="624" spans="1:15">
      <c r="A624" s="76"/>
      <c r="B624" s="137"/>
      <c r="C624" s="139"/>
      <c r="D624" s="139"/>
      <c r="E624" s="140"/>
      <c r="F624" s="139"/>
      <c r="G624" s="139"/>
      <c r="H624" s="139"/>
      <c r="I624" s="139"/>
      <c r="J624" s="139"/>
      <c r="K624" s="139"/>
      <c r="L624" s="137"/>
      <c r="M624" s="138"/>
      <c r="N624" s="137"/>
      <c r="O624" s="137"/>
    </row>
    <row r="625" spans="1:15">
      <c r="A625" s="76"/>
      <c r="B625" s="137"/>
      <c r="C625" s="139"/>
      <c r="D625" s="139"/>
      <c r="E625" s="140"/>
      <c r="F625" s="139"/>
      <c r="G625" s="139"/>
      <c r="H625" s="139"/>
      <c r="I625" s="139"/>
      <c r="J625" s="139"/>
      <c r="K625" s="139"/>
      <c r="L625" s="137"/>
      <c r="M625" s="138"/>
      <c r="N625" s="137"/>
      <c r="O625" s="137"/>
    </row>
    <row r="626" spans="1:15">
      <c r="A626" s="76"/>
      <c r="B626" s="137"/>
      <c r="C626" s="139"/>
      <c r="D626" s="139"/>
      <c r="E626" s="140"/>
      <c r="F626" s="139"/>
      <c r="G626" s="139"/>
      <c r="H626" s="139"/>
      <c r="I626" s="139"/>
      <c r="J626" s="139"/>
      <c r="K626" s="139"/>
      <c r="L626" s="137"/>
      <c r="M626" s="138"/>
      <c r="N626" s="137"/>
      <c r="O626" s="137"/>
    </row>
    <row r="627" spans="1:15">
      <c r="A627" s="76"/>
      <c r="B627" s="137"/>
      <c r="C627" s="139"/>
      <c r="D627" s="139"/>
      <c r="E627" s="140"/>
      <c r="F627" s="139"/>
      <c r="G627" s="139"/>
      <c r="H627" s="139"/>
      <c r="I627" s="139"/>
      <c r="J627" s="139"/>
      <c r="K627" s="139"/>
      <c r="L627" s="137"/>
      <c r="M627" s="138"/>
      <c r="N627" s="137"/>
      <c r="O627" s="137"/>
    </row>
    <row r="628" spans="1:15">
      <c r="A628" s="76"/>
      <c r="B628" s="137"/>
      <c r="C628" s="139"/>
      <c r="D628" s="139"/>
      <c r="E628" s="140"/>
      <c r="F628" s="139"/>
      <c r="G628" s="139"/>
      <c r="H628" s="139"/>
      <c r="I628" s="139"/>
      <c r="J628" s="139"/>
      <c r="K628" s="139"/>
      <c r="L628" s="137"/>
      <c r="M628" s="138"/>
      <c r="N628" s="137"/>
      <c r="O628" s="137"/>
    </row>
    <row r="629" spans="1:15">
      <c r="A629" s="76"/>
      <c r="B629" s="137"/>
      <c r="C629" s="139"/>
      <c r="D629" s="139"/>
      <c r="E629" s="140"/>
      <c r="F629" s="139"/>
      <c r="G629" s="139"/>
      <c r="H629" s="139"/>
      <c r="I629" s="139"/>
      <c r="J629" s="139"/>
      <c r="K629" s="139"/>
      <c r="L629" s="137"/>
      <c r="M629" s="138"/>
      <c r="N629" s="137"/>
      <c r="O629" s="137"/>
    </row>
    <row r="630" spans="1:15">
      <c r="A630" s="76"/>
      <c r="B630" s="137"/>
      <c r="C630" s="139"/>
      <c r="D630" s="139"/>
      <c r="E630" s="140"/>
      <c r="F630" s="139"/>
      <c r="G630" s="139"/>
      <c r="H630" s="139"/>
      <c r="I630" s="139"/>
      <c r="J630" s="139"/>
      <c r="K630" s="139"/>
      <c r="L630" s="137"/>
      <c r="M630" s="138"/>
      <c r="N630" s="137"/>
      <c r="O630" s="137"/>
    </row>
    <row r="631" spans="1:15">
      <c r="A631" s="76"/>
      <c r="B631" s="137"/>
      <c r="C631" s="139"/>
      <c r="D631" s="139"/>
      <c r="E631" s="140"/>
      <c r="F631" s="139"/>
      <c r="G631" s="139"/>
      <c r="H631" s="139"/>
      <c r="I631" s="139"/>
      <c r="J631" s="139"/>
      <c r="K631" s="139"/>
      <c r="L631" s="137"/>
      <c r="M631" s="138"/>
      <c r="N631" s="137"/>
      <c r="O631" s="137"/>
    </row>
    <row r="632" spans="1:15">
      <c r="A632" s="76"/>
      <c r="B632" s="137"/>
      <c r="C632" s="139"/>
      <c r="D632" s="139"/>
      <c r="E632" s="140"/>
      <c r="F632" s="139"/>
      <c r="G632" s="139"/>
      <c r="H632" s="139"/>
      <c r="I632" s="139"/>
      <c r="J632" s="139"/>
      <c r="K632" s="139"/>
      <c r="L632" s="137"/>
      <c r="M632" s="138"/>
      <c r="N632" s="137"/>
      <c r="O632" s="137"/>
    </row>
    <row r="633" spans="1:15">
      <c r="A633" s="76"/>
      <c r="B633" s="137"/>
      <c r="C633" s="139"/>
      <c r="D633" s="139"/>
      <c r="E633" s="140"/>
      <c r="F633" s="139"/>
      <c r="G633" s="139"/>
      <c r="H633" s="139"/>
      <c r="I633" s="139"/>
      <c r="J633" s="139"/>
      <c r="K633" s="139"/>
      <c r="L633" s="137"/>
      <c r="M633" s="138"/>
      <c r="N633" s="137"/>
      <c r="O633" s="137"/>
    </row>
    <row r="634" spans="1:15">
      <c r="A634" s="76"/>
      <c r="B634" s="137"/>
      <c r="C634" s="139"/>
      <c r="D634" s="139"/>
      <c r="E634" s="140"/>
      <c r="F634" s="139"/>
      <c r="G634" s="139"/>
      <c r="H634" s="139"/>
      <c r="I634" s="139"/>
      <c r="J634" s="139"/>
      <c r="K634" s="139"/>
      <c r="L634" s="137"/>
      <c r="M634" s="138"/>
      <c r="N634" s="137"/>
      <c r="O634" s="137"/>
    </row>
    <row r="635" spans="1:15">
      <c r="A635" s="76"/>
      <c r="B635" s="137"/>
      <c r="C635" s="139"/>
      <c r="D635" s="139"/>
      <c r="E635" s="140"/>
      <c r="F635" s="139"/>
      <c r="G635" s="139"/>
      <c r="H635" s="139"/>
      <c r="I635" s="139"/>
      <c r="J635" s="139"/>
      <c r="K635" s="139"/>
      <c r="L635" s="137"/>
      <c r="M635" s="138"/>
      <c r="N635" s="137"/>
      <c r="O635" s="137"/>
    </row>
    <row r="636" spans="1:15">
      <c r="A636" s="76"/>
      <c r="B636" s="137"/>
      <c r="C636" s="139"/>
      <c r="D636" s="139"/>
      <c r="E636" s="140"/>
      <c r="F636" s="139"/>
      <c r="G636" s="139"/>
      <c r="H636" s="139"/>
      <c r="I636" s="139"/>
      <c r="J636" s="139"/>
      <c r="K636" s="139"/>
      <c r="L636" s="137"/>
      <c r="M636" s="138"/>
      <c r="N636" s="137"/>
      <c r="O636" s="137"/>
    </row>
    <row r="637" spans="1:15">
      <c r="A637" s="76"/>
      <c r="B637" s="137"/>
      <c r="C637" s="139"/>
      <c r="D637" s="139"/>
      <c r="E637" s="140"/>
      <c r="F637" s="139"/>
      <c r="G637" s="139"/>
      <c r="H637" s="139"/>
      <c r="I637" s="139"/>
      <c r="J637" s="139"/>
      <c r="K637" s="139"/>
      <c r="L637" s="137"/>
      <c r="M637" s="138"/>
      <c r="N637" s="137"/>
      <c r="O637" s="137"/>
    </row>
    <row r="638" spans="1:15">
      <c r="A638" s="76"/>
      <c r="B638" s="137"/>
      <c r="C638" s="139"/>
      <c r="D638" s="139"/>
      <c r="E638" s="140"/>
      <c r="F638" s="139"/>
      <c r="G638" s="139"/>
      <c r="H638" s="139"/>
      <c r="I638" s="139"/>
      <c r="J638" s="139"/>
      <c r="K638" s="139"/>
      <c r="L638" s="137"/>
      <c r="M638" s="138"/>
      <c r="N638" s="137"/>
      <c r="O638" s="137"/>
    </row>
    <row r="639" spans="1:15">
      <c r="A639" s="76"/>
      <c r="B639" s="137"/>
      <c r="C639" s="139"/>
      <c r="D639" s="139"/>
      <c r="E639" s="140"/>
      <c r="F639" s="139"/>
      <c r="G639" s="139"/>
      <c r="H639" s="139"/>
      <c r="I639" s="139"/>
      <c r="J639" s="139"/>
      <c r="K639" s="139"/>
      <c r="L639" s="137"/>
      <c r="M639" s="138"/>
      <c r="N639" s="137"/>
      <c r="O639" s="137"/>
    </row>
    <row r="640" spans="1:15">
      <c r="A640" s="76"/>
      <c r="B640" s="137"/>
      <c r="C640" s="139"/>
      <c r="D640" s="139"/>
      <c r="E640" s="140"/>
      <c r="F640" s="139"/>
      <c r="G640" s="139"/>
      <c r="H640" s="139"/>
      <c r="I640" s="139"/>
      <c r="J640" s="139"/>
      <c r="K640" s="139"/>
      <c r="L640" s="137"/>
      <c r="M640" s="138"/>
      <c r="N640" s="137"/>
      <c r="O640" s="137"/>
    </row>
    <row r="641" spans="1:15">
      <c r="A641" s="76"/>
      <c r="B641" s="137"/>
      <c r="C641" s="139"/>
      <c r="D641" s="139"/>
      <c r="E641" s="140"/>
      <c r="F641" s="139"/>
      <c r="G641" s="139"/>
      <c r="H641" s="139"/>
      <c r="I641" s="139"/>
      <c r="J641" s="139"/>
      <c r="K641" s="139"/>
      <c r="L641" s="137"/>
      <c r="M641" s="138"/>
      <c r="N641" s="137"/>
      <c r="O641" s="137"/>
    </row>
    <row r="642" spans="1:15">
      <c r="A642" s="76"/>
      <c r="B642" s="137"/>
      <c r="C642" s="139"/>
      <c r="D642" s="139"/>
      <c r="E642" s="140"/>
      <c r="F642" s="139"/>
      <c r="G642" s="139"/>
      <c r="H642" s="139"/>
      <c r="I642" s="139"/>
      <c r="J642" s="139"/>
      <c r="K642" s="139"/>
      <c r="L642" s="137"/>
      <c r="M642" s="138"/>
      <c r="N642" s="137"/>
      <c r="O642" s="137"/>
    </row>
    <row r="643" spans="1:15">
      <c r="A643" s="76"/>
      <c r="B643" s="137"/>
      <c r="C643" s="139"/>
      <c r="D643" s="139"/>
      <c r="E643" s="140"/>
      <c r="F643" s="139"/>
      <c r="G643" s="139"/>
      <c r="H643" s="139"/>
      <c r="I643" s="139"/>
      <c r="J643" s="139"/>
      <c r="K643" s="139"/>
      <c r="L643" s="137"/>
      <c r="M643" s="138"/>
      <c r="N643" s="137"/>
      <c r="O643" s="137"/>
    </row>
    <row r="644" spans="1:15">
      <c r="A644" s="76"/>
      <c r="B644" s="137"/>
      <c r="C644" s="139"/>
      <c r="D644" s="139"/>
      <c r="E644" s="140"/>
      <c r="F644" s="139"/>
      <c r="G644" s="139"/>
      <c r="H644" s="139"/>
      <c r="I644" s="139"/>
      <c r="J644" s="139"/>
      <c r="K644" s="139"/>
      <c r="L644" s="137"/>
      <c r="M644" s="138"/>
      <c r="N644" s="137"/>
      <c r="O644" s="137"/>
    </row>
    <row r="645" spans="1:15">
      <c r="A645" s="76"/>
      <c r="B645" s="137"/>
      <c r="C645" s="139"/>
      <c r="D645" s="139"/>
      <c r="E645" s="140"/>
      <c r="F645" s="139"/>
      <c r="G645" s="139"/>
      <c r="H645" s="139"/>
      <c r="I645" s="139"/>
      <c r="J645" s="139"/>
      <c r="K645" s="139"/>
      <c r="L645" s="137"/>
      <c r="M645" s="138"/>
      <c r="N645" s="137"/>
      <c r="O645" s="137"/>
    </row>
    <row r="646" spans="1:15">
      <c r="A646" s="76"/>
      <c r="B646" s="137"/>
      <c r="C646" s="139"/>
      <c r="D646" s="139"/>
      <c r="E646" s="140"/>
      <c r="F646" s="139"/>
      <c r="G646" s="139"/>
      <c r="H646" s="139"/>
      <c r="I646" s="139"/>
      <c r="J646" s="139"/>
      <c r="K646" s="139"/>
      <c r="L646" s="137"/>
      <c r="M646" s="138"/>
      <c r="N646" s="137"/>
      <c r="O646" s="137"/>
    </row>
    <row r="647" spans="1:15">
      <c r="A647" s="76"/>
      <c r="B647" s="137"/>
      <c r="C647" s="139"/>
      <c r="D647" s="139"/>
      <c r="E647" s="140"/>
      <c r="F647" s="139"/>
      <c r="G647" s="139"/>
      <c r="H647" s="139"/>
      <c r="I647" s="139"/>
      <c r="J647" s="139"/>
      <c r="K647" s="139"/>
      <c r="L647" s="137"/>
      <c r="M647" s="138"/>
      <c r="N647" s="137"/>
      <c r="O647" s="137"/>
    </row>
    <row r="648" spans="1:15">
      <c r="A648" s="76"/>
      <c r="B648" s="137"/>
      <c r="C648" s="139"/>
      <c r="D648" s="139"/>
      <c r="E648" s="140"/>
      <c r="F648" s="139"/>
      <c r="G648" s="139"/>
      <c r="H648" s="139"/>
      <c r="I648" s="139"/>
      <c r="J648" s="139"/>
      <c r="K648" s="139"/>
      <c r="L648" s="137"/>
      <c r="M648" s="138"/>
      <c r="N648" s="137"/>
      <c r="O648" s="137"/>
    </row>
    <row r="649" spans="1:15">
      <c r="A649" s="76"/>
      <c r="B649" s="137"/>
      <c r="C649" s="139"/>
      <c r="D649" s="139"/>
      <c r="E649" s="140"/>
      <c r="F649" s="139"/>
      <c r="G649" s="139"/>
      <c r="H649" s="139"/>
      <c r="I649" s="139"/>
      <c r="J649" s="139"/>
      <c r="K649" s="139"/>
      <c r="L649" s="137"/>
      <c r="M649" s="138"/>
      <c r="N649" s="137"/>
      <c r="O649" s="137"/>
    </row>
    <row r="650" spans="1:15">
      <c r="A650" s="76"/>
      <c r="B650" s="137"/>
      <c r="C650" s="139"/>
      <c r="D650" s="139"/>
      <c r="E650" s="140"/>
      <c r="F650" s="139"/>
      <c r="G650" s="139"/>
      <c r="H650" s="139"/>
      <c r="I650" s="139"/>
      <c r="J650" s="139"/>
      <c r="K650" s="139"/>
      <c r="L650" s="137"/>
      <c r="M650" s="138"/>
      <c r="N650" s="137"/>
      <c r="O650" s="137"/>
    </row>
    <row r="651" spans="1:15">
      <c r="A651" s="76"/>
      <c r="B651" s="137"/>
      <c r="C651" s="139"/>
      <c r="D651" s="139"/>
      <c r="E651" s="140"/>
      <c r="F651" s="139"/>
      <c r="G651" s="139"/>
      <c r="H651" s="139"/>
      <c r="I651" s="139"/>
      <c r="J651" s="139"/>
      <c r="K651" s="139"/>
      <c r="L651" s="137"/>
      <c r="M651" s="138"/>
      <c r="N651" s="137"/>
      <c r="O651" s="137"/>
    </row>
    <row r="652" spans="1:15">
      <c r="A652" s="76"/>
      <c r="B652" s="137"/>
      <c r="C652" s="139"/>
      <c r="D652" s="139"/>
      <c r="E652" s="140"/>
      <c r="F652" s="139"/>
      <c r="G652" s="139"/>
      <c r="H652" s="139"/>
      <c r="I652" s="139"/>
      <c r="J652" s="139"/>
      <c r="K652" s="139"/>
      <c r="L652" s="137"/>
      <c r="M652" s="138"/>
      <c r="N652" s="137"/>
      <c r="O652" s="137"/>
    </row>
    <row r="653" spans="1:15">
      <c r="A653" s="76"/>
      <c r="B653" s="137"/>
      <c r="C653" s="139"/>
      <c r="D653" s="139"/>
      <c r="E653" s="140"/>
      <c r="F653" s="139"/>
      <c r="G653" s="139"/>
      <c r="H653" s="139"/>
      <c r="I653" s="139"/>
      <c r="J653" s="139"/>
      <c r="K653" s="139"/>
      <c r="L653" s="137"/>
      <c r="M653" s="138"/>
      <c r="N653" s="137"/>
      <c r="O653" s="137"/>
    </row>
    <row r="654" spans="1:15">
      <c r="A654" s="76"/>
      <c r="B654" s="137"/>
      <c r="C654" s="139"/>
      <c r="D654" s="139"/>
      <c r="E654" s="140"/>
      <c r="F654" s="139"/>
      <c r="G654" s="139"/>
      <c r="H654" s="139"/>
      <c r="I654" s="139"/>
      <c r="J654" s="139"/>
      <c r="K654" s="139"/>
      <c r="L654" s="137"/>
      <c r="M654" s="138"/>
      <c r="N654" s="137"/>
      <c r="O654" s="137"/>
    </row>
    <row r="655" spans="1:15">
      <c r="A655" s="76"/>
      <c r="B655" s="137"/>
      <c r="C655" s="139"/>
      <c r="D655" s="139"/>
      <c r="E655" s="140"/>
      <c r="F655" s="139"/>
      <c r="G655" s="139"/>
      <c r="H655" s="139"/>
      <c r="I655" s="139"/>
      <c r="J655" s="139"/>
      <c r="K655" s="139"/>
      <c r="L655" s="137"/>
      <c r="M655" s="138"/>
      <c r="N655" s="137"/>
      <c r="O655" s="137"/>
    </row>
    <row r="656" spans="1:15">
      <c r="A656" s="76"/>
      <c r="B656" s="137"/>
      <c r="C656" s="139"/>
      <c r="D656" s="139"/>
      <c r="E656" s="140"/>
      <c r="F656" s="139"/>
      <c r="G656" s="139"/>
      <c r="H656" s="139"/>
      <c r="I656" s="139"/>
      <c r="J656" s="139"/>
      <c r="K656" s="139"/>
      <c r="L656" s="137"/>
      <c r="M656" s="138"/>
      <c r="N656" s="137"/>
      <c r="O656" s="137"/>
    </row>
    <row r="657" spans="1:15">
      <c r="A657" s="76"/>
      <c r="B657" s="137"/>
      <c r="C657" s="139"/>
      <c r="D657" s="139"/>
      <c r="E657" s="140"/>
      <c r="F657" s="139"/>
      <c r="G657" s="139"/>
      <c r="H657" s="139"/>
      <c r="I657" s="139"/>
      <c r="J657" s="139"/>
      <c r="K657" s="139"/>
      <c r="L657" s="137"/>
      <c r="M657" s="138"/>
      <c r="N657" s="137"/>
      <c r="O657" s="137"/>
    </row>
    <row r="658" spans="1:15">
      <c r="A658" s="76"/>
      <c r="B658" s="137"/>
      <c r="C658" s="139"/>
      <c r="D658" s="139"/>
      <c r="E658" s="140"/>
      <c r="F658" s="139"/>
      <c r="G658" s="139"/>
      <c r="H658" s="139"/>
      <c r="I658" s="139"/>
      <c r="J658" s="139"/>
      <c r="K658" s="139"/>
      <c r="L658" s="137"/>
      <c r="M658" s="138"/>
      <c r="N658" s="137"/>
      <c r="O658" s="137"/>
    </row>
    <row r="659" spans="1:15">
      <c r="A659" s="76"/>
      <c r="B659" s="137"/>
      <c r="C659" s="139"/>
      <c r="D659" s="139"/>
      <c r="E659" s="140"/>
      <c r="F659" s="139"/>
      <c r="G659" s="139"/>
      <c r="H659" s="139"/>
      <c r="I659" s="139"/>
      <c r="J659" s="139"/>
      <c r="K659" s="139"/>
      <c r="L659" s="137"/>
      <c r="M659" s="138"/>
      <c r="N659" s="137"/>
      <c r="O659" s="137"/>
    </row>
    <row r="660" spans="1:15">
      <c r="A660" s="76"/>
      <c r="B660" s="137"/>
      <c r="C660" s="139"/>
      <c r="D660" s="139"/>
      <c r="E660" s="140"/>
      <c r="F660" s="139"/>
      <c r="G660" s="139"/>
      <c r="H660" s="139"/>
      <c r="I660" s="139"/>
      <c r="J660" s="139"/>
      <c r="K660" s="139"/>
      <c r="L660" s="137"/>
      <c r="M660" s="138"/>
      <c r="N660" s="137"/>
      <c r="O660" s="137"/>
    </row>
    <row r="661" spans="1:15">
      <c r="A661" s="76"/>
      <c r="B661" s="137"/>
      <c r="C661" s="139"/>
      <c r="D661" s="139"/>
      <c r="E661" s="140"/>
      <c r="F661" s="139"/>
      <c r="G661" s="139"/>
      <c r="H661" s="139"/>
      <c r="I661" s="139"/>
      <c r="J661" s="139"/>
      <c r="K661" s="139"/>
      <c r="L661" s="137"/>
      <c r="M661" s="138"/>
      <c r="N661" s="137"/>
      <c r="O661" s="137"/>
    </row>
    <row r="662" spans="1:15">
      <c r="A662" s="76"/>
      <c r="B662" s="137"/>
      <c r="C662" s="139"/>
      <c r="D662" s="139"/>
      <c r="E662" s="140"/>
      <c r="F662" s="139"/>
      <c r="G662" s="139"/>
      <c r="H662" s="139"/>
      <c r="I662" s="139"/>
      <c r="J662" s="139"/>
      <c r="K662" s="139"/>
      <c r="L662" s="137"/>
      <c r="M662" s="138"/>
      <c r="N662" s="137"/>
      <c r="O662" s="137"/>
    </row>
    <row r="663" spans="1:15">
      <c r="A663" s="76"/>
      <c r="B663" s="137"/>
      <c r="C663" s="139"/>
      <c r="D663" s="139"/>
      <c r="E663" s="140"/>
      <c r="F663" s="139"/>
      <c r="G663" s="139"/>
      <c r="H663" s="139"/>
      <c r="I663" s="139"/>
      <c r="J663" s="139"/>
      <c r="K663" s="139"/>
      <c r="L663" s="137"/>
      <c r="M663" s="138"/>
      <c r="N663" s="137"/>
      <c r="O663" s="137"/>
    </row>
    <row r="664" spans="1:15">
      <c r="A664" s="76"/>
      <c r="B664" s="137"/>
      <c r="C664" s="139"/>
      <c r="D664" s="139"/>
      <c r="E664" s="140"/>
      <c r="F664" s="139"/>
      <c r="G664" s="139"/>
      <c r="H664" s="139"/>
      <c r="I664" s="139"/>
      <c r="J664" s="139"/>
      <c r="K664" s="139"/>
      <c r="L664" s="137"/>
      <c r="M664" s="138"/>
      <c r="N664" s="137"/>
      <c r="O664" s="137"/>
    </row>
    <row r="665" spans="1:15">
      <c r="A665" s="76"/>
      <c r="B665" s="137"/>
      <c r="C665" s="139"/>
      <c r="D665" s="139"/>
      <c r="E665" s="140"/>
      <c r="F665" s="139"/>
      <c r="G665" s="139"/>
      <c r="H665" s="139"/>
      <c r="I665" s="139"/>
      <c r="J665" s="139"/>
      <c r="K665" s="139"/>
      <c r="L665" s="137"/>
      <c r="M665" s="138"/>
      <c r="N665" s="137"/>
      <c r="O665" s="137"/>
    </row>
    <row r="666" spans="1:15">
      <c r="A666" s="76"/>
      <c r="B666" s="137"/>
      <c r="C666" s="139"/>
      <c r="D666" s="139"/>
      <c r="E666" s="140"/>
      <c r="F666" s="139"/>
      <c r="G666" s="139"/>
      <c r="H666" s="139"/>
      <c r="I666" s="139"/>
      <c r="J666" s="139"/>
      <c r="K666" s="139"/>
      <c r="L666" s="137"/>
      <c r="M666" s="138"/>
      <c r="N666" s="137"/>
      <c r="O666" s="137"/>
    </row>
    <row r="667" spans="1:15">
      <c r="A667" s="76"/>
      <c r="B667" s="137"/>
      <c r="C667" s="139"/>
      <c r="D667" s="139"/>
      <c r="E667" s="140"/>
      <c r="F667" s="139"/>
      <c r="G667" s="139"/>
      <c r="H667" s="139"/>
      <c r="I667" s="139"/>
      <c r="J667" s="139"/>
      <c r="K667" s="139"/>
      <c r="L667" s="137"/>
      <c r="M667" s="138"/>
      <c r="N667" s="137"/>
      <c r="O667" s="137"/>
    </row>
    <row r="668" spans="1:15">
      <c r="A668" s="76"/>
      <c r="B668" s="137"/>
      <c r="C668" s="139"/>
      <c r="D668" s="139"/>
      <c r="E668" s="140"/>
      <c r="F668" s="139"/>
      <c r="G668" s="139"/>
      <c r="H668" s="139"/>
      <c r="I668" s="139"/>
      <c r="J668" s="139"/>
      <c r="K668" s="139"/>
      <c r="L668" s="137"/>
      <c r="M668" s="138"/>
      <c r="N668" s="137"/>
      <c r="O668" s="137"/>
    </row>
    <row r="669" spans="1:15">
      <c r="A669" s="76"/>
      <c r="B669" s="137"/>
      <c r="C669" s="139"/>
      <c r="D669" s="139"/>
      <c r="E669" s="140"/>
      <c r="F669" s="139"/>
      <c r="G669" s="139"/>
      <c r="H669" s="139"/>
      <c r="I669" s="139"/>
      <c r="J669" s="139"/>
      <c r="K669" s="139"/>
      <c r="L669" s="137"/>
      <c r="M669" s="138"/>
      <c r="N669" s="137"/>
      <c r="O669" s="137"/>
    </row>
    <row r="670" spans="1:15">
      <c r="A670" s="76"/>
      <c r="B670" s="137"/>
      <c r="C670" s="139"/>
      <c r="D670" s="139"/>
      <c r="E670" s="140"/>
      <c r="F670" s="139"/>
      <c r="G670" s="139"/>
      <c r="H670" s="139"/>
      <c r="I670" s="139"/>
      <c r="J670" s="139"/>
      <c r="K670" s="139"/>
      <c r="L670" s="137"/>
      <c r="M670" s="138"/>
      <c r="N670" s="137"/>
      <c r="O670" s="137"/>
    </row>
    <row r="671" spans="1:15">
      <c r="A671" s="76"/>
      <c r="B671" s="137"/>
      <c r="C671" s="139"/>
      <c r="D671" s="139"/>
      <c r="E671" s="140"/>
      <c r="F671" s="139"/>
      <c r="G671" s="139"/>
      <c r="H671" s="139"/>
      <c r="I671" s="139"/>
      <c r="J671" s="139"/>
      <c r="K671" s="139"/>
      <c r="L671" s="137"/>
      <c r="M671" s="138"/>
      <c r="N671" s="137"/>
      <c r="O671" s="137"/>
    </row>
    <row r="672" spans="1:15">
      <c r="A672" s="76"/>
      <c r="B672" s="137"/>
      <c r="C672" s="139"/>
      <c r="D672" s="139"/>
      <c r="E672" s="140"/>
      <c r="F672" s="139"/>
      <c r="G672" s="139"/>
      <c r="H672" s="139"/>
      <c r="I672" s="139"/>
      <c r="J672" s="139"/>
      <c r="K672" s="139"/>
      <c r="L672" s="137"/>
      <c r="M672" s="138"/>
      <c r="N672" s="137"/>
      <c r="O672" s="137"/>
    </row>
    <row r="673" spans="1:15">
      <c r="A673" s="76"/>
      <c r="B673" s="137"/>
      <c r="C673" s="139"/>
      <c r="D673" s="139"/>
      <c r="E673" s="140"/>
      <c r="F673" s="139"/>
      <c r="G673" s="139"/>
      <c r="H673" s="139"/>
      <c r="I673" s="139"/>
      <c r="J673" s="139"/>
      <c r="K673" s="139"/>
      <c r="L673" s="137"/>
      <c r="M673" s="138"/>
      <c r="N673" s="137"/>
      <c r="O673" s="137"/>
    </row>
    <row r="674" spans="1:15">
      <c r="A674" s="76"/>
      <c r="B674" s="137"/>
      <c r="C674" s="139"/>
      <c r="D674" s="139"/>
      <c r="E674" s="140"/>
      <c r="F674" s="139"/>
      <c r="G674" s="139"/>
      <c r="H674" s="139"/>
      <c r="I674" s="139"/>
      <c r="J674" s="139"/>
      <c r="K674" s="139"/>
      <c r="L674" s="137"/>
      <c r="M674" s="138"/>
      <c r="N674" s="137"/>
      <c r="O674" s="137"/>
    </row>
    <row r="675" spans="1:15">
      <c r="A675" s="76"/>
      <c r="B675" s="137"/>
      <c r="C675" s="139"/>
      <c r="D675" s="139"/>
      <c r="E675" s="140"/>
      <c r="F675" s="139"/>
      <c r="G675" s="139"/>
      <c r="H675" s="139"/>
      <c r="I675" s="139"/>
      <c r="J675" s="139"/>
      <c r="K675" s="139"/>
      <c r="L675" s="137"/>
      <c r="M675" s="138"/>
      <c r="N675" s="137"/>
      <c r="O675" s="137"/>
    </row>
    <row r="676" spans="1:15">
      <c r="A676" s="76"/>
      <c r="B676" s="137"/>
      <c r="C676" s="139"/>
      <c r="D676" s="139"/>
      <c r="E676" s="140"/>
      <c r="F676" s="139"/>
      <c r="G676" s="139"/>
      <c r="H676" s="139"/>
      <c r="I676" s="139"/>
      <c r="J676" s="139"/>
      <c r="K676" s="139"/>
      <c r="L676" s="137"/>
      <c r="M676" s="138"/>
      <c r="N676" s="137"/>
      <c r="O676" s="137"/>
    </row>
    <row r="677" spans="1:15">
      <c r="A677" s="76"/>
      <c r="B677" s="137"/>
      <c r="C677" s="139"/>
      <c r="D677" s="139"/>
      <c r="E677" s="140"/>
      <c r="F677" s="139"/>
      <c r="G677" s="139"/>
      <c r="H677" s="139"/>
      <c r="I677" s="139"/>
      <c r="J677" s="139"/>
      <c r="K677" s="139"/>
      <c r="L677" s="137"/>
      <c r="M677" s="138"/>
      <c r="N677" s="137"/>
      <c r="O677" s="137"/>
    </row>
    <row r="678" spans="1:15">
      <c r="A678" s="76"/>
      <c r="B678" s="137"/>
      <c r="C678" s="139"/>
      <c r="D678" s="139"/>
      <c r="E678" s="140"/>
      <c r="F678" s="139"/>
      <c r="G678" s="139"/>
      <c r="H678" s="139"/>
      <c r="I678" s="139"/>
      <c r="J678" s="139"/>
      <c r="K678" s="139"/>
      <c r="L678" s="137"/>
      <c r="M678" s="138"/>
      <c r="N678" s="137"/>
      <c r="O678" s="137"/>
    </row>
    <row r="679" spans="1:15">
      <c r="A679" s="76"/>
      <c r="B679" s="137"/>
      <c r="C679" s="139"/>
      <c r="D679" s="139"/>
      <c r="E679" s="140"/>
      <c r="F679" s="139"/>
      <c r="G679" s="139"/>
      <c r="H679" s="139"/>
      <c r="I679" s="139"/>
      <c r="J679" s="139"/>
      <c r="K679" s="139"/>
      <c r="L679" s="137"/>
      <c r="M679" s="138"/>
      <c r="N679" s="137"/>
      <c r="O679" s="137"/>
    </row>
    <row r="680" spans="1:15">
      <c r="A680" s="76"/>
      <c r="B680" s="137"/>
      <c r="C680" s="139"/>
      <c r="D680" s="139"/>
      <c r="E680" s="140"/>
      <c r="F680" s="139"/>
      <c r="G680" s="139"/>
      <c r="H680" s="139"/>
      <c r="I680" s="139"/>
      <c r="J680" s="139"/>
      <c r="K680" s="139"/>
      <c r="L680" s="137"/>
      <c r="M680" s="138"/>
      <c r="N680" s="137"/>
      <c r="O680" s="137"/>
    </row>
    <row r="681" spans="1:15">
      <c r="A681" s="76"/>
      <c r="B681" s="137"/>
      <c r="C681" s="139"/>
      <c r="D681" s="139"/>
      <c r="E681" s="140"/>
      <c r="F681" s="139"/>
      <c r="G681" s="139"/>
      <c r="H681" s="139"/>
      <c r="I681" s="139"/>
      <c r="J681" s="139"/>
      <c r="K681" s="139"/>
      <c r="L681" s="137"/>
      <c r="M681" s="138"/>
      <c r="N681" s="137"/>
      <c r="O681" s="137"/>
    </row>
    <row r="682" spans="1:15">
      <c r="A682" s="76"/>
      <c r="B682" s="137"/>
      <c r="C682" s="139"/>
      <c r="D682" s="139"/>
      <c r="E682" s="140"/>
      <c r="F682" s="139"/>
      <c r="G682" s="139"/>
      <c r="H682" s="139"/>
      <c r="I682" s="139"/>
      <c r="J682" s="139"/>
      <c r="K682" s="139"/>
      <c r="L682" s="137"/>
      <c r="M682" s="138"/>
      <c r="N682" s="137"/>
      <c r="O682" s="137"/>
    </row>
    <row r="683" spans="1:15">
      <c r="A683" s="76"/>
      <c r="B683" s="137"/>
      <c r="C683" s="139"/>
      <c r="D683" s="139"/>
      <c r="E683" s="140"/>
      <c r="F683" s="139"/>
      <c r="G683" s="139"/>
      <c r="H683" s="139"/>
      <c r="I683" s="139"/>
      <c r="J683" s="139"/>
      <c r="K683" s="139"/>
      <c r="L683" s="137"/>
      <c r="M683" s="138"/>
      <c r="N683" s="137"/>
      <c r="O683" s="137"/>
    </row>
    <row r="684" spans="1:15">
      <c r="A684" s="76"/>
      <c r="B684" s="137"/>
      <c r="C684" s="139"/>
      <c r="D684" s="139"/>
      <c r="E684" s="140"/>
      <c r="F684" s="139"/>
      <c r="G684" s="139"/>
      <c r="H684" s="139"/>
      <c r="I684" s="139"/>
      <c r="J684" s="139"/>
      <c r="K684" s="139"/>
      <c r="L684" s="137"/>
      <c r="M684" s="138"/>
      <c r="N684" s="137"/>
      <c r="O684" s="137"/>
    </row>
    <row r="685" spans="1:15">
      <c r="A685" s="76"/>
      <c r="B685" s="137"/>
      <c r="C685" s="139"/>
      <c r="D685" s="139"/>
      <c r="E685" s="140"/>
      <c r="F685" s="139"/>
      <c r="G685" s="139"/>
      <c r="H685" s="139"/>
      <c r="I685" s="139"/>
      <c r="J685" s="139"/>
      <c r="K685" s="139"/>
      <c r="L685" s="137"/>
      <c r="M685" s="138"/>
      <c r="N685" s="137"/>
      <c r="O685" s="137"/>
    </row>
    <row r="686" spans="1:15">
      <c r="A686" s="76"/>
      <c r="B686" s="137"/>
      <c r="C686" s="139"/>
      <c r="D686" s="139"/>
      <c r="E686" s="140"/>
      <c r="F686" s="139"/>
      <c r="G686" s="139"/>
      <c r="H686" s="139"/>
      <c r="I686" s="139"/>
      <c r="J686" s="139"/>
      <c r="K686" s="139"/>
      <c r="L686" s="137"/>
      <c r="M686" s="138"/>
      <c r="N686" s="137"/>
      <c r="O686" s="137"/>
    </row>
    <row r="687" spans="1:15">
      <c r="A687" s="76"/>
      <c r="B687" s="137"/>
      <c r="C687" s="139"/>
      <c r="D687" s="139"/>
      <c r="E687" s="140"/>
      <c r="F687" s="139"/>
      <c r="G687" s="139"/>
      <c r="H687" s="139"/>
      <c r="I687" s="139"/>
      <c r="J687" s="139"/>
      <c r="K687" s="139"/>
      <c r="L687" s="137"/>
      <c r="M687" s="138"/>
      <c r="N687" s="137"/>
      <c r="O687" s="137"/>
    </row>
    <row r="688" spans="1:15">
      <c r="A688" s="76"/>
      <c r="B688" s="137"/>
      <c r="C688" s="139"/>
      <c r="D688" s="139"/>
      <c r="E688" s="140"/>
      <c r="F688" s="139"/>
      <c r="G688" s="139"/>
      <c r="H688" s="139"/>
      <c r="I688" s="139"/>
      <c r="J688" s="139"/>
      <c r="K688" s="139"/>
      <c r="L688" s="137"/>
      <c r="M688" s="138"/>
      <c r="N688" s="137"/>
      <c r="O688" s="137"/>
    </row>
    <row r="689" spans="1:15">
      <c r="A689" s="76"/>
      <c r="B689" s="137"/>
      <c r="C689" s="139"/>
      <c r="D689" s="139"/>
      <c r="E689" s="140"/>
      <c r="F689" s="139"/>
      <c r="G689" s="139"/>
      <c r="H689" s="139"/>
      <c r="I689" s="139"/>
      <c r="J689" s="139"/>
      <c r="K689" s="139"/>
      <c r="L689" s="137"/>
      <c r="M689" s="138"/>
      <c r="N689" s="137"/>
      <c r="O689" s="137"/>
    </row>
    <row r="690" spans="1:15">
      <c r="A690" s="76"/>
      <c r="B690" s="137"/>
      <c r="C690" s="139"/>
      <c r="D690" s="139"/>
      <c r="E690" s="140"/>
      <c r="F690" s="139"/>
      <c r="G690" s="139"/>
      <c r="H690" s="139"/>
      <c r="I690" s="139"/>
      <c r="J690" s="139"/>
      <c r="K690" s="139"/>
      <c r="L690" s="137"/>
      <c r="M690" s="138"/>
      <c r="N690" s="137"/>
      <c r="O690" s="137"/>
    </row>
    <row r="691" spans="1:15">
      <c r="A691" s="76"/>
      <c r="B691" s="137"/>
      <c r="C691" s="139"/>
      <c r="D691" s="139"/>
      <c r="E691" s="140"/>
      <c r="F691" s="139"/>
      <c r="G691" s="139"/>
      <c r="H691" s="139"/>
      <c r="I691" s="139"/>
      <c r="J691" s="139"/>
      <c r="K691" s="139"/>
      <c r="L691" s="137"/>
      <c r="M691" s="138"/>
      <c r="N691" s="137"/>
      <c r="O691" s="137"/>
    </row>
    <row r="692" spans="1:15">
      <c r="A692" s="76"/>
      <c r="B692" s="137"/>
      <c r="C692" s="139"/>
      <c r="D692" s="139"/>
      <c r="E692" s="140"/>
      <c r="F692" s="139"/>
      <c r="G692" s="139"/>
      <c r="H692" s="139"/>
      <c r="I692" s="139"/>
      <c r="J692" s="139"/>
      <c r="K692" s="139"/>
      <c r="L692" s="137"/>
      <c r="M692" s="138"/>
      <c r="N692" s="137"/>
      <c r="O692" s="137"/>
    </row>
    <row r="693" spans="1:15">
      <c r="A693" s="76"/>
      <c r="B693" s="137"/>
      <c r="C693" s="139"/>
      <c r="D693" s="139"/>
      <c r="E693" s="140"/>
      <c r="F693" s="139"/>
      <c r="G693" s="139"/>
      <c r="H693" s="139"/>
      <c r="I693" s="139"/>
      <c r="J693" s="139"/>
      <c r="K693" s="139"/>
      <c r="L693" s="137"/>
      <c r="M693" s="138"/>
      <c r="N693" s="137"/>
      <c r="O693" s="137"/>
    </row>
    <row r="694" spans="1:15">
      <c r="A694" s="76"/>
      <c r="B694" s="137"/>
      <c r="C694" s="139"/>
      <c r="D694" s="139"/>
      <c r="E694" s="140"/>
      <c r="F694" s="139"/>
      <c r="G694" s="139"/>
      <c r="H694" s="139"/>
      <c r="I694" s="139"/>
      <c r="J694" s="139"/>
      <c r="K694" s="139"/>
      <c r="L694" s="137"/>
      <c r="M694" s="138"/>
      <c r="N694" s="137"/>
      <c r="O694" s="137"/>
    </row>
    <row r="695" spans="1:15">
      <c r="A695" s="76"/>
      <c r="B695" s="137"/>
      <c r="C695" s="139"/>
      <c r="D695" s="139"/>
      <c r="E695" s="140"/>
      <c r="F695" s="139"/>
      <c r="G695" s="139"/>
      <c r="H695" s="139"/>
      <c r="I695" s="139"/>
      <c r="J695" s="139"/>
      <c r="K695" s="139"/>
      <c r="L695" s="137"/>
      <c r="M695" s="138"/>
      <c r="N695" s="137"/>
      <c r="O695" s="137"/>
    </row>
    <row r="696" spans="1:15">
      <c r="A696" s="76"/>
      <c r="B696" s="137"/>
      <c r="C696" s="139"/>
      <c r="D696" s="139"/>
      <c r="E696" s="140"/>
      <c r="F696" s="139"/>
      <c r="G696" s="139"/>
      <c r="H696" s="139"/>
      <c r="I696" s="139"/>
      <c r="J696" s="139"/>
      <c r="K696" s="139"/>
      <c r="L696" s="137"/>
      <c r="M696" s="138"/>
      <c r="N696" s="137"/>
      <c r="O696" s="137"/>
    </row>
    <row r="697" spans="1:15">
      <c r="A697" s="76"/>
      <c r="B697" s="137"/>
      <c r="C697" s="139"/>
      <c r="D697" s="139"/>
      <c r="E697" s="140"/>
      <c r="F697" s="139"/>
      <c r="G697" s="139"/>
      <c r="H697" s="139"/>
      <c r="I697" s="139"/>
      <c r="J697" s="139"/>
      <c r="K697" s="139"/>
      <c r="L697" s="137"/>
      <c r="M697" s="138"/>
      <c r="N697" s="137"/>
      <c r="O697" s="137"/>
    </row>
    <row r="698" spans="1:15">
      <c r="A698" s="76"/>
      <c r="B698" s="137"/>
      <c r="C698" s="139"/>
      <c r="D698" s="139"/>
      <c r="E698" s="140"/>
      <c r="F698" s="139"/>
      <c r="G698" s="139"/>
      <c r="H698" s="139"/>
      <c r="I698" s="139"/>
      <c r="J698" s="139"/>
      <c r="K698" s="139"/>
      <c r="L698" s="137"/>
      <c r="M698" s="138"/>
      <c r="N698" s="137"/>
      <c r="O698" s="137"/>
    </row>
    <row r="699" spans="1:15">
      <c r="A699" s="76"/>
      <c r="B699" s="137"/>
      <c r="C699" s="139"/>
      <c r="D699" s="139"/>
      <c r="E699" s="140"/>
      <c r="F699" s="139"/>
      <c r="G699" s="139"/>
      <c r="H699" s="139"/>
      <c r="I699" s="139"/>
      <c r="J699" s="139"/>
      <c r="K699" s="139"/>
      <c r="L699" s="137"/>
      <c r="M699" s="138"/>
      <c r="N699" s="137"/>
      <c r="O699" s="137"/>
    </row>
    <row r="700" spans="1:15">
      <c r="A700" s="76"/>
      <c r="B700" s="137"/>
      <c r="C700" s="139"/>
      <c r="D700" s="139"/>
      <c r="E700" s="140"/>
      <c r="F700" s="139"/>
      <c r="G700" s="139"/>
      <c r="H700" s="139"/>
      <c r="I700" s="139"/>
      <c r="J700" s="139"/>
      <c r="K700" s="139"/>
      <c r="L700" s="137"/>
      <c r="M700" s="138"/>
      <c r="N700" s="137"/>
      <c r="O700" s="137"/>
    </row>
    <row r="701" spans="1:15">
      <c r="A701" s="76"/>
      <c r="B701" s="137"/>
      <c r="C701" s="139"/>
      <c r="D701" s="139"/>
      <c r="E701" s="140"/>
      <c r="F701" s="139"/>
      <c r="G701" s="139"/>
      <c r="H701" s="139"/>
      <c r="I701" s="139"/>
      <c r="J701" s="139"/>
      <c r="K701" s="139"/>
      <c r="L701" s="137"/>
      <c r="M701" s="138"/>
      <c r="N701" s="137"/>
      <c r="O701" s="137"/>
    </row>
    <row r="702" spans="1:15">
      <c r="A702" s="76"/>
      <c r="B702" s="137"/>
      <c r="C702" s="139"/>
      <c r="D702" s="139"/>
      <c r="E702" s="140"/>
      <c r="F702" s="139"/>
      <c r="G702" s="139"/>
      <c r="H702" s="139"/>
      <c r="I702" s="139"/>
      <c r="J702" s="139"/>
      <c r="K702" s="139"/>
      <c r="L702" s="137"/>
      <c r="M702" s="138"/>
      <c r="N702" s="137"/>
      <c r="O702" s="137"/>
    </row>
    <row r="703" spans="1:15">
      <c r="A703" s="76"/>
      <c r="B703" s="137"/>
      <c r="C703" s="139"/>
      <c r="D703" s="139"/>
      <c r="E703" s="140"/>
      <c r="F703" s="139"/>
      <c r="G703" s="139"/>
      <c r="H703" s="139"/>
      <c r="I703" s="139"/>
      <c r="J703" s="139"/>
      <c r="K703" s="139"/>
      <c r="L703" s="137"/>
      <c r="M703" s="138"/>
      <c r="N703" s="137"/>
      <c r="O703" s="137"/>
    </row>
    <row r="704" spans="1:15">
      <c r="A704" s="76"/>
      <c r="B704" s="137"/>
      <c r="C704" s="139"/>
      <c r="D704" s="139"/>
      <c r="E704" s="140"/>
      <c r="F704" s="139"/>
      <c r="G704" s="139"/>
      <c r="H704" s="139"/>
      <c r="I704" s="139"/>
      <c r="J704" s="139"/>
      <c r="K704" s="139"/>
      <c r="L704" s="137"/>
      <c r="M704" s="138"/>
      <c r="N704" s="137"/>
      <c r="O704" s="137"/>
    </row>
    <row r="705" spans="1:15">
      <c r="A705" s="76"/>
      <c r="B705" s="137"/>
      <c r="C705" s="139"/>
      <c r="D705" s="139"/>
      <c r="E705" s="140"/>
      <c r="F705" s="139"/>
      <c r="G705" s="139"/>
      <c r="H705" s="139"/>
      <c r="I705" s="139"/>
      <c r="J705" s="139"/>
      <c r="K705" s="139"/>
      <c r="L705" s="137"/>
      <c r="M705" s="138"/>
      <c r="N705" s="137"/>
      <c r="O705" s="137"/>
    </row>
    <row r="706" spans="1:15">
      <c r="A706" s="76"/>
      <c r="B706" s="137"/>
      <c r="C706" s="139"/>
      <c r="D706" s="139"/>
      <c r="E706" s="140"/>
      <c r="F706" s="139"/>
      <c r="G706" s="139"/>
      <c r="H706" s="139"/>
      <c r="I706" s="139"/>
      <c r="J706" s="139"/>
      <c r="K706" s="139"/>
      <c r="L706" s="137"/>
      <c r="M706" s="138"/>
      <c r="N706" s="137"/>
      <c r="O706" s="137"/>
    </row>
    <row r="707" spans="1:15">
      <c r="A707" s="76"/>
      <c r="B707" s="137"/>
      <c r="C707" s="139"/>
      <c r="D707" s="139"/>
      <c r="E707" s="140"/>
      <c r="F707" s="139"/>
      <c r="G707" s="139"/>
      <c r="H707" s="139"/>
      <c r="I707" s="139"/>
      <c r="J707" s="139"/>
      <c r="K707" s="139"/>
      <c r="L707" s="137"/>
      <c r="M707" s="138"/>
      <c r="N707" s="137"/>
      <c r="O707" s="137"/>
    </row>
    <row r="708" spans="1:15">
      <c r="A708" s="76"/>
      <c r="B708" s="137"/>
      <c r="C708" s="139"/>
      <c r="D708" s="139"/>
      <c r="E708" s="140"/>
      <c r="F708" s="139"/>
      <c r="G708" s="139"/>
      <c r="H708" s="139"/>
      <c r="I708" s="139"/>
      <c r="J708" s="139"/>
      <c r="K708" s="139"/>
      <c r="L708" s="137"/>
      <c r="M708" s="138"/>
      <c r="N708" s="137"/>
      <c r="O708" s="137"/>
    </row>
    <row r="709" spans="1:15">
      <c r="A709" s="76"/>
      <c r="B709" s="137"/>
      <c r="C709" s="139"/>
      <c r="D709" s="139"/>
      <c r="E709" s="140"/>
      <c r="F709" s="139"/>
      <c r="G709" s="139"/>
      <c r="H709" s="139"/>
      <c r="I709" s="139"/>
      <c r="J709" s="139"/>
      <c r="K709" s="139"/>
      <c r="L709" s="137"/>
      <c r="M709" s="138"/>
      <c r="N709" s="137"/>
      <c r="O709" s="137"/>
    </row>
    <row r="710" spans="1:15">
      <c r="A710" s="76"/>
      <c r="B710" s="137"/>
      <c r="C710" s="139"/>
      <c r="D710" s="139"/>
      <c r="E710" s="140"/>
      <c r="F710" s="139"/>
      <c r="G710" s="139"/>
      <c r="H710" s="139"/>
      <c r="I710" s="139"/>
      <c r="J710" s="139"/>
      <c r="K710" s="139"/>
      <c r="L710" s="137"/>
      <c r="M710" s="138"/>
      <c r="N710" s="137"/>
      <c r="O710" s="137"/>
    </row>
    <row r="711" spans="1:15">
      <c r="A711" s="76"/>
      <c r="B711" s="137"/>
      <c r="C711" s="139"/>
      <c r="D711" s="139"/>
      <c r="E711" s="140"/>
      <c r="F711" s="139"/>
      <c r="G711" s="139"/>
      <c r="H711" s="139"/>
      <c r="I711" s="139"/>
      <c r="J711" s="139"/>
      <c r="K711" s="139"/>
      <c r="L711" s="137"/>
      <c r="M711" s="138"/>
      <c r="N711" s="137"/>
      <c r="O711" s="137"/>
    </row>
    <row r="712" spans="1:15">
      <c r="A712" s="76"/>
      <c r="B712" s="137"/>
      <c r="C712" s="139"/>
      <c r="D712" s="139"/>
      <c r="E712" s="140"/>
      <c r="F712" s="139"/>
      <c r="G712" s="139"/>
      <c r="H712" s="139"/>
      <c r="I712" s="139"/>
      <c r="J712" s="139"/>
      <c r="K712" s="139"/>
      <c r="L712" s="137"/>
      <c r="M712" s="138"/>
      <c r="N712" s="137"/>
      <c r="O712" s="137"/>
    </row>
    <row r="713" spans="1:15">
      <c r="A713" s="76"/>
      <c r="B713" s="137"/>
      <c r="C713" s="139"/>
      <c r="D713" s="139"/>
      <c r="E713" s="140"/>
      <c r="F713" s="139"/>
      <c r="G713" s="139"/>
      <c r="H713" s="139"/>
      <c r="I713" s="139"/>
      <c r="J713" s="139"/>
      <c r="K713" s="139"/>
      <c r="L713" s="137"/>
      <c r="M713" s="138"/>
      <c r="N713" s="137"/>
      <c r="O713" s="137"/>
    </row>
    <row r="714" spans="1:15">
      <c r="A714" s="76"/>
      <c r="B714" s="137"/>
      <c r="C714" s="139"/>
      <c r="D714" s="139"/>
      <c r="E714" s="140"/>
      <c r="F714" s="139"/>
      <c r="G714" s="139"/>
      <c r="H714" s="139"/>
      <c r="I714" s="139"/>
      <c r="J714" s="139"/>
      <c r="K714" s="139"/>
      <c r="L714" s="137"/>
      <c r="M714" s="138"/>
      <c r="N714" s="137"/>
      <c r="O714" s="137"/>
    </row>
    <row r="715" spans="1:15">
      <c r="A715" s="76"/>
      <c r="B715" s="137"/>
      <c r="C715" s="139"/>
      <c r="D715" s="139"/>
      <c r="E715" s="140"/>
      <c r="F715" s="139"/>
      <c r="G715" s="139"/>
      <c r="H715" s="139"/>
      <c r="I715" s="139"/>
      <c r="J715" s="139"/>
      <c r="K715" s="139"/>
      <c r="L715" s="137"/>
      <c r="M715" s="138"/>
      <c r="N715" s="137"/>
      <c r="O715" s="137"/>
    </row>
    <row r="716" spans="1:15">
      <c r="A716" s="76"/>
      <c r="B716" s="137"/>
      <c r="C716" s="139"/>
      <c r="D716" s="139"/>
      <c r="E716" s="140"/>
      <c r="F716" s="139"/>
      <c r="G716" s="139"/>
      <c r="H716" s="139"/>
      <c r="I716" s="139"/>
      <c r="J716" s="139"/>
      <c r="K716" s="139"/>
      <c r="L716" s="137"/>
      <c r="M716" s="138"/>
      <c r="N716" s="137"/>
      <c r="O716" s="137"/>
    </row>
    <row r="717" spans="1:15">
      <c r="A717" s="76"/>
      <c r="B717" s="137"/>
      <c r="C717" s="139"/>
      <c r="D717" s="139"/>
      <c r="E717" s="140"/>
      <c r="F717" s="139"/>
      <c r="G717" s="139"/>
      <c r="H717" s="139"/>
      <c r="I717" s="139"/>
      <c r="J717" s="139"/>
      <c r="K717" s="139"/>
      <c r="L717" s="137"/>
      <c r="M717" s="138"/>
      <c r="N717" s="137"/>
      <c r="O717" s="137"/>
    </row>
    <row r="718" spans="1:15">
      <c r="A718" s="76"/>
      <c r="B718" s="137"/>
      <c r="C718" s="139"/>
      <c r="D718" s="139"/>
      <c r="E718" s="140"/>
      <c r="F718" s="139"/>
      <c r="G718" s="139"/>
      <c r="H718" s="139"/>
      <c r="I718" s="139"/>
      <c r="J718" s="139"/>
      <c r="K718" s="139"/>
      <c r="L718" s="137"/>
      <c r="M718" s="138"/>
      <c r="N718" s="137"/>
      <c r="O718" s="137"/>
    </row>
    <row r="719" spans="1:15">
      <c r="A719" s="76"/>
      <c r="B719" s="137"/>
      <c r="C719" s="139"/>
      <c r="D719" s="139"/>
      <c r="E719" s="140"/>
      <c r="F719" s="139"/>
      <c r="G719" s="139"/>
      <c r="H719" s="139"/>
      <c r="I719" s="139"/>
      <c r="J719" s="139"/>
      <c r="K719" s="139"/>
      <c r="L719" s="137"/>
      <c r="M719" s="138"/>
      <c r="N719" s="137"/>
      <c r="O719" s="137"/>
    </row>
    <row r="720" spans="1:15">
      <c r="A720" s="76"/>
      <c r="B720" s="137"/>
      <c r="C720" s="139"/>
      <c r="D720" s="139"/>
      <c r="E720" s="140"/>
      <c r="F720" s="139"/>
      <c r="G720" s="139"/>
      <c r="H720" s="139"/>
      <c r="I720" s="139"/>
      <c r="J720" s="139"/>
      <c r="K720" s="139"/>
      <c r="L720" s="137"/>
      <c r="M720" s="138"/>
      <c r="N720" s="137"/>
      <c r="O720" s="137"/>
    </row>
    <row r="721" spans="1:15">
      <c r="A721" s="76"/>
      <c r="B721" s="137"/>
      <c r="C721" s="139"/>
      <c r="D721" s="139"/>
      <c r="E721" s="140"/>
      <c r="F721" s="139"/>
      <c r="G721" s="139"/>
      <c r="H721" s="139"/>
      <c r="I721" s="139"/>
      <c r="J721" s="139"/>
      <c r="K721" s="139"/>
      <c r="L721" s="137"/>
      <c r="M721" s="138"/>
      <c r="N721" s="137"/>
      <c r="O721" s="137"/>
    </row>
    <row r="722" spans="1:15">
      <c r="A722" s="76"/>
      <c r="B722" s="137"/>
      <c r="C722" s="139"/>
      <c r="D722" s="139"/>
      <c r="E722" s="140"/>
      <c r="F722" s="139"/>
      <c r="G722" s="139"/>
      <c r="H722" s="139"/>
      <c r="I722" s="139"/>
      <c r="J722" s="139"/>
      <c r="K722" s="139"/>
      <c r="L722" s="137"/>
      <c r="M722" s="138"/>
      <c r="N722" s="137"/>
      <c r="O722" s="137"/>
    </row>
    <row r="723" spans="1:15">
      <c r="A723" s="76"/>
      <c r="B723" s="137"/>
      <c r="C723" s="139"/>
      <c r="D723" s="139"/>
      <c r="E723" s="140"/>
      <c r="F723" s="139"/>
      <c r="G723" s="139"/>
      <c r="H723" s="139"/>
      <c r="I723" s="139"/>
      <c r="J723" s="139"/>
      <c r="K723" s="139"/>
      <c r="L723" s="137"/>
      <c r="M723" s="138"/>
      <c r="N723" s="137"/>
      <c r="O723" s="137"/>
    </row>
    <row r="724" spans="1:15">
      <c r="A724" s="76"/>
      <c r="B724" s="137"/>
      <c r="C724" s="139"/>
      <c r="D724" s="139"/>
      <c r="E724" s="140"/>
      <c r="F724" s="139"/>
      <c r="G724" s="139"/>
      <c r="H724" s="139"/>
      <c r="I724" s="139"/>
      <c r="J724" s="139"/>
      <c r="K724" s="139"/>
      <c r="L724" s="137"/>
      <c r="M724" s="138"/>
      <c r="N724" s="137"/>
      <c r="O724" s="137"/>
    </row>
    <row r="725" spans="1:15">
      <c r="A725" s="76"/>
      <c r="B725" s="137"/>
      <c r="C725" s="139"/>
      <c r="D725" s="139"/>
      <c r="E725" s="140"/>
      <c r="F725" s="139"/>
      <c r="G725" s="139"/>
      <c r="H725" s="139"/>
      <c r="I725" s="139"/>
      <c r="J725" s="139"/>
      <c r="K725" s="139"/>
      <c r="L725" s="137"/>
      <c r="M725" s="138"/>
      <c r="N725" s="137"/>
      <c r="O725" s="137"/>
    </row>
    <row r="726" spans="1:15">
      <c r="A726" s="76"/>
      <c r="B726" s="137"/>
      <c r="C726" s="139"/>
      <c r="D726" s="139"/>
      <c r="E726" s="140"/>
      <c r="F726" s="139"/>
      <c r="G726" s="139"/>
      <c r="H726" s="139"/>
      <c r="I726" s="139"/>
      <c r="J726" s="139"/>
      <c r="K726" s="139"/>
      <c r="L726" s="137"/>
      <c r="M726" s="138"/>
      <c r="N726" s="137"/>
      <c r="O726" s="137"/>
    </row>
    <row r="727" spans="1:15">
      <c r="A727" s="76"/>
      <c r="B727" s="137"/>
      <c r="C727" s="139"/>
      <c r="D727" s="139"/>
      <c r="E727" s="140"/>
      <c r="F727" s="139"/>
      <c r="G727" s="139"/>
      <c r="H727" s="139"/>
      <c r="I727" s="139"/>
      <c r="J727" s="139"/>
      <c r="K727" s="139"/>
      <c r="L727" s="137"/>
      <c r="M727" s="138"/>
      <c r="N727" s="137"/>
      <c r="O727" s="137"/>
    </row>
    <row r="728" spans="1:15">
      <c r="A728" s="76"/>
      <c r="B728" s="137"/>
      <c r="C728" s="139"/>
      <c r="D728" s="139"/>
      <c r="E728" s="140"/>
      <c r="F728" s="139"/>
      <c r="G728" s="139"/>
      <c r="H728" s="139"/>
      <c r="I728" s="139"/>
      <c r="J728" s="139"/>
      <c r="K728" s="139"/>
      <c r="L728" s="137"/>
      <c r="M728" s="138"/>
      <c r="N728" s="137"/>
      <c r="O728" s="137"/>
    </row>
    <row r="729" spans="1:15">
      <c r="A729" s="76"/>
      <c r="B729" s="137"/>
      <c r="C729" s="139"/>
      <c r="D729" s="139"/>
      <c r="E729" s="140"/>
      <c r="F729" s="139"/>
      <c r="G729" s="139"/>
      <c r="H729" s="139"/>
      <c r="I729" s="139"/>
      <c r="J729" s="139"/>
      <c r="K729" s="139"/>
      <c r="L729" s="137"/>
      <c r="M729" s="138"/>
      <c r="N729" s="137"/>
      <c r="O729" s="137"/>
    </row>
    <row r="730" spans="1:15">
      <c r="A730" s="76"/>
      <c r="B730" s="137"/>
      <c r="C730" s="139"/>
      <c r="D730" s="139"/>
      <c r="E730" s="140"/>
      <c r="F730" s="139"/>
      <c r="G730" s="139"/>
      <c r="H730" s="139"/>
      <c r="I730" s="139"/>
      <c r="J730" s="139"/>
      <c r="K730" s="139"/>
      <c r="L730" s="137"/>
      <c r="M730" s="138"/>
      <c r="N730" s="137"/>
      <c r="O730" s="137"/>
    </row>
    <row r="731" spans="1:15">
      <c r="A731" s="76"/>
      <c r="B731" s="137"/>
      <c r="C731" s="139"/>
      <c r="D731" s="139"/>
      <c r="E731" s="140"/>
      <c r="F731" s="139"/>
      <c r="G731" s="139"/>
      <c r="H731" s="139"/>
      <c r="I731" s="139"/>
      <c r="J731" s="139"/>
      <c r="K731" s="139"/>
      <c r="L731" s="137"/>
      <c r="M731" s="138"/>
      <c r="N731" s="137"/>
      <c r="O731" s="137"/>
    </row>
    <row r="732" spans="1:15">
      <c r="A732" s="76"/>
      <c r="B732" s="137"/>
      <c r="C732" s="139"/>
      <c r="D732" s="139"/>
      <c r="E732" s="140"/>
      <c r="F732" s="139"/>
      <c r="G732" s="139"/>
      <c r="H732" s="139"/>
      <c r="I732" s="139"/>
      <c r="J732" s="139"/>
      <c r="K732" s="139"/>
      <c r="L732" s="137"/>
      <c r="M732" s="138"/>
      <c r="N732" s="137"/>
      <c r="O732" s="137"/>
    </row>
    <row r="733" spans="1:15">
      <c r="A733" s="76"/>
      <c r="B733" s="137"/>
      <c r="C733" s="139"/>
      <c r="D733" s="139"/>
      <c r="E733" s="140"/>
      <c r="F733" s="139"/>
      <c r="G733" s="139"/>
      <c r="H733" s="139"/>
      <c r="I733" s="139"/>
      <c r="J733" s="139"/>
      <c r="K733" s="139"/>
      <c r="L733" s="137"/>
      <c r="M733" s="138"/>
      <c r="N733" s="137"/>
      <c r="O733" s="137"/>
    </row>
    <row r="734" spans="1:15">
      <c r="A734" s="76"/>
      <c r="B734" s="137"/>
      <c r="C734" s="139"/>
      <c r="D734" s="139"/>
      <c r="E734" s="140"/>
      <c r="F734" s="139"/>
      <c r="G734" s="139"/>
      <c r="H734" s="139"/>
      <c r="I734" s="139"/>
      <c r="J734" s="139"/>
      <c r="K734" s="139"/>
      <c r="L734" s="137"/>
      <c r="M734" s="138"/>
      <c r="N734" s="137"/>
      <c r="O734" s="137"/>
    </row>
    <row r="735" spans="1:15">
      <c r="A735" s="76"/>
      <c r="B735" s="137"/>
      <c r="C735" s="139"/>
      <c r="D735" s="139"/>
      <c r="E735" s="140"/>
      <c r="F735" s="139"/>
      <c r="G735" s="139"/>
      <c r="H735" s="139"/>
      <c r="I735" s="139"/>
      <c r="J735" s="139"/>
      <c r="K735" s="139"/>
      <c r="L735" s="137"/>
      <c r="M735" s="138"/>
      <c r="N735" s="137"/>
      <c r="O735" s="137"/>
    </row>
    <row r="736" spans="1:15">
      <c r="A736" s="76"/>
      <c r="B736" s="137"/>
      <c r="C736" s="139"/>
      <c r="D736" s="139"/>
      <c r="E736" s="140"/>
      <c r="F736" s="139"/>
      <c r="G736" s="139"/>
      <c r="H736" s="139"/>
      <c r="I736" s="139"/>
      <c r="J736" s="139"/>
      <c r="K736" s="139"/>
      <c r="L736" s="137"/>
      <c r="M736" s="138"/>
      <c r="N736" s="137"/>
      <c r="O736" s="137"/>
    </row>
    <row r="737" spans="1:15">
      <c r="A737" s="76"/>
      <c r="B737" s="137"/>
      <c r="C737" s="139"/>
      <c r="D737" s="139"/>
      <c r="E737" s="140"/>
      <c r="F737" s="139"/>
      <c r="G737" s="139"/>
      <c r="H737" s="139"/>
      <c r="I737" s="139"/>
      <c r="J737" s="139"/>
      <c r="K737" s="139"/>
      <c r="L737" s="137"/>
      <c r="M737" s="138"/>
      <c r="N737" s="137"/>
      <c r="O737" s="137"/>
    </row>
    <row r="738" spans="1:15">
      <c r="A738" s="76"/>
      <c r="B738" s="137"/>
      <c r="C738" s="139"/>
      <c r="D738" s="139"/>
      <c r="E738" s="140"/>
      <c r="F738" s="139"/>
      <c r="G738" s="139"/>
      <c r="H738" s="139"/>
      <c r="I738" s="139"/>
      <c r="J738" s="139"/>
      <c r="K738" s="139"/>
      <c r="L738" s="137"/>
      <c r="M738" s="138"/>
      <c r="N738" s="137"/>
      <c r="O738" s="137"/>
    </row>
    <row r="739" spans="1:15">
      <c r="A739" s="76"/>
      <c r="B739" s="137"/>
      <c r="C739" s="139"/>
      <c r="D739" s="139"/>
      <c r="E739" s="140"/>
      <c r="F739" s="139"/>
      <c r="G739" s="139"/>
      <c r="H739" s="139"/>
      <c r="I739" s="139"/>
      <c r="J739" s="139"/>
      <c r="K739" s="139"/>
      <c r="L739" s="137"/>
      <c r="M739" s="138"/>
      <c r="N739" s="137"/>
      <c r="O739" s="137"/>
    </row>
    <row r="740" spans="1:15">
      <c r="A740" s="76"/>
      <c r="B740" s="137"/>
      <c r="C740" s="139"/>
      <c r="D740" s="139"/>
      <c r="E740" s="140"/>
      <c r="F740" s="139"/>
      <c r="G740" s="139"/>
      <c r="H740" s="139"/>
      <c r="I740" s="139"/>
      <c r="J740" s="139"/>
      <c r="K740" s="139"/>
      <c r="L740" s="137"/>
      <c r="M740" s="138"/>
      <c r="N740" s="137"/>
      <c r="O740" s="137"/>
    </row>
    <row r="741" spans="1:15">
      <c r="A741" s="76"/>
      <c r="B741" s="137"/>
      <c r="C741" s="139"/>
      <c r="D741" s="139"/>
      <c r="E741" s="140"/>
      <c r="F741" s="139"/>
      <c r="G741" s="139"/>
      <c r="H741" s="139"/>
      <c r="I741" s="139"/>
      <c r="J741" s="139"/>
      <c r="K741" s="139"/>
      <c r="L741" s="137"/>
      <c r="M741" s="138"/>
      <c r="N741" s="137"/>
      <c r="O741" s="137"/>
    </row>
    <row r="742" spans="1:15">
      <c r="A742" s="76"/>
      <c r="B742" s="137"/>
      <c r="C742" s="139"/>
      <c r="D742" s="139"/>
      <c r="E742" s="140"/>
      <c r="F742" s="139"/>
      <c r="G742" s="139"/>
      <c r="H742" s="139"/>
      <c r="I742" s="139"/>
      <c r="J742" s="139"/>
      <c r="K742" s="139"/>
      <c r="L742" s="137"/>
      <c r="M742" s="138"/>
      <c r="N742" s="137"/>
      <c r="O742" s="137"/>
    </row>
    <row r="743" spans="1:15">
      <c r="A743" s="76"/>
      <c r="B743" s="137"/>
      <c r="C743" s="139"/>
      <c r="D743" s="139"/>
      <c r="E743" s="140"/>
      <c r="F743" s="139"/>
      <c r="G743" s="139"/>
      <c r="H743" s="139"/>
      <c r="I743" s="139"/>
      <c r="J743" s="139"/>
      <c r="K743" s="139"/>
      <c r="L743" s="137"/>
      <c r="M743" s="138"/>
      <c r="N743" s="137"/>
      <c r="O743" s="137"/>
    </row>
    <row r="744" spans="1:15">
      <c r="A744" s="76"/>
      <c r="B744" s="137"/>
      <c r="C744" s="139"/>
      <c r="D744" s="139"/>
      <c r="E744" s="140"/>
      <c r="F744" s="139"/>
      <c r="G744" s="139"/>
      <c r="H744" s="139"/>
      <c r="I744" s="139"/>
      <c r="J744" s="139"/>
      <c r="K744" s="139"/>
      <c r="L744" s="137"/>
      <c r="M744" s="138"/>
      <c r="N744" s="137"/>
      <c r="O744" s="137"/>
    </row>
    <row r="745" spans="1:15">
      <c r="A745" s="76"/>
      <c r="B745" s="137"/>
      <c r="C745" s="139"/>
      <c r="D745" s="139"/>
      <c r="E745" s="140"/>
      <c r="F745" s="139"/>
      <c r="G745" s="139"/>
      <c r="H745" s="139"/>
      <c r="I745" s="139"/>
      <c r="J745" s="139"/>
      <c r="K745" s="139"/>
      <c r="L745" s="137"/>
      <c r="M745" s="138"/>
      <c r="N745" s="137"/>
      <c r="O745" s="137"/>
    </row>
    <row r="746" spans="1:15">
      <c r="A746" s="76"/>
      <c r="B746" s="137"/>
      <c r="C746" s="139"/>
      <c r="D746" s="139"/>
      <c r="E746" s="140"/>
      <c r="F746" s="139"/>
      <c r="G746" s="139"/>
      <c r="H746" s="139"/>
      <c r="I746" s="139"/>
      <c r="J746" s="139"/>
      <c r="K746" s="139"/>
      <c r="L746" s="137"/>
      <c r="M746" s="138"/>
      <c r="N746" s="137"/>
      <c r="O746" s="137"/>
    </row>
    <row r="747" spans="1:15">
      <c r="A747" s="76"/>
      <c r="B747" s="137"/>
      <c r="C747" s="139"/>
      <c r="D747" s="139"/>
      <c r="E747" s="140"/>
      <c r="F747" s="139"/>
      <c r="G747" s="139"/>
      <c r="H747" s="139"/>
      <c r="I747" s="139"/>
      <c r="J747" s="139"/>
      <c r="K747" s="139"/>
      <c r="L747" s="137"/>
      <c r="M747" s="138"/>
      <c r="N747" s="137"/>
      <c r="O747" s="137"/>
    </row>
    <row r="748" spans="1:15">
      <c r="A748" s="76"/>
      <c r="B748" s="137"/>
      <c r="C748" s="139"/>
      <c r="D748" s="139"/>
      <c r="E748" s="140"/>
      <c r="F748" s="139"/>
      <c r="G748" s="139"/>
      <c r="H748" s="139"/>
      <c r="I748" s="139"/>
      <c r="J748" s="139"/>
      <c r="K748" s="139"/>
      <c r="L748" s="137"/>
      <c r="M748" s="138"/>
      <c r="N748" s="137"/>
      <c r="O748" s="137"/>
    </row>
    <row r="749" spans="1:15">
      <c r="A749" s="76"/>
      <c r="B749" s="137"/>
      <c r="C749" s="139"/>
      <c r="D749" s="139"/>
      <c r="E749" s="140"/>
      <c r="F749" s="139"/>
      <c r="G749" s="139"/>
      <c r="H749" s="139"/>
      <c r="I749" s="139"/>
      <c r="J749" s="139"/>
      <c r="K749" s="139"/>
      <c r="L749" s="137"/>
      <c r="M749" s="138"/>
      <c r="N749" s="137"/>
      <c r="O749" s="137"/>
    </row>
    <row r="750" spans="1:15">
      <c r="A750" s="76"/>
      <c r="B750" s="137"/>
      <c r="C750" s="139"/>
      <c r="D750" s="139"/>
      <c r="E750" s="140"/>
      <c r="F750" s="139"/>
      <c r="G750" s="139"/>
      <c r="H750" s="139"/>
      <c r="I750" s="139"/>
      <c r="J750" s="139"/>
      <c r="K750" s="139"/>
      <c r="L750" s="137"/>
      <c r="M750" s="138"/>
      <c r="N750" s="137"/>
      <c r="O750" s="137"/>
    </row>
    <row r="751" spans="1:15">
      <c r="A751" s="76"/>
      <c r="B751" s="137"/>
      <c r="C751" s="139"/>
      <c r="D751" s="139"/>
      <c r="E751" s="140"/>
      <c r="F751" s="139"/>
      <c r="G751" s="139"/>
      <c r="H751" s="139"/>
      <c r="I751" s="139"/>
      <c r="J751" s="139"/>
      <c r="K751" s="139"/>
      <c r="L751" s="137"/>
      <c r="M751" s="138"/>
      <c r="N751" s="137"/>
      <c r="O751" s="137"/>
    </row>
    <row r="752" spans="1:15">
      <c r="A752" s="76"/>
      <c r="B752" s="137"/>
      <c r="C752" s="139"/>
      <c r="D752" s="139"/>
      <c r="E752" s="140"/>
      <c r="F752" s="139"/>
      <c r="G752" s="139"/>
      <c r="H752" s="139"/>
      <c r="I752" s="139"/>
      <c r="J752" s="139"/>
      <c r="K752" s="139"/>
      <c r="L752" s="137"/>
      <c r="M752" s="138"/>
      <c r="N752" s="137"/>
      <c r="O752" s="137"/>
    </row>
    <row r="753" spans="1:15">
      <c r="A753" s="76"/>
      <c r="B753" s="137"/>
      <c r="C753" s="139"/>
      <c r="D753" s="139"/>
      <c r="E753" s="140"/>
      <c r="F753" s="139"/>
      <c r="G753" s="139"/>
      <c r="H753" s="139"/>
      <c r="I753" s="139"/>
      <c r="J753" s="139"/>
      <c r="K753" s="139"/>
      <c r="L753" s="137"/>
      <c r="M753" s="138"/>
      <c r="N753" s="137"/>
      <c r="O753" s="137"/>
    </row>
    <row r="754" spans="1:15">
      <c r="A754" s="76"/>
      <c r="B754" s="137"/>
      <c r="C754" s="139"/>
      <c r="D754" s="139"/>
      <c r="E754" s="140"/>
      <c r="F754" s="139"/>
      <c r="G754" s="139"/>
      <c r="H754" s="139"/>
      <c r="I754" s="139"/>
      <c r="J754" s="139"/>
      <c r="K754" s="139"/>
      <c r="L754" s="137"/>
      <c r="M754" s="138"/>
      <c r="N754" s="137"/>
      <c r="O754" s="137"/>
    </row>
    <row r="755" spans="1:15">
      <c r="A755" s="76"/>
      <c r="B755" s="137"/>
      <c r="C755" s="139"/>
      <c r="D755" s="139"/>
      <c r="E755" s="140"/>
      <c r="F755" s="139"/>
      <c r="G755" s="139"/>
      <c r="H755" s="139"/>
      <c r="I755" s="139"/>
      <c r="J755" s="139"/>
      <c r="K755" s="139"/>
      <c r="L755" s="137"/>
      <c r="M755" s="138"/>
      <c r="N755" s="137"/>
      <c r="O755" s="137"/>
    </row>
    <row r="756" spans="1:15">
      <c r="A756" s="76"/>
      <c r="B756" s="137"/>
      <c r="C756" s="139"/>
      <c r="D756" s="139"/>
      <c r="E756" s="140"/>
      <c r="F756" s="139"/>
      <c r="G756" s="139"/>
      <c r="H756" s="139"/>
      <c r="I756" s="139"/>
      <c r="J756" s="139"/>
      <c r="K756" s="139"/>
      <c r="L756" s="137"/>
      <c r="M756" s="138"/>
      <c r="N756" s="137"/>
      <c r="O756" s="137"/>
    </row>
    <row r="757" spans="1:15">
      <c r="A757" s="76"/>
      <c r="B757" s="137"/>
      <c r="C757" s="139"/>
      <c r="D757" s="139"/>
      <c r="E757" s="140"/>
      <c r="F757" s="139"/>
      <c r="G757" s="139"/>
      <c r="H757" s="139"/>
      <c r="I757" s="139"/>
      <c r="J757" s="139"/>
      <c r="K757" s="139"/>
      <c r="L757" s="137"/>
      <c r="M757" s="138"/>
      <c r="N757" s="137"/>
      <c r="O757" s="137"/>
    </row>
    <row r="758" spans="1:15">
      <c r="A758" s="76"/>
      <c r="B758" s="137"/>
      <c r="C758" s="139"/>
      <c r="D758" s="139"/>
      <c r="E758" s="140"/>
      <c r="F758" s="139"/>
      <c r="G758" s="139"/>
      <c r="H758" s="139"/>
      <c r="I758" s="139"/>
      <c r="J758" s="139"/>
      <c r="K758" s="139"/>
      <c r="L758" s="137"/>
      <c r="M758" s="138"/>
      <c r="N758" s="137"/>
      <c r="O758" s="137"/>
    </row>
    <row r="759" spans="1:15">
      <c r="A759" s="76"/>
      <c r="B759" s="137"/>
      <c r="C759" s="139"/>
      <c r="D759" s="139"/>
      <c r="E759" s="140"/>
      <c r="F759" s="139"/>
      <c r="G759" s="139"/>
      <c r="H759" s="139"/>
      <c r="I759" s="139"/>
      <c r="J759" s="139"/>
      <c r="K759" s="139"/>
      <c r="L759" s="137"/>
      <c r="M759" s="138"/>
      <c r="N759" s="137"/>
      <c r="O759" s="137"/>
    </row>
    <row r="760" spans="1:15">
      <c r="A760" s="76"/>
      <c r="B760" s="137"/>
      <c r="C760" s="139"/>
      <c r="D760" s="139"/>
      <c r="E760" s="140"/>
      <c r="F760" s="139"/>
      <c r="G760" s="139"/>
      <c r="H760" s="139"/>
      <c r="I760" s="139"/>
      <c r="J760" s="139"/>
      <c r="K760" s="139"/>
      <c r="L760" s="137"/>
      <c r="M760" s="138"/>
      <c r="N760" s="137"/>
      <c r="O760" s="137"/>
    </row>
    <row r="761" spans="1:15">
      <c r="A761" s="76"/>
      <c r="B761" s="137"/>
      <c r="C761" s="139"/>
      <c r="D761" s="139"/>
      <c r="E761" s="140"/>
      <c r="F761" s="139"/>
      <c r="G761" s="139"/>
      <c r="H761" s="139"/>
      <c r="I761" s="139"/>
      <c r="J761" s="139"/>
      <c r="K761" s="139"/>
      <c r="L761" s="137"/>
      <c r="M761" s="138"/>
      <c r="N761" s="137"/>
      <c r="O761" s="137"/>
    </row>
    <row r="762" spans="1:15">
      <c r="A762" s="76"/>
      <c r="B762" s="137"/>
      <c r="C762" s="139"/>
      <c r="D762" s="139"/>
      <c r="E762" s="140"/>
      <c r="F762" s="139"/>
      <c r="G762" s="139"/>
      <c r="H762" s="139"/>
      <c r="I762" s="139"/>
      <c r="J762" s="139"/>
      <c r="K762" s="139"/>
      <c r="L762" s="137"/>
      <c r="M762" s="138"/>
      <c r="N762" s="137"/>
      <c r="O762" s="137"/>
    </row>
    <row r="763" spans="1:15">
      <c r="A763" s="76"/>
      <c r="B763" s="137"/>
      <c r="C763" s="139"/>
      <c r="D763" s="139"/>
      <c r="E763" s="140"/>
      <c r="F763" s="139"/>
      <c r="G763" s="139"/>
      <c r="H763" s="139"/>
      <c r="I763" s="139"/>
      <c r="J763" s="139"/>
      <c r="K763" s="139"/>
      <c r="L763" s="137"/>
      <c r="M763" s="138"/>
      <c r="N763" s="137"/>
      <c r="O763" s="137"/>
    </row>
    <row r="764" spans="1:15">
      <c r="A764" s="76"/>
      <c r="B764" s="137"/>
      <c r="C764" s="139"/>
      <c r="D764" s="139"/>
      <c r="E764" s="140"/>
      <c r="F764" s="139"/>
      <c r="G764" s="139"/>
      <c r="H764" s="139"/>
      <c r="I764" s="139"/>
      <c r="J764" s="139"/>
      <c r="K764" s="139"/>
      <c r="L764" s="137"/>
      <c r="M764" s="138"/>
      <c r="N764" s="137"/>
      <c r="O764" s="137"/>
    </row>
    <row r="765" spans="1:15">
      <c r="A765" s="76"/>
      <c r="B765" s="137"/>
      <c r="C765" s="139"/>
      <c r="D765" s="139"/>
      <c r="E765" s="140"/>
      <c r="F765" s="139"/>
      <c r="G765" s="139"/>
      <c r="H765" s="139"/>
      <c r="I765" s="139"/>
      <c r="J765" s="139"/>
      <c r="K765" s="139"/>
      <c r="L765" s="137"/>
      <c r="M765" s="138"/>
      <c r="N765" s="137"/>
      <c r="O765" s="137"/>
    </row>
    <row r="766" spans="1:15">
      <c r="A766" s="76"/>
      <c r="B766" s="137"/>
      <c r="C766" s="139"/>
      <c r="D766" s="139"/>
      <c r="E766" s="140"/>
      <c r="F766" s="139"/>
      <c r="G766" s="139"/>
      <c r="H766" s="139"/>
      <c r="I766" s="139"/>
      <c r="J766" s="139"/>
      <c r="K766" s="139"/>
      <c r="L766" s="137"/>
      <c r="M766" s="138"/>
      <c r="N766" s="137"/>
      <c r="O766" s="137"/>
    </row>
    <row r="767" spans="1:15">
      <c r="A767" s="76"/>
      <c r="B767" s="137"/>
      <c r="C767" s="139"/>
      <c r="D767" s="139"/>
      <c r="E767" s="140"/>
      <c r="F767" s="139"/>
      <c r="G767" s="139"/>
      <c r="H767" s="139"/>
      <c r="I767" s="139"/>
      <c r="J767" s="139"/>
      <c r="K767" s="139"/>
      <c r="L767" s="137"/>
      <c r="M767" s="138"/>
      <c r="N767" s="137"/>
      <c r="O767" s="137"/>
    </row>
    <row r="768" spans="1:15">
      <c r="A768" s="76"/>
      <c r="B768" s="137"/>
      <c r="C768" s="139"/>
      <c r="D768" s="139"/>
      <c r="E768" s="140"/>
      <c r="F768" s="139"/>
      <c r="G768" s="139"/>
      <c r="H768" s="139"/>
      <c r="I768" s="139"/>
      <c r="J768" s="139"/>
      <c r="K768" s="139"/>
      <c r="L768" s="137"/>
      <c r="M768" s="138"/>
      <c r="N768" s="137"/>
      <c r="O768" s="137"/>
    </row>
    <row r="769" spans="1:15">
      <c r="A769" s="76"/>
      <c r="B769" s="137"/>
      <c r="C769" s="139"/>
      <c r="D769" s="139"/>
      <c r="E769" s="140"/>
      <c r="F769" s="139"/>
      <c r="G769" s="139"/>
      <c r="H769" s="139"/>
      <c r="I769" s="139"/>
      <c r="J769" s="139"/>
      <c r="K769" s="139"/>
      <c r="L769" s="137"/>
      <c r="M769" s="138"/>
      <c r="N769" s="137"/>
      <c r="O769" s="137"/>
    </row>
    <row r="770" spans="1:15">
      <c r="A770" s="76"/>
      <c r="B770" s="137"/>
      <c r="C770" s="139"/>
      <c r="D770" s="139"/>
      <c r="E770" s="140"/>
      <c r="F770" s="139"/>
      <c r="G770" s="139"/>
      <c r="H770" s="139"/>
      <c r="I770" s="139"/>
      <c r="J770" s="139"/>
      <c r="K770" s="139"/>
      <c r="L770" s="137"/>
      <c r="M770" s="138"/>
      <c r="N770" s="137"/>
      <c r="O770" s="137"/>
    </row>
    <row r="771" spans="1:15">
      <c r="A771" s="76"/>
      <c r="B771" s="137"/>
      <c r="C771" s="139"/>
      <c r="D771" s="139"/>
      <c r="E771" s="140"/>
      <c r="F771" s="139"/>
      <c r="G771" s="139"/>
      <c r="H771" s="139"/>
      <c r="I771" s="139"/>
      <c r="J771" s="139"/>
      <c r="K771" s="139"/>
      <c r="L771" s="137"/>
      <c r="M771" s="138"/>
      <c r="N771" s="137"/>
      <c r="O771" s="137"/>
    </row>
    <row r="772" spans="1:15">
      <c r="A772" s="76"/>
      <c r="B772" s="137"/>
      <c r="C772" s="139"/>
      <c r="D772" s="139"/>
      <c r="E772" s="140"/>
      <c r="F772" s="139"/>
      <c r="G772" s="139"/>
      <c r="H772" s="139"/>
      <c r="I772" s="139"/>
      <c r="J772" s="139"/>
      <c r="K772" s="139"/>
      <c r="L772" s="137"/>
      <c r="M772" s="138"/>
      <c r="N772" s="137"/>
      <c r="O772" s="137"/>
    </row>
    <row r="773" spans="1:15">
      <c r="A773" s="76"/>
      <c r="B773" s="137"/>
      <c r="C773" s="139"/>
      <c r="D773" s="139"/>
      <c r="E773" s="140"/>
      <c r="F773" s="139"/>
      <c r="G773" s="139"/>
      <c r="H773" s="139"/>
      <c r="I773" s="139"/>
      <c r="J773" s="139"/>
      <c r="K773" s="139"/>
      <c r="L773" s="137"/>
      <c r="M773" s="138"/>
      <c r="N773" s="137"/>
      <c r="O773" s="137"/>
    </row>
    <row r="774" spans="1:15">
      <c r="A774" s="76"/>
      <c r="B774" s="137"/>
      <c r="C774" s="139"/>
      <c r="D774" s="139"/>
      <c r="E774" s="140"/>
      <c r="F774" s="139"/>
      <c r="G774" s="139"/>
      <c r="H774" s="139"/>
      <c r="I774" s="139"/>
      <c r="J774" s="139"/>
      <c r="K774" s="139"/>
      <c r="L774" s="137"/>
      <c r="M774" s="138"/>
      <c r="N774" s="137"/>
      <c r="O774" s="137"/>
    </row>
    <row r="775" spans="1:15">
      <c r="A775" s="76"/>
      <c r="B775" s="137"/>
      <c r="C775" s="139"/>
      <c r="D775" s="139"/>
      <c r="E775" s="140"/>
      <c r="F775" s="139"/>
      <c r="G775" s="139"/>
      <c r="H775" s="139"/>
      <c r="I775" s="139"/>
      <c r="J775" s="139"/>
      <c r="K775" s="139"/>
      <c r="L775" s="137"/>
      <c r="M775" s="138"/>
      <c r="N775" s="137"/>
      <c r="O775" s="137"/>
    </row>
    <row r="776" spans="1:15">
      <c r="A776" s="76"/>
      <c r="B776" s="137"/>
      <c r="C776" s="139"/>
      <c r="D776" s="139"/>
      <c r="E776" s="140"/>
      <c r="F776" s="139"/>
      <c r="G776" s="139"/>
      <c r="H776" s="139"/>
      <c r="I776" s="139"/>
      <c r="J776" s="139"/>
      <c r="K776" s="139"/>
      <c r="L776" s="137"/>
      <c r="M776" s="138"/>
      <c r="N776" s="137"/>
      <c r="O776" s="137"/>
    </row>
    <row r="777" spans="1:15">
      <c r="A777" s="76"/>
      <c r="B777" s="137"/>
      <c r="C777" s="139"/>
      <c r="D777" s="139"/>
      <c r="E777" s="140"/>
      <c r="F777" s="139"/>
      <c r="G777" s="139"/>
      <c r="H777" s="139"/>
      <c r="I777" s="139"/>
      <c r="J777" s="139"/>
      <c r="K777" s="139"/>
      <c r="L777" s="137"/>
      <c r="M777" s="138"/>
      <c r="N777" s="137"/>
      <c r="O777" s="137"/>
    </row>
    <row r="778" spans="1:15">
      <c r="A778" s="76"/>
      <c r="B778" s="137"/>
      <c r="C778" s="139"/>
      <c r="D778" s="139"/>
      <c r="E778" s="140"/>
      <c r="F778" s="139"/>
      <c r="G778" s="139"/>
      <c r="H778" s="139"/>
      <c r="I778" s="139"/>
      <c r="J778" s="139"/>
      <c r="K778" s="139"/>
      <c r="L778" s="137"/>
      <c r="M778" s="138"/>
      <c r="N778" s="137"/>
      <c r="O778" s="137"/>
    </row>
    <row r="779" spans="1:15">
      <c r="A779" s="76"/>
      <c r="B779" s="137"/>
      <c r="C779" s="139"/>
      <c r="D779" s="139"/>
      <c r="E779" s="140"/>
      <c r="F779" s="139"/>
      <c r="G779" s="139"/>
      <c r="H779" s="139"/>
      <c r="I779" s="139"/>
      <c r="J779" s="139"/>
      <c r="K779" s="139"/>
      <c r="L779" s="137"/>
      <c r="M779" s="138"/>
      <c r="N779" s="137"/>
      <c r="O779" s="137"/>
    </row>
    <row r="780" spans="1:15">
      <c r="A780" s="76"/>
      <c r="B780" s="137"/>
      <c r="C780" s="139"/>
      <c r="D780" s="139"/>
      <c r="E780" s="140"/>
      <c r="F780" s="139"/>
      <c r="G780" s="139"/>
      <c r="H780" s="139"/>
      <c r="I780" s="139"/>
      <c r="J780" s="139"/>
      <c r="K780" s="139"/>
      <c r="L780" s="137"/>
      <c r="M780" s="138"/>
      <c r="N780" s="137"/>
      <c r="O780" s="137"/>
    </row>
    <row r="781" spans="1:15">
      <c r="A781" s="76"/>
      <c r="B781" s="137"/>
      <c r="C781" s="139"/>
      <c r="D781" s="139"/>
      <c r="E781" s="140"/>
      <c r="F781" s="139"/>
      <c r="G781" s="139"/>
      <c r="H781" s="139"/>
      <c r="I781" s="139"/>
      <c r="J781" s="139"/>
      <c r="K781" s="139"/>
      <c r="L781" s="137"/>
      <c r="M781" s="138"/>
      <c r="N781" s="137"/>
      <c r="O781" s="137"/>
    </row>
    <row r="782" spans="1:15">
      <c r="A782" s="76"/>
      <c r="B782" s="137"/>
      <c r="C782" s="139"/>
      <c r="D782" s="139"/>
      <c r="E782" s="140"/>
      <c r="F782" s="139"/>
      <c r="G782" s="139"/>
      <c r="H782" s="139"/>
      <c r="I782" s="139"/>
      <c r="J782" s="139"/>
      <c r="K782" s="139"/>
      <c r="L782" s="137"/>
      <c r="M782" s="138"/>
      <c r="N782" s="137"/>
      <c r="O782" s="137"/>
    </row>
    <row r="783" spans="1:15">
      <c r="A783" s="76"/>
      <c r="B783" s="137"/>
      <c r="C783" s="139"/>
      <c r="D783" s="139"/>
      <c r="E783" s="140"/>
      <c r="F783" s="139"/>
      <c r="G783" s="139"/>
      <c r="H783" s="139"/>
      <c r="I783" s="139"/>
      <c r="J783" s="139"/>
      <c r="K783" s="139"/>
      <c r="L783" s="137"/>
      <c r="M783" s="138"/>
      <c r="N783" s="137"/>
      <c r="O783" s="137"/>
    </row>
    <row r="784" spans="1:15">
      <c r="A784" s="76"/>
      <c r="B784" s="137"/>
      <c r="C784" s="139"/>
      <c r="D784" s="139"/>
      <c r="E784" s="140"/>
      <c r="F784" s="139"/>
      <c r="G784" s="139"/>
      <c r="H784" s="139"/>
      <c r="I784" s="139"/>
      <c r="J784" s="139"/>
      <c r="K784" s="139"/>
      <c r="L784" s="137"/>
      <c r="M784" s="138"/>
      <c r="N784" s="137"/>
      <c r="O784" s="137"/>
    </row>
    <row r="785" spans="1:15">
      <c r="A785" s="76"/>
      <c r="B785" s="137"/>
      <c r="C785" s="139"/>
      <c r="D785" s="139"/>
      <c r="E785" s="140"/>
      <c r="F785" s="139"/>
      <c r="G785" s="139"/>
      <c r="H785" s="139"/>
      <c r="I785" s="139"/>
      <c r="J785" s="139"/>
      <c r="K785" s="139"/>
      <c r="L785" s="137"/>
      <c r="M785" s="138"/>
      <c r="N785" s="137"/>
      <c r="O785" s="137"/>
    </row>
    <row r="786" spans="1:15">
      <c r="A786" s="76"/>
      <c r="B786" s="137"/>
      <c r="C786" s="139"/>
      <c r="D786" s="139"/>
      <c r="E786" s="140"/>
      <c r="F786" s="139"/>
      <c r="G786" s="139"/>
      <c r="H786" s="139"/>
      <c r="I786" s="139"/>
      <c r="J786" s="139"/>
      <c r="K786" s="139"/>
      <c r="L786" s="137"/>
      <c r="M786" s="138"/>
      <c r="N786" s="137"/>
      <c r="O786" s="137"/>
    </row>
    <row r="787" spans="1:15">
      <c r="A787" s="76"/>
      <c r="B787" s="137"/>
      <c r="C787" s="139"/>
      <c r="D787" s="139"/>
      <c r="E787" s="140"/>
      <c r="F787" s="139"/>
      <c r="G787" s="139"/>
      <c r="H787" s="139"/>
      <c r="I787" s="139"/>
      <c r="J787" s="139"/>
      <c r="K787" s="139"/>
      <c r="L787" s="137"/>
      <c r="M787" s="138"/>
      <c r="N787" s="137"/>
      <c r="O787" s="137"/>
    </row>
    <row r="788" spans="1:15">
      <c r="A788" s="76"/>
      <c r="B788" s="137"/>
      <c r="C788" s="139"/>
      <c r="D788" s="139"/>
      <c r="E788" s="140"/>
      <c r="F788" s="139"/>
      <c r="G788" s="139"/>
      <c r="H788" s="139"/>
      <c r="I788" s="139"/>
      <c r="J788" s="139"/>
      <c r="K788" s="139"/>
      <c r="L788" s="137"/>
      <c r="M788" s="138"/>
      <c r="N788" s="137"/>
      <c r="O788" s="137"/>
    </row>
    <row r="789" spans="1:15">
      <c r="A789" s="76"/>
      <c r="B789" s="137"/>
      <c r="C789" s="139"/>
      <c r="D789" s="139"/>
      <c r="E789" s="140"/>
      <c r="F789" s="139"/>
      <c r="G789" s="139"/>
      <c r="H789" s="139"/>
      <c r="I789" s="139"/>
      <c r="J789" s="139"/>
      <c r="K789" s="139"/>
      <c r="L789" s="137"/>
      <c r="M789" s="138"/>
      <c r="N789" s="137"/>
      <c r="O789" s="137"/>
    </row>
    <row r="790" spans="1:15">
      <c r="A790" s="76"/>
      <c r="B790" s="137"/>
      <c r="C790" s="139"/>
      <c r="D790" s="139"/>
      <c r="E790" s="140"/>
      <c r="F790" s="139"/>
      <c r="G790" s="139"/>
      <c r="H790" s="139"/>
      <c r="I790" s="139"/>
      <c r="J790" s="139"/>
      <c r="K790" s="139"/>
      <c r="L790" s="137"/>
      <c r="M790" s="138"/>
      <c r="N790" s="137"/>
      <c r="O790" s="137"/>
    </row>
    <row r="791" spans="1:15">
      <c r="A791" s="76"/>
      <c r="B791" s="137"/>
      <c r="C791" s="139"/>
      <c r="D791" s="139"/>
      <c r="E791" s="140"/>
      <c r="F791" s="139"/>
      <c r="G791" s="139"/>
      <c r="H791" s="139"/>
      <c r="I791" s="139"/>
      <c r="J791" s="139"/>
      <c r="K791" s="139"/>
      <c r="L791" s="137"/>
      <c r="M791" s="138"/>
      <c r="N791" s="137"/>
      <c r="O791" s="137"/>
    </row>
    <row r="792" spans="1:15">
      <c r="A792" s="76"/>
      <c r="B792" s="137"/>
      <c r="C792" s="139"/>
      <c r="D792" s="139"/>
      <c r="E792" s="140"/>
      <c r="F792" s="139"/>
      <c r="G792" s="139"/>
      <c r="H792" s="139"/>
      <c r="I792" s="139"/>
      <c r="J792" s="139"/>
      <c r="K792" s="139"/>
      <c r="L792" s="137"/>
      <c r="M792" s="138"/>
      <c r="N792" s="137"/>
      <c r="O792" s="137"/>
    </row>
    <row r="793" spans="1:15">
      <c r="A793" s="76"/>
      <c r="B793" s="137"/>
      <c r="C793" s="139"/>
      <c r="D793" s="139"/>
      <c r="E793" s="140"/>
      <c r="F793" s="139"/>
      <c r="G793" s="139"/>
      <c r="H793" s="139"/>
      <c r="I793" s="139"/>
      <c r="J793" s="139"/>
      <c r="K793" s="139"/>
      <c r="L793" s="137"/>
      <c r="M793" s="138"/>
      <c r="N793" s="137"/>
      <c r="O793" s="137"/>
    </row>
    <row r="794" spans="1:15">
      <c r="A794" s="76"/>
      <c r="B794" s="137"/>
      <c r="C794" s="139"/>
      <c r="D794" s="139"/>
      <c r="E794" s="140"/>
      <c r="F794" s="139"/>
      <c r="G794" s="139"/>
      <c r="H794" s="139"/>
      <c r="I794" s="139"/>
      <c r="J794" s="139"/>
      <c r="K794" s="139"/>
      <c r="L794" s="137"/>
      <c r="M794" s="138"/>
      <c r="N794" s="137"/>
      <c r="O794" s="137"/>
    </row>
    <row r="795" spans="1:15">
      <c r="A795" s="76"/>
      <c r="B795" s="137"/>
      <c r="C795" s="139"/>
      <c r="D795" s="139"/>
      <c r="E795" s="140"/>
      <c r="F795" s="139"/>
      <c r="G795" s="139"/>
      <c r="H795" s="139"/>
      <c r="I795" s="139"/>
      <c r="J795" s="139"/>
      <c r="K795" s="139"/>
      <c r="L795" s="137"/>
      <c r="M795" s="138"/>
      <c r="N795" s="137"/>
      <c r="O795" s="137"/>
    </row>
    <row r="796" spans="1:15">
      <c r="A796" s="76"/>
      <c r="B796" s="137"/>
      <c r="C796" s="139"/>
      <c r="D796" s="139"/>
      <c r="E796" s="140"/>
      <c r="F796" s="139"/>
      <c r="G796" s="139"/>
      <c r="H796" s="139"/>
      <c r="I796" s="139"/>
      <c r="J796" s="139"/>
      <c r="K796" s="139"/>
      <c r="L796" s="137"/>
      <c r="M796" s="138"/>
      <c r="N796" s="137"/>
      <c r="O796" s="137"/>
    </row>
    <row r="797" spans="1:15">
      <c r="A797" s="76"/>
      <c r="B797" s="137"/>
      <c r="C797" s="139"/>
      <c r="D797" s="139"/>
      <c r="E797" s="140"/>
      <c r="F797" s="139"/>
      <c r="G797" s="139"/>
      <c r="H797" s="139"/>
      <c r="I797" s="139"/>
      <c r="J797" s="139"/>
      <c r="K797" s="139"/>
      <c r="L797" s="137"/>
      <c r="M797" s="138"/>
      <c r="N797" s="137"/>
      <c r="O797" s="137"/>
    </row>
    <row r="798" spans="1:15">
      <c r="A798" s="76"/>
      <c r="B798" s="137"/>
      <c r="C798" s="139"/>
      <c r="D798" s="139"/>
      <c r="E798" s="140"/>
      <c r="F798" s="139"/>
      <c r="G798" s="139"/>
      <c r="H798" s="139"/>
      <c r="I798" s="139"/>
      <c r="J798" s="139"/>
      <c r="K798" s="139"/>
      <c r="L798" s="137"/>
      <c r="M798" s="138"/>
      <c r="N798" s="137"/>
      <c r="O798" s="137"/>
    </row>
    <row r="799" spans="1:15">
      <c r="A799" s="76"/>
      <c r="B799" s="137"/>
      <c r="C799" s="139"/>
      <c r="D799" s="139"/>
      <c r="E799" s="140"/>
      <c r="F799" s="139"/>
      <c r="G799" s="139"/>
      <c r="H799" s="139"/>
      <c r="I799" s="139"/>
      <c r="J799" s="139"/>
      <c r="K799" s="139"/>
      <c r="L799" s="137"/>
      <c r="M799" s="138"/>
      <c r="N799" s="137"/>
      <c r="O799" s="137"/>
    </row>
    <row r="800" spans="1:15">
      <c r="A800" s="76"/>
      <c r="B800" s="137"/>
      <c r="C800" s="139"/>
      <c r="D800" s="139"/>
      <c r="E800" s="140"/>
      <c r="F800" s="139"/>
      <c r="G800" s="139"/>
      <c r="H800" s="139"/>
      <c r="I800" s="139"/>
      <c r="J800" s="139"/>
      <c r="K800" s="139"/>
      <c r="L800" s="137"/>
      <c r="M800" s="138"/>
      <c r="N800" s="137"/>
      <c r="O800" s="137"/>
    </row>
    <row r="801" spans="1:15">
      <c r="A801" s="76"/>
      <c r="B801" s="137"/>
      <c r="C801" s="139"/>
      <c r="D801" s="139"/>
      <c r="E801" s="140"/>
      <c r="F801" s="139"/>
      <c r="G801" s="139"/>
      <c r="H801" s="139"/>
      <c r="I801" s="139"/>
      <c r="J801" s="139"/>
      <c r="K801" s="139"/>
      <c r="L801" s="137"/>
      <c r="M801" s="138"/>
      <c r="N801" s="137"/>
      <c r="O801" s="137"/>
    </row>
    <row r="802" spans="1:15">
      <c r="A802" s="76"/>
      <c r="B802" s="137"/>
      <c r="C802" s="139"/>
      <c r="D802" s="139"/>
      <c r="E802" s="140"/>
      <c r="F802" s="139"/>
      <c r="G802" s="139"/>
      <c r="H802" s="139"/>
      <c r="I802" s="139"/>
      <c r="J802" s="139"/>
      <c r="K802" s="139"/>
      <c r="L802" s="137"/>
      <c r="M802" s="138"/>
      <c r="N802" s="137"/>
      <c r="O802" s="137"/>
    </row>
    <row r="803" spans="1:15">
      <c r="A803" s="76"/>
      <c r="B803" s="137"/>
      <c r="C803" s="139"/>
      <c r="D803" s="139"/>
      <c r="E803" s="140"/>
      <c r="F803" s="139"/>
      <c r="G803" s="139"/>
      <c r="H803" s="139"/>
      <c r="I803" s="139"/>
      <c r="J803" s="139"/>
      <c r="K803" s="139"/>
      <c r="L803" s="137"/>
      <c r="M803" s="138"/>
      <c r="N803" s="137"/>
      <c r="O803" s="137"/>
    </row>
    <row r="804" spans="1:15">
      <c r="A804" s="76"/>
      <c r="B804" s="137"/>
      <c r="C804" s="139"/>
      <c r="D804" s="139"/>
      <c r="E804" s="140"/>
      <c r="F804" s="139"/>
      <c r="G804" s="139"/>
      <c r="H804" s="139"/>
      <c r="I804" s="139"/>
      <c r="J804" s="139"/>
      <c r="K804" s="139"/>
      <c r="L804" s="137"/>
      <c r="M804" s="138"/>
      <c r="N804" s="137"/>
      <c r="O804" s="137"/>
    </row>
    <row r="805" spans="1:15">
      <c r="A805" s="76"/>
      <c r="B805" s="137"/>
      <c r="C805" s="139"/>
      <c r="D805" s="139"/>
      <c r="E805" s="140"/>
      <c r="F805" s="139"/>
      <c r="G805" s="139"/>
      <c r="H805" s="139"/>
      <c r="I805" s="139"/>
      <c r="J805" s="139"/>
      <c r="K805" s="139"/>
      <c r="L805" s="137"/>
      <c r="M805" s="138"/>
      <c r="N805" s="137"/>
      <c r="O805" s="137"/>
    </row>
    <row r="806" spans="1:15">
      <c r="A806" s="76"/>
      <c r="B806" s="137"/>
      <c r="C806" s="139"/>
      <c r="D806" s="139"/>
      <c r="E806" s="140"/>
      <c r="F806" s="139"/>
      <c r="G806" s="139"/>
      <c r="H806" s="139"/>
      <c r="I806" s="139"/>
      <c r="J806" s="139"/>
      <c r="K806" s="139"/>
      <c r="L806" s="137"/>
      <c r="M806" s="138"/>
      <c r="N806" s="137"/>
      <c r="O806" s="137"/>
    </row>
    <row r="807" spans="1:15">
      <c r="A807" s="76"/>
      <c r="B807" s="137"/>
      <c r="C807" s="139"/>
      <c r="D807" s="139"/>
      <c r="E807" s="140"/>
      <c r="F807" s="139"/>
      <c r="G807" s="139"/>
      <c r="H807" s="139"/>
      <c r="I807" s="139"/>
      <c r="J807" s="139"/>
      <c r="K807" s="139"/>
      <c r="L807" s="137"/>
      <c r="M807" s="138"/>
      <c r="N807" s="137"/>
      <c r="O807" s="137"/>
    </row>
    <row r="808" spans="1:15">
      <c r="A808" s="76"/>
      <c r="B808" s="137"/>
      <c r="C808" s="139"/>
      <c r="D808" s="139"/>
      <c r="E808" s="140"/>
      <c r="F808" s="139"/>
      <c r="G808" s="139"/>
      <c r="H808" s="139"/>
      <c r="I808" s="139"/>
      <c r="J808" s="139"/>
      <c r="K808" s="139"/>
      <c r="L808" s="137"/>
      <c r="M808" s="138"/>
      <c r="N808" s="137"/>
      <c r="O808" s="137"/>
    </row>
    <row r="809" spans="1:15">
      <c r="A809" s="76"/>
      <c r="B809" s="137"/>
      <c r="C809" s="139"/>
      <c r="D809" s="139"/>
      <c r="E809" s="140"/>
      <c r="F809" s="139"/>
      <c r="G809" s="139"/>
      <c r="H809" s="139"/>
      <c r="I809" s="139"/>
      <c r="J809" s="139"/>
      <c r="K809" s="139"/>
      <c r="L809" s="137"/>
      <c r="M809" s="138"/>
      <c r="N809" s="137"/>
      <c r="O809" s="137"/>
    </row>
    <row r="810" spans="1:15">
      <c r="A810" s="76"/>
      <c r="B810" s="137"/>
      <c r="C810" s="139"/>
      <c r="D810" s="139"/>
      <c r="E810" s="140"/>
      <c r="F810" s="139"/>
      <c r="G810" s="139"/>
      <c r="H810" s="139"/>
      <c r="I810" s="139"/>
      <c r="J810" s="139"/>
      <c r="K810" s="139"/>
      <c r="L810" s="137"/>
      <c r="M810" s="138"/>
      <c r="N810" s="137"/>
      <c r="O810" s="137"/>
    </row>
    <row r="811" spans="1:15">
      <c r="A811" s="76"/>
      <c r="B811" s="137"/>
      <c r="C811" s="139"/>
      <c r="D811" s="139"/>
      <c r="E811" s="140"/>
      <c r="F811" s="139"/>
      <c r="G811" s="139"/>
      <c r="H811" s="139"/>
      <c r="I811" s="139"/>
      <c r="J811" s="139"/>
      <c r="K811" s="139"/>
      <c r="L811" s="137"/>
      <c r="M811" s="138"/>
      <c r="N811" s="137"/>
      <c r="O811" s="137"/>
    </row>
    <row r="812" spans="1:15">
      <c r="A812" s="76"/>
      <c r="B812" s="137"/>
      <c r="C812" s="139"/>
      <c r="D812" s="139"/>
      <c r="E812" s="140"/>
      <c r="F812" s="139"/>
      <c r="G812" s="139"/>
      <c r="H812" s="139"/>
      <c r="I812" s="139"/>
      <c r="J812" s="139"/>
      <c r="K812" s="139"/>
      <c r="L812" s="137"/>
      <c r="M812" s="138"/>
      <c r="N812" s="137"/>
      <c r="O812" s="137"/>
    </row>
    <row r="813" spans="1:15">
      <c r="A813" s="76"/>
      <c r="B813" s="137"/>
      <c r="C813" s="139"/>
      <c r="D813" s="139"/>
      <c r="E813" s="140"/>
      <c r="F813" s="139"/>
      <c r="G813" s="139"/>
      <c r="H813" s="139"/>
      <c r="I813" s="139"/>
      <c r="J813" s="139"/>
      <c r="K813" s="139"/>
      <c r="L813" s="137"/>
      <c r="M813" s="138"/>
      <c r="N813" s="137"/>
      <c r="O813" s="137"/>
    </row>
    <row r="814" spans="1:15">
      <c r="A814" s="76"/>
      <c r="B814" s="137"/>
      <c r="C814" s="139"/>
      <c r="D814" s="139"/>
      <c r="E814" s="140"/>
      <c r="F814" s="139"/>
      <c r="G814" s="139"/>
      <c r="H814" s="139"/>
      <c r="I814" s="139"/>
      <c r="J814" s="139"/>
      <c r="K814" s="139"/>
      <c r="L814" s="137"/>
      <c r="M814" s="138"/>
      <c r="N814" s="137"/>
      <c r="O814" s="137"/>
    </row>
    <row r="815" spans="1:15">
      <c r="A815" s="76"/>
      <c r="B815" s="137"/>
      <c r="C815" s="139"/>
      <c r="D815" s="139"/>
      <c r="E815" s="140"/>
      <c r="F815" s="139"/>
      <c r="G815" s="139"/>
      <c r="H815" s="139"/>
      <c r="I815" s="139"/>
      <c r="J815" s="139"/>
      <c r="K815" s="139"/>
      <c r="L815" s="137"/>
      <c r="M815" s="138"/>
      <c r="N815" s="137"/>
      <c r="O815" s="137"/>
    </row>
    <row r="816" spans="1:15">
      <c r="A816" s="76"/>
      <c r="B816" s="137"/>
      <c r="C816" s="139"/>
      <c r="D816" s="139"/>
      <c r="E816" s="140"/>
      <c r="F816" s="139"/>
      <c r="G816" s="139"/>
      <c r="H816" s="139"/>
      <c r="I816" s="139"/>
      <c r="J816" s="139"/>
      <c r="K816" s="139"/>
      <c r="L816" s="137"/>
      <c r="M816" s="138"/>
      <c r="N816" s="137"/>
      <c r="O816" s="137"/>
    </row>
    <row r="817" spans="1:15">
      <c r="A817" s="76"/>
      <c r="B817" s="137"/>
      <c r="C817" s="139"/>
      <c r="D817" s="139"/>
      <c r="E817" s="140"/>
      <c r="F817" s="139"/>
      <c r="G817" s="139"/>
      <c r="H817" s="139"/>
      <c r="I817" s="139"/>
      <c r="J817" s="139"/>
      <c r="K817" s="139"/>
      <c r="L817" s="137"/>
      <c r="M817" s="138"/>
      <c r="N817" s="137"/>
      <c r="O817" s="137"/>
    </row>
    <row r="818" spans="1:15">
      <c r="A818" s="76"/>
      <c r="B818" s="137"/>
      <c r="C818" s="139"/>
      <c r="D818" s="139"/>
      <c r="E818" s="140"/>
      <c r="F818" s="139"/>
      <c r="G818" s="139"/>
      <c r="H818" s="139"/>
      <c r="I818" s="139"/>
      <c r="J818" s="139"/>
      <c r="K818" s="139"/>
      <c r="L818" s="137"/>
      <c r="M818" s="138"/>
      <c r="N818" s="137"/>
      <c r="O818" s="137"/>
    </row>
    <row r="819" spans="1:15">
      <c r="A819" s="76"/>
      <c r="B819" s="137"/>
      <c r="C819" s="139"/>
      <c r="D819" s="139"/>
      <c r="E819" s="140"/>
      <c r="F819" s="139"/>
      <c r="G819" s="139"/>
      <c r="H819" s="139"/>
      <c r="I819" s="139"/>
      <c r="J819" s="139"/>
      <c r="K819" s="139"/>
      <c r="L819" s="137"/>
      <c r="M819" s="138"/>
      <c r="N819" s="137"/>
      <c r="O819" s="137"/>
    </row>
    <row r="820" spans="1:15">
      <c r="A820" s="76"/>
      <c r="B820" s="137"/>
      <c r="C820" s="139"/>
      <c r="D820" s="139"/>
      <c r="E820" s="140"/>
      <c r="F820" s="139"/>
      <c r="G820" s="139"/>
      <c r="H820" s="139"/>
      <c r="I820" s="139"/>
      <c r="J820" s="139"/>
      <c r="K820" s="139"/>
      <c r="L820" s="137"/>
      <c r="M820" s="138"/>
      <c r="N820" s="137"/>
      <c r="O820" s="137"/>
    </row>
    <row r="821" spans="1:15">
      <c r="A821" s="76"/>
      <c r="B821" s="137"/>
      <c r="C821" s="139"/>
      <c r="D821" s="139"/>
      <c r="E821" s="140"/>
      <c r="F821" s="139"/>
      <c r="G821" s="139"/>
      <c r="H821" s="139"/>
      <c r="I821" s="139"/>
      <c r="J821" s="139"/>
      <c r="K821" s="139"/>
      <c r="L821" s="137"/>
      <c r="M821" s="138"/>
      <c r="N821" s="137"/>
      <c r="O821" s="137"/>
    </row>
    <row r="822" spans="1:15">
      <c r="A822" s="76"/>
      <c r="B822" s="137"/>
      <c r="C822" s="139"/>
      <c r="D822" s="139"/>
      <c r="E822" s="140"/>
      <c r="F822" s="139"/>
      <c r="G822" s="139"/>
      <c r="H822" s="139"/>
      <c r="I822" s="139"/>
      <c r="J822" s="139"/>
      <c r="K822" s="139"/>
      <c r="L822" s="137"/>
      <c r="M822" s="138"/>
      <c r="N822" s="137"/>
      <c r="O822" s="137"/>
    </row>
    <row r="823" spans="1:15">
      <c r="A823" s="76"/>
      <c r="B823" s="137"/>
      <c r="C823" s="139"/>
      <c r="D823" s="139"/>
      <c r="E823" s="140"/>
      <c r="F823" s="139"/>
      <c r="G823" s="139"/>
      <c r="H823" s="139"/>
      <c r="I823" s="139"/>
      <c r="J823" s="139"/>
      <c r="K823" s="139"/>
      <c r="L823" s="137"/>
      <c r="M823" s="138"/>
      <c r="N823" s="137"/>
      <c r="O823" s="137"/>
    </row>
    <row r="824" spans="1:15">
      <c r="A824" s="76"/>
      <c r="B824" s="137"/>
      <c r="C824" s="139"/>
      <c r="D824" s="139"/>
      <c r="E824" s="140"/>
      <c r="F824" s="139"/>
      <c r="G824" s="139"/>
      <c r="H824" s="139"/>
      <c r="I824" s="139"/>
      <c r="J824" s="139"/>
      <c r="K824" s="139"/>
      <c r="L824" s="137"/>
      <c r="M824" s="138"/>
      <c r="N824" s="137"/>
      <c r="O824" s="137"/>
    </row>
    <row r="825" spans="1:15">
      <c r="A825" s="76"/>
      <c r="B825" s="137"/>
      <c r="C825" s="139"/>
      <c r="D825" s="139"/>
      <c r="E825" s="140"/>
      <c r="F825" s="139"/>
      <c r="G825" s="139"/>
      <c r="H825" s="139"/>
      <c r="I825" s="139"/>
      <c r="J825" s="139"/>
      <c r="K825" s="139"/>
      <c r="L825" s="137"/>
      <c r="M825" s="138"/>
      <c r="N825" s="137"/>
      <c r="O825" s="137"/>
    </row>
    <row r="826" spans="1:15">
      <c r="A826" s="76"/>
      <c r="B826" s="137"/>
      <c r="C826" s="139"/>
      <c r="D826" s="139"/>
      <c r="E826" s="140"/>
      <c r="F826" s="139"/>
      <c r="G826" s="139"/>
      <c r="H826" s="139"/>
      <c r="I826" s="139"/>
      <c r="J826" s="139"/>
      <c r="K826" s="139"/>
      <c r="L826" s="137"/>
      <c r="M826" s="138"/>
      <c r="N826" s="137"/>
      <c r="O826" s="137"/>
    </row>
    <row r="827" spans="1:15">
      <c r="A827" s="76"/>
      <c r="B827" s="137"/>
      <c r="C827" s="139"/>
      <c r="D827" s="139"/>
      <c r="E827" s="140"/>
      <c r="F827" s="139"/>
      <c r="G827" s="139"/>
      <c r="H827" s="139"/>
      <c r="I827" s="139"/>
      <c r="J827" s="139"/>
      <c r="K827" s="139"/>
      <c r="L827" s="137"/>
      <c r="M827" s="138"/>
      <c r="N827" s="137"/>
      <c r="O827" s="137"/>
    </row>
    <row r="828" spans="1:15">
      <c r="A828" s="76"/>
      <c r="B828" s="137"/>
      <c r="C828" s="139"/>
      <c r="D828" s="139"/>
      <c r="E828" s="140"/>
      <c r="F828" s="139"/>
      <c r="G828" s="139"/>
      <c r="H828" s="139"/>
      <c r="I828" s="139"/>
      <c r="J828" s="139"/>
      <c r="K828" s="139"/>
      <c r="L828" s="137"/>
      <c r="M828" s="138"/>
      <c r="N828" s="137"/>
      <c r="O828" s="137"/>
    </row>
    <row r="829" spans="1:15">
      <c r="A829" s="76"/>
      <c r="B829" s="137"/>
      <c r="C829" s="139"/>
      <c r="D829" s="139"/>
      <c r="E829" s="140"/>
      <c r="F829" s="139"/>
      <c r="G829" s="139"/>
      <c r="H829" s="139"/>
      <c r="I829" s="139"/>
      <c r="J829" s="139"/>
      <c r="K829" s="139"/>
      <c r="L829" s="137"/>
      <c r="M829" s="138"/>
      <c r="N829" s="137"/>
      <c r="O829" s="137"/>
    </row>
    <row r="830" spans="1:15">
      <c r="A830" s="76"/>
      <c r="B830" s="137"/>
      <c r="C830" s="139"/>
      <c r="D830" s="139"/>
      <c r="E830" s="140"/>
      <c r="F830" s="139"/>
      <c r="G830" s="139"/>
      <c r="H830" s="139"/>
      <c r="I830" s="139"/>
      <c r="J830" s="139"/>
      <c r="K830" s="139"/>
      <c r="L830" s="137"/>
      <c r="M830" s="138"/>
      <c r="N830" s="137"/>
      <c r="O830" s="137"/>
    </row>
    <row r="831" spans="1:15">
      <c r="A831" s="76"/>
      <c r="B831" s="137"/>
      <c r="C831" s="139"/>
      <c r="D831" s="139"/>
      <c r="E831" s="140"/>
      <c r="F831" s="139"/>
      <c r="G831" s="139"/>
      <c r="H831" s="139"/>
      <c r="I831" s="139"/>
      <c r="J831" s="139"/>
      <c r="K831" s="139"/>
      <c r="L831" s="137"/>
      <c r="M831" s="138"/>
      <c r="N831" s="137"/>
      <c r="O831" s="137"/>
    </row>
    <row r="832" spans="1:15">
      <c r="A832" s="76"/>
      <c r="B832" s="137"/>
      <c r="C832" s="139"/>
      <c r="D832" s="139"/>
      <c r="E832" s="140"/>
      <c r="F832" s="139"/>
      <c r="G832" s="139"/>
      <c r="H832" s="139"/>
      <c r="I832" s="139"/>
      <c r="J832" s="139"/>
      <c r="K832" s="139"/>
      <c r="L832" s="137"/>
      <c r="M832" s="138"/>
      <c r="N832" s="137"/>
      <c r="O832" s="137"/>
    </row>
    <row r="833" spans="1:15">
      <c r="A833" s="76"/>
      <c r="B833" s="137"/>
      <c r="C833" s="139"/>
      <c r="D833" s="139"/>
      <c r="E833" s="140"/>
      <c r="F833" s="139"/>
      <c r="G833" s="139"/>
      <c r="H833" s="139"/>
      <c r="I833" s="139"/>
      <c r="J833" s="139"/>
      <c r="K833" s="139"/>
      <c r="L833" s="137"/>
      <c r="M833" s="138"/>
      <c r="N833" s="137"/>
      <c r="O833" s="137"/>
    </row>
    <row r="834" spans="1:15">
      <c r="A834" s="76"/>
      <c r="B834" s="137"/>
      <c r="C834" s="139"/>
      <c r="D834" s="139"/>
      <c r="E834" s="140"/>
      <c r="F834" s="139"/>
      <c r="G834" s="139"/>
      <c r="H834" s="139"/>
      <c r="I834" s="139"/>
      <c r="J834" s="139"/>
      <c r="K834" s="139"/>
      <c r="L834" s="137"/>
      <c r="M834" s="138"/>
      <c r="N834" s="137"/>
      <c r="O834" s="137"/>
    </row>
    <row r="835" spans="1:15">
      <c r="A835" s="76"/>
      <c r="B835" s="137"/>
      <c r="C835" s="139"/>
      <c r="D835" s="139"/>
      <c r="E835" s="140"/>
      <c r="F835" s="139"/>
      <c r="G835" s="139"/>
      <c r="H835" s="139"/>
      <c r="I835" s="139"/>
      <c r="J835" s="139"/>
      <c r="K835" s="139"/>
      <c r="L835" s="137"/>
      <c r="M835" s="138"/>
      <c r="N835" s="137"/>
      <c r="O835" s="137"/>
    </row>
    <row r="836" spans="1:15">
      <c r="A836" s="76"/>
      <c r="B836" s="137"/>
      <c r="C836" s="139"/>
      <c r="D836" s="139"/>
      <c r="E836" s="140"/>
      <c r="F836" s="139"/>
      <c r="G836" s="139"/>
      <c r="H836" s="139"/>
      <c r="I836" s="139"/>
      <c r="J836" s="139"/>
      <c r="K836" s="139"/>
      <c r="L836" s="137"/>
      <c r="M836" s="138"/>
      <c r="N836" s="137"/>
      <c r="O836" s="137"/>
    </row>
    <row r="837" spans="1:15">
      <c r="A837" s="76"/>
      <c r="B837" s="137"/>
      <c r="C837" s="139"/>
      <c r="D837" s="139"/>
      <c r="E837" s="140"/>
      <c r="F837" s="139"/>
      <c r="G837" s="139"/>
      <c r="H837" s="139"/>
      <c r="I837" s="139"/>
      <c r="J837" s="139"/>
      <c r="K837" s="139"/>
      <c r="L837" s="137"/>
      <c r="M837" s="138"/>
      <c r="N837" s="137"/>
      <c r="O837" s="137"/>
    </row>
    <row r="838" spans="1:15">
      <c r="A838" s="76"/>
      <c r="B838" s="137"/>
      <c r="C838" s="139"/>
      <c r="D838" s="139"/>
      <c r="E838" s="140"/>
      <c r="F838" s="139"/>
      <c r="G838" s="139"/>
      <c r="H838" s="139"/>
      <c r="I838" s="139"/>
      <c r="J838" s="139"/>
      <c r="K838" s="139"/>
      <c r="L838" s="137"/>
      <c r="M838" s="138"/>
      <c r="N838" s="137"/>
      <c r="O838" s="137"/>
    </row>
    <row r="839" spans="1:15">
      <c r="A839" s="76"/>
      <c r="B839" s="137"/>
      <c r="C839" s="139"/>
      <c r="D839" s="139"/>
      <c r="E839" s="140"/>
      <c r="F839" s="139"/>
      <c r="G839" s="139"/>
      <c r="H839" s="139"/>
      <c r="I839" s="139"/>
      <c r="J839" s="139"/>
      <c r="K839" s="139"/>
      <c r="L839" s="137"/>
      <c r="M839" s="138"/>
      <c r="N839" s="137"/>
      <c r="O839" s="137"/>
    </row>
    <row r="840" spans="1:15">
      <c r="A840" s="76"/>
      <c r="B840" s="137"/>
      <c r="C840" s="139"/>
      <c r="D840" s="139"/>
      <c r="E840" s="140"/>
      <c r="F840" s="139"/>
      <c r="G840" s="139"/>
      <c r="H840" s="139"/>
      <c r="I840" s="139"/>
      <c r="J840" s="139"/>
      <c r="K840" s="139"/>
      <c r="L840" s="137"/>
      <c r="M840" s="138"/>
      <c r="N840" s="137"/>
      <c r="O840" s="137"/>
    </row>
    <row r="841" spans="1:15">
      <c r="A841" s="76"/>
      <c r="B841" s="137"/>
      <c r="C841" s="139"/>
      <c r="D841" s="139"/>
      <c r="E841" s="140"/>
      <c r="F841" s="139"/>
      <c r="G841" s="139"/>
      <c r="H841" s="139"/>
      <c r="I841" s="139"/>
      <c r="J841" s="139"/>
      <c r="K841" s="139"/>
      <c r="L841" s="137"/>
      <c r="M841" s="138"/>
      <c r="N841" s="137"/>
      <c r="O841" s="137"/>
    </row>
    <row r="842" spans="1:15">
      <c r="A842" s="76"/>
      <c r="B842" s="137"/>
      <c r="C842" s="139"/>
      <c r="D842" s="139"/>
      <c r="E842" s="140"/>
      <c r="F842" s="139"/>
      <c r="G842" s="139"/>
      <c r="H842" s="139"/>
      <c r="I842" s="139"/>
      <c r="J842" s="139"/>
      <c r="K842" s="139"/>
      <c r="L842" s="137"/>
      <c r="M842" s="138"/>
      <c r="N842" s="137"/>
      <c r="O842" s="137"/>
    </row>
    <row r="843" spans="1:15">
      <c r="A843" s="76"/>
      <c r="B843" s="137"/>
      <c r="C843" s="139"/>
      <c r="D843" s="139"/>
      <c r="E843" s="140"/>
      <c r="F843" s="139"/>
      <c r="G843" s="139"/>
      <c r="H843" s="139"/>
      <c r="I843" s="139"/>
      <c r="J843" s="139"/>
      <c r="K843" s="139"/>
      <c r="L843" s="137"/>
      <c r="M843" s="138"/>
      <c r="N843" s="137"/>
      <c r="O843" s="137"/>
    </row>
    <row r="844" spans="1:15">
      <c r="A844" s="76"/>
      <c r="B844" s="137"/>
      <c r="C844" s="139"/>
      <c r="D844" s="139"/>
      <c r="E844" s="140"/>
      <c r="F844" s="139"/>
      <c r="G844" s="139"/>
      <c r="H844" s="139"/>
      <c r="I844" s="139"/>
      <c r="J844" s="139"/>
      <c r="K844" s="139"/>
      <c r="L844" s="137"/>
      <c r="M844" s="138"/>
      <c r="N844" s="137"/>
      <c r="O844" s="137"/>
    </row>
    <row r="845" spans="1:15">
      <c r="A845" s="76"/>
      <c r="B845" s="137"/>
      <c r="C845" s="139"/>
      <c r="D845" s="139"/>
      <c r="E845" s="140"/>
      <c r="F845" s="139"/>
      <c r="G845" s="139"/>
      <c r="H845" s="139"/>
      <c r="I845" s="139"/>
      <c r="J845" s="139"/>
      <c r="K845" s="139"/>
      <c r="L845" s="137"/>
      <c r="M845" s="138"/>
      <c r="N845" s="137"/>
      <c r="O845" s="137"/>
    </row>
    <row r="846" spans="1:15">
      <c r="A846" s="76"/>
      <c r="B846" s="137"/>
      <c r="C846" s="139"/>
      <c r="D846" s="139"/>
      <c r="E846" s="140"/>
      <c r="F846" s="139"/>
      <c r="G846" s="139"/>
      <c r="H846" s="139"/>
      <c r="I846" s="139"/>
      <c r="J846" s="139"/>
      <c r="K846" s="139"/>
      <c r="L846" s="137"/>
      <c r="M846" s="138"/>
      <c r="N846" s="137"/>
      <c r="O846" s="137"/>
    </row>
    <row r="847" spans="1:15">
      <c r="A847" s="76"/>
      <c r="B847" s="137"/>
      <c r="C847" s="139"/>
      <c r="D847" s="139"/>
      <c r="E847" s="140"/>
      <c r="F847" s="139"/>
      <c r="G847" s="139"/>
      <c r="H847" s="139"/>
      <c r="I847" s="139"/>
      <c r="J847" s="139"/>
      <c r="K847" s="139"/>
      <c r="L847" s="137"/>
      <c r="M847" s="138"/>
      <c r="N847" s="137"/>
      <c r="O847" s="137"/>
    </row>
    <row r="848" spans="1:15">
      <c r="A848" s="76"/>
      <c r="B848" s="137"/>
      <c r="C848" s="139"/>
      <c r="D848" s="139"/>
      <c r="E848" s="140"/>
      <c r="F848" s="139"/>
      <c r="G848" s="139"/>
      <c r="H848" s="139"/>
      <c r="I848" s="139"/>
      <c r="J848" s="139"/>
      <c r="K848" s="139"/>
      <c r="L848" s="137"/>
      <c r="M848" s="138"/>
      <c r="N848" s="137"/>
      <c r="O848" s="137"/>
    </row>
    <row r="849" spans="1:15">
      <c r="A849" s="76"/>
      <c r="B849" s="137"/>
      <c r="C849" s="139"/>
      <c r="D849" s="139"/>
      <c r="E849" s="140"/>
      <c r="F849" s="139"/>
      <c r="G849" s="139"/>
      <c r="H849" s="139"/>
      <c r="I849" s="139"/>
      <c r="J849" s="139"/>
      <c r="K849" s="139"/>
      <c r="L849" s="137"/>
      <c r="M849" s="138"/>
      <c r="N849" s="137"/>
      <c r="O849" s="137"/>
    </row>
    <row r="850" spans="1:15">
      <c r="A850" s="76"/>
      <c r="B850" s="137"/>
      <c r="C850" s="139"/>
      <c r="D850" s="139"/>
      <c r="E850" s="140"/>
      <c r="F850" s="139"/>
      <c r="G850" s="139"/>
      <c r="H850" s="139"/>
      <c r="I850" s="139"/>
      <c r="J850" s="139"/>
      <c r="K850" s="139"/>
      <c r="L850" s="137"/>
      <c r="M850" s="138"/>
      <c r="N850" s="137"/>
      <c r="O850" s="137"/>
    </row>
    <row r="851" spans="1:15">
      <c r="A851" s="76"/>
      <c r="B851" s="137"/>
      <c r="C851" s="139"/>
      <c r="D851" s="139"/>
      <c r="E851" s="140"/>
      <c r="F851" s="139"/>
      <c r="G851" s="139"/>
      <c r="H851" s="139"/>
      <c r="I851" s="139"/>
      <c r="J851" s="139"/>
      <c r="K851" s="139"/>
      <c r="L851" s="137"/>
      <c r="M851" s="138"/>
      <c r="N851" s="137"/>
      <c r="O851" s="137"/>
    </row>
    <row r="852" spans="1:15">
      <c r="A852" s="76"/>
      <c r="B852" s="137"/>
      <c r="C852" s="139"/>
      <c r="D852" s="139"/>
      <c r="E852" s="140"/>
      <c r="F852" s="139"/>
      <c r="G852" s="139"/>
      <c r="H852" s="139"/>
      <c r="I852" s="139"/>
      <c r="J852" s="139"/>
      <c r="K852" s="139"/>
      <c r="L852" s="137"/>
      <c r="M852" s="138"/>
      <c r="N852" s="137"/>
      <c r="O852" s="137"/>
    </row>
    <row r="853" spans="1:15">
      <c r="A853" s="76"/>
      <c r="B853" s="137"/>
      <c r="C853" s="139"/>
      <c r="D853" s="139"/>
      <c r="E853" s="140"/>
      <c r="F853" s="139"/>
      <c r="G853" s="139"/>
      <c r="H853" s="139"/>
      <c r="I853" s="139"/>
      <c r="J853" s="139"/>
      <c r="K853" s="139"/>
      <c r="L853" s="137"/>
      <c r="M853" s="138"/>
      <c r="N853" s="137"/>
      <c r="O853" s="137"/>
    </row>
    <row r="854" spans="1:15">
      <c r="A854" s="76"/>
      <c r="B854" s="137"/>
      <c r="C854" s="139"/>
      <c r="D854" s="139"/>
      <c r="E854" s="140"/>
      <c r="F854" s="139"/>
      <c r="G854" s="139"/>
      <c r="H854" s="139"/>
      <c r="I854" s="139"/>
      <c r="J854" s="139"/>
      <c r="K854" s="139"/>
      <c r="L854" s="137"/>
      <c r="M854" s="138"/>
      <c r="N854" s="137"/>
      <c r="O854" s="137"/>
    </row>
    <row r="855" spans="1:15">
      <c r="A855" s="76"/>
      <c r="B855" s="137"/>
      <c r="C855" s="139"/>
      <c r="D855" s="139"/>
      <c r="E855" s="140"/>
      <c r="F855" s="139"/>
      <c r="G855" s="139"/>
      <c r="H855" s="139"/>
      <c r="I855" s="139"/>
      <c r="J855" s="139"/>
      <c r="K855" s="139"/>
      <c r="L855" s="137"/>
      <c r="M855" s="138"/>
      <c r="N855" s="137"/>
      <c r="O855" s="137"/>
    </row>
    <row r="856" spans="1:15">
      <c r="A856" s="76"/>
      <c r="B856" s="137"/>
      <c r="C856" s="139"/>
      <c r="D856" s="139"/>
      <c r="E856" s="140"/>
      <c r="F856" s="139"/>
      <c r="G856" s="139"/>
      <c r="H856" s="139"/>
      <c r="I856" s="139"/>
      <c r="J856" s="139"/>
      <c r="K856" s="139"/>
      <c r="L856" s="137"/>
      <c r="M856" s="138"/>
      <c r="N856" s="137"/>
      <c r="O856" s="137"/>
    </row>
    <row r="857" spans="1:15">
      <c r="A857" s="76"/>
      <c r="B857" s="137"/>
      <c r="C857" s="139"/>
      <c r="D857" s="139"/>
      <c r="E857" s="140"/>
      <c r="F857" s="139"/>
      <c r="G857" s="139"/>
      <c r="H857" s="139"/>
      <c r="I857" s="139"/>
      <c r="J857" s="139"/>
      <c r="K857" s="139"/>
      <c r="L857" s="137"/>
      <c r="M857" s="138"/>
      <c r="N857" s="137"/>
      <c r="O857" s="137"/>
    </row>
    <row r="858" spans="1:15">
      <c r="A858" s="76"/>
      <c r="B858" s="137"/>
      <c r="C858" s="139"/>
      <c r="D858" s="139"/>
      <c r="E858" s="140"/>
      <c r="F858" s="139"/>
      <c r="G858" s="139"/>
      <c r="H858" s="139"/>
      <c r="I858" s="139"/>
      <c r="J858" s="139"/>
      <c r="K858" s="139"/>
      <c r="L858" s="137"/>
      <c r="M858" s="138"/>
      <c r="N858" s="137"/>
      <c r="O858" s="137"/>
    </row>
    <row r="859" spans="1:15">
      <c r="A859" s="76"/>
      <c r="B859" s="137"/>
      <c r="C859" s="139"/>
      <c r="D859" s="139"/>
      <c r="E859" s="140"/>
      <c r="F859" s="139"/>
      <c r="G859" s="139"/>
      <c r="H859" s="139"/>
      <c r="I859" s="139"/>
      <c r="J859" s="139"/>
      <c r="K859" s="139"/>
      <c r="L859" s="137"/>
      <c r="M859" s="138"/>
      <c r="N859" s="137"/>
      <c r="O859" s="137"/>
    </row>
    <row r="860" spans="1:15">
      <c r="A860" s="76"/>
      <c r="B860" s="137"/>
      <c r="C860" s="139"/>
      <c r="D860" s="139"/>
      <c r="E860" s="140"/>
      <c r="F860" s="139"/>
      <c r="G860" s="139"/>
      <c r="H860" s="139"/>
      <c r="I860" s="139"/>
      <c r="J860" s="139"/>
      <c r="K860" s="139"/>
      <c r="L860" s="137"/>
      <c r="M860" s="138"/>
      <c r="N860" s="137"/>
      <c r="O860" s="137"/>
    </row>
    <row r="861" spans="1:15">
      <c r="A861" s="76"/>
      <c r="B861" s="137"/>
      <c r="C861" s="139"/>
      <c r="D861" s="139"/>
      <c r="E861" s="140"/>
      <c r="F861" s="139"/>
      <c r="G861" s="139"/>
      <c r="H861" s="139"/>
      <c r="I861" s="139"/>
      <c r="J861" s="139"/>
      <c r="K861" s="139"/>
      <c r="L861" s="137"/>
      <c r="M861" s="138"/>
      <c r="N861" s="137"/>
      <c r="O861" s="137"/>
    </row>
    <row r="862" spans="1:15">
      <c r="A862" s="76"/>
      <c r="B862" s="137"/>
      <c r="C862" s="139"/>
      <c r="D862" s="139"/>
      <c r="E862" s="140"/>
      <c r="F862" s="139"/>
      <c r="G862" s="139"/>
      <c r="H862" s="139"/>
      <c r="I862" s="139"/>
      <c r="J862" s="139"/>
      <c r="K862" s="139"/>
      <c r="L862" s="137"/>
      <c r="M862" s="138"/>
      <c r="N862" s="137"/>
      <c r="O862" s="137"/>
    </row>
    <row r="863" spans="1:15">
      <c r="A863" s="76"/>
      <c r="B863" s="137"/>
      <c r="C863" s="139"/>
      <c r="D863" s="139"/>
      <c r="E863" s="140"/>
      <c r="F863" s="139"/>
      <c r="G863" s="139"/>
      <c r="H863" s="139"/>
      <c r="I863" s="139"/>
      <c r="J863" s="139"/>
      <c r="K863" s="139"/>
      <c r="L863" s="137"/>
      <c r="M863" s="138"/>
      <c r="N863" s="137"/>
      <c r="O863" s="137"/>
    </row>
    <row r="864" spans="1:15">
      <c r="A864" s="76"/>
      <c r="B864" s="137"/>
      <c r="C864" s="139"/>
      <c r="D864" s="139"/>
      <c r="E864" s="140"/>
      <c r="F864" s="139"/>
      <c r="G864" s="139"/>
      <c r="H864" s="139"/>
      <c r="I864" s="139"/>
      <c r="J864" s="139"/>
      <c r="K864" s="139"/>
      <c r="L864" s="137"/>
      <c r="M864" s="138"/>
      <c r="N864" s="137"/>
      <c r="O864" s="137"/>
    </row>
    <row r="865" spans="1:15">
      <c r="A865" s="76"/>
      <c r="B865" s="137"/>
      <c r="C865" s="139"/>
      <c r="D865" s="139"/>
      <c r="E865" s="140"/>
      <c r="F865" s="139"/>
      <c r="G865" s="139"/>
      <c r="H865" s="139"/>
      <c r="I865" s="139"/>
      <c r="J865" s="139"/>
      <c r="K865" s="139"/>
      <c r="L865" s="137"/>
      <c r="M865" s="138"/>
      <c r="N865" s="137"/>
      <c r="O865" s="137"/>
    </row>
    <row r="866" spans="1:15">
      <c r="A866" s="76"/>
      <c r="B866" s="137"/>
      <c r="C866" s="139"/>
      <c r="D866" s="139"/>
      <c r="E866" s="140"/>
      <c r="F866" s="139"/>
      <c r="G866" s="139"/>
      <c r="H866" s="139"/>
      <c r="I866" s="139"/>
      <c r="J866" s="139"/>
      <c r="K866" s="139"/>
      <c r="L866" s="137"/>
      <c r="M866" s="138"/>
      <c r="N866" s="137"/>
      <c r="O866" s="137"/>
    </row>
    <row r="867" spans="1:15">
      <c r="A867" s="76"/>
      <c r="B867" s="137"/>
      <c r="C867" s="139"/>
      <c r="D867" s="139"/>
      <c r="E867" s="140"/>
      <c r="F867" s="139"/>
      <c r="G867" s="139"/>
      <c r="H867" s="139"/>
      <c r="I867" s="139"/>
      <c r="J867" s="139"/>
      <c r="K867" s="139"/>
      <c r="L867" s="137"/>
      <c r="M867" s="138"/>
      <c r="N867" s="137"/>
      <c r="O867" s="137"/>
    </row>
    <row r="868" spans="1:15">
      <c r="A868" s="76"/>
      <c r="B868" s="137"/>
      <c r="C868" s="139"/>
      <c r="D868" s="139"/>
      <c r="E868" s="140"/>
      <c r="F868" s="139"/>
      <c r="G868" s="139"/>
      <c r="H868" s="139"/>
      <c r="I868" s="139"/>
      <c r="J868" s="139"/>
      <c r="K868" s="139"/>
      <c r="L868" s="137"/>
      <c r="M868" s="138"/>
      <c r="N868" s="137"/>
      <c r="O868" s="137"/>
    </row>
    <row r="869" spans="1:15">
      <c r="A869" s="76"/>
      <c r="B869" s="137"/>
      <c r="C869" s="139"/>
      <c r="D869" s="139"/>
      <c r="E869" s="140"/>
      <c r="F869" s="139"/>
      <c r="G869" s="139"/>
      <c r="H869" s="139"/>
      <c r="I869" s="139"/>
      <c r="J869" s="139"/>
      <c r="K869" s="139"/>
      <c r="L869" s="137"/>
      <c r="M869" s="138"/>
      <c r="N869" s="137"/>
      <c r="O869" s="137"/>
    </row>
    <row r="870" spans="1:15">
      <c r="A870" s="76"/>
      <c r="B870" s="137"/>
      <c r="C870" s="139"/>
      <c r="D870" s="139"/>
      <c r="E870" s="140"/>
      <c r="F870" s="139"/>
      <c r="G870" s="139"/>
      <c r="H870" s="139"/>
      <c r="I870" s="139"/>
      <c r="J870" s="139"/>
      <c r="K870" s="139"/>
      <c r="L870" s="137"/>
      <c r="M870" s="138"/>
      <c r="N870" s="137"/>
      <c r="O870" s="137"/>
    </row>
    <row r="871" spans="1:15">
      <c r="A871" s="76"/>
      <c r="B871" s="137"/>
      <c r="C871" s="139"/>
      <c r="D871" s="139"/>
      <c r="E871" s="140"/>
      <c r="F871" s="139"/>
      <c r="G871" s="139"/>
      <c r="H871" s="139"/>
      <c r="I871" s="139"/>
      <c r="J871" s="139"/>
      <c r="K871" s="139"/>
      <c r="L871" s="137"/>
      <c r="M871" s="138"/>
      <c r="N871" s="137"/>
      <c r="O871" s="137"/>
    </row>
    <row r="872" spans="1:15">
      <c r="A872" s="76"/>
      <c r="B872" s="137"/>
      <c r="C872" s="139"/>
      <c r="D872" s="139"/>
      <c r="E872" s="140"/>
      <c r="F872" s="139"/>
      <c r="G872" s="139"/>
      <c r="H872" s="139"/>
      <c r="I872" s="139"/>
      <c r="J872" s="139"/>
      <c r="K872" s="139"/>
      <c r="L872" s="137"/>
      <c r="M872" s="138"/>
      <c r="N872" s="137"/>
      <c r="O872" s="137"/>
    </row>
    <row r="873" spans="1:15">
      <c r="A873" s="76"/>
      <c r="B873" s="137"/>
      <c r="C873" s="139"/>
      <c r="D873" s="139"/>
      <c r="E873" s="140"/>
      <c r="F873" s="139"/>
      <c r="G873" s="139"/>
      <c r="H873" s="139"/>
      <c r="I873" s="139"/>
      <c r="J873" s="139"/>
      <c r="K873" s="139"/>
      <c r="L873" s="137"/>
      <c r="M873" s="138"/>
      <c r="N873" s="137"/>
      <c r="O873" s="137"/>
    </row>
    <row r="874" spans="1:15">
      <c r="A874" s="76"/>
      <c r="B874" s="137"/>
      <c r="C874" s="139"/>
      <c r="D874" s="139"/>
      <c r="E874" s="140"/>
      <c r="F874" s="139"/>
      <c r="G874" s="139"/>
      <c r="H874" s="139"/>
      <c r="I874" s="139"/>
      <c r="J874" s="139"/>
      <c r="K874" s="139"/>
      <c r="L874" s="137"/>
      <c r="M874" s="138"/>
      <c r="N874" s="137"/>
      <c r="O874" s="137"/>
    </row>
    <row r="875" spans="1:15">
      <c r="A875" s="76"/>
      <c r="B875" s="137"/>
      <c r="C875" s="139"/>
      <c r="D875" s="139"/>
      <c r="E875" s="140"/>
      <c r="F875" s="139"/>
      <c r="G875" s="139"/>
      <c r="H875" s="139"/>
      <c r="I875" s="139"/>
      <c r="J875" s="139"/>
      <c r="K875" s="139"/>
      <c r="L875" s="137"/>
      <c r="M875" s="138"/>
      <c r="N875" s="137"/>
      <c r="O875" s="137"/>
    </row>
    <row r="876" spans="1:15">
      <c r="A876" s="76"/>
      <c r="B876" s="137"/>
      <c r="C876" s="139"/>
      <c r="D876" s="139"/>
      <c r="E876" s="140"/>
      <c r="F876" s="139"/>
      <c r="G876" s="139"/>
      <c r="H876" s="139"/>
      <c r="I876" s="139"/>
      <c r="J876" s="139"/>
      <c r="K876" s="139"/>
      <c r="L876" s="137"/>
      <c r="M876" s="138"/>
      <c r="N876" s="137"/>
      <c r="O876" s="137"/>
    </row>
    <row r="877" spans="1:15">
      <c r="A877" s="76"/>
      <c r="B877" s="137"/>
      <c r="C877" s="139"/>
      <c r="D877" s="139"/>
      <c r="E877" s="140"/>
      <c r="F877" s="139"/>
      <c r="G877" s="139"/>
      <c r="H877" s="139"/>
      <c r="I877" s="139"/>
      <c r="J877" s="139"/>
      <c r="K877" s="139"/>
      <c r="L877" s="137"/>
      <c r="M877" s="138"/>
      <c r="N877" s="137"/>
      <c r="O877" s="137"/>
    </row>
    <row r="878" spans="1:15">
      <c r="A878" s="76"/>
      <c r="B878" s="137"/>
      <c r="C878" s="139"/>
      <c r="D878" s="139"/>
      <c r="E878" s="140"/>
      <c r="F878" s="139"/>
      <c r="G878" s="139"/>
      <c r="H878" s="139"/>
      <c r="I878" s="139"/>
      <c r="J878" s="139"/>
      <c r="K878" s="139"/>
      <c r="L878" s="137"/>
      <c r="M878" s="138"/>
      <c r="N878" s="137"/>
      <c r="O878" s="137"/>
    </row>
    <row r="879" spans="1:15">
      <c r="A879" s="76"/>
      <c r="B879" s="137"/>
      <c r="C879" s="139"/>
      <c r="D879" s="139"/>
      <c r="E879" s="140"/>
      <c r="F879" s="139"/>
      <c r="G879" s="139"/>
      <c r="H879" s="139"/>
      <c r="I879" s="139"/>
      <c r="J879" s="139"/>
      <c r="K879" s="139"/>
      <c r="L879" s="137"/>
      <c r="M879" s="138"/>
      <c r="N879" s="137"/>
      <c r="O879" s="137"/>
    </row>
    <row r="880" spans="1:15">
      <c r="A880" s="76"/>
      <c r="B880" s="137"/>
      <c r="C880" s="139"/>
      <c r="D880" s="139"/>
      <c r="E880" s="140"/>
      <c r="F880" s="139"/>
      <c r="G880" s="139"/>
      <c r="H880" s="139"/>
      <c r="I880" s="139"/>
      <c r="J880" s="139"/>
      <c r="K880" s="139"/>
      <c r="L880" s="137"/>
      <c r="M880" s="138"/>
      <c r="N880" s="137"/>
      <c r="O880" s="137"/>
    </row>
    <row r="881" spans="1:15">
      <c r="A881" s="76"/>
      <c r="B881" s="137"/>
      <c r="C881" s="139"/>
      <c r="D881" s="139"/>
      <c r="E881" s="140"/>
      <c r="F881" s="139"/>
      <c r="G881" s="139"/>
      <c r="H881" s="139"/>
      <c r="I881" s="139"/>
      <c r="J881" s="139"/>
      <c r="K881" s="139"/>
      <c r="L881" s="137"/>
      <c r="M881" s="138"/>
      <c r="N881" s="137"/>
      <c r="O881" s="137"/>
    </row>
    <row r="882" spans="1:15">
      <c r="A882" s="76"/>
      <c r="B882" s="137"/>
      <c r="C882" s="139"/>
      <c r="D882" s="139"/>
      <c r="E882" s="140"/>
      <c r="F882" s="139"/>
      <c r="G882" s="139"/>
      <c r="H882" s="139"/>
      <c r="I882" s="139"/>
      <c r="J882" s="139"/>
      <c r="K882" s="139"/>
      <c r="L882" s="137"/>
      <c r="M882" s="138"/>
      <c r="N882" s="137"/>
      <c r="O882" s="137"/>
    </row>
    <row r="883" spans="1:15">
      <c r="A883" s="76"/>
      <c r="B883" s="137"/>
      <c r="C883" s="139"/>
      <c r="D883" s="139"/>
      <c r="E883" s="140"/>
      <c r="F883" s="139"/>
      <c r="G883" s="139"/>
      <c r="H883" s="139"/>
      <c r="I883" s="139"/>
      <c r="J883" s="139"/>
      <c r="K883" s="139"/>
      <c r="L883" s="137"/>
      <c r="M883" s="138"/>
      <c r="N883" s="137"/>
      <c r="O883" s="137"/>
    </row>
    <row r="884" spans="1:15">
      <c r="A884" s="76"/>
      <c r="B884" s="137"/>
      <c r="C884" s="139"/>
      <c r="D884" s="139"/>
      <c r="E884" s="140"/>
      <c r="F884" s="139"/>
      <c r="G884" s="139"/>
      <c r="H884" s="139"/>
      <c r="I884" s="139"/>
      <c r="J884" s="139"/>
      <c r="K884" s="139"/>
      <c r="L884" s="137"/>
      <c r="M884" s="138"/>
      <c r="N884" s="137"/>
      <c r="O884" s="137"/>
    </row>
    <row r="885" spans="1:15">
      <c r="A885" s="76"/>
      <c r="B885" s="137"/>
      <c r="C885" s="139"/>
      <c r="D885" s="139"/>
      <c r="E885" s="140"/>
      <c r="F885" s="139"/>
      <c r="G885" s="139"/>
      <c r="H885" s="139"/>
      <c r="I885" s="139"/>
      <c r="J885" s="139"/>
      <c r="K885" s="139"/>
      <c r="L885" s="137"/>
      <c r="M885" s="138"/>
      <c r="N885" s="137"/>
      <c r="O885" s="137"/>
    </row>
    <row r="886" spans="1:15">
      <c r="A886" s="76"/>
      <c r="B886" s="137"/>
      <c r="C886" s="139"/>
      <c r="D886" s="139"/>
      <c r="E886" s="140"/>
      <c r="F886" s="139"/>
      <c r="G886" s="139"/>
      <c r="H886" s="139"/>
      <c r="I886" s="139"/>
      <c r="J886" s="139"/>
      <c r="K886" s="139"/>
      <c r="L886" s="137"/>
      <c r="M886" s="138"/>
      <c r="N886" s="137"/>
      <c r="O886" s="137"/>
    </row>
    <row r="887" spans="1:15">
      <c r="A887" s="76"/>
      <c r="B887" s="137"/>
      <c r="C887" s="139"/>
      <c r="D887" s="139"/>
      <c r="E887" s="140"/>
      <c r="F887" s="139"/>
      <c r="G887" s="139"/>
      <c r="H887" s="139"/>
      <c r="I887" s="139"/>
      <c r="J887" s="139"/>
      <c r="K887" s="139"/>
      <c r="L887" s="137"/>
      <c r="M887" s="138"/>
      <c r="N887" s="137"/>
      <c r="O887" s="137"/>
    </row>
    <row r="888" spans="1:15">
      <c r="A888" s="76"/>
      <c r="B888" s="137"/>
      <c r="C888" s="139"/>
      <c r="D888" s="139"/>
      <c r="E888" s="140"/>
      <c r="F888" s="139"/>
      <c r="G888" s="139"/>
      <c r="H888" s="139"/>
      <c r="I888" s="139"/>
      <c r="J888" s="139"/>
      <c r="K888" s="139"/>
      <c r="L888" s="137"/>
      <c r="M888" s="138"/>
      <c r="N888" s="137"/>
      <c r="O888" s="137"/>
    </row>
    <row r="889" spans="1:15">
      <c r="A889" s="76"/>
      <c r="B889" s="137"/>
      <c r="C889" s="139"/>
      <c r="D889" s="139"/>
      <c r="E889" s="140"/>
      <c r="F889" s="139"/>
      <c r="G889" s="139"/>
      <c r="H889" s="139"/>
      <c r="I889" s="139"/>
      <c r="J889" s="139"/>
      <c r="K889" s="139"/>
      <c r="L889" s="137"/>
      <c r="M889" s="138"/>
      <c r="N889" s="137"/>
      <c r="O889" s="137"/>
    </row>
    <row r="890" spans="1:15">
      <c r="A890" s="76"/>
      <c r="B890" s="137"/>
      <c r="C890" s="139"/>
      <c r="D890" s="139"/>
      <c r="E890" s="140"/>
      <c r="F890" s="139"/>
      <c r="G890" s="139"/>
      <c r="H890" s="139"/>
      <c r="I890" s="139"/>
      <c r="J890" s="139"/>
      <c r="K890" s="139"/>
      <c r="L890" s="137"/>
      <c r="M890" s="138"/>
      <c r="N890" s="137"/>
      <c r="O890" s="137"/>
    </row>
    <row r="891" spans="1:15">
      <c r="A891" s="76"/>
      <c r="B891" s="137"/>
      <c r="C891" s="139"/>
      <c r="D891" s="139"/>
      <c r="E891" s="140"/>
      <c r="F891" s="139"/>
      <c r="G891" s="139"/>
      <c r="H891" s="139"/>
      <c r="I891" s="139"/>
      <c r="J891" s="139"/>
      <c r="K891" s="139"/>
      <c r="L891" s="137"/>
      <c r="M891" s="138"/>
      <c r="N891" s="137"/>
      <c r="O891" s="137"/>
    </row>
    <row r="892" spans="1:15">
      <c r="A892" s="76"/>
      <c r="B892" s="137"/>
      <c r="C892" s="139"/>
      <c r="D892" s="139"/>
      <c r="E892" s="140"/>
      <c r="F892" s="139"/>
      <c r="G892" s="139"/>
      <c r="H892" s="139"/>
      <c r="I892" s="139"/>
      <c r="J892" s="139"/>
      <c r="K892" s="139"/>
      <c r="L892" s="137"/>
      <c r="M892" s="138"/>
      <c r="N892" s="137"/>
      <c r="O892" s="137"/>
    </row>
    <row r="893" spans="1:15">
      <c r="A893" s="76"/>
      <c r="B893" s="137"/>
      <c r="C893" s="139"/>
      <c r="D893" s="139"/>
      <c r="E893" s="140"/>
      <c r="F893" s="139"/>
      <c r="G893" s="139"/>
      <c r="H893" s="139"/>
      <c r="I893" s="139"/>
      <c r="J893" s="139"/>
      <c r="K893" s="139"/>
      <c r="L893" s="137"/>
      <c r="M893" s="138"/>
      <c r="N893" s="137"/>
      <c r="O893" s="137"/>
    </row>
    <row r="894" spans="1:15">
      <c r="A894" s="76"/>
      <c r="B894" s="137"/>
      <c r="C894" s="139"/>
      <c r="D894" s="139"/>
      <c r="E894" s="140"/>
      <c r="F894" s="139"/>
      <c r="G894" s="139"/>
      <c r="H894" s="139"/>
      <c r="I894" s="139"/>
      <c r="J894" s="139"/>
      <c r="K894" s="139"/>
      <c r="L894" s="137"/>
      <c r="M894" s="138"/>
      <c r="N894" s="137"/>
      <c r="O894" s="137"/>
    </row>
    <row r="895" spans="1:15">
      <c r="A895" s="76"/>
      <c r="B895" s="137"/>
      <c r="C895" s="139"/>
      <c r="D895" s="139"/>
      <c r="E895" s="140"/>
      <c r="F895" s="139"/>
      <c r="G895" s="139"/>
      <c r="H895" s="139"/>
      <c r="I895" s="139"/>
      <c r="J895" s="139"/>
      <c r="K895" s="139"/>
      <c r="L895" s="137"/>
      <c r="M895" s="138"/>
      <c r="N895" s="137"/>
      <c r="O895" s="137"/>
    </row>
    <row r="896" spans="1:15">
      <c r="A896" s="76"/>
      <c r="B896" s="137"/>
      <c r="C896" s="139"/>
      <c r="D896" s="139"/>
      <c r="E896" s="140"/>
      <c r="F896" s="139"/>
      <c r="G896" s="139"/>
      <c r="H896" s="139"/>
      <c r="I896" s="139"/>
      <c r="J896" s="139"/>
      <c r="K896" s="139"/>
      <c r="L896" s="137"/>
      <c r="M896" s="138"/>
      <c r="N896" s="137"/>
      <c r="O896" s="137"/>
    </row>
    <row r="897" spans="1:15">
      <c r="A897" s="76"/>
      <c r="B897" s="137"/>
      <c r="C897" s="139"/>
      <c r="D897" s="139"/>
      <c r="E897" s="140"/>
      <c r="F897" s="139"/>
      <c r="G897" s="139"/>
      <c r="H897" s="139"/>
      <c r="I897" s="139"/>
      <c r="J897" s="139"/>
      <c r="K897" s="139"/>
      <c r="L897" s="137"/>
      <c r="M897" s="138"/>
      <c r="N897" s="137"/>
      <c r="O897" s="137"/>
    </row>
    <row r="898" spans="1:15">
      <c r="A898" s="76"/>
      <c r="B898" s="137"/>
      <c r="C898" s="139"/>
      <c r="D898" s="139"/>
      <c r="E898" s="140"/>
      <c r="F898" s="139"/>
      <c r="G898" s="139"/>
      <c r="H898" s="139"/>
      <c r="I898" s="139"/>
      <c r="J898" s="139"/>
      <c r="K898" s="139"/>
      <c r="L898" s="137"/>
      <c r="M898" s="138"/>
      <c r="N898" s="137"/>
      <c r="O898" s="137"/>
    </row>
    <row r="899" spans="1:15">
      <c r="A899" s="76"/>
      <c r="B899" s="137"/>
      <c r="C899" s="139"/>
      <c r="D899" s="139"/>
      <c r="E899" s="140"/>
      <c r="F899" s="139"/>
      <c r="G899" s="139"/>
      <c r="H899" s="139"/>
      <c r="I899" s="139"/>
      <c r="J899" s="139"/>
      <c r="K899" s="139"/>
      <c r="L899" s="137"/>
      <c r="M899" s="138"/>
      <c r="N899" s="137"/>
      <c r="O899" s="137"/>
    </row>
    <row r="900" spans="1:15">
      <c r="A900" s="76"/>
      <c r="B900" s="137"/>
      <c r="C900" s="139"/>
      <c r="D900" s="139"/>
      <c r="E900" s="140"/>
      <c r="F900" s="139"/>
      <c r="G900" s="139"/>
      <c r="H900" s="139"/>
      <c r="I900" s="139"/>
      <c r="J900" s="139"/>
      <c r="K900" s="139"/>
      <c r="L900" s="137"/>
      <c r="M900" s="138"/>
      <c r="N900" s="137"/>
      <c r="O900" s="137"/>
    </row>
    <row r="901" spans="1:15">
      <c r="A901" s="76"/>
      <c r="B901" s="137"/>
      <c r="C901" s="139"/>
      <c r="D901" s="139"/>
      <c r="E901" s="140"/>
      <c r="F901" s="139"/>
      <c r="G901" s="139"/>
      <c r="H901" s="139"/>
      <c r="I901" s="139"/>
      <c r="J901" s="139"/>
      <c r="K901" s="139"/>
      <c r="L901" s="137"/>
      <c r="M901" s="138"/>
      <c r="N901" s="137"/>
      <c r="O901" s="137"/>
    </row>
    <row r="902" spans="1:15">
      <c r="A902" s="76"/>
      <c r="B902" s="137"/>
      <c r="C902" s="139"/>
      <c r="D902" s="139"/>
      <c r="E902" s="140"/>
      <c r="F902" s="139"/>
      <c r="G902" s="139"/>
      <c r="H902" s="139"/>
      <c r="I902" s="139"/>
      <c r="J902" s="139"/>
      <c r="K902" s="139"/>
      <c r="L902" s="137"/>
      <c r="M902" s="138"/>
      <c r="N902" s="137"/>
      <c r="O902" s="137"/>
    </row>
    <row r="903" spans="1:15">
      <c r="A903" s="76"/>
      <c r="B903" s="137"/>
      <c r="C903" s="139"/>
      <c r="D903" s="139"/>
      <c r="E903" s="140"/>
      <c r="F903" s="139"/>
      <c r="G903" s="139"/>
      <c r="H903" s="139"/>
      <c r="I903" s="139"/>
      <c r="J903" s="139"/>
      <c r="K903" s="139"/>
      <c r="L903" s="137"/>
      <c r="M903" s="138"/>
      <c r="N903" s="137"/>
      <c r="O903" s="137"/>
    </row>
    <row r="904" spans="1:15">
      <c r="A904" s="76"/>
      <c r="B904" s="137"/>
      <c r="C904" s="139"/>
      <c r="D904" s="139"/>
      <c r="E904" s="140"/>
      <c r="F904" s="139"/>
      <c r="G904" s="139"/>
      <c r="H904" s="139"/>
      <c r="I904" s="139"/>
      <c r="J904" s="139"/>
      <c r="K904" s="139"/>
      <c r="L904" s="137"/>
      <c r="M904" s="138"/>
      <c r="N904" s="137"/>
      <c r="O904" s="137"/>
    </row>
    <row r="905" spans="1:15">
      <c r="A905" s="76"/>
      <c r="B905" s="137"/>
      <c r="C905" s="139"/>
      <c r="D905" s="139"/>
      <c r="E905" s="140"/>
      <c r="F905" s="139"/>
      <c r="G905" s="139"/>
      <c r="H905" s="139"/>
      <c r="I905" s="139"/>
      <c r="J905" s="139"/>
      <c r="K905" s="139"/>
      <c r="L905" s="137"/>
      <c r="M905" s="138"/>
      <c r="N905" s="137"/>
      <c r="O905" s="137"/>
    </row>
    <row r="906" spans="1:15">
      <c r="A906" s="76"/>
      <c r="B906" s="137"/>
      <c r="C906" s="139"/>
      <c r="D906" s="139"/>
      <c r="E906" s="140"/>
      <c r="F906" s="139"/>
      <c r="G906" s="139"/>
      <c r="H906" s="139"/>
      <c r="I906" s="139"/>
      <c r="J906" s="139"/>
      <c r="K906" s="139"/>
      <c r="L906" s="137"/>
      <c r="M906" s="138"/>
      <c r="N906" s="137"/>
      <c r="O906" s="137"/>
    </row>
    <row r="907" spans="1:15">
      <c r="A907" s="76"/>
      <c r="B907" s="137"/>
      <c r="C907" s="139"/>
      <c r="D907" s="139"/>
      <c r="E907" s="140"/>
      <c r="F907" s="139"/>
      <c r="G907" s="139"/>
      <c r="H907" s="139"/>
      <c r="I907" s="139"/>
      <c r="J907" s="139"/>
      <c r="K907" s="139"/>
      <c r="L907" s="137"/>
      <c r="M907" s="138"/>
      <c r="N907" s="137"/>
      <c r="O907" s="137"/>
    </row>
    <row r="908" spans="1:15">
      <c r="A908" s="76"/>
      <c r="B908" s="137"/>
      <c r="C908" s="139"/>
      <c r="D908" s="139"/>
      <c r="E908" s="140"/>
      <c r="F908" s="139"/>
      <c r="G908" s="139"/>
      <c r="H908" s="139"/>
      <c r="I908" s="139"/>
      <c r="J908" s="139"/>
      <c r="K908" s="139"/>
      <c r="L908" s="137"/>
      <c r="M908" s="138"/>
      <c r="N908" s="137"/>
      <c r="O908" s="137"/>
    </row>
    <row r="909" spans="1:15">
      <c r="A909" s="76"/>
      <c r="B909" s="137"/>
      <c r="C909" s="139"/>
      <c r="D909" s="139"/>
      <c r="E909" s="140"/>
      <c r="F909" s="139"/>
      <c r="G909" s="139"/>
      <c r="H909" s="139"/>
      <c r="I909" s="139"/>
      <c r="J909" s="139"/>
      <c r="K909" s="139"/>
      <c r="L909" s="137"/>
      <c r="M909" s="138"/>
      <c r="N909" s="137"/>
      <c r="O909" s="137"/>
    </row>
    <row r="910" spans="1:15">
      <c r="A910" s="76"/>
      <c r="B910" s="137"/>
      <c r="C910" s="139"/>
      <c r="D910" s="139"/>
      <c r="E910" s="140"/>
      <c r="F910" s="139"/>
      <c r="G910" s="139"/>
      <c r="H910" s="139"/>
      <c r="I910" s="139"/>
      <c r="J910" s="139"/>
      <c r="K910" s="139"/>
      <c r="L910" s="137"/>
      <c r="M910" s="138"/>
      <c r="N910" s="137"/>
      <c r="O910" s="137"/>
    </row>
    <row r="911" spans="1:15">
      <c r="A911" s="76"/>
      <c r="B911" s="137"/>
      <c r="C911" s="139"/>
      <c r="D911" s="139"/>
      <c r="E911" s="140"/>
      <c r="F911" s="139"/>
      <c r="G911" s="139"/>
      <c r="H911" s="139"/>
      <c r="I911" s="139"/>
      <c r="J911" s="139"/>
      <c r="K911" s="139"/>
      <c r="L911" s="137"/>
      <c r="M911" s="138"/>
      <c r="N911" s="137"/>
      <c r="O911" s="137"/>
    </row>
    <row r="912" spans="1:15">
      <c r="A912" s="76"/>
      <c r="B912" s="137"/>
      <c r="C912" s="139"/>
      <c r="D912" s="139"/>
      <c r="E912" s="140"/>
      <c r="F912" s="139"/>
      <c r="G912" s="139"/>
      <c r="H912" s="139"/>
      <c r="I912" s="139"/>
      <c r="J912" s="139"/>
      <c r="K912" s="139"/>
      <c r="L912" s="137"/>
      <c r="M912" s="138"/>
      <c r="N912" s="137"/>
      <c r="O912" s="137"/>
    </row>
    <row r="913" spans="1:15">
      <c r="A913" s="76"/>
      <c r="B913" s="137"/>
      <c r="C913" s="139"/>
      <c r="D913" s="139"/>
      <c r="E913" s="140"/>
      <c r="F913" s="139"/>
      <c r="G913" s="139"/>
      <c r="H913" s="139"/>
      <c r="I913" s="139"/>
      <c r="J913" s="139"/>
      <c r="K913" s="139"/>
      <c r="L913" s="137"/>
      <c r="M913" s="138"/>
      <c r="N913" s="137"/>
      <c r="O913" s="137"/>
    </row>
    <row r="914" spans="1:15">
      <c r="A914" s="76"/>
      <c r="B914" s="137"/>
      <c r="C914" s="139"/>
      <c r="D914" s="139"/>
      <c r="E914" s="140"/>
      <c r="F914" s="139"/>
      <c r="G914" s="139"/>
      <c r="H914" s="139"/>
      <c r="I914" s="139"/>
      <c r="J914" s="139"/>
      <c r="K914" s="139"/>
      <c r="L914" s="137"/>
      <c r="M914" s="138"/>
      <c r="N914" s="137"/>
      <c r="O914" s="137"/>
    </row>
    <row r="915" spans="1:15">
      <c r="A915" s="76"/>
      <c r="B915" s="137"/>
      <c r="C915" s="139"/>
      <c r="D915" s="139"/>
      <c r="E915" s="140"/>
      <c r="F915" s="139"/>
      <c r="G915" s="139"/>
      <c r="H915" s="139"/>
      <c r="I915" s="139"/>
      <c r="J915" s="139"/>
      <c r="K915" s="139"/>
      <c r="L915" s="137"/>
      <c r="M915" s="138"/>
      <c r="N915" s="137"/>
      <c r="O915" s="137"/>
    </row>
    <row r="916" spans="1:15">
      <c r="A916" s="76"/>
      <c r="B916" s="137"/>
      <c r="C916" s="139"/>
      <c r="D916" s="139"/>
      <c r="E916" s="140"/>
      <c r="F916" s="139"/>
      <c r="G916" s="139"/>
      <c r="H916" s="139"/>
      <c r="I916" s="139"/>
      <c r="J916" s="139"/>
      <c r="K916" s="139"/>
      <c r="L916" s="137"/>
      <c r="M916" s="138"/>
      <c r="N916" s="137"/>
      <c r="O916" s="137"/>
    </row>
    <row r="917" spans="1:15">
      <c r="A917" s="76"/>
      <c r="B917" s="137"/>
      <c r="C917" s="139"/>
      <c r="D917" s="139"/>
      <c r="E917" s="140"/>
      <c r="F917" s="139"/>
      <c r="G917" s="139"/>
      <c r="H917" s="139"/>
      <c r="I917" s="139"/>
      <c r="J917" s="139"/>
      <c r="K917" s="139"/>
      <c r="L917" s="137"/>
      <c r="M917" s="138"/>
      <c r="N917" s="137"/>
      <c r="O917" s="137"/>
    </row>
    <row r="918" spans="1:15">
      <c r="A918" s="76"/>
      <c r="B918" s="137"/>
      <c r="C918" s="139"/>
      <c r="D918" s="139"/>
      <c r="E918" s="140"/>
      <c r="F918" s="139"/>
      <c r="G918" s="139"/>
      <c r="H918" s="139"/>
      <c r="I918" s="139"/>
      <c r="J918" s="139"/>
      <c r="K918" s="139"/>
      <c r="L918" s="137"/>
      <c r="M918" s="138"/>
      <c r="N918" s="137"/>
      <c r="O918" s="137"/>
    </row>
    <row r="919" spans="1:15">
      <c r="A919" s="76"/>
      <c r="B919" s="137"/>
      <c r="C919" s="139"/>
      <c r="D919" s="139"/>
      <c r="E919" s="140"/>
      <c r="F919" s="139"/>
      <c r="G919" s="139"/>
      <c r="H919" s="139"/>
      <c r="I919" s="139"/>
      <c r="J919" s="139"/>
      <c r="K919" s="139"/>
      <c r="L919" s="137"/>
      <c r="M919" s="138"/>
      <c r="N919" s="137"/>
      <c r="O919" s="137"/>
    </row>
    <row r="920" spans="1:15">
      <c r="A920" s="76"/>
      <c r="B920" s="137"/>
      <c r="C920" s="139"/>
      <c r="D920" s="139"/>
      <c r="E920" s="140"/>
      <c r="F920" s="139"/>
      <c r="G920" s="139"/>
      <c r="H920" s="139"/>
      <c r="I920" s="139"/>
      <c r="J920" s="139"/>
      <c r="K920" s="139"/>
      <c r="L920" s="137"/>
      <c r="M920" s="138"/>
      <c r="N920" s="137"/>
      <c r="O920" s="137"/>
    </row>
    <row r="921" spans="1:15">
      <c r="A921" s="76"/>
      <c r="B921" s="137"/>
      <c r="C921" s="139"/>
      <c r="D921" s="139"/>
      <c r="E921" s="140"/>
      <c r="F921" s="139"/>
      <c r="G921" s="139"/>
      <c r="H921" s="139"/>
      <c r="I921" s="139"/>
      <c r="J921" s="139"/>
      <c r="K921" s="139"/>
      <c r="L921" s="137"/>
      <c r="M921" s="138"/>
      <c r="N921" s="137"/>
      <c r="O921" s="137"/>
    </row>
    <row r="922" spans="1:15">
      <c r="A922" s="76"/>
      <c r="B922" s="137"/>
      <c r="C922" s="139"/>
      <c r="D922" s="139"/>
      <c r="E922" s="140"/>
      <c r="F922" s="139"/>
      <c r="G922" s="139"/>
      <c r="H922" s="139"/>
      <c r="I922" s="139"/>
      <c r="J922" s="139"/>
      <c r="K922" s="139"/>
      <c r="L922" s="137"/>
      <c r="M922" s="138"/>
      <c r="N922" s="137"/>
      <c r="O922" s="137"/>
    </row>
    <row r="923" spans="1:15">
      <c r="A923" s="76"/>
      <c r="B923" s="137"/>
      <c r="C923" s="139"/>
      <c r="D923" s="139"/>
      <c r="E923" s="140"/>
      <c r="F923" s="139"/>
      <c r="G923" s="139"/>
      <c r="H923" s="139"/>
      <c r="I923" s="139"/>
      <c r="J923" s="139"/>
      <c r="K923" s="139"/>
      <c r="L923" s="137"/>
      <c r="M923" s="138"/>
      <c r="N923" s="137"/>
      <c r="O923" s="137"/>
    </row>
    <row r="924" spans="1:15">
      <c r="A924" s="76"/>
      <c r="B924" s="137"/>
      <c r="C924" s="139"/>
      <c r="D924" s="139"/>
      <c r="E924" s="140"/>
      <c r="F924" s="139"/>
      <c r="G924" s="139"/>
      <c r="H924" s="139"/>
      <c r="I924" s="139"/>
      <c r="J924" s="139"/>
      <c r="K924" s="139"/>
      <c r="L924" s="137"/>
      <c r="M924" s="138"/>
      <c r="N924" s="137"/>
      <c r="O924" s="137"/>
    </row>
    <row r="925" spans="1:15">
      <c r="A925" s="76"/>
      <c r="B925" s="137"/>
      <c r="C925" s="139"/>
      <c r="D925" s="139"/>
      <c r="E925" s="140"/>
      <c r="F925" s="139"/>
      <c r="G925" s="139"/>
      <c r="H925" s="139"/>
      <c r="I925" s="139"/>
      <c r="J925" s="139"/>
      <c r="K925" s="139"/>
      <c r="L925" s="137"/>
      <c r="M925" s="138"/>
      <c r="N925" s="137"/>
      <c r="O925" s="137"/>
    </row>
    <row r="926" spans="1:15">
      <c r="A926" s="76"/>
      <c r="B926" s="137"/>
      <c r="C926" s="139"/>
      <c r="D926" s="139"/>
      <c r="E926" s="140"/>
      <c r="F926" s="139"/>
      <c r="G926" s="139"/>
      <c r="H926" s="139"/>
      <c r="I926" s="139"/>
      <c r="J926" s="139"/>
      <c r="K926" s="139"/>
      <c r="L926" s="137"/>
      <c r="M926" s="138"/>
      <c r="N926" s="137"/>
      <c r="O926" s="137"/>
    </row>
    <row r="927" spans="1:15">
      <c r="A927" s="76"/>
      <c r="B927" s="137"/>
      <c r="C927" s="139"/>
      <c r="D927" s="139"/>
      <c r="E927" s="140"/>
      <c r="F927" s="139"/>
      <c r="G927" s="139"/>
      <c r="H927" s="139"/>
      <c r="I927" s="139"/>
      <c r="J927" s="139"/>
      <c r="K927" s="139"/>
      <c r="L927" s="137"/>
      <c r="M927" s="138"/>
      <c r="N927" s="137"/>
      <c r="O927" s="137"/>
    </row>
    <row r="928" spans="1:15">
      <c r="A928" s="76"/>
      <c r="B928" s="137"/>
      <c r="C928" s="139"/>
      <c r="D928" s="139"/>
      <c r="E928" s="140"/>
      <c r="F928" s="139"/>
      <c r="G928" s="139"/>
      <c r="H928" s="139"/>
      <c r="I928" s="139"/>
      <c r="J928" s="139"/>
      <c r="K928" s="139"/>
      <c r="L928" s="137"/>
      <c r="M928" s="138"/>
      <c r="N928" s="137"/>
      <c r="O928" s="137"/>
    </row>
    <row r="929" spans="1:15">
      <c r="A929" s="76"/>
      <c r="B929" s="137"/>
      <c r="C929" s="139"/>
      <c r="D929" s="139"/>
      <c r="E929" s="140"/>
      <c r="F929" s="139"/>
      <c r="G929" s="139"/>
      <c r="H929" s="139"/>
      <c r="I929" s="139"/>
      <c r="J929" s="139"/>
      <c r="K929" s="139"/>
      <c r="L929" s="137"/>
      <c r="M929" s="138"/>
      <c r="N929" s="137"/>
      <c r="O929" s="137"/>
    </row>
    <row r="930" spans="1:15">
      <c r="A930" s="76"/>
      <c r="B930" s="137"/>
      <c r="C930" s="139"/>
      <c r="D930" s="139"/>
      <c r="E930" s="140"/>
      <c r="F930" s="139"/>
      <c r="G930" s="139"/>
      <c r="H930" s="139"/>
      <c r="I930" s="139"/>
      <c r="J930" s="139"/>
      <c r="K930" s="139"/>
      <c r="L930" s="137"/>
      <c r="M930" s="138"/>
      <c r="N930" s="137"/>
      <c r="O930" s="137"/>
    </row>
    <row r="931" spans="1:15">
      <c r="A931" s="76"/>
      <c r="B931" s="137"/>
      <c r="C931" s="139"/>
      <c r="D931" s="139"/>
      <c r="E931" s="140"/>
      <c r="F931" s="139"/>
      <c r="G931" s="139"/>
      <c r="H931" s="139"/>
      <c r="I931" s="139"/>
      <c r="J931" s="139"/>
      <c r="K931" s="139"/>
      <c r="L931" s="137"/>
      <c r="M931" s="138"/>
      <c r="N931" s="137"/>
      <c r="O931" s="137"/>
    </row>
    <row r="932" spans="1:15">
      <c r="A932" s="76"/>
      <c r="B932" s="137"/>
      <c r="C932" s="139"/>
      <c r="D932" s="139"/>
      <c r="E932" s="140"/>
      <c r="F932" s="139"/>
      <c r="G932" s="139"/>
      <c r="H932" s="139"/>
      <c r="I932" s="139"/>
      <c r="J932" s="139"/>
      <c r="K932" s="139"/>
      <c r="L932" s="137"/>
      <c r="M932" s="138"/>
      <c r="N932" s="137"/>
      <c r="O932" s="137"/>
    </row>
    <row r="933" spans="1:15">
      <c r="A933" s="76"/>
      <c r="B933" s="137"/>
      <c r="C933" s="139"/>
      <c r="D933" s="139"/>
      <c r="E933" s="140"/>
      <c r="F933" s="139"/>
      <c r="G933" s="139"/>
      <c r="H933" s="139"/>
      <c r="I933" s="139"/>
      <c r="J933" s="139"/>
      <c r="K933" s="139"/>
      <c r="L933" s="137"/>
      <c r="M933" s="138"/>
      <c r="N933" s="137"/>
      <c r="O933" s="137"/>
    </row>
    <row r="934" spans="1:15">
      <c r="A934" s="76"/>
      <c r="B934" s="137"/>
      <c r="C934" s="139"/>
      <c r="D934" s="139"/>
      <c r="E934" s="140"/>
      <c r="F934" s="139"/>
      <c r="G934" s="139"/>
      <c r="H934" s="139"/>
      <c r="I934" s="139"/>
      <c r="J934" s="139"/>
      <c r="K934" s="139"/>
      <c r="L934" s="137"/>
      <c r="M934" s="138"/>
      <c r="N934" s="137"/>
      <c r="O934" s="137"/>
    </row>
    <row r="935" spans="1:15">
      <c r="A935" s="76"/>
      <c r="B935" s="137"/>
      <c r="C935" s="139"/>
      <c r="D935" s="139"/>
      <c r="E935" s="140"/>
      <c r="F935" s="139"/>
      <c r="G935" s="139"/>
      <c r="H935" s="139"/>
      <c r="I935" s="139"/>
      <c r="J935" s="139"/>
      <c r="K935" s="139"/>
      <c r="L935" s="137"/>
      <c r="M935" s="138"/>
      <c r="N935" s="137"/>
      <c r="O935" s="137"/>
    </row>
    <row r="936" spans="1:15">
      <c r="A936" s="76"/>
      <c r="B936" s="137"/>
      <c r="C936" s="139"/>
      <c r="D936" s="139"/>
      <c r="E936" s="140"/>
      <c r="F936" s="139"/>
      <c r="G936" s="139"/>
      <c r="H936" s="139"/>
      <c r="I936" s="139"/>
      <c r="J936" s="139"/>
      <c r="K936" s="139"/>
      <c r="L936" s="137"/>
      <c r="M936" s="138"/>
      <c r="N936" s="137"/>
      <c r="O936" s="137"/>
    </row>
    <row r="937" spans="1:15">
      <c r="A937" s="76"/>
      <c r="B937" s="137"/>
      <c r="C937" s="139"/>
      <c r="D937" s="139"/>
      <c r="E937" s="140"/>
      <c r="F937" s="139"/>
      <c r="G937" s="139"/>
      <c r="H937" s="139"/>
      <c r="I937" s="139"/>
      <c r="J937" s="139"/>
      <c r="K937" s="139"/>
      <c r="L937" s="137"/>
      <c r="M937" s="138"/>
      <c r="N937" s="137"/>
      <c r="O937" s="137"/>
    </row>
    <row r="938" spans="1:15">
      <c r="A938" s="76"/>
      <c r="B938" s="137"/>
      <c r="C938" s="139"/>
      <c r="D938" s="139"/>
      <c r="E938" s="140"/>
      <c r="F938" s="139"/>
      <c r="G938" s="139"/>
      <c r="H938" s="139"/>
      <c r="I938" s="139"/>
      <c r="J938" s="139"/>
      <c r="K938" s="139"/>
      <c r="L938" s="137"/>
      <c r="M938" s="138"/>
      <c r="N938" s="137"/>
      <c r="O938" s="137"/>
    </row>
    <row r="939" spans="1:15">
      <c r="A939" s="76"/>
      <c r="B939" s="137"/>
      <c r="C939" s="139"/>
      <c r="D939" s="139"/>
      <c r="E939" s="140"/>
      <c r="F939" s="139"/>
      <c r="G939" s="139"/>
      <c r="H939" s="139"/>
      <c r="I939" s="139"/>
      <c r="J939" s="139"/>
      <c r="K939" s="139"/>
      <c r="L939" s="137"/>
      <c r="M939" s="138"/>
      <c r="N939" s="137"/>
      <c r="O939" s="137"/>
    </row>
  </sheetData>
  <mergeCells count="24">
    <mergeCell ref="H12:I12"/>
    <mergeCell ref="A11:O11"/>
    <mergeCell ref="A1:O1"/>
    <mergeCell ref="A2:O2"/>
    <mergeCell ref="A3:O3"/>
    <mergeCell ref="A4:E4"/>
    <mergeCell ref="F4:J4"/>
    <mergeCell ref="K4:O4"/>
    <mergeCell ref="A5:E5"/>
    <mergeCell ref="F5:J5"/>
    <mergeCell ref="K5:O5"/>
    <mergeCell ref="J12:K12"/>
    <mergeCell ref="L12:L13"/>
    <mergeCell ref="M12:M13"/>
    <mergeCell ref="N12:N13"/>
    <mergeCell ref="A6:O6"/>
    <mergeCell ref="M9:N9"/>
    <mergeCell ref="O12:O13"/>
    <mergeCell ref="A12:A13"/>
    <mergeCell ref="B12:B13"/>
    <mergeCell ref="C12:C13"/>
    <mergeCell ref="D12:D13"/>
    <mergeCell ref="E12:E13"/>
    <mergeCell ref="F12:G12"/>
  </mergeCells>
  <printOptions horizontalCentered="1"/>
  <pageMargins left="0.78740157480314965" right="0.39370078740157483" top="0.78740157480314965" bottom="0.39370078740157483" header="0.31496062992125984" footer="0.31496062992125984"/>
  <pageSetup paperSize="9" scale="95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B94A5-308C-4066-BC43-939375721F77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114+840</vt:lpstr>
      <vt:lpstr>BC.114+840</vt:lpstr>
      <vt:lpstr>SL.114+840</vt:lpstr>
      <vt:lpstr>Sheet1</vt:lpstr>
      <vt:lpstr>'114+840'!Print_Area</vt:lpstr>
      <vt:lpstr>'BC.114+840'!Print_Area</vt:lpstr>
      <vt:lpstr>'SL.114+840'!Print_Area</vt:lpstr>
      <vt:lpstr>'114+840'!Print_Titles</vt:lpstr>
      <vt:lpstr>'BC.114+840'!Print_Titles</vt:lpstr>
      <vt:lpstr>'SL.114+840'!Print_Titles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 tan</dc:creator>
  <cp:lastModifiedBy>tan tan</cp:lastModifiedBy>
  <dcterms:created xsi:type="dcterms:W3CDTF">2025-07-22T03:03:13Z</dcterms:created>
  <dcterms:modified xsi:type="dcterms:W3CDTF">2025-07-28T12:37:15Z</dcterms:modified>
</cp:coreProperties>
</file>